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11520" tabRatio="856" firstSheet="16" activeTab="7"/>
  </bookViews>
  <sheets>
    <sheet name="Revision Control" sheetId="1" r:id="rId1"/>
    <sheet name="List Values" sheetId="3" r:id="rId2"/>
    <sheet name="1. Landing Page" sheetId="2" r:id="rId3"/>
    <sheet name="2. Existing Cust. Check" sheetId="41" r:id="rId4"/>
    <sheet name="3. Contact Info" sheetId="5" r:id="rId5"/>
    <sheet name="3a. Mobile Verify" sheetId="35" r:id="rId6"/>
    <sheet name="4. Product Selector" sheetId="7" r:id="rId7"/>
    <sheet name="5. Qualifying Questions" sheetId="9" r:id="rId8"/>
    <sheet name="6. IDScan" sheetId="11" r:id="rId9"/>
    <sheet name="7. Name" sheetId="12" r:id="rId10"/>
    <sheet name="8. Address" sheetId="13" r:id="rId11"/>
    <sheet name="9. Birthday &amp; SIN" sheetId="14" r:id="rId12"/>
    <sheet name="10. Co-app Name" sheetId="38" r:id="rId13"/>
    <sheet name="11. Co-app Contact" sheetId="39" r:id="rId14"/>
    <sheet name="11a. Co-app Confirmation" sheetId="40" r:id="rId15"/>
    <sheet name="12. Account Options" sheetId="18" r:id="rId16"/>
    <sheet name="13. eConsent" sheetId="16" r:id="rId17"/>
    <sheet name="14. Alternate IDV" sheetId="29" r:id="rId18"/>
    <sheet name="15. Flinks" sheetId="31" r:id="rId19"/>
    <sheet name="16. Manual IDV" sheetId="36" r:id="rId20"/>
    <sheet name="17. Dynamic Disclosures" sheetId="17" r:id="rId21"/>
    <sheet name="A. Generic Error" sheetId="22" r:id="rId22"/>
    <sheet name="B. Manual Review" sheetId="23" r:id="rId23"/>
    <sheet name="C. Decline" sheetId="24" r:id="rId24"/>
    <sheet name="D. Cancel" sheetId="26" r:id="rId25"/>
    <sheet name="E. Save" sheetId="27" r:id="rId26"/>
    <sheet name="F. Resume" sheetId="28" r:id="rId27"/>
    <sheet name="G. Time Out" sheetId="33" r:id="rId28"/>
    <sheet name="H. Progress" sheetId="34" r:id="rId29"/>
    <sheet name="I. Previously Submitted" sheetId="37" r:id="rId30"/>
  </sheets>
  <externalReferences>
    <externalReference r:id="rId31"/>
  </externalReferences>
  <definedNames>
    <definedName name="_xlnm._FilterDatabase" localSheetId="15" hidden="1">'12. Account Options'!$A$6:$P$13</definedName>
    <definedName name="_xlnm._FilterDatabase" localSheetId="16" hidden="1">'13. eConsent'!$A$6:$P$15</definedName>
    <definedName name="_xlnm._FilterDatabase" localSheetId="20" hidden="1">'17. Dynamic Disclosures'!$A$6:$P$6</definedName>
    <definedName name="_xlnm._FilterDatabase" localSheetId="5" hidden="1">'3a. Mobile Verify'!$A$6:$P$6</definedName>
    <definedName name="_xlnm._FilterDatabase" localSheetId="11" hidden="1">'9. Birthday &amp; SIN'!$A$6:$P$13</definedName>
    <definedName name="_xlnm._FilterDatabase" localSheetId="21" hidden="1">'A. Generic Error'!$A$6:$P$9</definedName>
    <definedName name="_xlnm._FilterDatabase" localSheetId="22" hidden="1">'B. Manual Review'!$A$6:$P$9</definedName>
    <definedName name="_xlnm._FilterDatabase" localSheetId="23" hidden="1">'C. Decline'!$A$6:$P$9</definedName>
    <definedName name="_xlnm._FilterDatabase" localSheetId="24" hidden="1">'D. Cancel'!$A$6:$P$9</definedName>
    <definedName name="_xlnm._FilterDatabase" localSheetId="25" hidden="1">'E. Save'!$A$6:$P$9</definedName>
    <definedName name="_xlnm._FilterDatabase" localSheetId="26" hidden="1">'F. Resume'!$A$6:$P$6</definedName>
    <definedName name="_xlnm._FilterDatabase" localSheetId="27" hidden="1">'G. Time Out'!$A$6:$P$6</definedName>
    <definedName name="_xlnm._FilterDatabase" localSheetId="28" hidden="1">'H. Progress'!$A$6:$P$6</definedName>
    <definedName name="_xlnm._FilterDatabase" localSheetId="29" hidden="1">'I. Previously Submitted'!$A$6:$P$6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4" i="41" l="1"/>
  <c r="B13" i="41"/>
  <c r="B12" i="41"/>
  <c r="B11" i="41"/>
  <c r="B10" i="41"/>
  <c r="B9" i="41"/>
  <c r="B8" i="41"/>
  <c r="B7" i="41"/>
  <c r="B15" i="17" l="1"/>
  <c r="B10" i="31"/>
  <c r="B11" i="31"/>
  <c r="B11" i="40"/>
  <c r="B10" i="40"/>
  <c r="B9" i="40"/>
  <c r="B8" i="40"/>
  <c r="B7" i="40"/>
  <c r="B12" i="39"/>
  <c r="B14" i="39"/>
  <c r="B13" i="39"/>
  <c r="B11" i="39"/>
  <c r="B10" i="39"/>
  <c r="B9" i="39"/>
  <c r="B8" i="39"/>
  <c r="B7" i="39"/>
  <c r="B9" i="38" l="1"/>
  <c r="B13" i="38"/>
  <c r="B12" i="38"/>
  <c r="B11" i="38"/>
  <c r="B10" i="38"/>
  <c r="B8" i="38"/>
  <c r="B7" i="38"/>
  <c r="B13" i="7" l="1"/>
  <c r="B10" i="37" l="1"/>
  <c r="B9" i="37"/>
  <c r="B8" i="37"/>
  <c r="B7" i="37"/>
  <c r="B7" i="36" l="1"/>
  <c r="B8" i="36"/>
  <c r="B10" i="18"/>
  <c r="B9" i="18"/>
  <c r="B11" i="14"/>
  <c r="B12" i="29" l="1"/>
  <c r="B9" i="36"/>
  <c r="B9" i="29"/>
  <c r="B13" i="29"/>
  <c r="B11" i="29"/>
  <c r="B10" i="29"/>
  <c r="B8" i="29"/>
  <c r="B7" i="29"/>
  <c r="B13" i="11" l="1"/>
  <c r="B12" i="11"/>
  <c r="B12" i="5" l="1"/>
  <c r="B12" i="35"/>
  <c r="B10" i="35"/>
  <c r="B11" i="35"/>
  <c r="B9" i="35"/>
  <c r="B8" i="35"/>
  <c r="B7" i="35"/>
  <c r="B7" i="34" l="1"/>
  <c r="B10" i="33" l="1"/>
  <c r="B8" i="33"/>
  <c r="B9" i="33"/>
  <c r="B7" i="33"/>
  <c r="B9" i="31" l="1"/>
  <c r="B11" i="28"/>
  <c r="B10" i="28"/>
  <c r="B9" i="28"/>
  <c r="B8" i="28"/>
  <c r="B7" i="28"/>
  <c r="B16" i="17"/>
  <c r="B14" i="17"/>
  <c r="B13" i="17"/>
  <c r="B12" i="17"/>
  <c r="B11" i="17"/>
  <c r="B10" i="17"/>
  <c r="B9" i="17"/>
  <c r="B8" i="17"/>
  <c r="B7" i="17"/>
  <c r="B14" i="9"/>
  <c r="B12" i="7"/>
  <c r="B10" i="5"/>
  <c r="B8" i="31" l="1"/>
  <c r="B7" i="31"/>
  <c r="B15" i="11"/>
  <c r="B14" i="11"/>
  <c r="B11" i="11"/>
  <c r="B10" i="11"/>
  <c r="B9" i="11"/>
  <c r="B8" i="11"/>
  <c r="B7" i="11"/>
  <c r="B10" i="16" l="1"/>
  <c r="B11" i="16"/>
  <c r="B12" i="16"/>
  <c r="B25" i="13" l="1"/>
  <c r="B24" i="13"/>
  <c r="B10" i="27" l="1"/>
  <c r="B7" i="27"/>
  <c r="B9" i="27"/>
  <c r="B8" i="27"/>
  <c r="B7" i="26"/>
  <c r="B9" i="26"/>
  <c r="B8" i="26"/>
  <c r="B10" i="24"/>
  <c r="B7" i="24"/>
  <c r="B9" i="24"/>
  <c r="B8" i="24"/>
  <c r="B7" i="23"/>
  <c r="B9" i="23"/>
  <c r="B8" i="23"/>
  <c r="B10" i="22"/>
  <c r="B7" i="22"/>
  <c r="B9" i="22"/>
  <c r="B8" i="22"/>
  <c r="B15" i="9" l="1"/>
  <c r="B13" i="9"/>
  <c r="B12" i="9"/>
  <c r="B11" i="9"/>
  <c r="B10" i="9"/>
  <c r="B9" i="9" l="1"/>
  <c r="B9" i="7" l="1"/>
  <c r="B11" i="18" l="1"/>
  <c r="B13" i="18"/>
  <c r="B12" i="18"/>
  <c r="B8" i="18"/>
  <c r="B7" i="18"/>
  <c r="B9" i="16" l="1"/>
  <c r="B13" i="16"/>
  <c r="B14" i="16" l="1"/>
  <c r="B15" i="16"/>
  <c r="B8" i="16"/>
  <c r="B7" i="16"/>
  <c r="B12" i="14" l="1"/>
  <c r="B13" i="14"/>
  <c r="B10" i="14"/>
  <c r="B9" i="14"/>
  <c r="B8" i="14"/>
  <c r="B7" i="14"/>
  <c r="B34" i="13"/>
  <c r="B33" i="13"/>
  <c r="B32" i="13"/>
  <c r="B31" i="13"/>
  <c r="B30" i="13"/>
  <c r="B29" i="13"/>
  <c r="B28" i="13"/>
  <c r="B27" i="13"/>
  <c r="B23" i="13" l="1"/>
  <c r="B22" i="13"/>
  <c r="B21" i="13"/>
  <c r="B20" i="13"/>
  <c r="B19" i="13"/>
  <c r="B18" i="13"/>
  <c r="B16" i="13" l="1"/>
  <c r="B15" i="13"/>
  <c r="B14" i="13"/>
  <c r="B13" i="13"/>
  <c r="B12" i="13"/>
  <c r="B11" i="13"/>
  <c r="B36" i="13"/>
  <c r="B37" i="13"/>
  <c r="B10" i="13"/>
  <c r="B8" i="13"/>
  <c r="B7" i="13"/>
  <c r="B11" i="12"/>
  <c r="B12" i="12"/>
  <c r="B10" i="12"/>
  <c r="B9" i="12"/>
  <c r="B8" i="12"/>
  <c r="B7" i="12"/>
  <c r="B16" i="9" l="1"/>
  <c r="B17" i="9"/>
  <c r="B7" i="9"/>
  <c r="B7" i="7"/>
  <c r="B8" i="9" l="1"/>
  <c r="B15" i="7"/>
  <c r="B16" i="7"/>
  <c r="B11" i="7"/>
  <c r="B8" i="7"/>
  <c r="B13" i="5"/>
  <c r="B14" i="5"/>
  <c r="B11" i="5"/>
  <c r="B9" i="5"/>
  <c r="B8" i="5"/>
  <c r="B7" i="5"/>
  <c r="B11" i="2"/>
  <c r="B8" i="2" l="1"/>
  <c r="B9" i="2"/>
  <c r="B10" i="2"/>
  <c r="B7" i="2"/>
</calcChain>
</file>

<file path=xl/sharedStrings.xml><?xml version="1.0" encoding="utf-8"?>
<sst xmlns="http://schemas.openxmlformats.org/spreadsheetml/2006/main" count="3084" uniqueCount="438">
  <si>
    <t>Field Specification - Revision Control Form</t>
  </si>
  <si>
    <t>Document Version</t>
  </si>
  <si>
    <t>Revision Date</t>
  </si>
  <si>
    <t>Change Summary</t>
  </si>
  <si>
    <t>Updated by</t>
  </si>
  <si>
    <t>Approved by</t>
  </si>
  <si>
    <t>Page Name</t>
  </si>
  <si>
    <t>Page ID</t>
  </si>
  <si>
    <t>Visibility</t>
  </si>
  <si>
    <t>Landing Page</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</si>
  <si>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</si>
  <si>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</si>
  <si>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</si>
  <si>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</si>
  <si>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</si>
  <si>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</si>
  <si>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</si>
  <si>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</si>
  <si>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</si>
  <si>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</si>
  <si>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</si>
  <si>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</si>
  <si>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</si>
  <si>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</si>
  <si>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</si>
  <si>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</si>
  <si>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</si>
  <si>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</si>
  <si>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</si>
  <si>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</si>
  <si>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</si>
  <si>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</si>
  <si>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</si>
  <si>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</si>
  <si>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</si>
  <si>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</si>
  <si>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</si>
  <si>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</si>
  <si>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</si>
  <si>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</si>
  <si>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</si>
  <si>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</si>
  <si>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</si>
  <si>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</si>
  <si>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On click, navigate to "Contact Info" page (CWB-181)</t>
  </si>
  <si>
    <t>Story ID</t>
  </si>
  <si>
    <t>WIP (see comments)</t>
  </si>
  <si>
    <t>Contact Info</t>
  </si>
  <si>
    <t>Always Show</t>
  </si>
  <si>
    <t>Progress bar</t>
  </si>
  <si>
    <t>Progress Bar</t>
  </si>
  <si>
    <t>Email address:</t>
  </si>
  <si>
    <t>Numbers, spaces, dashes, parentheses</t>
  </si>
  <si>
    <t>Alphanumeric</t>
  </si>
  <si>
    <t>54 characters</t>
  </si>
  <si>
    <t>Yes</t>
  </si>
  <si>
    <t>A) 10 digits
B) 14 incl. spaces, dashes, parentheses</t>
  </si>
  <si>
    <t>North American Numbering Plan (NANP) format:
"NXX-NXX-XXXX" 
or "(NXX) NXX-XXXX", 
where N is 2 to 9, and X is 0 to 9.</t>
  </si>
  <si>
    <t>On click, navigate to "Existing Customer Check" page (CWB-184)</t>
  </si>
  <si>
    <t>Please provide a valid email address</t>
  </si>
  <si>
    <t>Please provide a valid mobile phone number</t>
  </si>
  <si>
    <t>Back</t>
  </si>
  <si>
    <t>Next</t>
  </si>
  <si>
    <t>On click, navigate to "Product Selector" page (CWB-223)</t>
  </si>
  <si>
    <t>Existing Customer Check</t>
  </si>
  <si>
    <t>A) Yes
B) No</t>
  </si>
  <si>
    <t>Product Selector</t>
  </si>
  <si>
    <t>Checkbox Group</t>
  </si>
  <si>
    <t>A) Checked
B) Unchecked</t>
  </si>
  <si>
    <t>On click, navigate to "Qualifying Questions" page (CWB-182)</t>
  </si>
  <si>
    <t>Qualifying Questions</t>
  </si>
  <si>
    <t>No Selection</t>
  </si>
  <si>
    <t>On click, navigate to "Speed This Up" page (CWB-32)</t>
  </si>
  <si>
    <t>ID Scan Form</t>
  </si>
  <si>
    <t>Name</t>
  </si>
  <si>
    <t>On click, navigate to "IDScan" page (CWB-135)</t>
  </si>
  <si>
    <t>On click, navigate to "Address" page (CWB-56)</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</si>
  <si>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</si>
  <si>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</si>
  <si>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</si>
  <si>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</si>
  <si>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</si>
  <si>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Address</t>
  </si>
  <si>
    <t xml:space="preserve"> </t>
  </si>
  <si>
    <t>Step 6: All about you</t>
  </si>
  <si>
    <t>If IDScan returned results, use the scanned address. Otherwise leave blank.</t>
  </si>
  <si>
    <t>Unit</t>
  </si>
  <si>
    <t>City</t>
  </si>
  <si>
    <t>Province</t>
  </si>
  <si>
    <t>Postal code</t>
  </si>
  <si>
    <t>Text field (with suggestions)</t>
  </si>
  <si>
    <t>Please tell us your physical address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</si>
  <si>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</si>
  <si>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</si>
  <si>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</si>
  <si>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</si>
  <si>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</si>
  <si>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</si>
  <si>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</si>
  <si>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Please tell us your previous physical address</t>
  </si>
  <si>
    <t>What is your mailing address?</t>
  </si>
  <si>
    <t>No</t>
  </si>
  <si>
    <t>Please tell us your mailing address</t>
  </si>
  <si>
    <t>On click, navigate to "Name" page (CWB-180)</t>
  </si>
  <si>
    <t>On click, navigate to "Birthday &amp; SIN" page (CWB-66)</t>
  </si>
  <si>
    <t>Birthday &amp; SIN</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</si>
  <si>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</si>
  <si>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</si>
  <si>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</si>
  <si>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</si>
  <si>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</si>
  <si>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</si>
  <si>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</si>
  <si>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</si>
  <si>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Please choose a security question.</t>
  </si>
  <si>
    <t>None</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</si>
  <si>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</si>
  <si>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What is your current occupation?</t>
  </si>
  <si>
    <t>Please tell us your current occupation</t>
  </si>
  <si>
    <t>Text must be a valid entry in the Canadian National Occupancy Classification (NOC) list.</t>
  </si>
  <si>
    <t>eConsent</t>
  </si>
  <si>
    <t>Hyperlink to the following URL:
https://www.cwb.com/about-us/privacy</t>
  </si>
  <si>
    <t>Unchecked</t>
  </si>
  <si>
    <t>Please check the box to agree to the terms and conditions provided.</t>
  </si>
  <si>
    <t>Users must check this box to proceed with their application.</t>
  </si>
  <si>
    <t>Dynamic Disclosures</t>
  </si>
  <si>
    <t>Account Options</t>
  </si>
  <si>
    <t>On click, navigate to "Dynamic Disclosures" page (CWB-176)</t>
  </si>
  <si>
    <t>Only if the user's product selection includes a chequing and/or savings account.</t>
  </si>
  <si>
    <t>"Yes", if the user is applying for a chequing account.
"No", otherwise.</t>
  </si>
  <si>
    <t>TBD</t>
  </si>
  <si>
    <t>Please select at least one option from the list above.</t>
  </si>
  <si>
    <t>Ready to get started? Here's what you'll need:</t>
  </si>
  <si>
    <t>1. Your personal details
2. Optionally, your Social Insurance Number and drivers license
3. About 5 minutes of your time</t>
  </si>
  <si>
    <t>Let's go!</t>
  </si>
  <si>
    <t>Step 1: Let's get started</t>
  </si>
  <si>
    <t>To be displayed only for existing Motive Financial clients. 
On click, navigate to the URL:
https://www.motivefinancial.com/OnlineBanking/</t>
  </si>
  <si>
    <t>Static text with hyperlink</t>
  </si>
  <si>
    <t>Step 2: How may we reach you?</t>
  </si>
  <si>
    <t>Email address format:
"local-part@DomainName"</t>
  </si>
  <si>
    <t>Mobile phone number:</t>
  </si>
  <si>
    <t>If you take a break from this application, we'll send a one-time password to your mobile phone, so that you may resume later.</t>
  </si>
  <si>
    <t>Step 3: Time to pick your options</t>
  </si>
  <si>
    <t>Default product should be selected.
Box should be "Checked" if associated &lt;&lt;ProductCode&gt;&gt; matches DCO URL parameter. Otherwise "Unchecked"</t>
  </si>
  <si>
    <t>Yes 
(at least one product must be selected)</t>
  </si>
  <si>
    <t>Step 4: First things first</t>
  </si>
  <si>
    <t>First name:</t>
  </si>
  <si>
    <t>Last name:</t>
  </si>
  <si>
    <t>What is your home address?</t>
  </si>
  <si>
    <t>What was your previous home address?</t>
  </si>
  <si>
    <t>Please tell us whether your mailing address matches your home address.</t>
  </si>
  <si>
    <t>Empty</t>
  </si>
  <si>
    <t>Please provide a city name</t>
  </si>
  <si>
    <t xml:space="preserve">Please provide a street name or P.O. box number </t>
  </si>
  <si>
    <t>Please provide a province/state name</t>
  </si>
  <si>
    <t>Please provide a street number</t>
  </si>
  <si>
    <t>Please provide a street name</t>
  </si>
  <si>
    <t>Please select a province</t>
  </si>
  <si>
    <t>Please provide a postal code</t>
  </si>
  <si>
    <t>Street name</t>
  </si>
  <si>
    <t>If value = "Quebec" then
"Sorry, but we are unable to offer banking services to residents of Quebec at this time."</t>
  </si>
  <si>
    <t>Street name or P.O. box</t>
  </si>
  <si>
    <t>Which accounts would you like to apply for?</t>
  </si>
  <si>
    <t>A) Show one checkbox object for each product in the product spec.  Each checkbox object consists of a &lt;&lt;ProductCode&gt;&gt;, &lt;&lt;ProductDescription&gt;&gt; , and &lt;&lt;Product URL&gt;&gt;.
B) Display mandatory message if all checkboxes in the group are unchecked. User must check at least one product.</t>
  </si>
  <si>
    <t>Yes, I meet all of the above criteria.</t>
  </si>
  <si>
    <t>We are only able to open accounts for tax residents of Canada.</t>
  </si>
  <si>
    <t>We are unable to open accounts for residents of Quebec.</t>
  </si>
  <si>
    <t>This may include being a citizen of another country or having dual citizenship.</t>
  </si>
  <si>
    <t>We are unable to open accounts for individuals under 18 years of age.</t>
  </si>
  <si>
    <t>As Required (in response to unexpected errors, or Fraud check failures)</t>
  </si>
  <si>
    <t>Oops! Something went wrong.</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</si>
  <si>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</si>
  <si>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</si>
  <si>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</si>
  <si>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</si>
  <si>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</si>
  <si>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</si>
  <si>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</si>
  <si>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</si>
  <si>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</si>
  <si>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</si>
  <si>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</si>
  <si>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Your application is safe with us!</t>
  </si>
  <si>
    <t>Resume Page</t>
  </si>
  <si>
    <t>As Required (in response to a user-initiated application resume)</t>
  </si>
  <si>
    <t>Step 8: Your fine print</t>
  </si>
  <si>
    <t>A little help from our friends</t>
  </si>
  <si>
    <t>We weren't able to process your application.</t>
  </si>
  <si>
    <t>We're reviewing your application.</t>
  </si>
  <si>
    <t>Unfortunately, at this time we can't approve your application.</t>
  </si>
  <si>
    <t>We've cancelled your application, but if you change your mind, please call us at 1 (877) 441-2249, or email us at Help@MotiveFinancial.com.</t>
  </si>
  <si>
    <t>We saved your information, so you can pick up where you left off when you come back.</t>
  </si>
  <si>
    <t>Check your email for details about how you may resume your application when you're ready.
Hope to see you soon!</t>
  </si>
  <si>
    <t>Please tell us your birthday</t>
  </si>
  <si>
    <t>Choose your security question:</t>
  </si>
  <si>
    <t>Answer your security question:</t>
  </si>
  <si>
    <t>Please provide an answer to your security question.</t>
  </si>
  <si>
    <t>Do you need a debit card?</t>
  </si>
  <si>
    <t>You won't need a debit card for online banking, but you will need one to use an ATM or make Interac purchases.
If you choose "yes", we'll mail your card via Canada Post.</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</si>
  <si>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</si>
  <si>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</si>
  <si>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</si>
  <si>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</si>
  <si>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</si>
  <si>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</si>
  <si>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</si>
  <si>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</si>
  <si>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</si>
  <si>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</si>
  <si>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r>
      <t xml:space="preserve">For assistance, please call Motive Financial at 1 (877) 441-2249 or email </t>
    </r>
    <r>
      <rPr>
        <u/>
        <sz val="11"/>
        <color theme="1"/>
        <rFont val="Calibri"/>
        <family val="2"/>
        <scheme val="minor"/>
      </rPr>
      <t>Help@MotiveFinancial.com</t>
    </r>
    <r>
      <rPr>
        <sz val="11"/>
        <color theme="1"/>
        <rFont val="Calibri"/>
        <family val="2"/>
        <scheme val="minor"/>
      </rPr>
      <t>, and we will be happy to help you complete your application.</t>
    </r>
  </si>
  <si>
    <r>
      <t xml:space="preserve">Please check your email for some next steps, contact a Motive Financial team member at 1 (877) 441-2249, or email us at </t>
    </r>
    <r>
      <rPr>
        <u/>
        <sz val="11"/>
        <color theme="1"/>
        <rFont val="Calibri"/>
        <family val="2"/>
        <scheme val="minor"/>
      </rPr>
      <t>Help@MotiveFinancial.com</t>
    </r>
    <r>
      <rPr>
        <sz val="11"/>
        <color theme="1"/>
        <rFont val="Calibri"/>
        <family val="2"/>
        <scheme val="minor"/>
      </rPr>
      <t>.</t>
    </r>
  </si>
  <si>
    <t>Value must come from a drop down list of valid Canadian provinces. Note: "Quebec" is a valid selection for previous address.</t>
  </si>
  <si>
    <t>Value must come from a drop down list of valid Canadian provinces. Note: "Quebec" is a valid selection for mailing address.</t>
  </si>
  <si>
    <t>I, &lt;&lt;Applicant Name&gt;&gt;, agree to allow Motive Financial to:</t>
  </si>
  <si>
    <t>- Collect and maintain the information submitted in this application</t>
  </si>
  <si>
    <t>- Use my information to confirm my identity</t>
  </si>
  <si>
    <t>- Use my information to confirm my credit score</t>
  </si>
  <si>
    <t>We require this information to open your new account</t>
  </si>
  <si>
    <t>We will use 3rd party sources to validate and confirm the information you submitted</t>
  </si>
  <si>
    <t>We will utilize a deposit inquiry credit score for opening your account</t>
  </si>
  <si>
    <t>On click, start Fraud Check procedures.</t>
  </si>
  <si>
    <t>When is your birthday? (MM/DD/YYYY)</t>
  </si>
  <si>
    <t xml:space="preserve">Only if a value has been selected in the question selection drop-down (field 11.5). </t>
  </si>
  <si>
    <t>[Empty selection]</t>
  </si>
  <si>
    <t>Please tell us what this account will be used for</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</si>
  <si>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</si>
  <si>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</si>
  <si>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Step 5: Help us help you</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</si>
  <si>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</si>
  <si>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</si>
  <si>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</si>
  <si>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</si>
  <si>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</si>
  <si>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</si>
  <si>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</si>
  <si>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Alternate IDV Selection</t>
  </si>
  <si>
    <t>As Required (in response to events that trigger the manual review workflow)</t>
  </si>
  <si>
    <t>Only visible when primary IDV fails</t>
  </si>
  <si>
    <t>Flinks IDV</t>
  </si>
  <si>
    <t>A) These controls should only appear for the user's selected products.  One drop-down list with caption should appear for each selected product.
B) The numeric keys listed in the "Permitted Data" column should be used for storage in T24 and other systems.  The text based values are for display purposes only (human readable).</t>
  </si>
  <si>
    <t>I, &lt;&lt;First Name&gt;&gt; &lt;&lt;Last Name&gt;&gt;, agree to the following:</t>
  </si>
  <si>
    <t>- I am a tax resident of Canada</t>
  </si>
  <si>
    <t xml:space="preserve">We are required under Canadian tax law to collect 
this information to determine the tax residency of 
all our account holders.  If you need help with your
 tax residency information for these questions, see 
Income Tax Folio, S5-F1-C1, Determining an Individual’s 
Residence Status, which you can find on the CRA website. </t>
  </si>
  <si>
    <t>- I am not a tax resident or citizen of the United States</t>
  </si>
  <si>
    <t>- I am not a tax resident of a jurisdiction other than Canada or the United States</t>
  </si>
  <si>
    <t>- I am not opening this account(s) for use by or benefit of a third party</t>
  </si>
  <si>
    <t>Display "Oops.svg" image</t>
  </si>
  <si>
    <t>Display "reviewing.svg" image</t>
  </si>
  <si>
    <t>Display "thankyou.svg" image</t>
  </si>
  <si>
    <t>Display "sorry.svg" image</t>
  </si>
  <si>
    <t>Display "safe-app.svg" image</t>
  </si>
  <si>
    <t>Welcome Back!</t>
  </si>
  <si>
    <t>A PIN code was sent to the mobile number you provided when you started your application. Please enter it below to continue with your application.</t>
  </si>
  <si>
    <t>&lt;&lt;no caption&gt;&gt;</t>
  </si>
  <si>
    <t>Continue</t>
  </si>
  <si>
    <t>On click, validate PIN, and resume application.</t>
  </si>
  <si>
    <t>Resend PIN</t>
  </si>
  <si>
    <t>On click, resend PIN to mobile number.</t>
  </si>
  <si>
    <t>Flinks IDV Widget</t>
  </si>
  <si>
    <t>Is your mailing address the same as your home address?</t>
  </si>
  <si>
    <t>G</t>
  </si>
  <si>
    <t>As Required (in response to a user inactivity)</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</si>
  <si>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</si>
  <si>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</si>
  <si>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</si>
  <si>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</si>
  <si>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</si>
  <si>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</si>
  <si>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</si>
  <si>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</si>
  <si>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</si>
  <si>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</si>
  <si>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Display "Motive_Loading_gif_500x300.gif" image.</t>
  </si>
  <si>
    <t>Mobile Verification Page</t>
  </si>
  <si>
    <t>Please verify your mobile device</t>
  </si>
  <si>
    <t>3a</t>
  </si>
  <si>
    <t>Google reCAPTCHA</t>
  </si>
  <si>
    <t>Only the first time the page is displayed.  If the user returns to the page, reCAPTCHA does not need to take place a second time.</t>
  </si>
  <si>
    <t>Please verify that you are not a robot</t>
  </si>
  <si>
    <t>Please verify that you are not a robot.</t>
  </si>
  <si>
    <t>[Sample barcode instruction text - decision pending]</t>
  </si>
  <si>
    <t>The SIN you provided is not valid. Please provide a valid SIN.</t>
  </si>
  <si>
    <r>
      <t xml:space="preserve">We'll use this information to communicate with you about this application on an ongoing basis, in accordance with our </t>
    </r>
    <r>
      <rPr>
        <u/>
        <sz val="11"/>
        <color theme="1"/>
        <rFont val="Calibri"/>
        <family val="2"/>
        <scheme val="minor"/>
      </rPr>
      <t>privacy statement</t>
    </r>
    <r>
      <rPr>
        <sz val="11"/>
        <color theme="1"/>
        <rFont val="Calibri"/>
        <family val="2"/>
        <scheme val="minor"/>
      </rPr>
      <t>.</t>
    </r>
  </si>
  <si>
    <t>I'd like to sign into my other bank or financial institution to verify my identity.</t>
  </si>
  <si>
    <t>Please select your preferred method of identity verification</t>
  </si>
  <si>
    <t>Mandatory field.
The user must select one of the radio buttons from this group.</t>
  </si>
  <si>
    <t>Manual IDV</t>
  </si>
  <si>
    <t>We'll use your email address to send you status updates and important information about your application.</t>
  </si>
  <si>
    <t>On click, apply the following conditional logic:
A) If mobile verification has not yet taken place, navigate to "Mobile Verification" page (CWB-395)
B) If mobile verification was previously completed, navigate to "Product Selector" page (CWB-223)</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</si>
  <si>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</si>
  <si>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</si>
  <si>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</si>
  <si>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</si>
  <si>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r>
      <t xml:space="preserve">For more information about how we use and protect your information, please view our </t>
    </r>
    <r>
      <rPr>
        <u/>
        <sz val="11"/>
        <color theme="1"/>
        <rFont val="Calibri"/>
        <family val="2"/>
        <scheme val="minor"/>
      </rPr>
      <t>privacy statement</t>
    </r>
  </si>
  <si>
    <t xml:space="preserve">A) What was your favorite restaurant in college or university?
B) What is your father's middle name?
C) In what city was your mother born? 
D) What is the first name of your oldest nephew?
E) What was the name of your first pet?
F) What was the color of your first car?
</t>
  </si>
  <si>
    <t xml:space="preserve">If you ever need to contact a Motive Financial representative, we may use this question to help confirm your identity and secure your account. </t>
  </si>
  <si>
    <t>More about you</t>
  </si>
  <si>
    <t>We were unable to verify some of your personal information.  To protect your identity, we need a little help from you. Please choose one of the methods below to continue.</t>
  </si>
  <si>
    <t>Confirmation Message (modal)</t>
  </si>
  <si>
    <t>To complete your application</t>
  </si>
  <si>
    <r>
      <t xml:space="preserve">Please send one of the following documents to </t>
    </r>
    <r>
      <rPr>
        <u/>
        <sz val="11"/>
        <color theme="1"/>
        <rFont val="Calibri"/>
        <family val="2"/>
        <scheme val="minor"/>
      </rPr>
      <t>Help@MotiveFinancial.com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(877) 441-2249.</t>
    </r>
  </si>
  <si>
    <t>Display "Email Envelope.svg"</t>
  </si>
  <si>
    <t xml:space="preserve">One of the following key/value pairs:
97) Generals savings or accrue interest
97) Investment savings
79) Employment or pension income
80) Family and household expenses
82) Education savings/expenses
[T24 team to provide new keys for first two pairs]
</t>
  </si>
  <si>
    <t>Step 7: What's your address?</t>
  </si>
  <si>
    <t>If specified address is a Quebec address then
"Sorry, but we are unable to offer banking services to residents of Quebec at this time."</t>
  </si>
  <si>
    <t>Only if the user has already passed ReCAPTCH verification (field 3.6)</t>
  </si>
  <si>
    <t>No change</t>
  </si>
  <si>
    <t>I</t>
  </si>
  <si>
    <t>Previously Submitted Page</t>
  </si>
  <si>
    <t>&lt;&lt;Application Number&gt;&gt;</t>
  </si>
  <si>
    <t>Please include this number in any inquiries about your application.</t>
  </si>
  <si>
    <r>
      <t xml:space="preserve">This application has already been submitted.
For assistance, please e-mail Motive Financial at </t>
    </r>
    <r>
      <rPr>
        <u/>
        <sz val="11"/>
        <color theme="1"/>
        <rFont val="Calibri"/>
        <family val="2"/>
        <scheme val="minor"/>
      </rPr>
      <t>Help@MotiveFinancial.com</t>
    </r>
    <r>
      <rPr>
        <sz val="11"/>
        <color theme="1"/>
        <rFont val="Calibri"/>
        <family val="2"/>
        <scheme val="minor"/>
      </rPr>
      <t>, or call 1 (877) 441-2249.
Your reference number is:</t>
    </r>
  </si>
  <si>
    <t>Submission Complete</t>
  </si>
  <si>
    <t>As Required (in response to a user trying to access a previously submitted application)</t>
  </si>
  <si>
    <t>We just sent a 4-7 difit token to your mobile number.  Please enter it below to continue with your application.
If you take a break from this application, we'll send a one-time password to your mobile phone, so that you may resume later.</t>
  </si>
  <si>
    <t>Resend Token</t>
  </si>
  <si>
    <t>Display a separate instance of the following fields, for each product in the product specification.</t>
  </si>
  <si>
    <t>&lt;&lt;ProductName&gt;&gt;
&lt;&lt;ProductDescription&gt;&gt;</t>
  </si>
  <si>
    <t>"What will you be using this account for?"</t>
  </si>
  <si>
    <t>Only if associated product checkbox (Field 4.4) is checked</t>
  </si>
  <si>
    <t>Yes
(if associated checkbox is checked)</t>
  </si>
  <si>
    <t>[Sample barcode image]</t>
  </si>
  <si>
    <t>We can scan the back of your driver's licence to quickly fill in your personal information for you.  Upload an image or skip this step to fill in your information yourself.</t>
  </si>
  <si>
    <t>Only if manual address mode is enabled on field 8.3 (current address).</t>
  </si>
  <si>
    <t>Only if radio button 8.10 is "No".</t>
  </si>
  <si>
    <t>Yes, if radio button 8.10 is "No", and not in manual address mode.</t>
  </si>
  <si>
    <t>Only if radio button 8.10 is "No", and manual address mode is enabled on field 8.11 (previous address).</t>
  </si>
  <si>
    <t>Only if radio button 8.18 is "No".</t>
  </si>
  <si>
    <t>Yes, if radio button 8.18 is "No", and not in manual address mode.</t>
  </si>
  <si>
    <t>Only if radio button 8.18 is "No", and manual address mode is enabled on field 8.19 (previous address).</t>
  </si>
  <si>
    <t>Step 9:  Almost there</t>
  </si>
  <si>
    <t>On click, navigate to the "eConsent" page.</t>
  </si>
  <si>
    <t>On click, navigate back to "Account Options" page</t>
  </si>
  <si>
    <t>Step 10:  With your permission…</t>
  </si>
  <si>
    <t>On click, start account provisioning</t>
  </si>
  <si>
    <t>On click, navigate to one of the following pages, based on the user's radio button selection:
A) "Flinks" page (CWB-327)
B) "Manual IDV" (CWB-492)</t>
  </si>
  <si>
    <t>Only when a response has not been received from the Flinks service.
Hide button when response arrives.</t>
  </si>
  <si>
    <t>On Click...
Navigate back to the Alternate IDV page (CWB-473)</t>
  </si>
  <si>
    <t>Step 11:  Our not-so-fine print</t>
  </si>
  <si>
    <t>About your co-applicant</t>
  </si>
  <si>
    <t>Only if the applicant is applying for a joint account</t>
  </si>
  <si>
    <t>Since you’re sharing one or more accounts with another person, we need to know a little about that person.</t>
  </si>
  <si>
    <t>Co-applicant’s first name:</t>
  </si>
  <si>
    <t>Co-applicant’s last name:</t>
  </si>
  <si>
    <t>[Blank value]</t>
  </si>
  <si>
    <t>Please tell us your co-applicant's first name.</t>
  </si>
  <si>
    <t>Please tell us your co-applicant's last name.</t>
  </si>
  <si>
    <t>On click, navigate to "Co-applicant Contact" page</t>
  </si>
  <si>
    <t>On click, navigate back to "Birthday &amp; SIN page" page</t>
  </si>
  <si>
    <t>How may we reach your co-applicant</t>
  </si>
  <si>
    <r>
      <t xml:space="preserve">We’ll use the information below to contact your co-applicant about this application, in accordance with our </t>
    </r>
    <r>
      <rPr>
        <u/>
        <sz val="11"/>
        <color theme="1"/>
        <rFont val="Calibri"/>
        <family val="2"/>
        <scheme val="minor"/>
      </rPr>
      <t>privacy statement</t>
    </r>
    <r>
      <rPr>
        <sz val="11"/>
        <color theme="1"/>
        <rFont val="Calibri"/>
        <family val="2"/>
        <scheme val="minor"/>
      </rPr>
      <t>.</t>
    </r>
  </si>
  <si>
    <t>Co-applicant’s e-mail address:</t>
  </si>
  <si>
    <t>We'll use this e-mail address to send your co-applicant a secure link to their account application.</t>
  </si>
  <si>
    <t>We'll use this number to help secure your co-applicant's account application.</t>
  </si>
  <si>
    <t>[Blank Value]</t>
  </si>
  <si>
    <t>Please provide your co-applicant's e-mail address</t>
  </si>
  <si>
    <t>Please provide you co-applicant's mobile phone number</t>
  </si>
  <si>
    <t>I agree to allow Motive Financial to share my name, address, and intended use of the shared account(s) with my co-applicant.</t>
  </si>
  <si>
    <t>Please check the box to proceed with your application.</t>
  </si>
  <si>
    <t>On click, navigate back to "Co-applicant Name" page</t>
  </si>
  <si>
    <t>On click, display modal dialog "Co-app Confirmation"</t>
  </si>
  <si>
    <t>Co-applicant Name</t>
  </si>
  <si>
    <t>Co-applicant Contact</t>
  </si>
  <si>
    <t>11a</t>
  </si>
  <si>
    <t>Co-applicant Confirmation</t>
  </si>
  <si>
    <t>Modal dialog. To be displayed over top of Co-applicant Contact page</t>
  </si>
  <si>
    <t>Do you wish to continue?</t>
  </si>
  <si>
    <t>Co-applicant: &lt;&lt;Co-app F.Name&gt;&gt; &lt;&lt;Co-app L.Name&gt;&gt;
E-mail address: &lt;&lt;Co-app email&gt;&gt;
Mobile Phone Number: &lt;&lt;Co-app phone&gt;&gt;</t>
  </si>
  <si>
    <t>No, go back</t>
  </si>
  <si>
    <t>Yes, finish!</t>
  </si>
  <si>
    <t>On click, close modal dialog and navigate to "Account Options" page</t>
  </si>
  <si>
    <t>Final location of "Account Options" page currently under consideration. Decision pending.</t>
  </si>
  <si>
    <t>On click, close dialog (stay on "Co-applicant Contact" page)</t>
  </si>
  <si>
    <t>After the user clicks "Next", if radio button 14.6 has been selected.</t>
  </si>
  <si>
    <t>If the user selects radio button 14.6 and clicks "Next" (14.8),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</si>
  <si>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Always show</t>
  </si>
  <si>
    <t>On click, apply the following business logic:
A) If the user is applying for one or more joint accounts, navigate back to the "Co-applicant Contact" page.
B) Otherwise, navigate back to the "Birthday &amp; SIN" page</t>
  </si>
  <si>
    <t>On click, apply the following business logic:
A) If the user is applying for one or more joint accounts, navigate to the "Co-applicant Name" page.
B) Otherwise, navigate to the "Account Options" page</t>
  </si>
  <si>
    <t>I'd like to open this account with another person (joint account)</t>
  </si>
  <si>
    <t>Please verify the following information before moving on.  If this information is incorrect, John may not be able to access their application.</t>
  </si>
  <si>
    <t>Log into Motive</t>
  </si>
  <si>
    <t>- At least 18 years of age</t>
  </si>
  <si>
    <t>- A tax resident of Canada</t>
  </si>
  <si>
    <t>- Not a resident of Quebec</t>
  </si>
  <si>
    <t>- Not required to file taxes in any country other than Canada</t>
  </si>
  <si>
    <t xml:space="preserve">- Not opening the account(s) for use by, or benefit of a third party </t>
  </si>
  <si>
    <t>0.1</t>
  </si>
  <si>
    <t>Cloned for use with Small Business DCO</t>
  </si>
  <si>
    <t>Ian Hicks</t>
  </si>
  <si>
    <t>Small Business Digital Client Onboarding (DCO) - Prmary Applicant Form</t>
  </si>
  <si>
    <t>Moved to Small Business form</t>
  </si>
  <si>
    <t>CWB-xxx</t>
  </si>
  <si>
    <t>Are you already a CWB or Motive Financial personal customer?</t>
  </si>
  <si>
    <t>A) Yes - CWB
B) Yes - Motive
C) No</t>
  </si>
  <si>
    <t>Please log in to online banking to continue</t>
  </si>
  <si>
    <t>Only if radio button 2.3 is "Yes" (A) or (B)</t>
  </si>
  <si>
    <t>To be displayed only for existing CWB or Motive Financial personal clients.</t>
  </si>
  <si>
    <t>Confirm there will be 2 choices</t>
  </si>
  <si>
    <t>Only if radio button 2.3 is "No"</t>
  </si>
  <si>
    <t>On click, navigate to the "Contact Info" page (CWB-xxx)</t>
  </si>
  <si>
    <t>On click, navigate to the ??</t>
  </si>
  <si>
    <t>Log into CWB</t>
  </si>
  <si>
    <t>Only if radio button 2.3 is "(A) Yes - CWB"</t>
  </si>
  <si>
    <t xml:space="preserve">To be displayed only for existing CWB clients. 
On click, navigate to the URL:
</t>
  </si>
  <si>
    <t>Authenticated path TBC - likely skip IDV pages</t>
  </si>
  <si>
    <t>Only if radio button 2.3 is "(B) Yes - Motive"</t>
  </si>
  <si>
    <t xml:space="preserve">CWB-xxx </t>
  </si>
  <si>
    <t>May be moved to early pages of small business form</t>
  </si>
  <si>
    <t>No co-apps (will be a similar page to identify other auth persons in the SB form)</t>
  </si>
  <si>
    <t>No co-apps (may be a similar page to identify other auth persons in the SB form)</t>
  </si>
  <si>
    <t>Only for users that select Manual IDV on the Alternate IDV page</t>
  </si>
  <si>
    <t>Probably moved to SB form - confirm</t>
  </si>
  <si>
    <t>Placeholder, assuming we need a landing page for the Applicant</t>
  </si>
  <si>
    <t>Should this be here or in main Small Biz form?</t>
  </si>
  <si>
    <t>This would essentially lead to the "authenticated path" if they are existing - i.e. skip all of the IDV and related activity then continue in the SB flow.</t>
  </si>
  <si>
    <t>CWB is unable to open an account that will be used by, or on behalf of, anyone other than the named account holder.</t>
  </si>
  <si>
    <t>Please review the list above and confirm that you meet all of the conditions by checking this box.  For more information, please contact CWB at 1 (877) 441-2249.</t>
  </si>
  <si>
    <t>Before we continue, we need to confirm that you meet the following required conditions to open a CWB business account:
You are:</t>
  </si>
  <si>
    <t>May be conditional on the applicant being a Sole Proprietor</t>
  </si>
  <si>
    <t>[SK]: Update estimated time requirements based on testing results. 5 minutes is a good estimate for now.
Review for language</t>
  </si>
  <si>
    <t>Review for language</t>
  </si>
  <si>
    <t>Review for language and navigation</t>
  </si>
  <si>
    <t>Review for language
Confirm there will be 2 choices</t>
  </si>
  <si>
    <t>Review navigation</t>
  </si>
  <si>
    <t>Need to confirm if some of this needs to stay in Applicant form, or move all to Small Biz form</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</si>
  <si>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</si>
  <si>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</si>
  <si>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language/content</t>
  </si>
  <si>
    <t>- I have read and agree to the CWB Internet Banking Account Agreement, which can be found here</t>
  </si>
  <si>
    <t>By submission of this application, I ceritfy that the tax jurisdiction information provided is correct and complete. I will notify CWB within 30 days of any change in circumstances that causes this tax jurisdiction information to become incomplete or inaccurate.</t>
  </si>
  <si>
    <t>Review language</t>
  </si>
  <si>
    <t xml:space="preserve">Hyperlink the word "here" to the following URL:
</t>
  </si>
  <si>
    <t>Review language and content</t>
  </si>
  <si>
    <t>If you'd like to apply to CWB again, you may do so in six months.</t>
  </si>
  <si>
    <t>As Required</t>
  </si>
  <si>
    <t>Review for content</t>
  </si>
  <si>
    <t>Review language and content
URL to be confirmed</t>
  </si>
  <si>
    <t>Small Business Digital Client Onboarding (DCO)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</si>
</sst>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b/>
      <sz val="11"/>
      <color theme="0" tint="-4.9989318521683403E-2"/>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7" tint="0.39997558519241921"/>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s>
  <cellStyleXfs count="1">
    <xf numFmtId="0" fontId="0" fillId="0" borderId="0"/>
  </cellStyleXfs>
  <cellXfs count="95">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49" fontId="0" fillId="0" borderId="10" xfId="0" applyNumberFormat="1" applyBorder="1" applyAlignment="1">
      <alignment horizontal="center" vertical="center"/>
    </xf>
    <xf numFmtId="164" fontId="0" fillId="0" borderId="11" xfId="0" applyNumberFormat="1" applyBorder="1" applyAlignment="1">
      <alignment horizontal="center" vertical="center"/>
    </xf>
    <xf numFmtId="0" fontId="3" fillId="0" borderId="11" xfId="0" applyFont="1" applyBorder="1" applyAlignment="1">
      <alignment vertical="center" wrapText="1"/>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3" xfId="0" applyFont="1" applyFill="1" applyBorder="1" applyAlignment="1">
      <alignment vertical="center" wrapText="1"/>
    </xf>
    <xf numFmtId="0" fontId="6" fillId="0" borderId="0" xfId="0" applyFont="1" applyAlignment="1">
      <alignment horizontal="center" vertical="center"/>
    </xf>
    <xf numFmtId="0" fontId="1" fillId="4" borderId="13"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2"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3" xfId="0" applyFont="1" applyFill="1" applyBorder="1" applyAlignment="1">
      <alignment vertical="center" wrapText="1"/>
    </xf>
    <xf numFmtId="0" fontId="1" fillId="2" borderId="13"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9" fillId="5" borderId="0" xfId="0" applyFont="1" applyFill="1" applyAlignment="1">
      <alignment vertical="center" wrapText="1"/>
    </xf>
    <xf numFmtId="0" fontId="0" fillId="6" borderId="0" xfId="0" applyFill="1" applyAlignment="1">
      <alignment vertical="center" wrapText="1"/>
    </xf>
    <xf numFmtId="0" fontId="0" fillId="0" borderId="16" xfId="0" applyBorder="1" applyAlignment="1">
      <alignment horizontal="center" vertical="center" wrapText="1"/>
    </xf>
    <xf numFmtId="0" fontId="0" fillId="7" borderId="0" xfId="0" applyFill="1" applyAlignment="1">
      <alignment vertical="center" wrapText="1"/>
    </xf>
    <xf numFmtId="0" fontId="0"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9" fillId="5"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cellXfs>
  <cellStyles count="1">
    <cellStyle name="Normal" xfId="0" builtinId="0"/>
  </cellStyles>
  <dxfs count="344">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all%20Business%20DCO%20Small%20Business%20Form%20Field%20Spec%20v0.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5. Qualifying Questions"/>
      <sheetName val="6. IDScan"/>
      <sheetName val="7. Name"/>
      <sheetName val="8. Address"/>
      <sheetName val="9. Birthday &amp; SI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zoomScaleNormal="100" workbookViewId="0">
      <selection activeCell="A6" sqref="A6"/>
    </sheetView>
  </sheetViews>
  <sheetFormatPr defaultRowHeight="14.5" x14ac:dyDescent="0.35"/>
  <cols>
    <col min="1" max="1" width="19.81640625" customWidth="1"/>
    <col min="2" max="2" width="18.7265625" bestFit="1" customWidth="1"/>
    <col min="3" max="3" width="52.26953125" customWidth="1"/>
    <col min="4" max="5" width="21.54296875" customWidth="1"/>
    <col min="6" max="6" width="20.1796875" customWidth="1"/>
  </cols>
  <sheetData>
    <row r="1" spans="1:15" s="1" customFormat="1" ht="18.5" x14ac:dyDescent="0.35">
      <c r="A1" s="1" t="s">
        <v>389</v>
      </c>
      <c r="B1" s="2"/>
      <c r="C1" s="2"/>
      <c r="D1" s="2"/>
      <c r="E1" s="2"/>
      <c r="F1" s="3"/>
      <c r="G1" s="2"/>
      <c r="H1" s="3"/>
      <c r="I1" s="3"/>
      <c r="J1" s="3"/>
      <c r="K1" s="2"/>
      <c r="L1" s="2"/>
      <c r="M1" s="2"/>
      <c r="N1" s="2"/>
      <c r="O1" s="2"/>
    </row>
    <row r="2" spans="1:15" s="1" customFormat="1" ht="18.5" x14ac:dyDescent="0.35">
      <c r="A2" s="1" t="s">
        <v>0</v>
      </c>
      <c r="B2" s="2"/>
      <c r="C2" s="2"/>
      <c r="D2" s="2"/>
      <c r="E2" s="2"/>
      <c r="F2" s="3"/>
      <c r="G2" s="2"/>
      <c r="H2" s="3"/>
      <c r="I2" s="3"/>
      <c r="J2" s="3"/>
      <c r="K2" s="2"/>
      <c r="L2" s="2"/>
      <c r="M2" s="2"/>
      <c r="N2" s="2"/>
      <c r="O2" s="2"/>
    </row>
    <row r="3" spans="1:15" s="4" customFormat="1" x14ac:dyDescent="0.35">
      <c r="C3" s="6"/>
    </row>
    <row r="4" spans="1:15" ht="15" thickBot="1" x14ac:dyDescent="0.4"/>
    <row r="5" spans="1:15" s="11" customFormat="1" ht="15" thickBot="1" x14ac:dyDescent="0.4">
      <c r="A5" s="7" t="s">
        <v>1</v>
      </c>
      <c r="B5" s="8" t="s">
        <v>2</v>
      </c>
      <c r="C5" s="9" t="s">
        <v>3</v>
      </c>
      <c r="D5" s="8" t="s">
        <v>4</v>
      </c>
      <c r="E5" s="10" t="s">
        <v>5</v>
      </c>
    </row>
    <row r="6" spans="1:15" s="4" customFormat="1" x14ac:dyDescent="0.35">
      <c r="A6" s="12" t="s">
        <v>386</v>
      </c>
      <c r="B6" s="13">
        <v>44027</v>
      </c>
      <c r="C6" s="14" t="s">
        <v>387</v>
      </c>
      <c r="D6" s="24" t="s">
        <v>388</v>
      </c>
      <c r="E6" s="27"/>
    </row>
    <row r="7" spans="1:15" s="4" customFormat="1" ht="17" customHeight="1" x14ac:dyDescent="0.35">
      <c r="A7" s="84"/>
      <c r="B7" s="85"/>
      <c r="C7" s="86"/>
      <c r="D7" s="87"/>
      <c r="E7" s="88"/>
    </row>
    <row r="8" spans="1:15" s="4" customFormat="1" ht="17.5" customHeight="1" x14ac:dyDescent="0.35">
      <c r="A8" s="15"/>
      <c r="B8" s="16"/>
      <c r="C8" s="17"/>
      <c r="D8" s="28"/>
      <c r="E8" s="18"/>
    </row>
    <row r="9" spans="1:15" s="4" customFormat="1" ht="16.5" customHeight="1" x14ac:dyDescent="0.35">
      <c r="A9" s="15"/>
      <c r="B9" s="16"/>
      <c r="C9" s="17"/>
      <c r="D9" s="25"/>
      <c r="E9" s="48"/>
    </row>
    <row r="10" spans="1:15" s="4" customFormat="1" x14ac:dyDescent="0.35">
      <c r="A10" s="15"/>
      <c r="B10" s="16"/>
      <c r="C10" s="17"/>
      <c r="D10" s="25"/>
      <c r="E10" s="48"/>
    </row>
    <row r="11" spans="1:15" s="4" customFormat="1" x14ac:dyDescent="0.35">
      <c r="A11" s="15"/>
      <c r="B11" s="16"/>
      <c r="C11" s="19"/>
      <c r="D11" s="25"/>
      <c r="E11" s="48"/>
    </row>
    <row r="12" spans="1:15" s="4" customFormat="1" x14ac:dyDescent="0.35">
      <c r="A12" s="58"/>
      <c r="B12" s="59"/>
      <c r="C12" s="60"/>
      <c r="D12" s="61"/>
      <c r="E12" s="81"/>
    </row>
    <row r="13" spans="1:15" s="4" customFormat="1" ht="17" customHeight="1" x14ac:dyDescent="0.35">
      <c r="A13" s="58"/>
      <c r="B13" s="59"/>
      <c r="C13" s="60"/>
      <c r="D13" s="61"/>
      <c r="E13" s="81"/>
    </row>
    <row r="14" spans="1:15" s="4" customFormat="1" x14ac:dyDescent="0.35">
      <c r="A14" s="58"/>
      <c r="B14" s="59"/>
      <c r="C14" s="60"/>
      <c r="D14" s="61"/>
      <c r="E14" s="81"/>
    </row>
    <row r="15" spans="1:15" s="4" customFormat="1" x14ac:dyDescent="0.35">
      <c r="A15" s="58"/>
      <c r="B15" s="59"/>
      <c r="C15" s="60"/>
      <c r="D15" s="61"/>
      <c r="E15" s="62"/>
    </row>
    <row r="16" spans="1:15" ht="15" thickBot="1" x14ac:dyDescent="0.4">
      <c r="A16" s="20"/>
      <c r="B16" s="21"/>
      <c r="C16" s="22"/>
      <c r="D16" s="26"/>
      <c r="E16" s="23"/>
    </row>
  </sheetData>
  <conditionalFormatting sqref="H1:I2">
    <cfRule type="cellIs" dxfId="343" priority="10" operator="equal">
      <formula>"Not Applicable"</formula>
    </cfRule>
    <cfRule type="cellIs" dxfId="342" priority="11" operator="equal">
      <formula>"4 - Future Initiative (out of scope)"</formula>
    </cfRule>
    <cfRule type="cellIs" dxfId="341" priority="12" operator="equal">
      <formula>"3 - Desirable (Nice To Have)"</formula>
    </cfRule>
    <cfRule type="cellIs" dxfId="340" priority="13" operator="equal">
      <formula>"2 - Recommended (Best Practice)"</formula>
    </cfRule>
    <cfRule type="cellIs" dxfId="339" priority="14" operator="equal">
      <formula>"1 - Mandatory (Must Have)"</formula>
    </cfRule>
  </conditionalFormatting>
  <conditionalFormatting sqref="F1:F2">
    <cfRule type="cellIs" dxfId="338" priority="8" operator="equal">
      <formula>"Non-functional"</formula>
    </cfRule>
    <cfRule type="cellIs" dxfId="337"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A26" sqref="A26"/>
    </sheetView>
  </sheetViews>
  <sheetFormatPr defaultRowHeight="14.5" x14ac:dyDescent="0.35"/>
  <cols>
    <col min="1" max="1" width="47.26953125" bestFit="1" customWidth="1"/>
    <col min="2" max="2" width="25.54296875" customWidth="1"/>
  </cols>
  <sheetData>
    <row r="1" spans="1:15" s="1" customFormat="1" ht="18.5" x14ac:dyDescent="0.35">
      <c r="A1" s="1" t="s">
        <v>437</v>
      </c>
      <c r="B1" s="2"/>
      <c r="C1" s="2"/>
      <c r="D1" s="2"/>
      <c r="E1" s="2"/>
      <c r="F1" s="3"/>
      <c r="G1" s="2"/>
      <c r="H1" s="3"/>
      <c r="I1" s="3"/>
      <c r="J1" s="3"/>
      <c r="K1" s="2"/>
      <c r="L1" s="2"/>
      <c r="M1" s="2"/>
      <c r="N1" s="2"/>
      <c r="O1" s="2"/>
    </row>
    <row r="2" spans="1:15" s="1" customFormat="1" ht="18.5" x14ac:dyDescent="0.35">
      <c r="A2" s="1" t="s">
        <v>27</v>
      </c>
      <c r="B2" s="2"/>
      <c r="C2" s="2"/>
      <c r="D2" s="2"/>
      <c r="E2" s="2"/>
      <c r="F2" s="3"/>
      <c r="G2" s="2"/>
      <c r="H2" s="3"/>
      <c r="I2" s="3"/>
      <c r="J2" s="3"/>
      <c r="K2" s="2"/>
      <c r="L2" s="2"/>
      <c r="M2" s="2"/>
      <c r="N2" s="2"/>
      <c r="O2" s="2"/>
    </row>
    <row r="4" spans="1:15" s="29" customFormat="1" x14ac:dyDescent="0.35">
      <c r="A4" s="29" t="s">
        <v>28</v>
      </c>
      <c r="B4" s="29" t="s">
        <v>39</v>
      </c>
    </row>
    <row r="5" spans="1:15" x14ac:dyDescent="0.35">
      <c r="A5" t="s">
        <v>43</v>
      </c>
      <c r="B5" t="s">
        <v>42</v>
      </c>
    </row>
    <row r="6" spans="1:15" x14ac:dyDescent="0.35">
      <c r="A6" t="s">
        <v>30</v>
      </c>
      <c r="B6" t="s">
        <v>40</v>
      </c>
    </row>
    <row r="7" spans="1:15" x14ac:dyDescent="0.35">
      <c r="A7" t="s">
        <v>67</v>
      </c>
      <c r="B7" t="s">
        <v>41</v>
      </c>
    </row>
    <row r="8" spans="1:15" x14ac:dyDescent="0.35">
      <c r="A8" t="s">
        <v>298</v>
      </c>
      <c r="B8" t="s">
        <v>38</v>
      </c>
    </row>
    <row r="9" spans="1:15" x14ac:dyDescent="0.35">
      <c r="A9" t="s">
        <v>107</v>
      </c>
      <c r="B9" t="s">
        <v>46</v>
      </c>
    </row>
    <row r="10" spans="1:15" x14ac:dyDescent="0.35">
      <c r="A10" t="s">
        <v>35</v>
      </c>
    </row>
    <row r="11" spans="1:15" x14ac:dyDescent="0.35">
      <c r="A11" t="s">
        <v>258</v>
      </c>
    </row>
    <row r="12" spans="1:15" x14ac:dyDescent="0.35">
      <c r="A12" t="s">
        <v>276</v>
      </c>
    </row>
    <row r="13" spans="1:15" x14ac:dyDescent="0.35">
      <c r="A13" t="s">
        <v>228</v>
      </c>
    </row>
    <row r="14" spans="1:15" x14ac:dyDescent="0.35">
      <c r="A14" t="s">
        <v>171</v>
      </c>
    </row>
    <row r="15" spans="1:15" x14ac:dyDescent="0.35">
      <c r="A15" t="s">
        <v>49</v>
      </c>
    </row>
    <row r="16" spans="1:15" x14ac:dyDescent="0.35">
      <c r="A16" t="s">
        <v>32</v>
      </c>
    </row>
    <row r="17" spans="1:1" x14ac:dyDescent="0.35">
      <c r="A17" t="s">
        <v>31</v>
      </c>
    </row>
    <row r="18" spans="1:1" x14ac:dyDescent="0.35">
      <c r="A18" t="s">
        <v>172</v>
      </c>
    </row>
    <row r="19" spans="1:1" x14ac:dyDescent="0.35">
      <c r="A19" t="s">
        <v>29</v>
      </c>
    </row>
    <row r="20" spans="1:1" x14ac:dyDescent="0.35">
      <c r="A20" t="s">
        <v>137</v>
      </c>
    </row>
    <row r="21" spans="1:1" x14ac:dyDescent="0.35">
      <c r="A21" t="s">
        <v>34</v>
      </c>
    </row>
    <row r="22" spans="1:1" x14ac:dyDescent="0.35">
      <c r="A22" t="s">
        <v>36</v>
      </c>
    </row>
    <row r="23" spans="1:1" x14ac:dyDescent="0.35">
      <c r="A23" t="s">
        <v>33</v>
      </c>
    </row>
    <row r="24" spans="1:1" x14ac:dyDescent="0.35">
      <c r="A24" t="s">
        <v>90</v>
      </c>
    </row>
    <row r="25" spans="1:1" x14ac:dyDescent="0.35">
      <c r="A25" t="s">
        <v>266</v>
      </c>
    </row>
  </sheetData>
  <sortState ref="A5:A15">
    <sortCondition ref="A16"/>
  </sortState>
  <conditionalFormatting sqref="H1:I2">
    <cfRule type="cellIs" dxfId="336" priority="3" operator="equal">
      <formula>"Not Applicable"</formula>
    </cfRule>
    <cfRule type="cellIs" dxfId="335" priority="4" operator="equal">
      <formula>"4 - Future Initiative (out of scope)"</formula>
    </cfRule>
    <cfRule type="cellIs" dxfId="334" priority="5" operator="equal">
      <formula>"3 - Desirable (Nice To Have)"</formula>
    </cfRule>
    <cfRule type="cellIs" dxfId="333" priority="6" operator="equal">
      <formula>"2 - Recommended (Best Practice)"</formula>
    </cfRule>
    <cfRule type="cellIs" dxfId="332" priority="7" operator="equal">
      <formula>"1 - Mandatory (Must Have)"</formula>
    </cfRule>
  </conditionalFormatting>
  <conditionalFormatting sqref="F1:F2">
    <cfRule type="cellIs" dxfId="331" priority="1" operator="equal">
      <formula>"Non-functional"</formula>
    </cfRule>
    <cfRule type="cellIs" dxfId="330"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2" ySplit="6" topLeftCell="C7" activePane="bottomRight" state="frozen"/>
      <selection pane="topRight" activeCell="C1" sqref="C1"/>
      <selection pane="bottomLeft" activeCell="A7" sqref="A7"/>
      <selection pane="bottomRight" activeCell="P12" sqref="P1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9</v>
      </c>
      <c r="C1" s="34"/>
      <c r="D1" s="31" t="s">
        <v>412</v>
      </c>
    </row>
    <row r="2" spans="1:16" s="32" customFormat="1" ht="18.5" x14ac:dyDescent="0.35">
      <c r="A2" s="30" t="s">
        <v>7</v>
      </c>
      <c r="B2" s="38">
        <v>1</v>
      </c>
      <c r="C2" s="37"/>
      <c r="D2" s="38"/>
    </row>
    <row r="3" spans="1:16" s="32" customFormat="1" ht="18.5" x14ac:dyDescent="0.35">
      <c r="A3" s="30" t="s">
        <v>45</v>
      </c>
      <c r="B3" s="38" t="s">
        <v>391</v>
      </c>
      <c r="C3" s="37"/>
      <c r="D3" s="38"/>
    </row>
    <row r="4" spans="1:16" s="32" customFormat="1" ht="18.5" x14ac:dyDescent="0.35">
      <c r="A4" s="30" t="s">
        <v>8</v>
      </c>
      <c r="B4" s="32" t="s">
        <v>375</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CONCATENATE($B$2, ".", A7)</f>
        <v>1.1</v>
      </c>
      <c r="D7" s="41"/>
      <c r="I7" s="41"/>
      <c r="J7" s="5"/>
      <c r="K7" s="5"/>
      <c r="L7" s="5"/>
      <c r="M7" s="5"/>
      <c r="N7" s="5"/>
      <c r="O7" s="5"/>
    </row>
    <row r="8" spans="1:16" ht="128.25" customHeight="1" x14ac:dyDescent="0.35">
      <c r="A8" s="6">
        <v>2</v>
      </c>
      <c r="B8" s="6" t="str">
        <f>CONCATENATE($B$2, ".", A8)</f>
        <v>1.2</v>
      </c>
      <c r="D8" s="41"/>
      <c r="I8" s="41"/>
      <c r="J8" s="5"/>
      <c r="K8" s="5"/>
      <c r="L8" s="5"/>
      <c r="M8" s="5"/>
      <c r="N8" s="5"/>
      <c r="O8" s="5"/>
    </row>
    <row r="9" spans="1:16" ht="36" customHeight="1" x14ac:dyDescent="0.35">
      <c r="A9" s="6">
        <v>3</v>
      </c>
      <c r="B9" s="6" t="str">
        <f>CONCATENATE($B$2, ".", A9)</f>
        <v>1.3</v>
      </c>
      <c r="C9" s="36" t="s">
        <v>46</v>
      </c>
      <c r="D9" s="41" t="s">
        <v>132</v>
      </c>
      <c r="E9" s="6" t="s">
        <v>29</v>
      </c>
      <c r="F9" s="6" t="s">
        <v>37</v>
      </c>
      <c r="G9" s="6" t="s">
        <v>37</v>
      </c>
      <c r="H9" s="6" t="s">
        <v>37</v>
      </c>
      <c r="I9" s="6" t="s">
        <v>10</v>
      </c>
      <c r="J9" s="5" t="s">
        <v>37</v>
      </c>
      <c r="K9" s="5" t="s">
        <v>37</v>
      </c>
      <c r="L9" s="5" t="s">
        <v>37</v>
      </c>
      <c r="M9" s="5" t="s">
        <v>37</v>
      </c>
      <c r="N9" s="5" t="s">
        <v>37</v>
      </c>
      <c r="O9" s="6" t="s">
        <v>37</v>
      </c>
      <c r="P9" s="6" t="s">
        <v>420</v>
      </c>
    </row>
    <row r="10" spans="1:16" ht="71.5" customHeight="1" x14ac:dyDescent="0.35">
      <c r="A10" s="6">
        <v>4</v>
      </c>
      <c r="B10" s="6" t="str">
        <f>CONCATENATE($B$2, ".", A10)</f>
        <v>1.4</v>
      </c>
      <c r="C10" s="36" t="s">
        <v>46</v>
      </c>
      <c r="D10" s="41" t="s">
        <v>133</v>
      </c>
      <c r="E10" s="41" t="s">
        <v>34</v>
      </c>
      <c r="F10" s="6" t="s">
        <v>37</v>
      </c>
      <c r="G10" s="6" t="s">
        <v>37</v>
      </c>
      <c r="H10" s="6" t="s">
        <v>37</v>
      </c>
      <c r="I10" s="6" t="s">
        <v>10</v>
      </c>
      <c r="J10" s="5" t="s">
        <v>37</v>
      </c>
      <c r="K10" s="5" t="s">
        <v>37</v>
      </c>
      <c r="L10" s="5" t="s">
        <v>37</v>
      </c>
      <c r="M10" s="5" t="s">
        <v>37</v>
      </c>
      <c r="N10" s="5" t="s">
        <v>37</v>
      </c>
      <c r="O10" s="6" t="s">
        <v>37</v>
      </c>
      <c r="P10" s="6" t="s">
        <v>419</v>
      </c>
    </row>
    <row r="11" spans="1:16" ht="29" x14ac:dyDescent="0.35">
      <c r="A11" s="6">
        <v>5</v>
      </c>
      <c r="B11" s="6" t="str">
        <f>CONCATENATE($B$2, ".", A11)</f>
        <v>1.5</v>
      </c>
      <c r="C11" s="36" t="s">
        <v>46</v>
      </c>
      <c r="D11" s="6" t="s">
        <v>134</v>
      </c>
      <c r="E11" s="6" t="s">
        <v>43</v>
      </c>
      <c r="F11" s="6" t="s">
        <v>37</v>
      </c>
      <c r="G11" s="6" t="s">
        <v>37</v>
      </c>
      <c r="H11" s="6" t="s">
        <v>37</v>
      </c>
      <c r="I11" s="6" t="s">
        <v>10</v>
      </c>
      <c r="J11" s="5" t="s">
        <v>37</v>
      </c>
      <c r="K11" s="5" t="s">
        <v>37</v>
      </c>
      <c r="L11" s="5" t="s">
        <v>37</v>
      </c>
      <c r="M11" s="5" t="s">
        <v>37</v>
      </c>
      <c r="N11" s="5" t="s">
        <v>37</v>
      </c>
      <c r="O11" s="6" t="s">
        <v>58</v>
      </c>
      <c r="P11" s="6" t="s">
        <v>421</v>
      </c>
    </row>
  </sheetData>
  <conditionalFormatting sqref="C7:C1048576">
    <cfRule type="cellIs" dxfId="329" priority="2" operator="equal">
      <formula>"WIP (see comments)"</formula>
    </cfRule>
    <cfRule type="cellIs" dxfId="328" priority="3" operator="equal">
      <formula>"Removed"</formula>
    </cfRule>
    <cfRule type="cellIs" dxfId="327" priority="4" operator="equal">
      <formula>"Updated"</formula>
    </cfRule>
    <cfRule type="cellIs" dxfId="326" priority="5" operator="equal">
      <formula>"New"</formula>
    </cfRule>
  </conditionalFormatting>
  <conditionalFormatting sqref="A1:XFD1048576">
    <cfRule type="cellIs" dxfId="325"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4"/>
  <sheetViews>
    <sheetView zoomScaleNormal="100" workbookViewId="0">
      <pane xSplit="2" ySplit="6" topLeftCell="C7" activePane="bottomRight" state="frozen"/>
      <selection pane="topRight" activeCell="C1" sqref="C1"/>
      <selection pane="bottomLeft" activeCell="A7" sqref="A7"/>
      <selection pane="bottomRight" activeCell="P11" sqref="P11:P12"/>
    </sheetView>
  </sheetViews>
  <sheetFormatPr defaultColWidth="9.1796875" defaultRowHeight="14.5" x14ac:dyDescent="0.35"/>
  <cols>
    <col min="1" max="1" width="14.7265625" style="6" customWidth="1"/>
    <col min="2" max="2" width="12.54296875" style="6" customWidth="1"/>
    <col min="3" max="3" width="16.1796875" style="36"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64</v>
      </c>
      <c r="C1" s="34"/>
      <c r="D1" s="31" t="s">
        <v>413</v>
      </c>
    </row>
    <row r="2" spans="1:16" s="32" customFormat="1" ht="18.5" x14ac:dyDescent="0.35">
      <c r="A2" s="30" t="s">
        <v>7</v>
      </c>
      <c r="B2" s="38">
        <v>2</v>
      </c>
      <c r="C2" s="37"/>
      <c r="D2" s="38" t="s">
        <v>414</v>
      </c>
    </row>
    <row r="3" spans="1:16" s="32" customFormat="1" ht="18.5" x14ac:dyDescent="0.35">
      <c r="A3" s="30" t="s">
        <v>45</v>
      </c>
      <c r="B3" s="38" t="s">
        <v>391</v>
      </c>
      <c r="C3" s="37"/>
      <c r="D3" s="38"/>
    </row>
    <row r="4" spans="1:16" s="32" customFormat="1" ht="18.5" x14ac:dyDescent="0.35">
      <c r="A4" s="30" t="s">
        <v>8</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ht="29" x14ac:dyDescent="0.35">
      <c r="A7" s="6">
        <v>1</v>
      </c>
      <c r="B7" s="6" t="str">
        <f t="shared" ref="B7:B14" si="0">CONCATENATE($B$2, ".", A7)</f>
        <v>2.1</v>
      </c>
      <c r="C7" s="36" t="s">
        <v>46</v>
      </c>
      <c r="D7" s="41" t="s">
        <v>135</v>
      </c>
      <c r="E7" s="6" t="s">
        <v>29</v>
      </c>
      <c r="F7" s="6" t="s">
        <v>37</v>
      </c>
      <c r="G7" s="6" t="s">
        <v>37</v>
      </c>
      <c r="H7" s="6" t="s">
        <v>37</v>
      </c>
      <c r="I7" s="41" t="s">
        <v>10</v>
      </c>
      <c r="J7" s="5" t="s">
        <v>37</v>
      </c>
      <c r="K7" s="5" t="s">
        <v>37</v>
      </c>
      <c r="L7" s="5" t="s">
        <v>37</v>
      </c>
      <c r="M7" s="5" t="s">
        <v>37</v>
      </c>
      <c r="N7" s="5" t="s">
        <v>37</v>
      </c>
      <c r="O7" s="5" t="s">
        <v>37</v>
      </c>
      <c r="P7" s="6" t="s">
        <v>420</v>
      </c>
    </row>
    <row r="8" spans="1:16" x14ac:dyDescent="0.35">
      <c r="A8" s="6">
        <v>2</v>
      </c>
      <c r="B8" s="6" t="str">
        <f t="shared" si="0"/>
        <v>2.2</v>
      </c>
      <c r="C8" s="36" t="s">
        <v>40</v>
      </c>
      <c r="D8" s="41" t="s">
        <v>37</v>
      </c>
      <c r="E8" s="41" t="s">
        <v>50</v>
      </c>
      <c r="F8" s="6" t="s">
        <v>37</v>
      </c>
      <c r="G8" s="6" t="s">
        <v>37</v>
      </c>
      <c r="H8" s="6" t="s">
        <v>37</v>
      </c>
      <c r="I8" s="41" t="s">
        <v>10</v>
      </c>
      <c r="J8" s="5" t="s">
        <v>37</v>
      </c>
      <c r="K8" s="5" t="s">
        <v>37</v>
      </c>
      <c r="L8" s="5" t="s">
        <v>37</v>
      </c>
      <c r="M8" s="5" t="s">
        <v>37</v>
      </c>
      <c r="N8" s="5" t="s">
        <v>37</v>
      </c>
      <c r="O8" s="5" t="s">
        <v>37</v>
      </c>
    </row>
    <row r="9" spans="1:16" ht="43.5" x14ac:dyDescent="0.35">
      <c r="A9" s="6">
        <v>3</v>
      </c>
      <c r="B9" s="6" t="str">
        <f t="shared" si="0"/>
        <v>2.3</v>
      </c>
      <c r="C9" s="36" t="s">
        <v>46</v>
      </c>
      <c r="D9" s="41" t="s">
        <v>392</v>
      </c>
      <c r="E9" s="41" t="s">
        <v>32</v>
      </c>
      <c r="F9" s="6" t="s">
        <v>393</v>
      </c>
      <c r="G9" s="6" t="s">
        <v>37</v>
      </c>
      <c r="H9" s="6" t="s">
        <v>37</v>
      </c>
      <c r="I9" s="41" t="s">
        <v>10</v>
      </c>
      <c r="J9" s="5" t="s">
        <v>71</v>
      </c>
      <c r="K9" s="5" t="s">
        <v>55</v>
      </c>
      <c r="L9" s="5" t="s">
        <v>37</v>
      </c>
      <c r="M9" s="5" t="s">
        <v>37</v>
      </c>
      <c r="N9" s="5" t="s">
        <v>37</v>
      </c>
      <c r="O9" s="5" t="s">
        <v>37</v>
      </c>
      <c r="P9" s="6" t="s">
        <v>422</v>
      </c>
    </row>
    <row r="10" spans="1:16" ht="83.25" customHeight="1" x14ac:dyDescent="0.35">
      <c r="A10" s="6">
        <v>4</v>
      </c>
      <c r="B10" s="6" t="str">
        <f t="shared" si="0"/>
        <v>2.4</v>
      </c>
      <c r="C10" s="36" t="s">
        <v>46</v>
      </c>
      <c r="D10" s="41" t="s">
        <v>394</v>
      </c>
      <c r="E10" s="41" t="s">
        <v>34</v>
      </c>
      <c r="F10" s="6" t="s">
        <v>37</v>
      </c>
      <c r="G10" s="6" t="s">
        <v>37</v>
      </c>
      <c r="H10" s="6" t="s">
        <v>37</v>
      </c>
      <c r="I10" s="6" t="s">
        <v>395</v>
      </c>
      <c r="J10" s="5" t="s">
        <v>37</v>
      </c>
      <c r="K10" s="5" t="s">
        <v>37</v>
      </c>
      <c r="L10" s="5" t="s">
        <v>37</v>
      </c>
      <c r="M10" s="5" t="s">
        <v>37</v>
      </c>
      <c r="N10" s="5" t="s">
        <v>37</v>
      </c>
      <c r="O10" s="5" t="s">
        <v>396</v>
      </c>
      <c r="P10" s="6" t="s">
        <v>397</v>
      </c>
    </row>
    <row r="11" spans="1:16" ht="29" x14ac:dyDescent="0.35">
      <c r="A11" s="6">
        <v>5</v>
      </c>
      <c r="B11" s="6" t="str">
        <f>CONCATENATE($B$2, ".", A11)</f>
        <v>2.5</v>
      </c>
      <c r="C11" s="36" t="s">
        <v>46</v>
      </c>
      <c r="D11" s="41" t="s">
        <v>62</v>
      </c>
      <c r="E11" s="6" t="s">
        <v>43</v>
      </c>
      <c r="F11" s="6" t="s">
        <v>37</v>
      </c>
      <c r="G11" s="6" t="s">
        <v>37</v>
      </c>
      <c r="H11" s="6" t="s">
        <v>37</v>
      </c>
      <c r="I11" s="6" t="s">
        <v>398</v>
      </c>
      <c r="J11" s="6" t="s">
        <v>37</v>
      </c>
      <c r="K11" s="6" t="s">
        <v>37</v>
      </c>
      <c r="L11" s="6" t="s">
        <v>37</v>
      </c>
      <c r="M11" s="6" t="s">
        <v>37</v>
      </c>
      <c r="N11" s="6" t="s">
        <v>37</v>
      </c>
      <c r="O11" s="6" t="s">
        <v>399</v>
      </c>
      <c r="P11" s="6" t="s">
        <v>421</v>
      </c>
    </row>
    <row r="12" spans="1:16" ht="29" x14ac:dyDescent="0.35">
      <c r="A12" s="6">
        <v>6</v>
      </c>
      <c r="B12" s="6" t="str">
        <f t="shared" si="0"/>
        <v>2.6</v>
      </c>
      <c r="C12" s="36" t="s">
        <v>46</v>
      </c>
      <c r="D12" s="41" t="s">
        <v>61</v>
      </c>
      <c r="E12" s="6" t="s">
        <v>43</v>
      </c>
      <c r="F12" s="6" t="s">
        <v>37</v>
      </c>
      <c r="G12" s="6" t="s">
        <v>37</v>
      </c>
      <c r="H12" s="6" t="s">
        <v>37</v>
      </c>
      <c r="I12" s="6" t="s">
        <v>10</v>
      </c>
      <c r="J12" s="6" t="s">
        <v>37</v>
      </c>
      <c r="K12" s="6" t="s">
        <v>37</v>
      </c>
      <c r="L12" s="6" t="s">
        <v>37</v>
      </c>
      <c r="M12" s="6" t="s">
        <v>37</v>
      </c>
      <c r="N12" s="6" t="s">
        <v>37</v>
      </c>
      <c r="O12" s="6" t="s">
        <v>400</v>
      </c>
      <c r="P12" s="6" t="s">
        <v>421</v>
      </c>
    </row>
    <row r="13" spans="1:16" ht="91.5" customHeight="1" x14ac:dyDescent="0.35">
      <c r="A13" s="6">
        <v>7</v>
      </c>
      <c r="B13" s="6" t="str">
        <f t="shared" si="0"/>
        <v>2.7</v>
      </c>
      <c r="C13" s="36" t="s">
        <v>46</v>
      </c>
      <c r="D13" s="41" t="s">
        <v>401</v>
      </c>
      <c r="E13" s="6" t="s">
        <v>43</v>
      </c>
      <c r="F13" s="6" t="s">
        <v>37</v>
      </c>
      <c r="G13" s="6" t="s">
        <v>37</v>
      </c>
      <c r="H13" s="6" t="s">
        <v>37</v>
      </c>
      <c r="I13" s="6" t="s">
        <v>402</v>
      </c>
      <c r="J13" s="6" t="s">
        <v>37</v>
      </c>
      <c r="K13" s="6" t="s">
        <v>37</v>
      </c>
      <c r="L13" s="6" t="s">
        <v>37</v>
      </c>
      <c r="M13" s="6" t="s">
        <v>37</v>
      </c>
      <c r="N13" s="6" t="s">
        <v>37</v>
      </c>
      <c r="O13" s="6" t="s">
        <v>403</v>
      </c>
      <c r="P13" s="6" t="s">
        <v>404</v>
      </c>
    </row>
    <row r="14" spans="1:16" ht="91.5" customHeight="1" x14ac:dyDescent="0.35">
      <c r="A14" s="6">
        <v>8</v>
      </c>
      <c r="B14" s="6" t="str">
        <f t="shared" si="0"/>
        <v>2.8</v>
      </c>
      <c r="C14" s="36" t="s">
        <v>46</v>
      </c>
      <c r="D14" s="41" t="s">
        <v>380</v>
      </c>
      <c r="E14" s="6" t="s">
        <v>43</v>
      </c>
      <c r="F14" s="6" t="s">
        <v>37</v>
      </c>
      <c r="G14" s="6" t="s">
        <v>37</v>
      </c>
      <c r="H14" s="6" t="s">
        <v>37</v>
      </c>
      <c r="I14" s="6" t="s">
        <v>405</v>
      </c>
      <c r="J14" s="6" t="s">
        <v>37</v>
      </c>
      <c r="K14" s="6" t="s">
        <v>37</v>
      </c>
      <c r="L14" s="6" t="s">
        <v>37</v>
      </c>
      <c r="M14" s="6" t="s">
        <v>37</v>
      </c>
      <c r="N14" s="6" t="s">
        <v>37</v>
      </c>
      <c r="O14" s="6" t="s">
        <v>136</v>
      </c>
      <c r="P14" s="6" t="s">
        <v>404</v>
      </c>
    </row>
  </sheetData>
  <conditionalFormatting sqref="C7:C1048576">
    <cfRule type="cellIs" dxfId="324" priority="2" operator="equal">
      <formula>"WIP (see comments)"</formula>
    </cfRule>
    <cfRule type="cellIs" dxfId="323" priority="3" operator="equal">
      <formula>"Removed"</formula>
    </cfRule>
    <cfRule type="cellIs" dxfId="322" priority="4" operator="equal">
      <formula>"Updated"</formula>
    </cfRule>
    <cfRule type="cellIs" dxfId="321" priority="5" operator="equal">
      <formula>"New"</formula>
    </cfRule>
  </conditionalFormatting>
  <conditionalFormatting sqref="A1:XFD1048576">
    <cfRule type="cellIs" dxfId="320"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'C:\Users\hicksi\Documents\Small Business DCO\Field Specs\[Small Business DCO Small Business Form Field Spec v0.1 WIP.xlsx]List Values'!#REF!</xm:f>
          </x14:formula1>
          <xm:sqref>E7:E1048576</xm:sqref>
        </x14:dataValidation>
        <x14:dataValidation type="list" allowBlank="1" showInputMessage="1" showErrorMessage="1">
          <x14:formula1>
            <xm:f>'C:\Users\hicksi\Documents\Small Business DCO\Field Specs\[Small Business DCO Small Business Form Field Spec v0.1 WIP.xlsx]List Values'!#REF!</xm:f>
          </x14:formula1>
          <xm:sqref>C7:C14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4"/>
  <sheetViews>
    <sheetView workbookViewId="0">
      <pane ySplit="6" topLeftCell="A7" activePane="bottomLeft" state="frozen"/>
      <selection pane="bottomLeft" activeCell="A15" sqref="A15"/>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17.7265625" style="41" customWidth="1"/>
    <col min="8" max="8" width="27.81640625" style="41" customWidth="1"/>
    <col min="9" max="9" width="34.81640625" style="41" customWidth="1"/>
    <col min="10" max="10" width="13.26953125" style="41" bestFit="1" customWidth="1"/>
    <col min="11" max="11" width="10.7265625" style="41" bestFit="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6" customFormat="1" ht="18.5" x14ac:dyDescent="0.35">
      <c r="A1" s="63" t="s">
        <v>6</v>
      </c>
      <c r="B1" s="64" t="s">
        <v>47</v>
      </c>
      <c r="C1" s="65"/>
      <c r="D1" s="31" t="s">
        <v>390</v>
      </c>
    </row>
    <row r="2" spans="1:16" s="66" customFormat="1" ht="18.5" x14ac:dyDescent="0.35">
      <c r="A2" s="63" t="s">
        <v>7</v>
      </c>
      <c r="B2" s="67">
        <v>3</v>
      </c>
      <c r="C2" s="68"/>
      <c r="D2" s="67"/>
    </row>
    <row r="3" spans="1:16" s="66" customFormat="1" ht="18.5" x14ac:dyDescent="0.35">
      <c r="A3" s="63" t="s">
        <v>45</v>
      </c>
      <c r="B3" s="67" t="s">
        <v>406</v>
      </c>
      <c r="C3" s="68"/>
      <c r="D3" s="67"/>
    </row>
    <row r="4" spans="1:16" s="66" customFormat="1" ht="18.5" x14ac:dyDescent="0.35">
      <c r="A4" s="63" t="s">
        <v>8</v>
      </c>
      <c r="B4" s="66" t="s">
        <v>48</v>
      </c>
      <c r="C4" s="68"/>
    </row>
    <row r="5" spans="1:16" s="69" customFormat="1" x14ac:dyDescent="0.35">
      <c r="C5" s="70"/>
    </row>
    <row r="6" spans="1:16" s="71" customFormat="1" ht="15" thickBot="1" x14ac:dyDescent="0.4">
      <c r="A6" s="71" t="s">
        <v>11</v>
      </c>
      <c r="B6" s="71" t="s">
        <v>12</v>
      </c>
      <c r="C6" s="72" t="s">
        <v>26</v>
      </c>
      <c r="D6" s="71" t="s">
        <v>25</v>
      </c>
      <c r="E6" s="71" t="s">
        <v>13</v>
      </c>
      <c r="F6" s="71" t="s">
        <v>14</v>
      </c>
      <c r="G6" s="71" t="s">
        <v>15</v>
      </c>
      <c r="H6" s="71" t="s">
        <v>16</v>
      </c>
      <c r="I6" s="71" t="s">
        <v>17</v>
      </c>
      <c r="J6" s="71" t="s">
        <v>18</v>
      </c>
      <c r="K6" s="71" t="s">
        <v>19</v>
      </c>
      <c r="L6" s="71" t="s">
        <v>20</v>
      </c>
      <c r="M6" s="71" t="s">
        <v>21</v>
      </c>
      <c r="N6" s="71" t="s">
        <v>22</v>
      </c>
      <c r="O6" s="71" t="s">
        <v>23</v>
      </c>
      <c r="P6" s="71" t="s">
        <v>24</v>
      </c>
    </row>
    <row r="7" spans="1:16" x14ac:dyDescent="0.35">
      <c r="A7" s="41">
        <v>1</v>
      </c>
      <c r="B7" s="41" t="str">
        <f t="shared" ref="B7:B14" si="0">CONCATENATE($B$2, ".", A7)</f>
        <v>3.1</v>
      </c>
      <c r="C7" s="50" t="s">
        <v>41</v>
      </c>
      <c r="D7" s="41" t="s">
        <v>138</v>
      </c>
      <c r="E7" s="41" t="s">
        <v>29</v>
      </c>
      <c r="F7" s="41" t="s">
        <v>37</v>
      </c>
      <c r="G7" s="41" t="s">
        <v>37</v>
      </c>
      <c r="H7" s="41" t="s">
        <v>37</v>
      </c>
      <c r="I7" s="41" t="s">
        <v>10</v>
      </c>
      <c r="J7" s="42" t="s">
        <v>37</v>
      </c>
      <c r="K7" s="42" t="s">
        <v>37</v>
      </c>
      <c r="L7" s="42" t="s">
        <v>37</v>
      </c>
      <c r="M7" s="42" t="s">
        <v>37</v>
      </c>
      <c r="N7" s="42" t="s">
        <v>37</v>
      </c>
      <c r="O7" s="42" t="s">
        <v>37</v>
      </c>
    </row>
    <row r="8" spans="1:16" x14ac:dyDescent="0.35">
      <c r="A8" s="41">
        <v>2</v>
      </c>
      <c r="B8" s="41" t="str">
        <f t="shared" si="0"/>
        <v>3.2</v>
      </c>
      <c r="C8" s="50" t="s">
        <v>41</v>
      </c>
      <c r="D8" s="41" t="s">
        <v>37</v>
      </c>
      <c r="E8" s="41" t="s">
        <v>50</v>
      </c>
      <c r="F8" s="41" t="s">
        <v>37</v>
      </c>
      <c r="G8" s="41" t="s">
        <v>37</v>
      </c>
      <c r="H8" s="41" t="s">
        <v>37</v>
      </c>
      <c r="I8" s="41" t="s">
        <v>10</v>
      </c>
      <c r="J8" s="42" t="s">
        <v>37</v>
      </c>
      <c r="K8" s="42" t="s">
        <v>37</v>
      </c>
      <c r="L8" s="42" t="s">
        <v>37</v>
      </c>
      <c r="M8" s="42" t="s">
        <v>37</v>
      </c>
      <c r="N8" s="42" t="s">
        <v>37</v>
      </c>
      <c r="O8" s="42" t="s">
        <v>37</v>
      </c>
    </row>
    <row r="9" spans="1:16" ht="56.25" customHeight="1" x14ac:dyDescent="0.35">
      <c r="A9" s="41">
        <v>3</v>
      </c>
      <c r="B9" s="41" t="str">
        <f t="shared" si="0"/>
        <v>3.3</v>
      </c>
      <c r="C9" s="50" t="s">
        <v>41</v>
      </c>
      <c r="D9" s="41" t="s">
        <v>282</v>
      </c>
      <c r="E9" s="41" t="s">
        <v>137</v>
      </c>
      <c r="F9" s="41" t="s">
        <v>37</v>
      </c>
      <c r="G9" s="41" t="s">
        <v>37</v>
      </c>
      <c r="H9" s="41" t="s">
        <v>37</v>
      </c>
      <c r="I9" s="41" t="s">
        <v>10</v>
      </c>
      <c r="J9" s="42" t="s">
        <v>37</v>
      </c>
      <c r="K9" s="42" t="s">
        <v>37</v>
      </c>
      <c r="L9" s="42" t="s">
        <v>37</v>
      </c>
      <c r="M9" s="42" t="s">
        <v>37</v>
      </c>
      <c r="N9" s="42" t="s">
        <v>37</v>
      </c>
      <c r="O9" s="42" t="s">
        <v>121</v>
      </c>
    </row>
    <row r="10" spans="1:16" ht="120.75" customHeight="1" x14ac:dyDescent="0.35">
      <c r="A10" s="41">
        <v>4</v>
      </c>
      <c r="B10" s="41" t="str">
        <f t="shared" si="0"/>
        <v>3.4</v>
      </c>
      <c r="C10" s="50" t="s">
        <v>41</v>
      </c>
      <c r="D10" s="41" t="s">
        <v>51</v>
      </c>
      <c r="E10" s="41" t="s">
        <v>33</v>
      </c>
      <c r="F10" s="41" t="s">
        <v>53</v>
      </c>
      <c r="G10" s="41" t="s">
        <v>287</v>
      </c>
      <c r="H10" s="41" t="s">
        <v>54</v>
      </c>
      <c r="I10" s="41" t="s">
        <v>10</v>
      </c>
      <c r="J10" s="42" t="s">
        <v>37</v>
      </c>
      <c r="K10" s="42" t="s">
        <v>55</v>
      </c>
      <c r="L10" s="42" t="s">
        <v>59</v>
      </c>
      <c r="M10" s="42" t="s">
        <v>139</v>
      </c>
      <c r="N10" s="42" t="s">
        <v>59</v>
      </c>
      <c r="O10" s="42" t="s">
        <v>37</v>
      </c>
    </row>
    <row r="11" spans="1:16" ht="149.25" customHeight="1" x14ac:dyDescent="0.35">
      <c r="A11" s="41">
        <v>5</v>
      </c>
      <c r="B11" s="41" t="str">
        <f t="shared" si="0"/>
        <v>3.5</v>
      </c>
      <c r="C11" s="50" t="s">
        <v>41</v>
      </c>
      <c r="D11" s="41" t="s">
        <v>140</v>
      </c>
      <c r="E11" s="41" t="s">
        <v>33</v>
      </c>
      <c r="F11" s="41" t="s">
        <v>52</v>
      </c>
      <c r="G11" s="41" t="s">
        <v>141</v>
      </c>
      <c r="H11" s="41" t="s">
        <v>56</v>
      </c>
      <c r="I11" s="41" t="s">
        <v>10</v>
      </c>
      <c r="J11" s="42" t="s">
        <v>37</v>
      </c>
      <c r="K11" s="41" t="s">
        <v>55</v>
      </c>
      <c r="L11" s="41" t="s">
        <v>60</v>
      </c>
      <c r="M11" s="41" t="s">
        <v>57</v>
      </c>
      <c r="N11" s="41" t="s">
        <v>60</v>
      </c>
      <c r="O11" s="42" t="s">
        <v>37</v>
      </c>
    </row>
    <row r="12" spans="1:16" ht="149.25" customHeight="1" x14ac:dyDescent="0.35">
      <c r="A12" s="41">
        <v>6</v>
      </c>
      <c r="B12" s="41" t="str">
        <f t="shared" si="0"/>
        <v>3.6</v>
      </c>
      <c r="C12" s="50" t="s">
        <v>41</v>
      </c>
      <c r="D12" s="41" t="s">
        <v>37</v>
      </c>
      <c r="E12" s="41" t="s">
        <v>276</v>
      </c>
      <c r="F12" s="41" t="s">
        <v>37</v>
      </c>
      <c r="G12" s="41" t="s">
        <v>37</v>
      </c>
      <c r="H12" s="41" t="s">
        <v>37</v>
      </c>
      <c r="I12" s="41" t="s">
        <v>277</v>
      </c>
      <c r="J12" s="42" t="s">
        <v>37</v>
      </c>
      <c r="K12" s="41" t="s">
        <v>55</v>
      </c>
      <c r="L12" s="41" t="s">
        <v>278</v>
      </c>
      <c r="M12" s="41" t="s">
        <v>37</v>
      </c>
      <c r="N12" s="41" t="s">
        <v>279</v>
      </c>
      <c r="O12" s="42"/>
    </row>
    <row r="13" spans="1:16" ht="105" customHeight="1" x14ac:dyDescent="0.35">
      <c r="A13" s="41">
        <v>7</v>
      </c>
      <c r="B13" s="41" t="str">
        <f>CONCATENATE($B$2, ".", A13)</f>
        <v>3.7</v>
      </c>
      <c r="C13" s="50" t="s">
        <v>41</v>
      </c>
      <c r="D13" s="41" t="s">
        <v>62</v>
      </c>
      <c r="E13" s="41" t="s">
        <v>43</v>
      </c>
      <c r="F13" s="41" t="s">
        <v>37</v>
      </c>
      <c r="G13" s="41" t="s">
        <v>37</v>
      </c>
      <c r="H13" s="41" t="s">
        <v>37</v>
      </c>
      <c r="I13" s="41" t="s">
        <v>305</v>
      </c>
      <c r="J13" s="41" t="s">
        <v>37</v>
      </c>
      <c r="K13" s="41" t="s">
        <v>37</v>
      </c>
      <c r="L13" s="41" t="s">
        <v>37</v>
      </c>
      <c r="M13" s="41" t="s">
        <v>37</v>
      </c>
      <c r="N13" s="41" t="s">
        <v>37</v>
      </c>
      <c r="O13" s="41" t="s">
        <v>288</v>
      </c>
    </row>
    <row r="14" spans="1:16" ht="29" x14ac:dyDescent="0.35">
      <c r="A14" s="41">
        <v>8</v>
      </c>
      <c r="B14" s="41" t="str">
        <f t="shared" si="0"/>
        <v>3.8</v>
      </c>
      <c r="C14" s="50" t="s">
        <v>41</v>
      </c>
      <c r="D14" s="41" t="s">
        <v>61</v>
      </c>
      <c r="E14" s="41" t="s">
        <v>43</v>
      </c>
      <c r="F14" s="41" t="s">
        <v>37</v>
      </c>
      <c r="G14" s="41" t="s">
        <v>37</v>
      </c>
      <c r="H14" s="41" t="s">
        <v>37</v>
      </c>
      <c r="I14" s="41" t="s">
        <v>10</v>
      </c>
      <c r="J14" s="41" t="s">
        <v>37</v>
      </c>
      <c r="K14" s="41" t="s">
        <v>37</v>
      </c>
      <c r="L14" s="41" t="s">
        <v>37</v>
      </c>
      <c r="M14" s="41" t="s">
        <v>37</v>
      </c>
      <c r="N14" s="41" t="s">
        <v>37</v>
      </c>
      <c r="O14" s="41" t="s">
        <v>58</v>
      </c>
    </row>
  </sheetData>
  <conditionalFormatting sqref="C7:C1048576">
    <cfRule type="cellIs" dxfId="319" priority="17" operator="equal">
      <formula>"WIP (see comments)"</formula>
    </cfRule>
    <cfRule type="cellIs" dxfId="318" priority="18" operator="equal">
      <formula>"Removed"</formula>
    </cfRule>
    <cfRule type="cellIs" dxfId="317" priority="19" operator="equal">
      <formula>"Updated"</formula>
    </cfRule>
    <cfRule type="cellIs" dxfId="316" priority="20" operator="equal">
      <formula>"New"</formula>
    </cfRule>
  </conditionalFormatting>
  <conditionalFormatting sqref="A2:XFD9 Q10:XFD10 A12:XFD1048576 A11:N11 P11:XFD11 A1:C1 E1:XFD1 C8:C14">
    <cfRule type="cellIs" dxfId="315" priority="8" operator="equal">
      <formula>"n/a"</formula>
    </cfRule>
  </conditionalFormatting>
  <conditionalFormatting sqref="A10:B10 D10:P10">
    <cfRule type="cellIs" dxfId="314" priority="3" operator="equal">
      <formula>"n/a"</formula>
    </cfRule>
  </conditionalFormatting>
  <conditionalFormatting sqref="O11">
    <cfRule type="cellIs" dxfId="313" priority="2" operator="equal">
      <formula>"n/a"</formula>
    </cfRule>
  </conditionalFormatting>
  <conditionalFormatting sqref="D1">
    <cfRule type="cellIs" dxfId="31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2"/>
  <sheetViews>
    <sheetView workbookViewId="0">
      <pane ySplit="6" topLeftCell="A7" activePane="bottomLeft" state="frozen"/>
      <selection pane="bottomLeft" activeCell="A13" sqref="A13"/>
    </sheetView>
  </sheetViews>
  <sheetFormatPr defaultColWidth="9.1796875" defaultRowHeight="14.5" x14ac:dyDescent="0.35"/>
  <cols>
    <col min="1" max="1" width="14.7265625" style="5" customWidth="1"/>
    <col min="2" max="2" width="12.54296875" style="5" customWidth="1"/>
    <col min="3" max="3" width="18.54296875" style="74" customWidth="1"/>
    <col min="4" max="4" width="45.1796875" style="5" customWidth="1"/>
    <col min="5" max="5" width="28.7265625" style="5" customWidth="1"/>
    <col min="6" max="6" width="37" style="5" customWidth="1"/>
    <col min="7" max="7" width="29.26953125" style="5" customWidth="1"/>
    <col min="8" max="8" width="11.54296875" style="7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273</v>
      </c>
      <c r="C1" s="34"/>
      <c r="D1" s="31" t="s">
        <v>390</v>
      </c>
      <c r="H1" s="37"/>
    </row>
    <row r="2" spans="1:16" s="32" customFormat="1" ht="18.5" x14ac:dyDescent="0.35">
      <c r="A2" s="30" t="s">
        <v>7</v>
      </c>
      <c r="B2" s="38" t="s">
        <v>275</v>
      </c>
      <c r="C2" s="37"/>
      <c r="D2" s="38"/>
      <c r="H2" s="37"/>
    </row>
    <row r="3" spans="1:16" s="32" customFormat="1" ht="18.5" x14ac:dyDescent="0.35">
      <c r="A3" s="30" t="s">
        <v>45</v>
      </c>
      <c r="B3" s="38" t="s">
        <v>391</v>
      </c>
      <c r="C3" s="37"/>
      <c r="D3" s="38" t="s">
        <v>83</v>
      </c>
      <c r="H3" s="37"/>
    </row>
    <row r="4" spans="1:16" s="32" customFormat="1" ht="18.5" x14ac:dyDescent="0.35">
      <c r="A4" s="30" t="s">
        <v>8</v>
      </c>
      <c r="B4" s="32" t="s">
        <v>10</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2" si="0">CONCATENATE($B$2, ".", A7)</f>
        <v>3a.1</v>
      </c>
      <c r="C7" s="74" t="s">
        <v>41</v>
      </c>
      <c r="D7" s="42" t="s">
        <v>274</v>
      </c>
      <c r="E7" s="42" t="s">
        <v>172</v>
      </c>
      <c r="F7" s="5" t="s">
        <v>37</v>
      </c>
      <c r="G7" s="5" t="s">
        <v>37</v>
      </c>
      <c r="H7" s="74" t="s">
        <v>37</v>
      </c>
      <c r="I7" s="42" t="s">
        <v>10</v>
      </c>
      <c r="J7" s="5" t="s">
        <v>37</v>
      </c>
      <c r="K7" s="5" t="s">
        <v>37</v>
      </c>
      <c r="L7" s="5" t="s">
        <v>37</v>
      </c>
      <c r="M7" s="5" t="s">
        <v>37</v>
      </c>
      <c r="N7" s="5" t="s">
        <v>37</v>
      </c>
    </row>
    <row r="8" spans="1:16" ht="105.75" customHeight="1" x14ac:dyDescent="0.35">
      <c r="A8" s="5">
        <v>2</v>
      </c>
      <c r="B8" s="5" t="str">
        <f t="shared" si="0"/>
        <v>3a.2</v>
      </c>
      <c r="C8" s="83" t="s">
        <v>41</v>
      </c>
      <c r="D8" s="47" t="s">
        <v>314</v>
      </c>
      <c r="E8" s="42" t="s">
        <v>34</v>
      </c>
      <c r="F8" s="5" t="s">
        <v>37</v>
      </c>
      <c r="G8" s="5" t="s">
        <v>37</v>
      </c>
      <c r="H8" s="74" t="s">
        <v>37</v>
      </c>
      <c r="I8" s="42" t="s">
        <v>10</v>
      </c>
      <c r="J8" s="5" t="s">
        <v>37</v>
      </c>
      <c r="K8" s="5" t="s">
        <v>37</v>
      </c>
      <c r="L8" s="5" t="s">
        <v>37</v>
      </c>
      <c r="M8" s="5" t="s">
        <v>37</v>
      </c>
      <c r="N8" s="5" t="s">
        <v>37</v>
      </c>
    </row>
    <row r="9" spans="1:16" x14ac:dyDescent="0.35">
      <c r="A9" s="5">
        <v>3</v>
      </c>
      <c r="B9" s="5" t="str">
        <f t="shared" si="0"/>
        <v>3a.3</v>
      </c>
      <c r="C9" s="83" t="s">
        <v>41</v>
      </c>
      <c r="D9" s="47" t="s">
        <v>253</v>
      </c>
      <c r="E9" s="42" t="s">
        <v>33</v>
      </c>
      <c r="F9" s="5" t="s">
        <v>37</v>
      </c>
      <c r="G9" s="5" t="s">
        <v>37</v>
      </c>
      <c r="H9" s="74" t="s">
        <v>37</v>
      </c>
      <c r="I9" s="42" t="s">
        <v>10</v>
      </c>
      <c r="J9" s="5" t="s">
        <v>37</v>
      </c>
      <c r="K9" s="5" t="s">
        <v>37</v>
      </c>
      <c r="L9" s="5" t="s">
        <v>37</v>
      </c>
      <c r="M9" s="5" t="s">
        <v>37</v>
      </c>
      <c r="N9" s="5" t="s">
        <v>37</v>
      </c>
    </row>
    <row r="10" spans="1:16" x14ac:dyDescent="0.35">
      <c r="A10" s="5">
        <v>4</v>
      </c>
      <c r="B10" s="5" t="str">
        <f>CONCATENATE($B$2, ".", A10)</f>
        <v>3a.4</v>
      </c>
      <c r="C10" s="83" t="s">
        <v>41</v>
      </c>
      <c r="D10" s="5" t="s">
        <v>315</v>
      </c>
      <c r="E10" s="5" t="s">
        <v>43</v>
      </c>
      <c r="F10" s="5" t="s">
        <v>37</v>
      </c>
      <c r="G10" s="5" t="s">
        <v>37</v>
      </c>
      <c r="H10" s="74" t="s">
        <v>37</v>
      </c>
      <c r="I10" s="42" t="s">
        <v>10</v>
      </c>
      <c r="J10" s="5" t="s">
        <v>37</v>
      </c>
      <c r="K10" s="5" t="s">
        <v>37</v>
      </c>
      <c r="L10" s="5" t="s">
        <v>37</v>
      </c>
      <c r="M10" s="5" t="s">
        <v>37</v>
      </c>
      <c r="N10" s="5" t="s">
        <v>37</v>
      </c>
      <c r="O10" s="42" t="s">
        <v>257</v>
      </c>
    </row>
    <row r="11" spans="1:16" x14ac:dyDescent="0.35">
      <c r="A11" s="5">
        <v>5</v>
      </c>
      <c r="B11" s="5" t="str">
        <f t="shared" si="0"/>
        <v>3a.5</v>
      </c>
      <c r="C11" s="83" t="s">
        <v>41</v>
      </c>
      <c r="D11" s="5" t="s">
        <v>254</v>
      </c>
      <c r="E11" s="5" t="s">
        <v>43</v>
      </c>
      <c r="F11" s="5" t="s">
        <v>37</v>
      </c>
      <c r="G11" s="5" t="s">
        <v>37</v>
      </c>
      <c r="H11" s="74" t="s">
        <v>37</v>
      </c>
      <c r="I11" s="42" t="s">
        <v>10</v>
      </c>
      <c r="J11" s="5" t="s">
        <v>37</v>
      </c>
      <c r="K11" s="5" t="s">
        <v>37</v>
      </c>
      <c r="L11" s="5" t="s">
        <v>37</v>
      </c>
      <c r="M11" s="5" t="s">
        <v>37</v>
      </c>
      <c r="N11" s="5" t="s">
        <v>37</v>
      </c>
      <c r="O11" s="41" t="s">
        <v>63</v>
      </c>
    </row>
    <row r="12" spans="1:16" s="41" customFormat="1" x14ac:dyDescent="0.35">
      <c r="A12" s="41">
        <v>6</v>
      </c>
      <c r="B12" s="41" t="str">
        <f t="shared" si="0"/>
        <v>3a.6</v>
      </c>
      <c r="C12" s="83" t="s">
        <v>41</v>
      </c>
      <c r="D12" s="41" t="s">
        <v>61</v>
      </c>
      <c r="E12" s="41" t="s">
        <v>43</v>
      </c>
      <c r="F12" s="41" t="s">
        <v>37</v>
      </c>
      <c r="G12" s="41" t="s">
        <v>37</v>
      </c>
      <c r="H12" s="50" t="s">
        <v>37</v>
      </c>
      <c r="I12" s="41" t="s">
        <v>10</v>
      </c>
      <c r="J12" s="41" t="s">
        <v>37</v>
      </c>
      <c r="K12" s="41" t="s">
        <v>37</v>
      </c>
      <c r="L12" s="41" t="s">
        <v>37</v>
      </c>
      <c r="M12" s="41" t="s">
        <v>37</v>
      </c>
      <c r="N12" s="41" t="s">
        <v>37</v>
      </c>
      <c r="O12" s="41" t="s">
        <v>44</v>
      </c>
    </row>
  </sheetData>
  <autoFilter ref="A6:P6"/>
  <conditionalFormatting sqref="C7:C1048576">
    <cfRule type="cellIs" dxfId="311" priority="22" operator="equal">
      <formula>"WIP (see comments)"</formula>
    </cfRule>
    <cfRule type="cellIs" dxfId="310" priority="23" operator="equal">
      <formula>"Removed"</formula>
    </cfRule>
    <cfRule type="cellIs" dxfId="309" priority="24" operator="equal">
      <formula>"Updated"</formula>
    </cfRule>
    <cfRule type="cellIs" dxfId="308" priority="25" operator="equal">
      <formula>"New"</formula>
    </cfRule>
  </conditionalFormatting>
  <conditionalFormatting sqref="A2:XFD6 A13:XFD1048576 C8:C12 A1:C1 E1:XFD1">
    <cfRule type="cellIs" dxfId="307" priority="21" operator="equal">
      <formula>"n/a"</formula>
    </cfRule>
  </conditionalFormatting>
  <conditionalFormatting sqref="D8:D9">
    <cfRule type="cellIs" dxfId="306" priority="20" operator="equal">
      <formula>"-"</formula>
    </cfRule>
  </conditionalFormatting>
  <conditionalFormatting sqref="A8:B9 D8:XFD9">
    <cfRule type="cellIs" dxfId="305" priority="19" operator="equal">
      <formula>"n/a"</formula>
    </cfRule>
  </conditionalFormatting>
  <conditionalFormatting sqref="A7:XFD7 C8:C12">
    <cfRule type="cellIs" dxfId="304" priority="14" operator="equal">
      <formula>"n/a"</formula>
    </cfRule>
  </conditionalFormatting>
  <conditionalFormatting sqref="A11:B11 D11:N11 P11:XFD11">
    <cfRule type="cellIs" dxfId="303" priority="13" operator="equal">
      <formula>"n/a"</formula>
    </cfRule>
  </conditionalFormatting>
  <conditionalFormatting sqref="A10:B10 D10:XFD10">
    <cfRule type="cellIs" dxfId="302" priority="12" operator="equal">
      <formula>"n/a"</formula>
    </cfRule>
  </conditionalFormatting>
  <conditionalFormatting sqref="A12:B12 D12:XFD12">
    <cfRule type="cellIs" dxfId="301" priority="3" operator="equal">
      <formula>"n/a"</formula>
    </cfRule>
  </conditionalFormatting>
  <conditionalFormatting sqref="O11">
    <cfRule type="cellIs" dxfId="300" priority="2" operator="equal">
      <formula>"n/a"</formula>
    </cfRule>
  </conditionalFormatting>
  <conditionalFormatting sqref="D1">
    <cfRule type="cellIs" dxfId="299" priority="1" operator="equal">
      <formula>"n/a"</formula>
    </cfRule>
  </conditionalFormatting>
  <dataValidations count="2">
    <dataValidation type="list" allowBlank="1" showInputMessage="1" showErrorMessage="1" sqref="C13:C1048576">
      <formula1>$B$5:$B$12</formula1>
    </dataValidation>
    <dataValidation type="list" allowBlank="1" showInputMessage="1" showErrorMessage="1" sqref="E10 E12:E1048576">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C7:C12</xm:sqref>
        </x14:dataValidation>
        <x14:dataValidation type="list" allowBlank="1" showInputMessage="1" showErrorMessage="1">
          <x14:formula1>
            <xm:f>'List Values'!$A$5:$A$26</xm:f>
          </x14:formula1>
          <xm:sqref>E7:E9 E11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6"/>
  <sheetViews>
    <sheetView zoomScaleNormal="100" workbookViewId="0">
      <pane ySplit="6" topLeftCell="A7" activePane="bottomLeft" state="frozen"/>
      <selection pane="bottomLeft" activeCell="C15" sqref="C15:C16"/>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34.7265625" style="41" bestFit="1" customWidth="1"/>
    <col min="7" max="7" width="17.7265625" style="41" customWidth="1"/>
    <col min="8" max="8" width="27.81640625" style="41" customWidth="1"/>
    <col min="9" max="9" width="34.81640625" style="41" customWidth="1"/>
    <col min="10" max="10" width="28.1796875" style="41" customWidth="1"/>
    <col min="11" max="11" width="14.7265625" style="41" customWidth="1"/>
    <col min="12" max="12" width="19.26953125" style="41" bestFit="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6" customFormat="1" ht="18.5" x14ac:dyDescent="0.35">
      <c r="A1" s="63" t="s">
        <v>6</v>
      </c>
      <c r="B1" s="64" t="s">
        <v>66</v>
      </c>
      <c r="C1" s="65"/>
      <c r="D1" s="31" t="s">
        <v>390</v>
      </c>
    </row>
    <row r="2" spans="1:16" s="66" customFormat="1" ht="18.5" x14ac:dyDescent="0.35">
      <c r="A2" s="63" t="s">
        <v>7</v>
      </c>
      <c r="B2" s="67">
        <v>4</v>
      </c>
      <c r="C2" s="68"/>
      <c r="D2" s="67"/>
    </row>
    <row r="3" spans="1:16" s="66" customFormat="1" ht="18.5" x14ac:dyDescent="0.35">
      <c r="A3" s="63" t="s">
        <v>45</v>
      </c>
      <c r="B3" s="67" t="s">
        <v>391</v>
      </c>
      <c r="C3" s="68"/>
      <c r="D3" s="67"/>
    </row>
    <row r="4" spans="1:16" s="66" customFormat="1" ht="18.5" x14ac:dyDescent="0.35">
      <c r="A4" s="63" t="s">
        <v>8</v>
      </c>
      <c r="B4" s="66" t="s">
        <v>48</v>
      </c>
      <c r="C4" s="68"/>
    </row>
    <row r="5" spans="1:16" s="69" customFormat="1" x14ac:dyDescent="0.35">
      <c r="C5" s="70"/>
    </row>
    <row r="6" spans="1:16" s="71" customFormat="1" ht="15" thickBot="1" x14ac:dyDescent="0.4">
      <c r="A6" s="71" t="s">
        <v>11</v>
      </c>
      <c r="B6" s="71" t="s">
        <v>12</v>
      </c>
      <c r="C6" s="72" t="s">
        <v>26</v>
      </c>
      <c r="D6" s="71" t="s">
        <v>25</v>
      </c>
      <c r="E6" s="71" t="s">
        <v>13</v>
      </c>
      <c r="F6" s="71" t="s">
        <v>14</v>
      </c>
      <c r="G6" s="71" t="s">
        <v>15</v>
      </c>
      <c r="H6" s="71" t="s">
        <v>16</v>
      </c>
      <c r="I6" s="71" t="s">
        <v>17</v>
      </c>
      <c r="J6" s="71" t="s">
        <v>18</v>
      </c>
      <c r="K6" s="71" t="s">
        <v>19</v>
      </c>
      <c r="L6" s="71" t="s">
        <v>20</v>
      </c>
      <c r="M6" s="71" t="s">
        <v>21</v>
      </c>
      <c r="N6" s="71" t="s">
        <v>22</v>
      </c>
      <c r="O6" s="71" t="s">
        <v>23</v>
      </c>
      <c r="P6" s="71" t="s">
        <v>24</v>
      </c>
    </row>
    <row r="7" spans="1:16" x14ac:dyDescent="0.35">
      <c r="A7" s="41">
        <v>1</v>
      </c>
      <c r="B7" s="41" t="str">
        <f t="shared" ref="B7:B16" si="0">CONCATENATE($B$2, ".", A7)</f>
        <v>4.1</v>
      </c>
      <c r="C7" s="50" t="s">
        <v>41</v>
      </c>
      <c r="D7" s="41" t="s">
        <v>142</v>
      </c>
      <c r="E7" s="41" t="s">
        <v>29</v>
      </c>
      <c r="F7" s="41" t="s">
        <v>37</v>
      </c>
      <c r="G7" s="41" t="s">
        <v>37</v>
      </c>
      <c r="H7" s="41" t="s">
        <v>37</v>
      </c>
      <c r="I7" s="41" t="s">
        <v>10</v>
      </c>
      <c r="J7" s="42" t="s">
        <v>37</v>
      </c>
      <c r="K7" s="42" t="s">
        <v>37</v>
      </c>
      <c r="L7" s="42" t="s">
        <v>37</v>
      </c>
      <c r="M7" s="42" t="s">
        <v>37</v>
      </c>
      <c r="N7" s="42" t="s">
        <v>37</v>
      </c>
      <c r="O7" s="42" t="s">
        <v>37</v>
      </c>
    </row>
    <row r="8" spans="1:16" x14ac:dyDescent="0.35">
      <c r="A8" s="41">
        <v>2</v>
      </c>
      <c r="B8" s="41" t="str">
        <f t="shared" si="0"/>
        <v>4.2</v>
      </c>
      <c r="C8" s="50" t="s">
        <v>41</v>
      </c>
      <c r="D8" s="41" t="s">
        <v>37</v>
      </c>
      <c r="E8" s="41" t="s">
        <v>50</v>
      </c>
      <c r="F8" s="41" t="s">
        <v>37</v>
      </c>
      <c r="G8" s="41" t="s">
        <v>37</v>
      </c>
      <c r="H8" s="41" t="s">
        <v>37</v>
      </c>
      <c r="I8" s="41" t="s">
        <v>10</v>
      </c>
      <c r="J8" s="42" t="s">
        <v>37</v>
      </c>
      <c r="K8" s="42" t="s">
        <v>37</v>
      </c>
      <c r="L8" s="42" t="s">
        <v>37</v>
      </c>
      <c r="M8" s="42" t="s">
        <v>37</v>
      </c>
      <c r="N8" s="42" t="s">
        <v>37</v>
      </c>
      <c r="O8" s="42" t="s">
        <v>37</v>
      </c>
    </row>
    <row r="9" spans="1:16" x14ac:dyDescent="0.35">
      <c r="A9" s="41">
        <v>3</v>
      </c>
      <c r="B9" s="41" t="str">
        <f t="shared" si="0"/>
        <v>4.3</v>
      </c>
      <c r="C9" s="50" t="s">
        <v>41</v>
      </c>
      <c r="D9" s="41" t="s">
        <v>162</v>
      </c>
      <c r="E9" s="41" t="s">
        <v>34</v>
      </c>
      <c r="F9" s="41" t="s">
        <v>37</v>
      </c>
      <c r="G9" s="41" t="s">
        <v>37</v>
      </c>
      <c r="H9" s="41" t="s">
        <v>37</v>
      </c>
      <c r="I9" s="41" t="s">
        <v>10</v>
      </c>
      <c r="J9" s="42" t="s">
        <v>37</v>
      </c>
      <c r="K9" s="42" t="s">
        <v>37</v>
      </c>
      <c r="L9" s="42" t="s">
        <v>37</v>
      </c>
      <c r="M9" s="42" t="s">
        <v>37</v>
      </c>
      <c r="N9" s="42" t="s">
        <v>37</v>
      </c>
      <c r="O9" s="42" t="s">
        <v>37</v>
      </c>
    </row>
    <row r="10" spans="1:16" s="79" customFormat="1" x14ac:dyDescent="0.35">
      <c r="A10" s="89" t="s">
        <v>316</v>
      </c>
      <c r="B10" s="89"/>
      <c r="C10" s="89"/>
      <c r="D10" s="89"/>
      <c r="E10" s="89"/>
    </row>
    <row r="11" spans="1:16" ht="143.25" customHeight="1" x14ac:dyDescent="0.35">
      <c r="A11" s="41">
        <v>4</v>
      </c>
      <c r="B11" s="41" t="str">
        <f t="shared" si="0"/>
        <v>4.4</v>
      </c>
      <c r="C11" s="50" t="s">
        <v>41</v>
      </c>
      <c r="D11" s="41" t="s">
        <v>317</v>
      </c>
      <c r="E11" s="41" t="s">
        <v>30</v>
      </c>
      <c r="F11" s="41" t="s">
        <v>68</v>
      </c>
      <c r="G11" s="41" t="s">
        <v>37</v>
      </c>
      <c r="H11" s="41" t="s">
        <v>37</v>
      </c>
      <c r="I11" s="41" t="s">
        <v>10</v>
      </c>
      <c r="J11" s="42" t="s">
        <v>143</v>
      </c>
      <c r="K11" s="42" t="s">
        <v>144</v>
      </c>
      <c r="L11" s="41" t="s">
        <v>131</v>
      </c>
      <c r="M11" s="42" t="s">
        <v>37</v>
      </c>
      <c r="N11" s="42" t="s">
        <v>37</v>
      </c>
      <c r="O11" s="42" t="s">
        <v>163</v>
      </c>
    </row>
    <row r="12" spans="1:16" ht="159.5" x14ac:dyDescent="0.35">
      <c r="A12" s="41">
        <v>5</v>
      </c>
      <c r="B12" s="41" t="str">
        <f t="shared" si="0"/>
        <v>4.5</v>
      </c>
      <c r="C12" s="50" t="s">
        <v>41</v>
      </c>
      <c r="D12" s="41" t="s">
        <v>318</v>
      </c>
      <c r="E12" s="41" t="s">
        <v>35</v>
      </c>
      <c r="F12" s="41" t="s">
        <v>302</v>
      </c>
      <c r="G12" s="41" t="s">
        <v>37</v>
      </c>
      <c r="H12" s="41" t="s">
        <v>37</v>
      </c>
      <c r="I12" s="41" t="s">
        <v>319</v>
      </c>
      <c r="J12" s="42" t="s">
        <v>223</v>
      </c>
      <c r="K12" s="42" t="s">
        <v>320</v>
      </c>
      <c r="L12" s="42" t="s">
        <v>224</v>
      </c>
      <c r="M12" s="42" t="s">
        <v>37</v>
      </c>
      <c r="N12" s="42" t="s">
        <v>37</v>
      </c>
      <c r="O12" s="41" t="s">
        <v>239</v>
      </c>
    </row>
    <row r="13" spans="1:16" ht="29" x14ac:dyDescent="0.35">
      <c r="A13" s="41">
        <v>6</v>
      </c>
      <c r="B13" s="41" t="str">
        <f t="shared" si="0"/>
        <v>4.6</v>
      </c>
      <c r="C13" s="50" t="s">
        <v>41</v>
      </c>
      <c r="D13" s="41" t="s">
        <v>378</v>
      </c>
      <c r="E13" s="41" t="s">
        <v>30</v>
      </c>
      <c r="F13" s="41" t="s">
        <v>68</v>
      </c>
      <c r="G13" s="41" t="s">
        <v>37</v>
      </c>
      <c r="H13" s="41" t="s">
        <v>37</v>
      </c>
      <c r="I13" s="41" t="s">
        <v>319</v>
      </c>
      <c r="J13" s="42" t="s">
        <v>230</v>
      </c>
      <c r="K13" s="42" t="s">
        <v>101</v>
      </c>
      <c r="L13" s="42" t="s">
        <v>37</v>
      </c>
      <c r="M13" s="42" t="s">
        <v>37</v>
      </c>
      <c r="N13" s="42" t="s">
        <v>37</v>
      </c>
    </row>
    <row r="14" spans="1:16" s="79" customFormat="1" x14ac:dyDescent="0.35">
      <c r="A14" s="89"/>
      <c r="B14" s="89"/>
      <c r="C14" s="89"/>
      <c r="D14" s="89"/>
      <c r="E14" s="89"/>
    </row>
    <row r="15" spans="1:16" ht="29" x14ac:dyDescent="0.35">
      <c r="A15" s="41">
        <v>7</v>
      </c>
      <c r="B15" s="41" t="str">
        <f>CONCATENATE($B$2, ".", A15)</f>
        <v>4.7</v>
      </c>
      <c r="C15" s="50" t="s">
        <v>41</v>
      </c>
      <c r="D15" s="41" t="s">
        <v>62</v>
      </c>
      <c r="E15" s="41" t="s">
        <v>43</v>
      </c>
      <c r="F15" s="41" t="s">
        <v>37</v>
      </c>
      <c r="G15" s="41" t="s">
        <v>37</v>
      </c>
      <c r="H15" s="41" t="s">
        <v>37</v>
      </c>
      <c r="I15" s="41" t="s">
        <v>10</v>
      </c>
      <c r="J15" s="41" t="s">
        <v>37</v>
      </c>
      <c r="K15" s="41" t="s">
        <v>37</v>
      </c>
      <c r="L15" s="41" t="s">
        <v>37</v>
      </c>
      <c r="M15" s="41" t="s">
        <v>37</v>
      </c>
      <c r="N15" s="41" t="s">
        <v>37</v>
      </c>
      <c r="O15" s="41" t="s">
        <v>69</v>
      </c>
    </row>
    <row r="16" spans="1:16" x14ac:dyDescent="0.35">
      <c r="A16" s="41">
        <v>8</v>
      </c>
      <c r="B16" s="41" t="str">
        <f t="shared" si="0"/>
        <v>4.8</v>
      </c>
      <c r="C16" s="50" t="s">
        <v>41</v>
      </c>
      <c r="D16" s="41" t="s">
        <v>61</v>
      </c>
      <c r="E16" s="41" t="s">
        <v>43</v>
      </c>
      <c r="F16" s="41" t="s">
        <v>37</v>
      </c>
      <c r="G16" s="41" t="s">
        <v>37</v>
      </c>
      <c r="H16" s="41" t="s">
        <v>37</v>
      </c>
      <c r="I16" s="41" t="s">
        <v>10</v>
      </c>
      <c r="J16" s="41" t="s">
        <v>37</v>
      </c>
      <c r="K16" s="41" t="s">
        <v>37</v>
      </c>
      <c r="L16" s="41" t="s">
        <v>37</v>
      </c>
      <c r="M16" s="41" t="s">
        <v>37</v>
      </c>
      <c r="N16" s="41" t="s">
        <v>37</v>
      </c>
      <c r="O16" s="41" t="s">
        <v>44</v>
      </c>
    </row>
  </sheetData>
  <mergeCells count="2">
    <mergeCell ref="A10:E10"/>
    <mergeCell ref="A14:E14"/>
  </mergeCells>
  <conditionalFormatting sqref="C8:C9 C11:C13 C15:C1048576">
    <cfRule type="cellIs" dxfId="298" priority="27" operator="equal">
      <formula>"WIP (see comments)"</formula>
    </cfRule>
    <cfRule type="cellIs" dxfId="297" priority="28" operator="equal">
      <formula>"Removed"</formula>
    </cfRule>
    <cfRule type="cellIs" dxfId="296" priority="29" operator="equal">
      <formula>"Updated"</formula>
    </cfRule>
    <cfRule type="cellIs" dxfId="295" priority="30" operator="equal">
      <formula>"New"</formula>
    </cfRule>
  </conditionalFormatting>
  <conditionalFormatting sqref="C7:C9 C11:C13 C15:C16">
    <cfRule type="cellIs" dxfId="294" priority="19" operator="equal">
      <formula>"WIP (see comments)"</formula>
    </cfRule>
    <cfRule type="cellIs" dxfId="293" priority="20" operator="equal">
      <formula>"Removed"</formula>
    </cfRule>
    <cfRule type="cellIs" dxfId="292" priority="21" operator="equal">
      <formula>"Updated"</formula>
    </cfRule>
    <cfRule type="cellIs" dxfId="291" priority="22" operator="equal">
      <formula>"New"</formula>
    </cfRule>
  </conditionalFormatting>
  <conditionalFormatting sqref="P12:XFD13 A11:XFD11 H12:H13 A1:C1 E1:XFD1 A2:XFD9 C12:C13 A15:XFD1048576">
    <cfRule type="cellIs" dxfId="290" priority="14" operator="equal">
      <formula>"n/a"</formula>
    </cfRule>
  </conditionalFormatting>
  <conditionalFormatting sqref="A12:B13 D12:D13">
    <cfRule type="cellIs" dxfId="289" priority="5" operator="equal">
      <formula>"n/a"</formula>
    </cfRule>
  </conditionalFormatting>
  <conditionalFormatting sqref="E12:G13 I12:O13">
    <cfRule type="cellIs" dxfId="288" priority="4" operator="equal">
      <formula>"n/a"</formula>
    </cfRule>
  </conditionalFormatting>
  <conditionalFormatting sqref="F10:XFD10 A10">
    <cfRule type="cellIs" dxfId="287" priority="3" operator="equal">
      <formula>"n/a"</formula>
    </cfRule>
  </conditionalFormatting>
  <conditionalFormatting sqref="F14:XFD14 A14">
    <cfRule type="cellIs" dxfId="286" priority="2" operator="equal">
      <formula>"n/a"</formula>
    </cfRule>
  </conditionalFormatting>
  <conditionalFormatting sqref="D1">
    <cfRule type="cellIs" dxfId="28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E7:E9 E11:E13 E15:E1048576</xm:sqref>
        </x14:dataValidation>
        <x14:dataValidation type="list" allowBlank="1" showInputMessage="1" showErrorMessage="1">
          <x14:formula1>
            <xm:f>'List Values'!$B$5:$B$12</xm:f>
          </x14:formula1>
          <xm:sqref>C11:C13 C7:C9 C15:C1048576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7"/>
  <sheetViews>
    <sheetView tabSelected="1" workbookViewId="0">
      <pane xSplit="4" ySplit="6" topLeftCell="E7" activePane="bottomRight" state="frozen"/>
      <selection pane="topRight" activeCell="E1" sqref="E1"/>
      <selection pane="bottomLeft" activeCell="A7" sqref="A7"/>
      <selection pane="bottomRight" activeCell="P7" sqref="P7"/>
    </sheetView>
  </sheetViews>
  <sheetFormatPr defaultColWidth="9.1796875" defaultRowHeight="14.5" x14ac:dyDescent="0.35"/>
  <cols>
    <col min="1" max="1" width="14.7265625" style="41" customWidth="1"/>
    <col min="2" max="2" width="12.54296875" style="41" customWidth="1"/>
    <col min="3" max="3" width="13" style="50" customWidth="1"/>
    <col min="4" max="4" width="45.1796875" style="41" customWidth="1"/>
    <col min="5" max="5" width="28.7265625" style="41" customWidth="1"/>
    <col min="6" max="6" width="17" style="41" customWidth="1"/>
    <col min="7" max="7" width="29.26953125" style="41" customWidth="1"/>
    <col min="8" max="8" width="27.81640625" style="41" customWidth="1"/>
    <col min="9" max="9" width="34.81640625" style="41" customWidth="1"/>
    <col min="10" max="10" width="28.1796875" style="41" customWidth="1"/>
    <col min="11" max="11" width="10.7265625" style="41" bestFit="1" customWidth="1"/>
    <col min="12" max="12" width="23" style="41" customWidth="1"/>
    <col min="13" max="13" width="29" style="41" customWidth="1"/>
    <col min="14" max="14" width="18.7265625" style="41" bestFit="1" customWidth="1"/>
    <col min="15" max="15" width="48.453125" style="41" customWidth="1"/>
    <col min="16" max="16" width="41.81640625" style="41" customWidth="1"/>
    <col min="17" max="16384" width="9.1796875" style="41"/>
  </cols>
  <sheetData>
    <row r="1" spans="1:16" s="66" customFormat="1" ht="18.5" x14ac:dyDescent="0.35">
      <c r="A1" s="63" t="s">
        <v>6</v>
      </c>
      <c r="B1" s="64" t="s">
        <v>70</v>
      </c>
      <c r="C1" s="65"/>
      <c r="D1" s="31" t="s">
        <v>407</v>
      </c>
    </row>
    <row r="2" spans="1:16" s="66" customFormat="1" ht="18.5" x14ac:dyDescent="0.35">
      <c r="A2" s="63" t="s">
        <v>7</v>
      </c>
      <c r="B2" s="67">
        <v>5</v>
      </c>
      <c r="C2" s="68"/>
      <c r="D2" s="67"/>
    </row>
    <row r="3" spans="1:16" s="66" customFormat="1" ht="18.5" x14ac:dyDescent="0.35">
      <c r="A3" s="63" t="s">
        <v>45</v>
      </c>
      <c r="B3" s="67" t="s">
        <v>391</v>
      </c>
      <c r="C3" s="68"/>
      <c r="D3" s="67"/>
    </row>
    <row r="4" spans="1:16" s="66" customFormat="1" ht="18.5" x14ac:dyDescent="0.35">
      <c r="A4" s="63" t="s">
        <v>8</v>
      </c>
      <c r="B4" s="66" t="s">
        <v>48</v>
      </c>
      <c r="C4" s="68"/>
    </row>
    <row r="5" spans="1:16" s="69" customFormat="1" x14ac:dyDescent="0.35">
      <c r="C5" s="70"/>
    </row>
    <row r="6" spans="1:16" s="71" customFormat="1" ht="15" thickBot="1" x14ac:dyDescent="0.4">
      <c r="A6" s="71" t="s">
        <v>11</v>
      </c>
      <c r="B6" s="71" t="s">
        <v>12</v>
      </c>
      <c r="C6" s="72" t="s">
        <v>26</v>
      </c>
      <c r="D6" s="71" t="s">
        <v>25</v>
      </c>
      <c r="E6" s="71" t="s">
        <v>13</v>
      </c>
      <c r="F6" s="71" t="s">
        <v>14</v>
      </c>
      <c r="G6" s="71" t="s">
        <v>15</v>
      </c>
      <c r="H6" s="71" t="s">
        <v>16</v>
      </c>
      <c r="I6" s="71" t="s">
        <v>17</v>
      </c>
      <c r="J6" s="71" t="s">
        <v>18</v>
      </c>
      <c r="K6" s="71" t="s">
        <v>19</v>
      </c>
      <c r="L6" s="71" t="s">
        <v>20</v>
      </c>
      <c r="M6" s="71" t="s">
        <v>21</v>
      </c>
      <c r="N6" s="71" t="s">
        <v>22</v>
      </c>
      <c r="O6" s="71" t="s">
        <v>23</v>
      </c>
      <c r="P6" s="71" t="s">
        <v>24</v>
      </c>
    </row>
    <row r="7" spans="1:16" ht="29" x14ac:dyDescent="0.35">
      <c r="A7" s="41">
        <v>1</v>
      </c>
      <c r="B7" s="41" t="str">
        <f>CONCATENATE($B$2, ".", A7)</f>
        <v>5.1</v>
      </c>
      <c r="C7" s="50" t="s">
        <v>46</v>
      </c>
      <c r="D7" s="41" t="s">
        <v>145</v>
      </c>
      <c r="E7" s="41" t="s">
        <v>29</v>
      </c>
      <c r="F7" s="41" t="s">
        <v>37</v>
      </c>
      <c r="G7" s="41" t="s">
        <v>37</v>
      </c>
      <c r="H7" s="41" t="s">
        <v>37</v>
      </c>
      <c r="I7" s="41" t="s">
        <v>10</v>
      </c>
      <c r="J7" s="42" t="s">
        <v>37</v>
      </c>
      <c r="K7" s="42" t="s">
        <v>37</v>
      </c>
      <c r="L7" s="42" t="s">
        <v>37</v>
      </c>
      <c r="M7" s="42" t="s">
        <v>37</v>
      </c>
      <c r="N7" s="42" t="s">
        <v>37</v>
      </c>
      <c r="O7" s="42" t="s">
        <v>37</v>
      </c>
      <c r="P7" s="41" t="s">
        <v>420</v>
      </c>
    </row>
    <row r="8" spans="1:16" x14ac:dyDescent="0.35">
      <c r="A8" s="41">
        <v>2</v>
      </c>
      <c r="B8" s="41" t="str">
        <f t="shared" ref="B8:B17" si="0">CONCATENATE($B$2, ".", A8)</f>
        <v>5.2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ht="84.75" customHeight="1" x14ac:dyDescent="0.35">
      <c r="A9" s="41">
        <v>3</v>
      </c>
      <c r="B9" s="41" t="str">
        <f t="shared" si="0"/>
        <v>5.3</v>
      </c>
      <c r="C9" s="50" t="s">
        <v>40</v>
      </c>
      <c r="D9" s="41" t="s">
        <v>417</v>
      </c>
      <c r="E9" s="41" t="s">
        <v>34</v>
      </c>
      <c r="F9" s="41" t="s">
        <v>37</v>
      </c>
      <c r="G9" s="41" t="s">
        <v>37</v>
      </c>
      <c r="H9" s="41" t="s">
        <v>37</v>
      </c>
      <c r="I9" s="41" t="s">
        <v>10</v>
      </c>
      <c r="J9" s="42" t="s">
        <v>37</v>
      </c>
      <c r="K9" s="42" t="s">
        <v>37</v>
      </c>
      <c r="L9" s="42" t="s">
        <v>37</v>
      </c>
      <c r="M9" s="42" t="s">
        <v>37</v>
      </c>
      <c r="N9" s="42" t="s">
        <v>37</v>
      </c>
      <c r="O9" s="42" t="s">
        <v>37</v>
      </c>
    </row>
    <row r="10" spans="1:16" ht="53.25" customHeight="1" x14ac:dyDescent="0.35">
      <c r="A10" s="41">
        <v>4</v>
      </c>
      <c r="B10" s="41" t="str">
        <f t="shared" si="0"/>
        <v>5.4</v>
      </c>
      <c r="C10" s="50" t="s">
        <v>40</v>
      </c>
      <c r="D10" s="49" t="s">
        <v>381</v>
      </c>
      <c r="E10" s="41" t="s">
        <v>34</v>
      </c>
      <c r="F10" s="41" t="s">
        <v>37</v>
      </c>
      <c r="G10" s="41" t="s">
        <v>168</v>
      </c>
      <c r="H10" s="41" t="s">
        <v>37</v>
      </c>
      <c r="I10" s="41" t="s">
        <v>10</v>
      </c>
      <c r="J10" s="42" t="s">
        <v>37</v>
      </c>
      <c r="K10" s="42" t="s">
        <v>37</v>
      </c>
      <c r="L10" s="42" t="s">
        <v>37</v>
      </c>
      <c r="M10" s="42" t="s">
        <v>37</v>
      </c>
      <c r="N10" s="42" t="s">
        <v>37</v>
      </c>
      <c r="O10" s="42" t="s">
        <v>37</v>
      </c>
    </row>
    <row r="11" spans="1:16" ht="43.5" x14ac:dyDescent="0.35">
      <c r="A11" s="41">
        <v>5</v>
      </c>
      <c r="B11" s="41" t="str">
        <f t="shared" si="0"/>
        <v>5.5</v>
      </c>
      <c r="C11" s="50" t="s">
        <v>46</v>
      </c>
      <c r="D11" s="49" t="s">
        <v>382</v>
      </c>
      <c r="E11" s="41" t="s">
        <v>34</v>
      </c>
      <c r="F11" s="41" t="s">
        <v>37</v>
      </c>
      <c r="G11" s="41" t="s">
        <v>165</v>
      </c>
      <c r="H11" s="41" t="s">
        <v>37</v>
      </c>
      <c r="I11" s="41" t="s">
        <v>10</v>
      </c>
      <c r="J11" s="42" t="s">
        <v>37</v>
      </c>
      <c r="K11" s="42" t="s">
        <v>37</v>
      </c>
      <c r="L11" s="42" t="s">
        <v>37</v>
      </c>
      <c r="M11" s="42" t="s">
        <v>37</v>
      </c>
      <c r="N11" s="42" t="s">
        <v>37</v>
      </c>
      <c r="O11" s="42" t="s">
        <v>37</v>
      </c>
      <c r="P11" s="41" t="s">
        <v>418</v>
      </c>
    </row>
    <row r="12" spans="1:16" ht="29" x14ac:dyDescent="0.35">
      <c r="A12" s="41">
        <v>6</v>
      </c>
      <c r="B12" s="41" t="str">
        <f t="shared" si="0"/>
        <v>5.6</v>
      </c>
      <c r="C12" s="50" t="s">
        <v>40</v>
      </c>
      <c r="D12" s="49" t="s">
        <v>383</v>
      </c>
      <c r="E12" s="41" t="s">
        <v>34</v>
      </c>
      <c r="F12" s="41" t="s">
        <v>37</v>
      </c>
      <c r="G12" s="41" t="s">
        <v>166</v>
      </c>
      <c r="H12" s="41" t="s">
        <v>37</v>
      </c>
      <c r="I12" s="41" t="s">
        <v>10</v>
      </c>
      <c r="J12" s="42" t="s">
        <v>37</v>
      </c>
      <c r="K12" s="42" t="s">
        <v>37</v>
      </c>
      <c r="L12" s="42" t="s">
        <v>37</v>
      </c>
      <c r="M12" s="42" t="s">
        <v>37</v>
      </c>
      <c r="N12" s="42" t="s">
        <v>37</v>
      </c>
      <c r="O12" s="42" t="s">
        <v>37</v>
      </c>
    </row>
    <row r="13" spans="1:16" ht="95.25" customHeight="1" x14ac:dyDescent="0.35">
      <c r="A13" s="41">
        <v>7</v>
      </c>
      <c r="B13" s="41" t="str">
        <f t="shared" si="0"/>
        <v>5.7</v>
      </c>
      <c r="C13" s="50" t="s">
        <v>46</v>
      </c>
      <c r="D13" s="49" t="s">
        <v>384</v>
      </c>
      <c r="E13" s="41" t="s">
        <v>34</v>
      </c>
      <c r="F13" s="41" t="s">
        <v>37</v>
      </c>
      <c r="G13" s="41" t="s">
        <v>167</v>
      </c>
      <c r="H13" s="41" t="s">
        <v>37</v>
      </c>
      <c r="I13" s="41" t="s">
        <v>10</v>
      </c>
      <c r="J13" s="42" t="s">
        <v>37</v>
      </c>
      <c r="K13" s="42" t="s">
        <v>37</v>
      </c>
      <c r="L13" s="42" t="s">
        <v>37</v>
      </c>
      <c r="M13" s="42" t="s">
        <v>37</v>
      </c>
      <c r="N13" s="42" t="s">
        <v>37</v>
      </c>
      <c r="O13" s="42" t="s">
        <v>37</v>
      </c>
      <c r="P13" s="41" t="s">
        <v>418</v>
      </c>
    </row>
    <row r="14" spans="1:16" ht="95.25" customHeight="1" x14ac:dyDescent="0.35">
      <c r="A14" s="41">
        <v>8</v>
      </c>
      <c r="B14" s="41" t="str">
        <f t="shared" si="0"/>
        <v>5.8</v>
      </c>
      <c r="C14" s="50" t="s">
        <v>40</v>
      </c>
      <c r="D14" s="49" t="s">
        <v>385</v>
      </c>
      <c r="E14" s="41" t="s">
        <v>34</v>
      </c>
      <c r="F14" s="41" t="s">
        <v>37</v>
      </c>
      <c r="G14" s="41" t="s">
        <v>415</v>
      </c>
      <c r="H14" s="43" t="s">
        <v>37</v>
      </c>
      <c r="I14" s="41" t="s">
        <v>10</v>
      </c>
      <c r="J14" s="41" t="s">
        <v>37</v>
      </c>
      <c r="K14" s="41" t="s">
        <v>37</v>
      </c>
      <c r="L14" s="41" t="s">
        <v>37</v>
      </c>
      <c r="M14" s="41" t="s">
        <v>37</v>
      </c>
      <c r="N14" s="41" t="s">
        <v>37</v>
      </c>
      <c r="O14" s="42" t="s">
        <v>37</v>
      </c>
    </row>
    <row r="15" spans="1:16" ht="142.5" customHeight="1" x14ac:dyDescent="0.35">
      <c r="A15" s="41">
        <v>9</v>
      </c>
      <c r="B15" s="41" t="str">
        <f t="shared" si="0"/>
        <v>5.9</v>
      </c>
      <c r="C15" s="50" t="s">
        <v>40</v>
      </c>
      <c r="D15" s="41" t="s">
        <v>164</v>
      </c>
      <c r="E15" s="41" t="s">
        <v>30</v>
      </c>
      <c r="F15" s="41" t="s">
        <v>68</v>
      </c>
      <c r="G15" s="41" t="s">
        <v>37</v>
      </c>
      <c r="H15" s="41" t="s">
        <v>37</v>
      </c>
      <c r="I15" s="41" t="s">
        <v>10</v>
      </c>
      <c r="J15" s="42" t="s">
        <v>122</v>
      </c>
      <c r="K15" s="42" t="s">
        <v>55</v>
      </c>
      <c r="L15" s="42" t="s">
        <v>416</v>
      </c>
      <c r="M15" s="42" t="s">
        <v>37</v>
      </c>
      <c r="N15" s="42" t="s">
        <v>37</v>
      </c>
      <c r="O15" s="42" t="s">
        <v>37</v>
      </c>
    </row>
    <row r="16" spans="1:16" x14ac:dyDescent="0.35">
      <c r="A16" s="41">
        <v>10</v>
      </c>
      <c r="B16" s="41" t="str">
        <f>CONCATENATE($B$2, ".", A16)</f>
        <v>5.10</v>
      </c>
      <c r="C16" s="50" t="s">
        <v>40</v>
      </c>
      <c r="D16" s="41" t="s">
        <v>62</v>
      </c>
      <c r="E16" s="41" t="s">
        <v>43</v>
      </c>
      <c r="F16" s="41" t="s">
        <v>37</v>
      </c>
      <c r="G16" s="41" t="s">
        <v>37</v>
      </c>
      <c r="H16" s="41" t="s">
        <v>37</v>
      </c>
      <c r="I16" s="41" t="s">
        <v>10</v>
      </c>
      <c r="J16" s="41" t="s">
        <v>37</v>
      </c>
      <c r="K16" s="41" t="s">
        <v>37</v>
      </c>
      <c r="L16" s="41" t="s">
        <v>37</v>
      </c>
      <c r="M16" s="41" t="s">
        <v>37</v>
      </c>
      <c r="N16" s="41" t="s">
        <v>37</v>
      </c>
      <c r="O16" s="41" t="s">
        <v>72</v>
      </c>
    </row>
    <row r="17" spans="1:15" x14ac:dyDescent="0.35">
      <c r="A17" s="41">
        <v>11</v>
      </c>
      <c r="B17" s="41" t="str">
        <f t="shared" si="0"/>
        <v>5.11</v>
      </c>
      <c r="C17" s="50" t="s">
        <v>40</v>
      </c>
      <c r="D17" s="41" t="s">
        <v>61</v>
      </c>
      <c r="E17" s="41" t="s">
        <v>43</v>
      </c>
      <c r="F17" s="41" t="s">
        <v>37</v>
      </c>
      <c r="G17" s="41" t="s">
        <v>37</v>
      </c>
      <c r="H17" s="41" t="s">
        <v>37</v>
      </c>
      <c r="I17" s="41" t="s">
        <v>10</v>
      </c>
      <c r="J17" s="41" t="s">
        <v>37</v>
      </c>
      <c r="K17" s="41" t="s">
        <v>37</v>
      </c>
      <c r="L17" s="41" t="s">
        <v>37</v>
      </c>
      <c r="M17" s="41" t="s">
        <v>37</v>
      </c>
      <c r="N17" s="41" t="s">
        <v>37</v>
      </c>
      <c r="O17" s="41" t="s">
        <v>63</v>
      </c>
    </row>
  </sheetData>
  <conditionalFormatting sqref="C18:C1048576 C8:C14">
    <cfRule type="cellIs" dxfId="284" priority="39" operator="equal">
      <formula>"WIP (see comments)"</formula>
    </cfRule>
    <cfRule type="cellIs" dxfId="283" priority="40" operator="equal">
      <formula>"Removed"</formula>
    </cfRule>
    <cfRule type="cellIs" dxfId="282" priority="41" operator="equal">
      <formula>"Updated"</formula>
    </cfRule>
    <cfRule type="cellIs" dxfId="281" priority="42" operator="equal">
      <formula>"New"</formula>
    </cfRule>
  </conditionalFormatting>
  <conditionalFormatting sqref="C7:C14">
    <cfRule type="cellIs" dxfId="280" priority="31" operator="equal">
      <formula>"WIP (see comments)"</formula>
    </cfRule>
    <cfRule type="cellIs" dxfId="279" priority="32" operator="equal">
      <formula>"Removed"</formula>
    </cfRule>
    <cfRule type="cellIs" dxfId="278" priority="33" operator="equal">
      <formula>"Updated"</formula>
    </cfRule>
    <cfRule type="cellIs" dxfId="277" priority="34" operator="equal">
      <formula>"New"</formula>
    </cfRule>
  </conditionalFormatting>
  <conditionalFormatting sqref="A18:XFD1048576 P14:XFD14 A15:B17 D15:XFD17 C14 A1:C1 E1:XFD1 A2:XFD13">
    <cfRule type="cellIs" dxfId="276" priority="26" operator="equal">
      <formula>"n/a"</formula>
    </cfRule>
  </conditionalFormatting>
  <conditionalFormatting sqref="A14:B14">
    <cfRule type="cellIs" dxfId="275" priority="25" operator="equal">
      <formula>"n/a"</formula>
    </cfRule>
  </conditionalFormatting>
  <conditionalFormatting sqref="C15:C17">
    <cfRule type="cellIs" dxfId="274" priority="3" operator="equal">
      <formula>"WIP (see comments)"</formula>
    </cfRule>
    <cfRule type="cellIs" dxfId="273" priority="4" operator="equal">
      <formula>"Removed"</formula>
    </cfRule>
    <cfRule type="cellIs" dxfId="272" priority="5" operator="equal">
      <formula>"Updated"</formula>
    </cfRule>
    <cfRule type="cellIs" dxfId="271" priority="6" operator="equal">
      <formula>"New"</formula>
    </cfRule>
  </conditionalFormatting>
  <conditionalFormatting sqref="D14:O14">
    <cfRule type="cellIs" dxfId="270" priority="20" operator="equal">
      <formula>"n/a"</formula>
    </cfRule>
  </conditionalFormatting>
  <conditionalFormatting sqref="C15:C17">
    <cfRule type="cellIs" dxfId="269" priority="7" operator="equal">
      <formula>"WIP (see comments)"</formula>
    </cfRule>
    <cfRule type="cellIs" dxfId="268" priority="8" operator="equal">
      <formula>"Removed"</formula>
    </cfRule>
    <cfRule type="cellIs" dxfId="267" priority="9" operator="equal">
      <formula>"Updated"</formula>
    </cfRule>
    <cfRule type="cellIs" dxfId="266" priority="10" operator="equal">
      <formula>"New"</formula>
    </cfRule>
  </conditionalFormatting>
  <conditionalFormatting sqref="C15:C17">
    <cfRule type="cellIs" dxfId="265" priority="2" operator="equal">
      <formula>"n/a"</formula>
    </cfRule>
  </conditionalFormatting>
  <conditionalFormatting sqref="D1">
    <cfRule type="cellIs" dxfId="26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73</v>
      </c>
      <c r="C1" s="34"/>
      <c r="D1" s="31"/>
    </row>
    <row r="2" spans="1:16" s="32" customFormat="1" ht="18.5" x14ac:dyDescent="0.35">
      <c r="A2" s="30" t="s">
        <v>7</v>
      </c>
      <c r="B2" s="38">
        <v>6</v>
      </c>
      <c r="C2" s="37"/>
      <c r="D2" s="38"/>
    </row>
    <row r="3" spans="1:16" s="32" customFormat="1" ht="18.5" x14ac:dyDescent="0.35">
      <c r="A3" s="30" t="s">
        <v>45</v>
      </c>
      <c r="B3" s="38" t="s">
        <v>391</v>
      </c>
      <c r="C3" s="37"/>
      <c r="D3" s="38"/>
    </row>
    <row r="4" spans="1:16" s="32" customFormat="1" ht="18.5" x14ac:dyDescent="0.35">
      <c r="A4" s="30" t="s">
        <v>8</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51" customFormat="1" x14ac:dyDescent="0.35">
      <c r="A7" s="51">
        <v>1</v>
      </c>
      <c r="B7" s="51" t="str">
        <f>CONCATENATE($B$2, ".", A7)</f>
        <v>6.1</v>
      </c>
      <c r="C7" s="52" t="s">
        <v>40</v>
      </c>
      <c r="D7" s="53" t="s">
        <v>227</v>
      </c>
      <c r="E7" s="51" t="s">
        <v>29</v>
      </c>
      <c r="F7" s="51" t="s">
        <v>37</v>
      </c>
      <c r="G7" s="51" t="s">
        <v>37</v>
      </c>
      <c r="H7" s="51" t="s">
        <v>37</v>
      </c>
      <c r="I7" s="53" t="s">
        <v>10</v>
      </c>
      <c r="J7" s="51" t="s">
        <v>37</v>
      </c>
      <c r="K7" s="51" t="s">
        <v>37</v>
      </c>
      <c r="L7" s="51" t="s">
        <v>37</v>
      </c>
      <c r="M7" s="51" t="s">
        <v>37</v>
      </c>
      <c r="N7" s="51" t="s">
        <v>37</v>
      </c>
      <c r="O7" s="51" t="s">
        <v>37</v>
      </c>
    </row>
    <row r="8" spans="1:16" s="51" customFormat="1" x14ac:dyDescent="0.35">
      <c r="A8" s="51">
        <v>2</v>
      </c>
      <c r="B8" s="51" t="str">
        <f t="shared" ref="B8:B13" si="0">CONCATENATE($B$2, ".", A8)</f>
        <v>6.2</v>
      </c>
      <c r="C8" s="55" t="s">
        <v>40</v>
      </c>
      <c r="D8" s="53" t="s">
        <v>37</v>
      </c>
      <c r="E8" s="53" t="s">
        <v>50</v>
      </c>
      <c r="F8" s="51" t="s">
        <v>37</v>
      </c>
      <c r="G8" s="51" t="s">
        <v>37</v>
      </c>
      <c r="H8" s="51" t="s">
        <v>37</v>
      </c>
      <c r="I8" s="53" t="s">
        <v>10</v>
      </c>
      <c r="J8" s="51" t="s">
        <v>37</v>
      </c>
      <c r="K8" s="51" t="s">
        <v>37</v>
      </c>
      <c r="L8" s="51" t="s">
        <v>37</v>
      </c>
      <c r="M8" s="51" t="s">
        <v>37</v>
      </c>
      <c r="N8" s="51" t="s">
        <v>37</v>
      </c>
      <c r="O8" s="51" t="s">
        <v>37</v>
      </c>
    </row>
    <row r="9" spans="1:16" s="51" customFormat="1" ht="84.75" customHeight="1" x14ac:dyDescent="0.35">
      <c r="A9" s="51">
        <v>3</v>
      </c>
      <c r="B9" s="51" t="str">
        <f t="shared" si="0"/>
        <v>6.3</v>
      </c>
      <c r="C9" s="55" t="s">
        <v>40</v>
      </c>
      <c r="D9" s="53" t="s">
        <v>322</v>
      </c>
      <c r="E9" s="53" t="s">
        <v>34</v>
      </c>
      <c r="F9" s="51" t="s">
        <v>37</v>
      </c>
      <c r="G9" s="51" t="s">
        <v>37</v>
      </c>
      <c r="H9" s="51" t="s">
        <v>37</v>
      </c>
      <c r="I9" s="53" t="s">
        <v>10</v>
      </c>
      <c r="J9" s="51" t="s">
        <v>37</v>
      </c>
      <c r="K9" s="51" t="s">
        <v>37</v>
      </c>
      <c r="L9" s="51" t="s">
        <v>37</v>
      </c>
      <c r="M9" s="51" t="s">
        <v>37</v>
      </c>
      <c r="N9" s="51" t="s">
        <v>37</v>
      </c>
      <c r="O9" s="51" t="s">
        <v>37</v>
      </c>
    </row>
    <row r="10" spans="1:16" ht="99" customHeight="1" x14ac:dyDescent="0.35">
      <c r="A10" s="6">
        <v>4</v>
      </c>
      <c r="B10" s="51" t="str">
        <f t="shared" si="0"/>
        <v>6.4</v>
      </c>
      <c r="C10" s="55" t="s">
        <v>40</v>
      </c>
      <c r="D10" s="6" t="s">
        <v>37</v>
      </c>
      <c r="E10" s="6" t="s">
        <v>228</v>
      </c>
      <c r="F10" s="51" t="s">
        <v>37</v>
      </c>
      <c r="G10" s="51" t="s">
        <v>37</v>
      </c>
      <c r="H10" s="51" t="s">
        <v>37</v>
      </c>
      <c r="I10" s="53" t="s">
        <v>10</v>
      </c>
      <c r="J10" s="51" t="s">
        <v>37</v>
      </c>
      <c r="K10" s="90" t="s">
        <v>231</v>
      </c>
      <c r="L10" s="91" t="s">
        <v>232</v>
      </c>
      <c r="M10" s="51" t="s">
        <v>37</v>
      </c>
      <c r="N10" s="51" t="s">
        <v>37</v>
      </c>
      <c r="O10" s="42" t="s">
        <v>233</v>
      </c>
    </row>
    <row r="11" spans="1:16" ht="57.75" customHeight="1" x14ac:dyDescent="0.35">
      <c r="A11" s="6">
        <v>5</v>
      </c>
      <c r="B11" s="6" t="str">
        <f t="shared" si="0"/>
        <v>6.5</v>
      </c>
      <c r="C11" s="55" t="s">
        <v>40</v>
      </c>
      <c r="D11" s="6" t="s">
        <v>229</v>
      </c>
      <c r="E11" s="6" t="s">
        <v>30</v>
      </c>
      <c r="F11" s="6" t="s">
        <v>68</v>
      </c>
      <c r="G11" s="51" t="s">
        <v>37</v>
      </c>
      <c r="H11" s="51" t="s">
        <v>37</v>
      </c>
      <c r="I11" s="53" t="s">
        <v>10</v>
      </c>
      <c r="J11" s="5" t="s">
        <v>230</v>
      </c>
      <c r="K11" s="90"/>
      <c r="L11" s="91"/>
      <c r="M11" s="51" t="s">
        <v>37</v>
      </c>
      <c r="N11" s="51" t="s">
        <v>37</v>
      </c>
      <c r="O11" s="42" t="s">
        <v>234</v>
      </c>
    </row>
    <row r="12" spans="1:16" ht="57.75" customHeight="1" x14ac:dyDescent="0.35">
      <c r="A12" s="6">
        <v>6</v>
      </c>
      <c r="B12" s="6" t="str">
        <f t="shared" si="0"/>
        <v>6.6</v>
      </c>
      <c r="C12" s="76" t="s">
        <v>40</v>
      </c>
      <c r="D12" s="6" t="s">
        <v>280</v>
      </c>
      <c r="E12" s="6" t="s">
        <v>34</v>
      </c>
      <c r="F12" s="6" t="s">
        <v>37</v>
      </c>
      <c r="G12" s="51" t="s">
        <v>37</v>
      </c>
      <c r="H12" s="51" t="s">
        <v>37</v>
      </c>
      <c r="I12" s="53" t="s">
        <v>10</v>
      </c>
      <c r="J12" s="5" t="s">
        <v>37</v>
      </c>
      <c r="K12" s="5" t="s">
        <v>37</v>
      </c>
      <c r="L12" s="5" t="s">
        <v>37</v>
      </c>
      <c r="M12" s="5" t="s">
        <v>37</v>
      </c>
      <c r="N12" s="5" t="s">
        <v>37</v>
      </c>
      <c r="O12" s="5" t="s">
        <v>37</v>
      </c>
    </row>
    <row r="13" spans="1:16" ht="57.75" customHeight="1" x14ac:dyDescent="0.35">
      <c r="A13" s="6">
        <v>7</v>
      </c>
      <c r="B13" s="6" t="str">
        <f t="shared" si="0"/>
        <v>6.7</v>
      </c>
      <c r="C13" s="76" t="s">
        <v>40</v>
      </c>
      <c r="D13" s="6" t="s">
        <v>321</v>
      </c>
      <c r="E13" s="6" t="s">
        <v>171</v>
      </c>
      <c r="F13" s="6" t="s">
        <v>37</v>
      </c>
      <c r="G13" s="51" t="s">
        <v>37</v>
      </c>
      <c r="H13" s="51" t="s">
        <v>37</v>
      </c>
      <c r="I13" s="53" t="s">
        <v>10</v>
      </c>
      <c r="J13" s="5" t="s">
        <v>37</v>
      </c>
      <c r="K13" s="5" t="s">
        <v>37</v>
      </c>
      <c r="L13" s="5" t="s">
        <v>37</v>
      </c>
      <c r="M13" s="5" t="s">
        <v>37</v>
      </c>
      <c r="N13" s="5" t="s">
        <v>37</v>
      </c>
      <c r="O13" s="5" t="s">
        <v>37</v>
      </c>
    </row>
    <row r="14" spans="1:16" x14ac:dyDescent="0.35">
      <c r="A14" s="6">
        <v>8</v>
      </c>
      <c r="B14" s="6" t="str">
        <f>CONCATENATE($B$2, ".", A14)</f>
        <v>6.8</v>
      </c>
      <c r="C14" s="55" t="s">
        <v>40</v>
      </c>
      <c r="D14" s="6" t="s">
        <v>62</v>
      </c>
      <c r="E14" s="6" t="s">
        <v>43</v>
      </c>
      <c r="F14" s="6" t="s">
        <v>37</v>
      </c>
      <c r="G14" s="6" t="s">
        <v>37</v>
      </c>
      <c r="H14" s="6" t="s">
        <v>37</v>
      </c>
      <c r="I14" s="6" t="s">
        <v>10</v>
      </c>
      <c r="J14" s="6" t="s">
        <v>37</v>
      </c>
      <c r="K14" s="6" t="s">
        <v>37</v>
      </c>
      <c r="L14" s="6" t="s">
        <v>37</v>
      </c>
      <c r="M14" s="6" t="s">
        <v>37</v>
      </c>
      <c r="N14" s="6" t="s">
        <v>37</v>
      </c>
      <c r="O14" s="6" t="s">
        <v>103</v>
      </c>
    </row>
    <row r="15" spans="1:16" ht="29" x14ac:dyDescent="0.35">
      <c r="A15" s="6">
        <v>9</v>
      </c>
      <c r="B15" s="6" t="str">
        <f t="shared" ref="B15" si="1">CONCATENATE($B$2, ".", A15)</f>
        <v>6.9</v>
      </c>
      <c r="C15" s="55" t="s">
        <v>40</v>
      </c>
      <c r="D15" s="6" t="s">
        <v>61</v>
      </c>
      <c r="E15" s="6" t="s">
        <v>43</v>
      </c>
      <c r="F15" s="6" t="s">
        <v>37</v>
      </c>
      <c r="G15" s="6" t="s">
        <v>37</v>
      </c>
      <c r="H15" s="6" t="s">
        <v>37</v>
      </c>
      <c r="I15" s="6" t="s">
        <v>10</v>
      </c>
      <c r="J15" s="6" t="s">
        <v>37</v>
      </c>
      <c r="K15" s="6" t="s">
        <v>37</v>
      </c>
      <c r="L15" s="6" t="s">
        <v>37</v>
      </c>
      <c r="M15" s="6" t="s">
        <v>37</v>
      </c>
      <c r="N15" s="6" t="s">
        <v>37</v>
      </c>
      <c r="O15" s="6" t="s">
        <v>69</v>
      </c>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row r="23" spans="9:15" x14ac:dyDescent="0.35">
      <c r="I23" s="41"/>
      <c r="J23" s="5"/>
      <c r="K23" s="5"/>
      <c r="L23" s="42"/>
      <c r="M23" s="42"/>
      <c r="N23" s="42"/>
      <c r="O23" s="42"/>
    </row>
    <row r="24" spans="9:15" x14ac:dyDescent="0.35">
      <c r="I24" s="41"/>
      <c r="J24" s="5"/>
      <c r="K24" s="5"/>
      <c r="L24" s="42"/>
      <c r="M24" s="42"/>
      <c r="N24" s="42"/>
      <c r="O24" s="42"/>
    </row>
  </sheetData>
  <mergeCells count="2">
    <mergeCell ref="K10:K11"/>
    <mergeCell ref="L10:L11"/>
  </mergeCells>
  <conditionalFormatting sqref="C16:C1048576">
    <cfRule type="cellIs" dxfId="263" priority="47" operator="equal">
      <formula>"WIP (see comments)"</formula>
    </cfRule>
    <cfRule type="cellIs" dxfId="262" priority="48" operator="equal">
      <formula>"Removed"</formula>
    </cfRule>
    <cfRule type="cellIs" dxfId="261" priority="49" operator="equal">
      <formula>"Updated"</formula>
    </cfRule>
    <cfRule type="cellIs" dxfId="260" priority="50" operator="equal">
      <formula>"New"</formula>
    </cfRule>
  </conditionalFormatting>
  <conditionalFormatting sqref="C7:C15">
    <cfRule type="cellIs" dxfId="259" priority="31" operator="equal">
      <formula>"WIP (see comments)"</formula>
    </cfRule>
    <cfRule type="cellIs" dxfId="258" priority="32" operator="equal">
      <formula>"Removed"</formula>
    </cfRule>
    <cfRule type="cellIs" dxfId="257" priority="33" operator="equal">
      <formula>"Updated"</formula>
    </cfRule>
    <cfRule type="cellIs" dxfId="256" priority="34" operator="equal">
      <formula>"New"</formula>
    </cfRule>
  </conditionalFormatting>
  <conditionalFormatting sqref="A1:XFD7 A16:XFD1048576 M11:XFD11 D11:J11 A8:B13 D8:XFD10 P12:XFD13 C8:C15">
    <cfRule type="cellIs" dxfId="255" priority="29" operator="equal">
      <formula>"n/a"</formula>
    </cfRule>
  </conditionalFormatting>
  <conditionalFormatting sqref="A14:B15 D14:XFD15">
    <cfRule type="cellIs" dxfId="254" priority="15" operator="equal">
      <formula>"n/a"</formula>
    </cfRule>
  </conditionalFormatting>
  <conditionalFormatting sqref="J13:K13 J12 D12:I13">
    <cfRule type="cellIs" dxfId="253" priority="10" operator="equal">
      <formula>"n/a"</formula>
    </cfRule>
  </conditionalFormatting>
  <conditionalFormatting sqref="K12">
    <cfRule type="cellIs" dxfId="252" priority="9" operator="equal">
      <formula>"n/a"</formula>
    </cfRule>
  </conditionalFormatting>
  <conditionalFormatting sqref="L13">
    <cfRule type="cellIs" dxfId="251" priority="8" operator="equal">
      <formula>"n/a"</formula>
    </cfRule>
  </conditionalFormatting>
  <conditionalFormatting sqref="L12">
    <cfRule type="cellIs" dxfId="250" priority="7" operator="equal">
      <formula>"n/a"</formula>
    </cfRule>
  </conditionalFormatting>
  <conditionalFormatting sqref="M13">
    <cfRule type="cellIs" dxfId="249" priority="6" operator="equal">
      <formula>"n/a"</formula>
    </cfRule>
  </conditionalFormatting>
  <conditionalFormatting sqref="M12">
    <cfRule type="cellIs" dxfId="248" priority="5" operator="equal">
      <formula>"n/a"</formula>
    </cfRule>
  </conditionalFormatting>
  <conditionalFormatting sqref="N13">
    <cfRule type="cellIs" dxfId="247" priority="4" operator="equal">
      <formula>"n/a"</formula>
    </cfRule>
  </conditionalFormatting>
  <conditionalFormatting sqref="N12">
    <cfRule type="cellIs" dxfId="246" priority="3" operator="equal">
      <formula>"n/a"</formula>
    </cfRule>
  </conditionalFormatting>
  <conditionalFormatting sqref="O13">
    <cfRule type="cellIs" dxfId="245" priority="2" operator="equal">
      <formula>"n/a"</formula>
    </cfRule>
  </conditionalFormatting>
  <conditionalFormatting sqref="O12">
    <cfRule type="cellIs" dxfId="24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C7:C1048576</xm:sqref>
        </x14:dataValidation>
        <x14:dataValidation type="list" allowBlank="1" showInputMessage="1" showErrorMessage="1">
          <x14:formula1>
            <xm:f>'List Values'!$A$5:$A$27</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ySplit="6" topLeftCell="A7" activePane="bottomLeft" state="frozen"/>
      <selection pane="bottomLeft" activeCell="B3" sqref="B3"/>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74</v>
      </c>
      <c r="C1" s="34"/>
      <c r="D1" s="31"/>
    </row>
    <row r="2" spans="1:16" s="32" customFormat="1" ht="18.5" x14ac:dyDescent="0.35">
      <c r="A2" s="30" t="s">
        <v>7</v>
      </c>
      <c r="B2" s="38">
        <v>7</v>
      </c>
      <c r="C2" s="37"/>
      <c r="D2" s="38"/>
    </row>
    <row r="3" spans="1:16" s="32" customFormat="1" ht="18.5" x14ac:dyDescent="0.35">
      <c r="A3" s="30" t="s">
        <v>45</v>
      </c>
      <c r="B3" s="38" t="s">
        <v>391</v>
      </c>
      <c r="C3" s="37"/>
      <c r="D3" s="38"/>
    </row>
    <row r="4" spans="1:16" s="32" customFormat="1" ht="18.5" x14ac:dyDescent="0.35">
      <c r="A4" s="30" t="s">
        <v>8</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2" si="0">CONCATENATE($B$2, ".", A7)</f>
        <v>7.1</v>
      </c>
      <c r="C7" s="50" t="s">
        <v>40</v>
      </c>
      <c r="D7" s="41" t="s">
        <v>84</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7.2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43.5" x14ac:dyDescent="0.35">
      <c r="A9" s="41">
        <v>3</v>
      </c>
      <c r="B9" s="41" t="str">
        <f t="shared" si="0"/>
        <v>7.3</v>
      </c>
      <c r="C9" s="50" t="s">
        <v>40</v>
      </c>
      <c r="D9" s="41" t="s">
        <v>146</v>
      </c>
      <c r="E9" s="41" t="s">
        <v>33</v>
      </c>
      <c r="F9" s="41" t="s">
        <v>53</v>
      </c>
      <c r="G9" s="41" t="s">
        <v>37</v>
      </c>
      <c r="H9" s="43">
        <v>50</v>
      </c>
      <c r="I9" s="41" t="s">
        <v>10</v>
      </c>
      <c r="J9" s="42" t="s">
        <v>77</v>
      </c>
      <c r="K9" s="42" t="s">
        <v>55</v>
      </c>
      <c r="L9" s="42" t="s">
        <v>79</v>
      </c>
      <c r="M9" s="42" t="s">
        <v>37</v>
      </c>
      <c r="N9" s="42" t="s">
        <v>37</v>
      </c>
      <c r="O9" s="42" t="s">
        <v>81</v>
      </c>
    </row>
    <row r="10" spans="1:16" s="41" customFormat="1" ht="43.5" x14ac:dyDescent="0.35">
      <c r="A10" s="41">
        <v>4</v>
      </c>
      <c r="B10" s="41" t="str">
        <f t="shared" si="0"/>
        <v>7.4</v>
      </c>
      <c r="C10" s="50" t="s">
        <v>40</v>
      </c>
      <c r="D10" s="41" t="s">
        <v>147</v>
      </c>
      <c r="E10" s="41" t="s">
        <v>33</v>
      </c>
      <c r="F10" s="41" t="s">
        <v>53</v>
      </c>
      <c r="G10" s="41" t="s">
        <v>37</v>
      </c>
      <c r="H10" s="43">
        <v>50</v>
      </c>
      <c r="I10" s="41" t="s">
        <v>10</v>
      </c>
      <c r="J10" s="42" t="s">
        <v>78</v>
      </c>
      <c r="K10" s="42" t="s">
        <v>55</v>
      </c>
      <c r="L10" s="42" t="s">
        <v>80</v>
      </c>
      <c r="M10" s="42" t="s">
        <v>37</v>
      </c>
      <c r="N10" s="42" t="s">
        <v>37</v>
      </c>
      <c r="O10" s="42" t="s">
        <v>81</v>
      </c>
    </row>
    <row r="11" spans="1:16" s="41" customFormat="1" x14ac:dyDescent="0.35">
      <c r="A11" s="41">
        <v>5</v>
      </c>
      <c r="B11" s="41" t="str">
        <f>CONCATENATE($B$2, ".", A11)</f>
        <v>7.5</v>
      </c>
      <c r="C11" s="50" t="s">
        <v>40</v>
      </c>
      <c r="D11" s="41" t="s">
        <v>62</v>
      </c>
      <c r="E11" s="41" t="s">
        <v>43</v>
      </c>
      <c r="F11" s="41" t="s">
        <v>37</v>
      </c>
      <c r="G11" s="41" t="s">
        <v>37</v>
      </c>
      <c r="H11" s="41" t="s">
        <v>37</v>
      </c>
      <c r="I11" s="41" t="s">
        <v>10</v>
      </c>
      <c r="J11" s="41" t="s">
        <v>37</v>
      </c>
      <c r="K11" s="41" t="s">
        <v>37</v>
      </c>
      <c r="L11" s="41" t="s">
        <v>37</v>
      </c>
      <c r="M11" s="41" t="s">
        <v>37</v>
      </c>
      <c r="N11" s="41" t="s">
        <v>37</v>
      </c>
      <c r="O11" s="41" t="s">
        <v>76</v>
      </c>
    </row>
    <row r="12" spans="1:16" s="41" customFormat="1" x14ac:dyDescent="0.35">
      <c r="A12" s="41">
        <v>6</v>
      </c>
      <c r="B12" s="41" t="str">
        <f t="shared" si="0"/>
        <v>7.6</v>
      </c>
      <c r="C12" s="50" t="s">
        <v>40</v>
      </c>
      <c r="D12" s="41" t="s">
        <v>61</v>
      </c>
      <c r="E12" s="41" t="s">
        <v>43</v>
      </c>
      <c r="F12" s="41" t="s">
        <v>37</v>
      </c>
      <c r="G12" s="41" t="s">
        <v>37</v>
      </c>
      <c r="H12" s="41" t="s">
        <v>37</v>
      </c>
      <c r="I12" s="41" t="s">
        <v>10</v>
      </c>
      <c r="J12" s="41" t="s">
        <v>37</v>
      </c>
      <c r="K12" s="41" t="s">
        <v>37</v>
      </c>
      <c r="L12" s="41" t="s">
        <v>37</v>
      </c>
      <c r="M12" s="41" t="s">
        <v>37</v>
      </c>
      <c r="N12" s="41" t="s">
        <v>37</v>
      </c>
      <c r="O12" s="41" t="s">
        <v>75</v>
      </c>
    </row>
    <row r="13" spans="1:16" x14ac:dyDescent="0.35">
      <c r="I13" s="41"/>
      <c r="J13" s="5"/>
      <c r="K13" s="5"/>
      <c r="L13" s="42"/>
      <c r="M13" s="42"/>
      <c r="N13" s="42"/>
      <c r="O13" s="42"/>
    </row>
    <row r="14" spans="1:16" x14ac:dyDescent="0.35">
      <c r="D14" s="6" t="s">
        <v>83</v>
      </c>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conditionalFormatting sqref="C13:C1048576">
    <cfRule type="cellIs" dxfId="243" priority="13" operator="equal">
      <formula>"WIP (see comments)"</formula>
    </cfRule>
    <cfRule type="cellIs" dxfId="242" priority="14" operator="equal">
      <formula>"Removed"</formula>
    </cfRule>
    <cfRule type="cellIs" dxfId="241" priority="15" operator="equal">
      <formula>"Updated"</formula>
    </cfRule>
    <cfRule type="cellIs" dxfId="240" priority="16" operator="equal">
      <formula>"New"</formula>
    </cfRule>
  </conditionalFormatting>
  <conditionalFormatting sqref="C7:C12">
    <cfRule type="cellIs" dxfId="239" priority="5" operator="equal">
      <formula>"WIP (see comments)"</formula>
    </cfRule>
    <cfRule type="cellIs" dxfId="238" priority="6" operator="equal">
      <formula>"Removed"</formula>
    </cfRule>
    <cfRule type="cellIs" dxfId="237" priority="7" operator="equal">
      <formula>"Updated"</formula>
    </cfRule>
    <cfRule type="cellIs" dxfId="236" priority="8" operator="equal">
      <formula>"New"</formula>
    </cfRule>
  </conditionalFormatting>
  <dataValidations count="1">
    <dataValidation type="list" allowBlank="1" showInputMessage="1" showErrorMessage="1" sqref="C13:C1048576">
      <formula1>$B$5:$B$11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C7:C12</xm:sqref>
        </x14:dataValidation>
        <x14:dataValidation type="list" allowBlank="1" showInputMessage="1" showErrorMessage="1">
          <x14:formula1>
            <xm:f>'List Values'!$A$5:$A$26</xm:f>
          </x14:formula1>
          <xm:sqref>E7:E1048576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zoomScaleNormal="100" workbookViewId="0">
      <pane ySplit="6" topLeftCell="A7" activePane="bottomLeft" state="frozen"/>
      <selection pane="bottomLeft" activeCell="D4" sqref="D4"/>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21.81640625" style="6" customWidth="1"/>
    <col min="7" max="7" width="29.26953125" style="6" customWidth="1"/>
    <col min="8" max="8" width="27.81640625" style="6" customWidth="1"/>
    <col min="9" max="9" width="34.81640625" style="6" customWidth="1"/>
    <col min="10" max="10" width="28.1796875" style="6" customWidth="1"/>
    <col min="11" max="11" width="16.453125" style="6" customWidth="1"/>
    <col min="12" max="12" width="23" style="6" customWidth="1"/>
    <col min="13" max="13" width="29" style="6" customWidth="1"/>
    <col min="14" max="14" width="25.54296875" style="6" customWidth="1"/>
    <col min="15" max="15" width="48.453125" style="6" customWidth="1"/>
    <col min="16" max="16" width="41.81640625" style="6" customWidth="1"/>
    <col min="17" max="16384" width="9.1796875" style="6"/>
  </cols>
  <sheetData>
    <row r="1" spans="1:16" s="32" customFormat="1" ht="18.5" x14ac:dyDescent="0.35">
      <c r="A1" s="30" t="s">
        <v>6</v>
      </c>
      <c r="B1" s="40" t="s">
        <v>82</v>
      </c>
      <c r="C1" s="34"/>
      <c r="D1" s="31"/>
    </row>
    <row r="2" spans="1:16" s="32" customFormat="1" ht="18.5" x14ac:dyDescent="0.35">
      <c r="A2" s="30" t="s">
        <v>7</v>
      </c>
      <c r="B2" s="38">
        <v>8</v>
      </c>
      <c r="C2" s="37"/>
      <c r="D2" s="38"/>
    </row>
    <row r="3" spans="1:16" s="32" customFormat="1" ht="18.5" x14ac:dyDescent="0.35">
      <c r="A3" s="30" t="s">
        <v>45</v>
      </c>
      <c r="B3" s="38" t="s">
        <v>391</v>
      </c>
      <c r="C3" s="37"/>
      <c r="D3" s="38"/>
    </row>
    <row r="4" spans="1:16" s="32" customFormat="1" ht="18.5" x14ac:dyDescent="0.35">
      <c r="A4" s="30" t="s">
        <v>8</v>
      </c>
      <c r="B4" s="32" t="s">
        <v>48</v>
      </c>
      <c r="C4" s="37"/>
    </row>
    <row r="5" spans="1:16" s="4" customFormat="1" x14ac:dyDescent="0.35">
      <c r="A5" s="69"/>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CONCATENATE($B$2, ".", A7)</f>
        <v>8.1</v>
      </c>
      <c r="C7" s="36" t="s">
        <v>40</v>
      </c>
      <c r="D7" s="41" t="s">
        <v>303</v>
      </c>
      <c r="E7" s="6" t="s">
        <v>29</v>
      </c>
      <c r="F7" s="6" t="s">
        <v>37</v>
      </c>
      <c r="G7" s="6" t="s">
        <v>37</v>
      </c>
      <c r="H7" s="6" t="s">
        <v>37</v>
      </c>
      <c r="I7" s="41" t="s">
        <v>10</v>
      </c>
      <c r="J7" s="5" t="s">
        <v>37</v>
      </c>
      <c r="K7" s="5" t="s">
        <v>37</v>
      </c>
      <c r="L7" s="5" t="s">
        <v>37</v>
      </c>
      <c r="M7" s="5" t="s">
        <v>37</v>
      </c>
      <c r="N7" s="5" t="s">
        <v>37</v>
      </c>
      <c r="O7" s="5" t="s">
        <v>37</v>
      </c>
    </row>
    <row r="8" spans="1:16" x14ac:dyDescent="0.35">
      <c r="A8" s="6">
        <v>2</v>
      </c>
      <c r="B8" s="6" t="str">
        <f>CONCATENATE($B$2, ".", A8)</f>
        <v>8.2</v>
      </c>
      <c r="C8" s="36" t="s">
        <v>40</v>
      </c>
      <c r="D8" s="41" t="s">
        <v>83</v>
      </c>
      <c r="E8" s="41" t="s">
        <v>50</v>
      </c>
      <c r="F8" s="6" t="s">
        <v>37</v>
      </c>
      <c r="G8" s="6" t="s">
        <v>37</v>
      </c>
      <c r="H8" s="6" t="s">
        <v>37</v>
      </c>
      <c r="I8" s="41" t="s">
        <v>10</v>
      </c>
      <c r="J8" s="5" t="s">
        <v>37</v>
      </c>
      <c r="K8" s="5" t="s">
        <v>37</v>
      </c>
      <c r="L8" s="5" t="s">
        <v>37</v>
      </c>
      <c r="M8" s="5" t="s">
        <v>37</v>
      </c>
      <c r="N8" s="5" t="s">
        <v>37</v>
      </c>
      <c r="O8" s="5" t="s">
        <v>37</v>
      </c>
    </row>
    <row r="9" spans="1:16" s="79" customFormat="1" x14ac:dyDescent="0.35">
      <c r="A9" s="89"/>
      <c r="B9" s="89"/>
      <c r="C9" s="89"/>
      <c r="D9" s="89"/>
      <c r="E9" s="89"/>
    </row>
    <row r="10" spans="1:16" s="41" customFormat="1" ht="128.25" customHeight="1" x14ac:dyDescent="0.35">
      <c r="A10" s="41">
        <v>3</v>
      </c>
      <c r="B10" s="41" t="str">
        <f t="shared" ref="B10:B15" si="0">CONCATENATE($B$2, ".", A10)</f>
        <v>8.3</v>
      </c>
      <c r="C10" s="50" t="s">
        <v>40</v>
      </c>
      <c r="D10" s="41" t="s">
        <v>148</v>
      </c>
      <c r="E10" s="41" t="s">
        <v>90</v>
      </c>
      <c r="F10" s="41" t="s">
        <v>53</v>
      </c>
      <c r="G10" s="41" t="s">
        <v>37</v>
      </c>
      <c r="H10" s="43">
        <v>35</v>
      </c>
      <c r="I10" s="41" t="s">
        <v>10</v>
      </c>
      <c r="J10" s="42" t="s">
        <v>85</v>
      </c>
      <c r="K10" s="42" t="s">
        <v>94</v>
      </c>
      <c r="L10" s="42" t="s">
        <v>91</v>
      </c>
      <c r="M10" s="42" t="s">
        <v>37</v>
      </c>
      <c r="N10" s="42" t="s">
        <v>304</v>
      </c>
      <c r="O10" s="42" t="s">
        <v>289</v>
      </c>
    </row>
    <row r="11" spans="1:16" s="41" customFormat="1" ht="43.5" x14ac:dyDescent="0.35">
      <c r="A11" s="41">
        <v>4</v>
      </c>
      <c r="B11" s="41" t="str">
        <f t="shared" si="0"/>
        <v>8.4</v>
      </c>
      <c r="C11" s="50" t="s">
        <v>40</v>
      </c>
      <c r="D11" s="41" t="s">
        <v>92</v>
      </c>
      <c r="E11" s="41" t="s">
        <v>33</v>
      </c>
      <c r="F11" s="41" t="s">
        <v>53</v>
      </c>
      <c r="G11" s="41" t="s">
        <v>37</v>
      </c>
      <c r="H11" s="43">
        <v>10</v>
      </c>
      <c r="I11" s="41" t="s">
        <v>323</v>
      </c>
      <c r="J11" s="42" t="s">
        <v>151</v>
      </c>
      <c r="K11" s="42" t="s">
        <v>93</v>
      </c>
      <c r="L11" s="42" t="s">
        <v>155</v>
      </c>
      <c r="M11" s="42" t="s">
        <v>37</v>
      </c>
      <c r="N11" s="42" t="s">
        <v>37</v>
      </c>
      <c r="O11" s="42"/>
    </row>
    <row r="12" spans="1:16" s="41" customFormat="1" ht="43.5" x14ac:dyDescent="0.35">
      <c r="A12" s="41">
        <v>5</v>
      </c>
      <c r="B12" s="41" t="str">
        <f t="shared" si="0"/>
        <v>8.5</v>
      </c>
      <c r="C12" s="50" t="s">
        <v>40</v>
      </c>
      <c r="D12" s="41" t="s">
        <v>159</v>
      </c>
      <c r="E12" s="41" t="s">
        <v>33</v>
      </c>
      <c r="F12" s="41" t="s">
        <v>53</v>
      </c>
      <c r="G12" s="41" t="s">
        <v>37</v>
      </c>
      <c r="H12" s="43">
        <v>35</v>
      </c>
      <c r="I12" s="41" t="s">
        <v>323</v>
      </c>
      <c r="J12" s="42" t="s">
        <v>151</v>
      </c>
      <c r="K12" s="42" t="s">
        <v>93</v>
      </c>
      <c r="L12" s="42" t="s">
        <v>156</v>
      </c>
      <c r="M12" s="42" t="s">
        <v>37</v>
      </c>
      <c r="N12" s="42" t="s">
        <v>37</v>
      </c>
      <c r="O12" s="42"/>
    </row>
    <row r="13" spans="1:16" s="41" customFormat="1" ht="29" x14ac:dyDescent="0.35">
      <c r="A13" s="41">
        <v>6</v>
      </c>
      <c r="B13" s="41" t="str">
        <f t="shared" si="0"/>
        <v>8.6</v>
      </c>
      <c r="C13" s="50" t="s">
        <v>40</v>
      </c>
      <c r="D13" s="41" t="s">
        <v>86</v>
      </c>
      <c r="E13" s="41" t="s">
        <v>33</v>
      </c>
      <c r="F13" s="41" t="s">
        <v>53</v>
      </c>
      <c r="G13" s="41" t="s">
        <v>37</v>
      </c>
      <c r="H13" s="43">
        <v>10</v>
      </c>
      <c r="I13" s="41" t="s">
        <v>323</v>
      </c>
      <c r="J13" s="42" t="s">
        <v>151</v>
      </c>
      <c r="K13" s="42" t="s">
        <v>95</v>
      </c>
      <c r="L13" s="42" t="s">
        <v>37</v>
      </c>
      <c r="M13" s="42" t="s">
        <v>37</v>
      </c>
      <c r="N13" s="42" t="s">
        <v>37</v>
      </c>
      <c r="O13" s="42"/>
    </row>
    <row r="14" spans="1:16" s="41" customFormat="1" ht="43.5" x14ac:dyDescent="0.35">
      <c r="A14" s="41">
        <v>7</v>
      </c>
      <c r="B14" s="41" t="str">
        <f t="shared" si="0"/>
        <v>8.7</v>
      </c>
      <c r="C14" s="50" t="s">
        <v>40</v>
      </c>
      <c r="D14" s="41" t="s">
        <v>87</v>
      </c>
      <c r="E14" s="41" t="s">
        <v>33</v>
      </c>
      <c r="F14" s="41" t="s">
        <v>53</v>
      </c>
      <c r="G14" s="41" t="s">
        <v>37</v>
      </c>
      <c r="H14" s="43">
        <v>20</v>
      </c>
      <c r="I14" s="41" t="s">
        <v>323</v>
      </c>
      <c r="J14" s="42" t="s">
        <v>151</v>
      </c>
      <c r="K14" s="42" t="s">
        <v>93</v>
      </c>
      <c r="L14" s="42" t="s">
        <v>152</v>
      </c>
      <c r="M14" s="42" t="s">
        <v>37</v>
      </c>
      <c r="N14" s="42" t="s">
        <v>37</v>
      </c>
      <c r="O14" s="42"/>
    </row>
    <row r="15" spans="1:16" s="41" customFormat="1" ht="96.75" customHeight="1" x14ac:dyDescent="0.35">
      <c r="A15" s="41">
        <v>8</v>
      </c>
      <c r="B15" s="41" t="str">
        <f t="shared" si="0"/>
        <v>8.8</v>
      </c>
      <c r="C15" s="50" t="s">
        <v>40</v>
      </c>
      <c r="D15" s="41" t="s">
        <v>88</v>
      </c>
      <c r="E15" s="41" t="s">
        <v>35</v>
      </c>
      <c r="F15" s="41" t="s">
        <v>53</v>
      </c>
      <c r="G15" s="41" t="s">
        <v>37</v>
      </c>
      <c r="H15" s="43">
        <v>15</v>
      </c>
      <c r="I15" s="41" t="s">
        <v>323</v>
      </c>
      <c r="J15" s="42" t="s">
        <v>151</v>
      </c>
      <c r="K15" s="42" t="s">
        <v>93</v>
      </c>
      <c r="L15" s="42" t="s">
        <v>157</v>
      </c>
      <c r="M15" s="42" t="s">
        <v>96</v>
      </c>
      <c r="N15" s="42" t="s">
        <v>160</v>
      </c>
      <c r="O15" s="42"/>
    </row>
    <row r="16" spans="1:16" s="41" customFormat="1" ht="43.5" x14ac:dyDescent="0.35">
      <c r="A16" s="41">
        <v>9</v>
      </c>
      <c r="B16" s="41" t="str">
        <f>CONCATENATE($B$2, ".", A16)</f>
        <v>8.9</v>
      </c>
      <c r="C16" s="50" t="s">
        <v>40</v>
      </c>
      <c r="D16" s="41" t="s">
        <v>89</v>
      </c>
      <c r="E16" s="41" t="s">
        <v>33</v>
      </c>
      <c r="F16" s="41" t="s">
        <v>53</v>
      </c>
      <c r="G16" s="41" t="s">
        <v>37</v>
      </c>
      <c r="H16" s="43">
        <v>7</v>
      </c>
      <c r="I16" s="41" t="s">
        <v>323</v>
      </c>
      <c r="J16" s="42" t="s">
        <v>151</v>
      </c>
      <c r="K16" s="42" t="s">
        <v>93</v>
      </c>
      <c r="L16" s="42" t="s">
        <v>158</v>
      </c>
      <c r="M16" s="42" t="s">
        <v>37</v>
      </c>
      <c r="N16" s="42" t="s">
        <v>37</v>
      </c>
      <c r="O16" s="42"/>
    </row>
    <row r="17" spans="1:15" s="79" customFormat="1" x14ac:dyDescent="0.35">
      <c r="A17" s="89"/>
      <c r="B17" s="89"/>
      <c r="C17" s="89"/>
      <c r="D17" s="89"/>
      <c r="E17" s="89"/>
    </row>
    <row r="18" spans="1:15" s="41" customFormat="1" ht="66" customHeight="1" x14ac:dyDescent="0.35">
      <c r="A18" s="41">
        <v>10</v>
      </c>
      <c r="B18" s="41" t="str">
        <f t="shared" ref="B18:B24" si="1">CONCATENATE($B$2, ".", A18)</f>
        <v>8.10</v>
      </c>
      <c r="C18" s="50" t="s">
        <v>40</v>
      </c>
      <c r="D18" s="41" t="s">
        <v>97</v>
      </c>
      <c r="E18" s="41" t="s">
        <v>32</v>
      </c>
      <c r="F18" s="41" t="s">
        <v>65</v>
      </c>
      <c r="G18" s="41" t="s">
        <v>37</v>
      </c>
      <c r="H18" s="41" t="s">
        <v>37</v>
      </c>
      <c r="I18" s="41" t="s">
        <v>10</v>
      </c>
      <c r="J18" s="42" t="s">
        <v>71</v>
      </c>
      <c r="K18" s="42" t="s">
        <v>55</v>
      </c>
      <c r="L18" s="42" t="s">
        <v>98</v>
      </c>
      <c r="M18" s="42" t="s">
        <v>37</v>
      </c>
      <c r="N18" s="42" t="s">
        <v>37</v>
      </c>
      <c r="O18" s="42" t="s">
        <v>37</v>
      </c>
    </row>
    <row r="19" spans="1:15" s="41" customFormat="1" ht="81.75" customHeight="1" x14ac:dyDescent="0.35">
      <c r="A19" s="41">
        <v>11</v>
      </c>
      <c r="B19" s="41" t="str">
        <f t="shared" si="1"/>
        <v>8.11</v>
      </c>
      <c r="C19" s="50" t="s">
        <v>40</v>
      </c>
      <c r="D19" s="41" t="s">
        <v>149</v>
      </c>
      <c r="E19" s="41" t="s">
        <v>90</v>
      </c>
      <c r="F19" s="41" t="s">
        <v>53</v>
      </c>
      <c r="G19" s="41" t="s">
        <v>37</v>
      </c>
      <c r="H19" s="43">
        <v>35</v>
      </c>
      <c r="I19" s="41" t="s">
        <v>324</v>
      </c>
      <c r="J19" s="42" t="s">
        <v>151</v>
      </c>
      <c r="K19" s="42" t="s">
        <v>325</v>
      </c>
      <c r="L19" s="42" t="s">
        <v>99</v>
      </c>
      <c r="M19" s="42" t="s">
        <v>37</v>
      </c>
      <c r="N19" s="42" t="s">
        <v>37</v>
      </c>
      <c r="O19" s="42" t="s">
        <v>290</v>
      </c>
    </row>
    <row r="20" spans="1:15" s="41" customFormat="1" ht="49.5" customHeight="1" x14ac:dyDescent="0.35">
      <c r="A20" s="41">
        <v>12</v>
      </c>
      <c r="B20" s="41" t="str">
        <f t="shared" si="1"/>
        <v>8.12</v>
      </c>
      <c r="C20" s="50" t="s">
        <v>40</v>
      </c>
      <c r="D20" s="41" t="s">
        <v>92</v>
      </c>
      <c r="E20" s="41" t="s">
        <v>33</v>
      </c>
      <c r="F20" s="41" t="s">
        <v>53</v>
      </c>
      <c r="G20" s="41" t="s">
        <v>37</v>
      </c>
      <c r="H20" s="43">
        <v>10</v>
      </c>
      <c r="I20" s="41" t="s">
        <v>326</v>
      </c>
      <c r="J20" s="42" t="s">
        <v>151</v>
      </c>
      <c r="K20" s="42" t="s">
        <v>95</v>
      </c>
      <c r="L20" s="42" t="s">
        <v>37</v>
      </c>
      <c r="M20" s="42" t="s">
        <v>37</v>
      </c>
      <c r="N20" s="42" t="s">
        <v>37</v>
      </c>
      <c r="O20" s="42"/>
    </row>
    <row r="21" spans="1:15" s="41" customFormat="1" ht="54" customHeight="1" x14ac:dyDescent="0.35">
      <c r="A21" s="41">
        <v>13</v>
      </c>
      <c r="B21" s="41" t="str">
        <f t="shared" si="1"/>
        <v>8.13</v>
      </c>
      <c r="C21" s="50" t="s">
        <v>40</v>
      </c>
      <c r="D21" s="41" t="s">
        <v>159</v>
      </c>
      <c r="E21" s="41" t="s">
        <v>33</v>
      </c>
      <c r="F21" s="41" t="s">
        <v>53</v>
      </c>
      <c r="G21" s="41" t="s">
        <v>37</v>
      </c>
      <c r="H21" s="43">
        <v>35</v>
      </c>
      <c r="I21" s="41" t="s">
        <v>326</v>
      </c>
      <c r="J21" s="42" t="s">
        <v>151</v>
      </c>
      <c r="K21" s="42" t="s">
        <v>93</v>
      </c>
      <c r="L21" s="42" t="s">
        <v>156</v>
      </c>
      <c r="M21" s="42" t="s">
        <v>37</v>
      </c>
      <c r="N21" s="42" t="s">
        <v>37</v>
      </c>
      <c r="O21" s="42"/>
    </row>
    <row r="22" spans="1:15" s="41" customFormat="1" ht="54" customHeight="1" x14ac:dyDescent="0.35">
      <c r="A22" s="41">
        <v>14</v>
      </c>
      <c r="B22" s="41" t="str">
        <f t="shared" si="1"/>
        <v>8.14</v>
      </c>
      <c r="C22" s="50" t="s">
        <v>40</v>
      </c>
      <c r="D22" s="41" t="s">
        <v>86</v>
      </c>
      <c r="E22" s="41" t="s">
        <v>33</v>
      </c>
      <c r="F22" s="41" t="s">
        <v>53</v>
      </c>
      <c r="G22" s="41" t="s">
        <v>37</v>
      </c>
      <c r="H22" s="43">
        <v>10</v>
      </c>
      <c r="I22" s="41" t="s">
        <v>326</v>
      </c>
      <c r="J22" s="42" t="s">
        <v>151</v>
      </c>
      <c r="K22" s="42" t="s">
        <v>95</v>
      </c>
      <c r="L22" s="42" t="s">
        <v>37</v>
      </c>
      <c r="M22" s="42" t="s">
        <v>37</v>
      </c>
      <c r="N22" s="42" t="s">
        <v>37</v>
      </c>
      <c r="O22" s="42"/>
    </row>
    <row r="23" spans="1:15" s="41" customFormat="1" ht="50.25" customHeight="1" x14ac:dyDescent="0.35">
      <c r="A23" s="41">
        <v>15</v>
      </c>
      <c r="B23" s="41" t="str">
        <f t="shared" si="1"/>
        <v>8.15</v>
      </c>
      <c r="C23" s="50" t="s">
        <v>40</v>
      </c>
      <c r="D23" s="41" t="s">
        <v>87</v>
      </c>
      <c r="E23" s="41" t="s">
        <v>33</v>
      </c>
      <c r="F23" s="41" t="s">
        <v>53</v>
      </c>
      <c r="G23" s="41" t="s">
        <v>37</v>
      </c>
      <c r="H23" s="43">
        <v>20</v>
      </c>
      <c r="I23" s="41" t="s">
        <v>326</v>
      </c>
      <c r="J23" s="42" t="s">
        <v>151</v>
      </c>
      <c r="K23" s="42" t="s">
        <v>93</v>
      </c>
      <c r="L23" s="42" t="s">
        <v>152</v>
      </c>
      <c r="M23" s="42" t="s">
        <v>37</v>
      </c>
      <c r="N23" s="42" t="s">
        <v>37</v>
      </c>
      <c r="O23" s="42"/>
    </row>
    <row r="24" spans="1:15" s="41" customFormat="1" ht="72.5" x14ac:dyDescent="0.35">
      <c r="A24" s="41">
        <v>16</v>
      </c>
      <c r="B24" s="41" t="str">
        <f t="shared" si="1"/>
        <v>8.16</v>
      </c>
      <c r="C24" s="50" t="s">
        <v>40</v>
      </c>
      <c r="D24" s="41" t="s">
        <v>88</v>
      </c>
      <c r="E24" s="41" t="s">
        <v>35</v>
      </c>
      <c r="F24" s="41" t="s">
        <v>53</v>
      </c>
      <c r="G24" s="41" t="s">
        <v>37</v>
      </c>
      <c r="H24" s="43">
        <v>15</v>
      </c>
      <c r="I24" s="41" t="s">
        <v>326</v>
      </c>
      <c r="J24" s="42" t="s">
        <v>151</v>
      </c>
      <c r="K24" s="42" t="s">
        <v>93</v>
      </c>
      <c r="L24" s="42" t="s">
        <v>157</v>
      </c>
      <c r="M24" s="42" t="s">
        <v>211</v>
      </c>
      <c r="N24" s="42"/>
      <c r="O24" s="42"/>
    </row>
    <row r="25" spans="1:15" s="41" customFormat="1" ht="43.5" x14ac:dyDescent="0.35">
      <c r="A25" s="41">
        <v>17</v>
      </c>
      <c r="B25" s="41" t="str">
        <f>CONCATENATE($B$2, ".", A25)</f>
        <v>8.17</v>
      </c>
      <c r="C25" s="50" t="s">
        <v>40</v>
      </c>
      <c r="D25" s="41" t="s">
        <v>89</v>
      </c>
      <c r="E25" s="41" t="s">
        <v>33</v>
      </c>
      <c r="F25" s="41" t="s">
        <v>53</v>
      </c>
      <c r="G25" s="41" t="s">
        <v>37</v>
      </c>
      <c r="H25" s="43">
        <v>7</v>
      </c>
      <c r="I25" s="41" t="s">
        <v>326</v>
      </c>
      <c r="J25" s="42" t="s">
        <v>151</v>
      </c>
      <c r="K25" s="42" t="s">
        <v>93</v>
      </c>
      <c r="L25" s="42" t="s">
        <v>158</v>
      </c>
      <c r="M25" s="42" t="s">
        <v>37</v>
      </c>
      <c r="N25" s="42" t="s">
        <v>37</v>
      </c>
      <c r="O25" s="42"/>
    </row>
    <row r="26" spans="1:15" s="79" customFormat="1" x14ac:dyDescent="0.35">
      <c r="A26" s="89"/>
      <c r="B26" s="89"/>
      <c r="C26" s="89"/>
      <c r="D26" s="89"/>
      <c r="E26" s="89"/>
    </row>
    <row r="27" spans="1:15" s="41" customFormat="1" ht="58" x14ac:dyDescent="0.35">
      <c r="A27" s="41">
        <v>18</v>
      </c>
      <c r="B27" s="41" t="str">
        <f t="shared" ref="B27:B33" si="2">CONCATENATE($B$2, ".", A27)</f>
        <v>8.18</v>
      </c>
      <c r="C27" s="50" t="s">
        <v>40</v>
      </c>
      <c r="D27" s="41" t="s">
        <v>259</v>
      </c>
      <c r="E27" s="41" t="s">
        <v>32</v>
      </c>
      <c r="F27" s="41" t="s">
        <v>65</v>
      </c>
      <c r="G27" s="41" t="s">
        <v>37</v>
      </c>
      <c r="H27" s="41" t="s">
        <v>37</v>
      </c>
      <c r="I27" s="41" t="s">
        <v>10</v>
      </c>
      <c r="J27" s="42" t="s">
        <v>71</v>
      </c>
      <c r="K27" s="42" t="s">
        <v>55</v>
      </c>
      <c r="L27" s="42" t="s">
        <v>150</v>
      </c>
      <c r="M27" s="42" t="s">
        <v>37</v>
      </c>
      <c r="N27" s="42" t="s">
        <v>37</v>
      </c>
      <c r="O27" s="42" t="s">
        <v>37</v>
      </c>
    </row>
    <row r="28" spans="1:15" s="41" customFormat="1" ht="81.75" customHeight="1" x14ac:dyDescent="0.35">
      <c r="A28" s="41">
        <v>19</v>
      </c>
      <c r="B28" s="41" t="str">
        <f t="shared" si="2"/>
        <v>8.19</v>
      </c>
      <c r="C28" s="50" t="s">
        <v>40</v>
      </c>
      <c r="D28" s="41" t="s">
        <v>100</v>
      </c>
      <c r="E28" s="41" t="s">
        <v>90</v>
      </c>
      <c r="F28" s="41" t="s">
        <v>53</v>
      </c>
      <c r="G28" s="41" t="s">
        <v>37</v>
      </c>
      <c r="H28" s="43">
        <v>35</v>
      </c>
      <c r="I28" s="41" t="s">
        <v>327</v>
      </c>
      <c r="J28" s="42" t="s">
        <v>151</v>
      </c>
      <c r="K28" s="42" t="s">
        <v>328</v>
      </c>
      <c r="L28" s="42" t="s">
        <v>102</v>
      </c>
      <c r="M28" s="42" t="s">
        <v>37</v>
      </c>
      <c r="N28" s="42" t="s">
        <v>37</v>
      </c>
      <c r="O28" s="42" t="s">
        <v>291</v>
      </c>
    </row>
    <row r="29" spans="1:15" s="41" customFormat="1" ht="49.5" customHeight="1" x14ac:dyDescent="0.35">
      <c r="A29" s="41">
        <v>20</v>
      </c>
      <c r="B29" s="41" t="str">
        <f t="shared" si="2"/>
        <v>8.20</v>
      </c>
      <c r="C29" s="50" t="s">
        <v>40</v>
      </c>
      <c r="D29" s="41" t="s">
        <v>92</v>
      </c>
      <c r="E29" s="41" t="s">
        <v>33</v>
      </c>
      <c r="F29" s="41" t="s">
        <v>53</v>
      </c>
      <c r="G29" s="41" t="s">
        <v>37</v>
      </c>
      <c r="H29" s="43">
        <v>10</v>
      </c>
      <c r="I29" s="41" t="s">
        <v>329</v>
      </c>
      <c r="J29" s="42" t="s">
        <v>151</v>
      </c>
      <c r="K29" s="43" t="s">
        <v>101</v>
      </c>
      <c r="L29" s="43" t="s">
        <v>37</v>
      </c>
      <c r="M29" s="42" t="s">
        <v>37</v>
      </c>
      <c r="N29" s="42" t="s">
        <v>37</v>
      </c>
      <c r="O29" s="42"/>
    </row>
    <row r="30" spans="1:15" s="41" customFormat="1" ht="43.5" x14ac:dyDescent="0.35">
      <c r="A30" s="41">
        <v>21</v>
      </c>
      <c r="B30" s="41" t="str">
        <f t="shared" si="2"/>
        <v>8.21</v>
      </c>
      <c r="C30" s="50" t="s">
        <v>40</v>
      </c>
      <c r="D30" s="41" t="s">
        <v>161</v>
      </c>
      <c r="E30" s="41" t="s">
        <v>33</v>
      </c>
      <c r="F30" s="41" t="s">
        <v>53</v>
      </c>
      <c r="G30" s="41" t="s">
        <v>37</v>
      </c>
      <c r="H30" s="43">
        <v>35</v>
      </c>
      <c r="I30" s="41" t="s">
        <v>329</v>
      </c>
      <c r="J30" s="42" t="s">
        <v>151</v>
      </c>
      <c r="K30" s="42" t="s">
        <v>93</v>
      </c>
      <c r="L30" s="42" t="s">
        <v>153</v>
      </c>
      <c r="M30" s="42" t="s">
        <v>37</v>
      </c>
      <c r="N30" s="42" t="s">
        <v>37</v>
      </c>
      <c r="O30" s="42"/>
    </row>
    <row r="31" spans="1:15" s="41" customFormat="1" ht="54" customHeight="1" x14ac:dyDescent="0.35">
      <c r="A31" s="41">
        <v>22</v>
      </c>
      <c r="B31" s="41" t="str">
        <f t="shared" si="2"/>
        <v>8.22</v>
      </c>
      <c r="C31" s="50" t="s">
        <v>40</v>
      </c>
      <c r="D31" s="41" t="s">
        <v>86</v>
      </c>
      <c r="E31" s="41" t="s">
        <v>33</v>
      </c>
      <c r="F31" s="41" t="s">
        <v>53</v>
      </c>
      <c r="G31" s="41" t="s">
        <v>37</v>
      </c>
      <c r="H31" s="43">
        <v>10</v>
      </c>
      <c r="I31" s="41" t="s">
        <v>329</v>
      </c>
      <c r="J31" s="42" t="s">
        <v>151</v>
      </c>
      <c r="K31" s="42" t="s">
        <v>95</v>
      </c>
      <c r="L31" s="42" t="s">
        <v>37</v>
      </c>
      <c r="M31" s="42" t="s">
        <v>37</v>
      </c>
      <c r="N31" s="42" t="s">
        <v>37</v>
      </c>
      <c r="O31" s="42"/>
    </row>
    <row r="32" spans="1:15" s="41" customFormat="1" ht="50.25" customHeight="1" x14ac:dyDescent="0.35">
      <c r="A32" s="41">
        <v>23</v>
      </c>
      <c r="B32" s="41" t="str">
        <f t="shared" si="2"/>
        <v>8.23</v>
      </c>
      <c r="C32" s="50" t="s">
        <v>40</v>
      </c>
      <c r="D32" s="41" t="s">
        <v>87</v>
      </c>
      <c r="E32" s="41" t="s">
        <v>33</v>
      </c>
      <c r="F32" s="41" t="s">
        <v>53</v>
      </c>
      <c r="G32" s="41" t="s">
        <v>37</v>
      </c>
      <c r="H32" s="43">
        <v>20</v>
      </c>
      <c r="I32" s="41" t="s">
        <v>329</v>
      </c>
      <c r="J32" s="42" t="s">
        <v>151</v>
      </c>
      <c r="K32" s="42" t="s">
        <v>93</v>
      </c>
      <c r="L32" s="42" t="s">
        <v>152</v>
      </c>
      <c r="M32" s="42" t="s">
        <v>37</v>
      </c>
      <c r="N32" s="42" t="s">
        <v>37</v>
      </c>
      <c r="O32" s="42"/>
    </row>
    <row r="33" spans="1:15" s="41" customFormat="1" ht="72.5" x14ac:dyDescent="0.35">
      <c r="A33" s="41">
        <v>24</v>
      </c>
      <c r="B33" s="41" t="str">
        <f t="shared" si="2"/>
        <v>8.24</v>
      </c>
      <c r="C33" s="50" t="s">
        <v>40</v>
      </c>
      <c r="D33" s="41" t="s">
        <v>88</v>
      </c>
      <c r="E33" s="41" t="s">
        <v>35</v>
      </c>
      <c r="F33" s="41" t="s">
        <v>53</v>
      </c>
      <c r="G33" s="41" t="s">
        <v>37</v>
      </c>
      <c r="H33" s="43">
        <v>15</v>
      </c>
      <c r="I33" s="41" t="s">
        <v>329</v>
      </c>
      <c r="J33" s="42" t="s">
        <v>151</v>
      </c>
      <c r="K33" s="42" t="s">
        <v>93</v>
      </c>
      <c r="L33" s="42" t="s">
        <v>154</v>
      </c>
      <c r="M33" s="42" t="s">
        <v>212</v>
      </c>
      <c r="N33" s="42" t="s">
        <v>37</v>
      </c>
      <c r="O33" s="42"/>
    </row>
    <row r="34" spans="1:15" s="41" customFormat="1" ht="43.5" x14ac:dyDescent="0.35">
      <c r="A34" s="41">
        <v>25</v>
      </c>
      <c r="B34" s="41" t="str">
        <f>CONCATENATE($B$2, ".", A34)</f>
        <v>8.25</v>
      </c>
      <c r="C34" s="50" t="s">
        <v>40</v>
      </c>
      <c r="D34" s="41" t="s">
        <v>89</v>
      </c>
      <c r="E34" s="41" t="s">
        <v>33</v>
      </c>
      <c r="F34" s="41" t="s">
        <v>53</v>
      </c>
      <c r="G34" s="41" t="s">
        <v>37</v>
      </c>
      <c r="H34" s="43">
        <v>7</v>
      </c>
      <c r="I34" s="41" t="s">
        <v>329</v>
      </c>
      <c r="J34" s="42" t="s">
        <v>151</v>
      </c>
      <c r="K34" s="42" t="s">
        <v>93</v>
      </c>
      <c r="L34" s="42" t="s">
        <v>158</v>
      </c>
      <c r="M34" s="42"/>
      <c r="N34" s="42"/>
      <c r="O34" s="42"/>
    </row>
    <row r="35" spans="1:15" s="79" customFormat="1" x14ac:dyDescent="0.35">
      <c r="A35" s="89"/>
      <c r="B35" s="89"/>
      <c r="C35" s="89"/>
      <c r="D35" s="89"/>
      <c r="E35" s="89"/>
    </row>
    <row r="36" spans="1:15" x14ac:dyDescent="0.35">
      <c r="A36" s="6">
        <v>26</v>
      </c>
      <c r="B36" s="6" t="str">
        <f>CONCATENATE($B$2, ".", A36)</f>
        <v>8.26</v>
      </c>
      <c r="C36" s="36" t="s">
        <v>40</v>
      </c>
      <c r="D36" s="6" t="s">
        <v>62</v>
      </c>
      <c r="E36" s="6" t="s">
        <v>43</v>
      </c>
      <c r="F36" s="6" t="s">
        <v>37</v>
      </c>
      <c r="G36" s="6" t="s">
        <v>37</v>
      </c>
      <c r="H36" s="6" t="s">
        <v>37</v>
      </c>
      <c r="I36" s="6" t="s">
        <v>10</v>
      </c>
      <c r="J36" s="6" t="s">
        <v>37</v>
      </c>
      <c r="K36" s="6" t="s">
        <v>37</v>
      </c>
      <c r="L36" s="6" t="s">
        <v>37</v>
      </c>
      <c r="M36" s="6" t="s">
        <v>37</v>
      </c>
      <c r="N36" s="6" t="s">
        <v>37</v>
      </c>
      <c r="O36" s="6" t="s">
        <v>104</v>
      </c>
    </row>
    <row r="37" spans="1:15" x14ac:dyDescent="0.35">
      <c r="A37" s="6">
        <v>27</v>
      </c>
      <c r="B37" s="6" t="str">
        <f>CONCATENATE($B$2, ".", A37)</f>
        <v>8.27</v>
      </c>
      <c r="C37" s="36" t="s">
        <v>40</v>
      </c>
      <c r="D37" s="6" t="s">
        <v>61</v>
      </c>
      <c r="E37" s="6" t="s">
        <v>43</v>
      </c>
      <c r="F37" s="6" t="s">
        <v>37</v>
      </c>
      <c r="G37" s="6" t="s">
        <v>37</v>
      </c>
      <c r="H37" s="6" t="s">
        <v>37</v>
      </c>
      <c r="I37" s="6" t="s">
        <v>10</v>
      </c>
      <c r="J37" s="6" t="s">
        <v>37</v>
      </c>
      <c r="K37" s="6" t="s">
        <v>37</v>
      </c>
      <c r="L37" s="6" t="s">
        <v>37</v>
      </c>
      <c r="M37" s="6" t="s">
        <v>37</v>
      </c>
      <c r="N37" s="6" t="s">
        <v>37</v>
      </c>
      <c r="O37" s="6" t="s">
        <v>103</v>
      </c>
    </row>
    <row r="38" spans="1:15" x14ac:dyDescent="0.35">
      <c r="I38" s="41"/>
      <c r="J38" s="5"/>
      <c r="K38" s="5"/>
      <c r="L38" s="42"/>
      <c r="M38" s="42"/>
      <c r="N38" s="42"/>
      <c r="O38" s="42"/>
    </row>
    <row r="39" spans="1:15" x14ac:dyDescent="0.35">
      <c r="I39" s="41"/>
      <c r="J39" s="5"/>
      <c r="K39" s="5"/>
      <c r="L39" s="42"/>
      <c r="M39" s="42"/>
      <c r="N39" s="42"/>
      <c r="O39" s="42"/>
    </row>
    <row r="40" spans="1:15" x14ac:dyDescent="0.35">
      <c r="I40" s="41"/>
      <c r="J40" s="5"/>
      <c r="K40" s="5"/>
      <c r="L40" s="42"/>
      <c r="M40" s="42"/>
      <c r="N40" s="42"/>
      <c r="O40" s="42"/>
    </row>
    <row r="41" spans="1:15" x14ac:dyDescent="0.35">
      <c r="I41" s="41"/>
      <c r="J41" s="5"/>
      <c r="K41" s="5"/>
      <c r="L41" s="42"/>
      <c r="M41" s="42"/>
      <c r="N41" s="42"/>
      <c r="O41" s="42"/>
    </row>
    <row r="42" spans="1:15" x14ac:dyDescent="0.35">
      <c r="I42" s="41"/>
      <c r="J42" s="5"/>
      <c r="K42" s="5"/>
      <c r="L42" s="42"/>
      <c r="M42" s="42"/>
      <c r="N42" s="42"/>
      <c r="O42" s="42"/>
    </row>
    <row r="43" spans="1:15" x14ac:dyDescent="0.35">
      <c r="I43" s="41"/>
      <c r="J43" s="5"/>
      <c r="K43" s="5"/>
      <c r="L43" s="42"/>
      <c r="M43" s="42"/>
      <c r="N43" s="42"/>
      <c r="O43" s="42"/>
    </row>
    <row r="44" spans="1:15" x14ac:dyDescent="0.35">
      <c r="I44" s="41"/>
      <c r="J44" s="5"/>
      <c r="K44" s="5"/>
      <c r="L44" s="42"/>
      <c r="M44" s="42"/>
      <c r="N44" s="42"/>
      <c r="O44" s="42"/>
    </row>
    <row r="45" spans="1:15" x14ac:dyDescent="0.35">
      <c r="I45" s="41"/>
      <c r="J45" s="5"/>
      <c r="K45" s="5"/>
      <c r="L45" s="42"/>
      <c r="M45" s="42"/>
      <c r="N45" s="42"/>
      <c r="O45" s="42"/>
    </row>
  </sheetData>
  <mergeCells count="4">
    <mergeCell ref="A9:E9"/>
    <mergeCell ref="A17:E17"/>
    <mergeCell ref="A26:E26"/>
    <mergeCell ref="A35:E35"/>
  </mergeCells>
  <conditionalFormatting sqref="C36:C1048576 C28:C34 C19:C25 C8 C10:C16">
    <cfRule type="cellIs" dxfId="235" priority="46" operator="equal">
      <formula>"WIP (see comments)"</formula>
    </cfRule>
    <cfRule type="cellIs" dxfId="234" priority="47" operator="equal">
      <formula>"Removed"</formula>
    </cfRule>
    <cfRule type="cellIs" dxfId="233" priority="48" operator="equal">
      <formula>"Updated"</formula>
    </cfRule>
    <cfRule type="cellIs" dxfId="232" priority="49" operator="equal">
      <formula>"New"</formula>
    </cfRule>
  </conditionalFormatting>
  <conditionalFormatting sqref="C7:C8">
    <cfRule type="cellIs" dxfId="231" priority="38" operator="equal">
      <formula>"WIP (see comments)"</formula>
    </cfRule>
    <cfRule type="cellIs" dxfId="230" priority="39" operator="equal">
      <formula>"Removed"</formula>
    </cfRule>
    <cfRule type="cellIs" dxfId="229" priority="40" operator="equal">
      <formula>"Updated"</formula>
    </cfRule>
    <cfRule type="cellIs" dxfId="228" priority="41" operator="equal">
      <formula>"New"</formula>
    </cfRule>
  </conditionalFormatting>
  <conditionalFormatting sqref="C18:C24">
    <cfRule type="cellIs" dxfId="227" priority="30" operator="equal">
      <formula>"WIP (see comments)"</formula>
    </cfRule>
    <cfRule type="cellIs" dxfId="226" priority="31" operator="equal">
      <formula>"Removed"</formula>
    </cfRule>
    <cfRule type="cellIs" dxfId="225" priority="32" operator="equal">
      <formula>"Updated"</formula>
    </cfRule>
    <cfRule type="cellIs" dxfId="224" priority="33" operator="equal">
      <formula>"New"</formula>
    </cfRule>
  </conditionalFormatting>
  <conditionalFormatting sqref="C27:C33">
    <cfRule type="cellIs" dxfId="223" priority="22" operator="equal">
      <formula>"WIP (see comments)"</formula>
    </cfRule>
    <cfRule type="cellIs" dxfId="222" priority="23" operator="equal">
      <formula>"Removed"</formula>
    </cfRule>
    <cfRule type="cellIs" dxfId="221" priority="24" operator="equal">
      <formula>"Updated"</formula>
    </cfRule>
    <cfRule type="cellIs" dxfId="220" priority="25" operator="equal">
      <formula>"New"</formula>
    </cfRule>
  </conditionalFormatting>
  <conditionalFormatting sqref="A1:XFD8 A10:XFD16 A18:XFD25 A27:XFD34 A36:XFD1048576">
    <cfRule type="cellIs" dxfId="219" priority="13" operator="equal">
      <formula>"n/a"</formula>
    </cfRule>
  </conditionalFormatting>
  <conditionalFormatting sqref="C24">
    <cfRule type="cellIs" dxfId="218" priority="9" operator="equal">
      <formula>"WIP (see comments)"</formula>
    </cfRule>
    <cfRule type="cellIs" dxfId="217" priority="10" operator="equal">
      <formula>"Removed"</formula>
    </cfRule>
    <cfRule type="cellIs" dxfId="216" priority="11" operator="equal">
      <formula>"Updated"</formula>
    </cfRule>
    <cfRule type="cellIs" dxfId="215" priority="12" operator="equal">
      <formula>"New"</formula>
    </cfRule>
  </conditionalFormatting>
  <conditionalFormatting sqref="C25">
    <cfRule type="cellIs" dxfId="214" priority="5" operator="equal">
      <formula>"WIP (see comments)"</formula>
    </cfRule>
    <cfRule type="cellIs" dxfId="213" priority="6" operator="equal">
      <formula>"Removed"</formula>
    </cfRule>
    <cfRule type="cellIs" dxfId="212" priority="7" operator="equal">
      <formula>"Updated"</formula>
    </cfRule>
    <cfRule type="cellIs" dxfId="211" priority="8" operator="equal">
      <formula>"New"</formula>
    </cfRule>
  </conditionalFormatting>
  <conditionalFormatting sqref="F9:XFD9 A9">
    <cfRule type="cellIs" dxfId="210" priority="4" operator="equal">
      <formula>"n/a"</formula>
    </cfRule>
  </conditionalFormatting>
  <conditionalFormatting sqref="F17:XFD17 A17">
    <cfRule type="cellIs" dxfId="209" priority="3" operator="equal">
      <formula>"n/a"</formula>
    </cfRule>
  </conditionalFormatting>
  <conditionalFormatting sqref="F26:XFD26 A26">
    <cfRule type="cellIs" dxfId="208" priority="2" operator="equal">
      <formula>"n/a"</formula>
    </cfRule>
  </conditionalFormatting>
  <conditionalFormatting sqref="F35:XFD35 A35">
    <cfRule type="cellIs" dxfId="20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E7:E8 E10:E16 E18:E25 E27:E34 E36:E1048576</xm:sqref>
        </x14:dataValidation>
        <x14:dataValidation type="list" allowBlank="1" showInputMessage="1" showErrorMessage="1">
          <x14:formula1>
            <xm:f>'List Values'!$B$5:$B$11</xm:f>
          </x14:formula1>
          <xm:sqref>C7:C8 C10:C16 C18:C25 C27:C34 C36:C1048576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ySplit="6" topLeftCell="A7" activePane="bottomLeft" state="frozen"/>
      <selection pane="bottomLeft" activeCell="D2" sqref="D2"/>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105</v>
      </c>
      <c r="C1" s="34"/>
      <c r="D1" s="31"/>
    </row>
    <row r="2" spans="1:16" s="32" customFormat="1" ht="18.5" x14ac:dyDescent="0.35">
      <c r="A2" s="30" t="s">
        <v>7</v>
      </c>
      <c r="B2" s="38">
        <v>9</v>
      </c>
      <c r="C2" s="37"/>
      <c r="D2" s="38"/>
    </row>
    <row r="3" spans="1:16" s="32" customFormat="1" ht="18.5" x14ac:dyDescent="0.35">
      <c r="A3" s="30" t="s">
        <v>45</v>
      </c>
      <c r="B3" s="38" t="s">
        <v>391</v>
      </c>
      <c r="C3" s="37"/>
      <c r="D3" s="38"/>
      <c r="E3" s="32" t="s">
        <v>83</v>
      </c>
    </row>
    <row r="4" spans="1:16" s="32" customFormat="1" ht="18.5" x14ac:dyDescent="0.35">
      <c r="A4" s="30" t="s">
        <v>8</v>
      </c>
      <c r="B4" s="32" t="s">
        <v>48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3" si="0">CONCATENATE($B$2, ".", A7)</f>
        <v>9.1</v>
      </c>
      <c r="C7" s="50" t="s">
        <v>40</v>
      </c>
      <c r="D7" s="41" t="s">
        <v>185</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9.2</v>
      </c>
      <c r="C8" s="50" t="s">
        <v>40</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80.25" customHeight="1" x14ac:dyDescent="0.35">
      <c r="A9" s="41">
        <v>3</v>
      </c>
      <c r="B9" s="41" t="str">
        <f t="shared" si="0"/>
        <v>9.3</v>
      </c>
      <c r="C9" s="50" t="s">
        <v>40</v>
      </c>
      <c r="D9" s="41" t="s">
        <v>221</v>
      </c>
      <c r="E9" s="41" t="s">
        <v>107</v>
      </c>
      <c r="F9" s="41" t="s">
        <v>108</v>
      </c>
      <c r="G9" s="41" t="s">
        <v>200</v>
      </c>
      <c r="H9" s="41" t="s">
        <v>37</v>
      </c>
      <c r="I9" s="41" t="s">
        <v>10</v>
      </c>
      <c r="J9" s="42" t="s">
        <v>110</v>
      </c>
      <c r="K9" s="42" t="s">
        <v>55</v>
      </c>
      <c r="L9" s="42" t="s">
        <v>193</v>
      </c>
      <c r="M9" s="42" t="s">
        <v>111</v>
      </c>
      <c r="N9" s="42" t="s">
        <v>112</v>
      </c>
      <c r="O9" s="42" t="s">
        <v>113</v>
      </c>
    </row>
    <row r="10" spans="1:16" s="41" customFormat="1" ht="102.75" customHeight="1" x14ac:dyDescent="0.35">
      <c r="A10" s="41">
        <v>4</v>
      </c>
      <c r="B10" s="41" t="str">
        <f t="shared" si="0"/>
        <v>9.4</v>
      </c>
      <c r="C10" s="50" t="s">
        <v>40</v>
      </c>
      <c r="D10" s="41" t="s">
        <v>106</v>
      </c>
      <c r="E10" s="41" t="s">
        <v>33</v>
      </c>
      <c r="F10" s="41" t="s">
        <v>109</v>
      </c>
      <c r="G10" s="41" t="s">
        <v>199</v>
      </c>
      <c r="H10" s="43">
        <v>9</v>
      </c>
      <c r="I10" s="41" t="s">
        <v>10</v>
      </c>
      <c r="J10" s="42" t="s">
        <v>37</v>
      </c>
      <c r="K10" s="42" t="s">
        <v>101</v>
      </c>
      <c r="L10" s="41" t="s">
        <v>37</v>
      </c>
      <c r="M10" s="42" t="s">
        <v>201</v>
      </c>
      <c r="N10" s="42" t="s">
        <v>281</v>
      </c>
      <c r="O10" s="42" t="s">
        <v>37</v>
      </c>
    </row>
    <row r="11" spans="1:16" s="41" customFormat="1" ht="114" customHeight="1" x14ac:dyDescent="0.35">
      <c r="A11" s="41">
        <v>5</v>
      </c>
      <c r="B11" s="41" t="str">
        <f t="shared" si="0"/>
        <v>9.5</v>
      </c>
      <c r="C11" s="50" t="s">
        <v>40</v>
      </c>
      <c r="D11" s="41" t="s">
        <v>117</v>
      </c>
      <c r="E11" s="41" t="s">
        <v>90</v>
      </c>
      <c r="F11" s="41" t="s">
        <v>53</v>
      </c>
      <c r="G11" s="41" t="s">
        <v>226</v>
      </c>
      <c r="H11" s="50">
        <v>200</v>
      </c>
      <c r="I11" s="41" t="s">
        <v>10</v>
      </c>
      <c r="J11" s="42" t="s">
        <v>115</v>
      </c>
      <c r="K11" s="42" t="s">
        <v>55</v>
      </c>
      <c r="L11" s="42" t="s">
        <v>118</v>
      </c>
      <c r="M11" s="42" t="s">
        <v>119</v>
      </c>
      <c r="N11" s="42" t="s">
        <v>37</v>
      </c>
      <c r="O11" s="42" t="s">
        <v>225</v>
      </c>
    </row>
    <row r="12" spans="1:16" s="41" customFormat="1" ht="87" x14ac:dyDescent="0.35">
      <c r="A12" s="41">
        <v>6</v>
      </c>
      <c r="B12" s="41" t="str">
        <f>CONCATENATE($B$2, ".", A12)</f>
        <v>9.6</v>
      </c>
      <c r="C12" s="50" t="s">
        <v>40</v>
      </c>
      <c r="D12" s="41" t="s">
        <v>62</v>
      </c>
      <c r="E12" s="41" t="s">
        <v>43</v>
      </c>
      <c r="F12" s="41" t="s">
        <v>37</v>
      </c>
      <c r="G12" s="41" t="s">
        <v>37</v>
      </c>
      <c r="H12" s="41" t="s">
        <v>37</v>
      </c>
      <c r="I12" s="41" t="s">
        <v>10</v>
      </c>
      <c r="J12" s="41" t="s">
        <v>37</v>
      </c>
      <c r="K12" s="41" t="s">
        <v>37</v>
      </c>
      <c r="L12" s="41" t="s">
        <v>37</v>
      </c>
      <c r="M12" s="41" t="s">
        <v>37</v>
      </c>
      <c r="N12" s="41" t="s">
        <v>37</v>
      </c>
      <c r="O12" s="82" t="s">
        <v>377</v>
      </c>
    </row>
    <row r="13" spans="1:16" s="41" customFormat="1" x14ac:dyDescent="0.35">
      <c r="A13" s="41">
        <v>7</v>
      </c>
      <c r="B13" s="41" t="str">
        <f t="shared" si="0"/>
        <v>9.7</v>
      </c>
      <c r="C13" s="50" t="s">
        <v>40</v>
      </c>
      <c r="D13" s="41" t="s">
        <v>61</v>
      </c>
      <c r="E13" s="41" t="s">
        <v>43</v>
      </c>
      <c r="F13" s="41" t="s">
        <v>37</v>
      </c>
      <c r="G13" s="41" t="s">
        <v>37</v>
      </c>
      <c r="H13" s="41" t="s">
        <v>37</v>
      </c>
      <c r="I13" s="41" t="s">
        <v>10</v>
      </c>
      <c r="J13" s="41" t="s">
        <v>37</v>
      </c>
      <c r="K13" s="41" t="s">
        <v>37</v>
      </c>
      <c r="L13" s="41" t="s">
        <v>37</v>
      </c>
      <c r="M13" s="41" t="s">
        <v>37</v>
      </c>
      <c r="N13" s="41" t="s">
        <v>37</v>
      </c>
      <c r="O13" s="41" t="s">
        <v>76</v>
      </c>
    </row>
    <row r="14" spans="1:16" x14ac:dyDescent="0.35">
      <c r="I14" s="41"/>
      <c r="J14" s="5"/>
      <c r="K14" s="5"/>
      <c r="L14" s="42"/>
      <c r="M14" s="42"/>
      <c r="N14" s="42"/>
      <c r="O14" s="42"/>
    </row>
    <row r="15" spans="1:16" x14ac:dyDescent="0.35">
      <c r="D15" s="6" t="s">
        <v>83</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conditionalFormatting sqref="C14:C1048576">
    <cfRule type="cellIs" dxfId="206" priority="15" operator="equal">
      <formula>"WIP (see comments)"</formula>
    </cfRule>
    <cfRule type="cellIs" dxfId="205" priority="16" operator="equal">
      <formula>"Removed"</formula>
    </cfRule>
    <cfRule type="cellIs" dxfId="204" priority="17" operator="equal">
      <formula>"Updated"</formula>
    </cfRule>
    <cfRule type="cellIs" dxfId="203" priority="18" operator="equal">
      <formula>"New"</formula>
    </cfRule>
  </conditionalFormatting>
  <conditionalFormatting sqref="C7:C13">
    <cfRule type="cellIs" dxfId="202" priority="7" operator="equal">
      <formula>"WIP (see comments)"</formula>
    </cfRule>
    <cfRule type="cellIs" dxfId="201" priority="8" operator="equal">
      <formula>"Removed"</formula>
    </cfRule>
    <cfRule type="cellIs" dxfId="200" priority="9" operator="equal">
      <formula>"Updated"</formula>
    </cfRule>
    <cfRule type="cellIs" dxfId="199" priority="10" operator="equal">
      <formula>"New"</formula>
    </cfRule>
  </conditionalFormatting>
  <conditionalFormatting sqref="B4">
    <cfRule type="cellIs" dxfId="198" priority="2" operator="equal">
      <formula>"n/a"</formula>
    </cfRule>
  </conditionalFormatting>
  <conditionalFormatting sqref="D11:O11">
    <cfRule type="cellIs" dxfId="197"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C7:C13</xm:sqref>
        </x14:dataValidation>
        <x14:dataValidation type="list" allowBlank="1" showInputMessage="1" showErrorMessage="1">
          <x14:formula1>
            <xm:f>'List Values'!$A$5:$A$26</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1"/>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361</v>
      </c>
      <c r="C1" s="34"/>
      <c r="D1" s="31" t="s">
        <v>408</v>
      </c>
    </row>
    <row r="2" spans="1:16" s="32" customFormat="1" ht="18.5" x14ac:dyDescent="0.35">
      <c r="A2" s="30" t="s">
        <v>7</v>
      </c>
      <c r="B2" s="38">
        <v>10</v>
      </c>
      <c r="C2" s="37"/>
      <c r="D2" s="38"/>
    </row>
    <row r="3" spans="1:16" s="32" customFormat="1" ht="18.5" x14ac:dyDescent="0.35">
      <c r="A3" s="30" t="s">
        <v>45</v>
      </c>
      <c r="B3" s="38" t="s">
        <v>130</v>
      </c>
      <c r="C3" s="37"/>
      <c r="D3" s="38"/>
    </row>
    <row r="4" spans="1:16" s="32" customFormat="1" ht="18.5" x14ac:dyDescent="0.35">
      <c r="A4" s="30" t="s">
        <v>8</v>
      </c>
      <c r="B4" s="32" t="s">
        <v>340</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3" si="0">CONCATENATE($B$2, ".", A7)</f>
        <v>10.1</v>
      </c>
      <c r="C7" s="50" t="s">
        <v>41</v>
      </c>
      <c r="D7" s="41" t="s">
        <v>339</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10.2</v>
      </c>
      <c r="C8" s="50" t="s">
        <v>41</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43.5" x14ac:dyDescent="0.35">
      <c r="A9" s="41">
        <v>3</v>
      </c>
      <c r="B9" s="41" t="str">
        <f t="shared" si="0"/>
        <v>10.3</v>
      </c>
      <c r="C9" s="50" t="s">
        <v>41</v>
      </c>
      <c r="D9" s="41" t="s">
        <v>341</v>
      </c>
      <c r="E9" s="41" t="s">
        <v>34</v>
      </c>
      <c r="F9" s="41" t="s">
        <v>37</v>
      </c>
      <c r="G9" s="41" t="s">
        <v>37</v>
      </c>
      <c r="H9" s="41" t="s">
        <v>37</v>
      </c>
      <c r="I9" s="41" t="s">
        <v>10</v>
      </c>
      <c r="J9" s="42" t="s">
        <v>37</v>
      </c>
      <c r="K9" s="42" t="s">
        <v>37</v>
      </c>
      <c r="L9" s="42" t="s">
        <v>37</v>
      </c>
      <c r="M9" s="42" t="s">
        <v>37</v>
      </c>
      <c r="N9" s="42" t="s">
        <v>37</v>
      </c>
      <c r="O9" s="42" t="s">
        <v>37</v>
      </c>
    </row>
    <row r="10" spans="1:16" s="41" customFormat="1" ht="29" x14ac:dyDescent="0.35">
      <c r="A10" s="41">
        <v>4</v>
      </c>
      <c r="B10" s="41" t="str">
        <f t="shared" si="0"/>
        <v>10.4</v>
      </c>
      <c r="C10" s="50" t="s">
        <v>41</v>
      </c>
      <c r="D10" s="41" t="s">
        <v>342</v>
      </c>
      <c r="E10" s="41" t="s">
        <v>33</v>
      </c>
      <c r="F10" s="41" t="s">
        <v>53</v>
      </c>
      <c r="G10" s="41" t="s">
        <v>37</v>
      </c>
      <c r="H10" s="43">
        <v>50</v>
      </c>
      <c r="I10" s="41" t="s">
        <v>10</v>
      </c>
      <c r="J10" s="42" t="s">
        <v>344</v>
      </c>
      <c r="K10" s="42" t="s">
        <v>55</v>
      </c>
      <c r="L10" s="42" t="s">
        <v>345</v>
      </c>
      <c r="M10" s="42" t="s">
        <v>37</v>
      </c>
      <c r="N10" s="42" t="s">
        <v>37</v>
      </c>
      <c r="O10" s="42" t="s">
        <v>37</v>
      </c>
    </row>
    <row r="11" spans="1:16" s="41" customFormat="1" ht="29" x14ac:dyDescent="0.35">
      <c r="A11" s="41">
        <v>5</v>
      </c>
      <c r="B11" s="41" t="str">
        <f t="shared" si="0"/>
        <v>10.5</v>
      </c>
      <c r="C11" s="50" t="s">
        <v>41</v>
      </c>
      <c r="D11" s="41" t="s">
        <v>343</v>
      </c>
      <c r="E11" s="41" t="s">
        <v>33</v>
      </c>
      <c r="F11" s="41" t="s">
        <v>53</v>
      </c>
      <c r="G11" s="41" t="s">
        <v>37</v>
      </c>
      <c r="H11" s="43">
        <v>50</v>
      </c>
      <c r="I11" s="41" t="s">
        <v>10</v>
      </c>
      <c r="J11" s="42" t="s">
        <v>344</v>
      </c>
      <c r="K11" s="42" t="s">
        <v>55</v>
      </c>
      <c r="L11" s="42" t="s">
        <v>346</v>
      </c>
      <c r="M11" s="42" t="s">
        <v>37</v>
      </c>
      <c r="N11" s="42" t="s">
        <v>37</v>
      </c>
      <c r="O11" s="42" t="s">
        <v>37</v>
      </c>
    </row>
    <row r="12" spans="1:16" s="41" customFormat="1" x14ac:dyDescent="0.35">
      <c r="A12" s="41">
        <v>6</v>
      </c>
      <c r="B12" s="41" t="str">
        <f>CONCATENATE($B$2, ".", A12)</f>
        <v>10.6</v>
      </c>
      <c r="C12" s="50" t="s">
        <v>41</v>
      </c>
      <c r="D12" s="41" t="s">
        <v>62</v>
      </c>
      <c r="E12" s="41" t="s">
        <v>43</v>
      </c>
      <c r="F12" s="41" t="s">
        <v>37</v>
      </c>
      <c r="G12" s="41" t="s">
        <v>37</v>
      </c>
      <c r="H12" s="41" t="s">
        <v>37</v>
      </c>
      <c r="I12" s="41" t="s">
        <v>10</v>
      </c>
      <c r="J12" s="41" t="s">
        <v>37</v>
      </c>
      <c r="K12" s="41" t="s">
        <v>37</v>
      </c>
      <c r="L12" s="41" t="s">
        <v>37</v>
      </c>
      <c r="M12" s="41" t="s">
        <v>37</v>
      </c>
      <c r="N12" s="41" t="s">
        <v>37</v>
      </c>
      <c r="O12" s="41" t="s">
        <v>347</v>
      </c>
    </row>
    <row r="13" spans="1:16" s="41" customFormat="1" x14ac:dyDescent="0.35">
      <c r="A13" s="41">
        <v>7</v>
      </c>
      <c r="B13" s="41" t="str">
        <f t="shared" si="0"/>
        <v>10.7</v>
      </c>
      <c r="C13" s="50" t="s">
        <v>41</v>
      </c>
      <c r="D13" s="41" t="s">
        <v>61</v>
      </c>
      <c r="E13" s="41" t="s">
        <v>43</v>
      </c>
      <c r="F13" s="41" t="s">
        <v>37</v>
      </c>
      <c r="G13" s="41" t="s">
        <v>37</v>
      </c>
      <c r="H13" s="41" t="s">
        <v>37</v>
      </c>
      <c r="I13" s="41" t="s">
        <v>10</v>
      </c>
      <c r="J13" s="41" t="s">
        <v>37</v>
      </c>
      <c r="K13" s="41" t="s">
        <v>37</v>
      </c>
      <c r="L13" s="41" t="s">
        <v>37</v>
      </c>
      <c r="M13" s="41" t="s">
        <v>37</v>
      </c>
      <c r="N13" s="41" t="s">
        <v>37</v>
      </c>
      <c r="O13" s="41" t="s">
        <v>348</v>
      </c>
    </row>
    <row r="14" spans="1:16" x14ac:dyDescent="0.35">
      <c r="I14" s="41"/>
      <c r="J14" s="5"/>
      <c r="K14" s="5"/>
      <c r="L14" s="42"/>
      <c r="M14" s="42"/>
      <c r="N14" s="42"/>
      <c r="O14" s="42"/>
    </row>
    <row r="15" spans="1:16" x14ac:dyDescent="0.35">
      <c r="D15" s="6" t="s">
        <v>83</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conditionalFormatting sqref="C14:C1048576">
    <cfRule type="cellIs" dxfId="196" priority="6" operator="equal">
      <formula>"WIP (see comments)"</formula>
    </cfRule>
    <cfRule type="cellIs" dxfId="195" priority="7" operator="equal">
      <formula>"Removed"</formula>
    </cfRule>
    <cfRule type="cellIs" dxfId="194" priority="8" operator="equal">
      <formula>"Updated"</formula>
    </cfRule>
    <cfRule type="cellIs" dxfId="193" priority="9" operator="equal">
      <formula>"New"</formula>
    </cfRule>
  </conditionalFormatting>
  <conditionalFormatting sqref="C7:C13">
    <cfRule type="cellIs" dxfId="192" priority="2" operator="equal">
      <formula>"WIP (see comments)"</formula>
    </cfRule>
    <cfRule type="cellIs" dxfId="191" priority="3" operator="equal">
      <formula>"Removed"</formula>
    </cfRule>
    <cfRule type="cellIs" dxfId="190" priority="4" operator="equal">
      <formula>"Updated"</formula>
    </cfRule>
    <cfRule type="cellIs" dxfId="189" priority="5" operator="equal">
      <formula>"New"</formula>
    </cfRule>
  </conditionalFormatting>
  <conditionalFormatting sqref="A1:XFD1048576">
    <cfRule type="cellIs" dxfId="188" priority="1"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Values'!$B$5:$B$13</xm:f>
          </x14:formula1>
          <xm:sqref>C7:C13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2"/>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362</v>
      </c>
      <c r="C1" s="34"/>
      <c r="D1" s="31" t="s">
        <v>409</v>
      </c>
    </row>
    <row r="2" spans="1:16" s="32" customFormat="1" ht="18.5" x14ac:dyDescent="0.35">
      <c r="A2" s="30" t="s">
        <v>7</v>
      </c>
      <c r="B2" s="38">
        <v>11</v>
      </c>
      <c r="C2" s="37"/>
      <c r="D2" s="38"/>
    </row>
    <row r="3" spans="1:16" s="32" customFormat="1" ht="18.5" x14ac:dyDescent="0.35">
      <c r="A3" s="30" t="s">
        <v>45</v>
      </c>
      <c r="B3" s="38" t="s">
        <v>130</v>
      </c>
      <c r="C3" s="37"/>
      <c r="D3" s="38"/>
    </row>
    <row r="4" spans="1:16" s="32" customFormat="1" ht="18.5" x14ac:dyDescent="0.35">
      <c r="A4" s="30" t="s">
        <v>8</v>
      </c>
      <c r="B4" s="32" t="s">
        <v>340</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x14ac:dyDescent="0.35">
      <c r="A7" s="41">
        <v>1</v>
      </c>
      <c r="B7" s="41" t="str">
        <f t="shared" ref="B7:B14" si="0">CONCATENATE($B$2, ".", A7)</f>
        <v>11.1</v>
      </c>
      <c r="C7" s="50" t="s">
        <v>41</v>
      </c>
      <c r="D7" s="41" t="s">
        <v>349</v>
      </c>
      <c r="E7" s="41" t="s">
        <v>29</v>
      </c>
      <c r="F7" s="41" t="s">
        <v>37</v>
      </c>
      <c r="G7" s="41" t="s">
        <v>37</v>
      </c>
      <c r="H7" s="41" t="s">
        <v>37</v>
      </c>
      <c r="I7" s="41" t="s">
        <v>10</v>
      </c>
      <c r="J7" s="42" t="s">
        <v>37</v>
      </c>
      <c r="K7" s="42" t="s">
        <v>37</v>
      </c>
      <c r="L7" s="42" t="s">
        <v>37</v>
      </c>
      <c r="M7" s="42" t="s">
        <v>37</v>
      </c>
      <c r="N7" s="42" t="s">
        <v>37</v>
      </c>
      <c r="O7" s="42" t="s">
        <v>37</v>
      </c>
    </row>
    <row r="8" spans="1:16" s="41" customFormat="1" x14ac:dyDescent="0.35">
      <c r="A8" s="41">
        <v>2</v>
      </c>
      <c r="B8" s="41" t="str">
        <f t="shared" si="0"/>
        <v>11.2</v>
      </c>
      <c r="C8" s="50" t="s">
        <v>41</v>
      </c>
      <c r="D8" s="41" t="s">
        <v>37</v>
      </c>
      <c r="E8" s="41" t="s">
        <v>50</v>
      </c>
      <c r="F8" s="41" t="s">
        <v>37</v>
      </c>
      <c r="G8" s="41" t="s">
        <v>37</v>
      </c>
      <c r="H8" s="41" t="s">
        <v>37</v>
      </c>
      <c r="I8" s="41" t="s">
        <v>10</v>
      </c>
      <c r="J8" s="42" t="s">
        <v>37</v>
      </c>
      <c r="K8" s="42" t="s">
        <v>37</v>
      </c>
      <c r="L8" s="42" t="s">
        <v>37</v>
      </c>
      <c r="M8" s="42" t="s">
        <v>37</v>
      </c>
      <c r="N8" s="42" t="s">
        <v>37</v>
      </c>
      <c r="O8" s="42" t="s">
        <v>37</v>
      </c>
    </row>
    <row r="9" spans="1:16" s="41" customFormat="1" ht="51" customHeight="1" x14ac:dyDescent="0.35">
      <c r="A9" s="41">
        <v>3</v>
      </c>
      <c r="B9" s="41" t="str">
        <f t="shared" si="0"/>
        <v>11.3</v>
      </c>
      <c r="C9" s="50" t="s">
        <v>41</v>
      </c>
      <c r="D9" s="41" t="s">
        <v>350</v>
      </c>
      <c r="E9" s="41" t="s">
        <v>137</v>
      </c>
      <c r="F9" s="41" t="s">
        <v>37</v>
      </c>
      <c r="G9" s="41" t="s">
        <v>37</v>
      </c>
      <c r="H9" s="41" t="s">
        <v>37</v>
      </c>
      <c r="I9" s="41" t="s">
        <v>10</v>
      </c>
      <c r="J9" s="42" t="s">
        <v>37</v>
      </c>
      <c r="K9" s="42" t="s">
        <v>37</v>
      </c>
      <c r="L9" s="42" t="s">
        <v>37</v>
      </c>
      <c r="M9" s="42" t="s">
        <v>37</v>
      </c>
      <c r="N9" s="42" t="s">
        <v>37</v>
      </c>
      <c r="O9" s="42" t="s">
        <v>121</v>
      </c>
    </row>
    <row r="10" spans="1:16" s="41" customFormat="1" ht="43.5" x14ac:dyDescent="0.35">
      <c r="A10" s="41">
        <v>4</v>
      </c>
      <c r="B10" s="41" t="str">
        <f t="shared" si="0"/>
        <v>11.4</v>
      </c>
      <c r="C10" s="50" t="s">
        <v>41</v>
      </c>
      <c r="D10" s="41" t="s">
        <v>351</v>
      </c>
      <c r="E10" s="41" t="s">
        <v>33</v>
      </c>
      <c r="F10" s="41" t="s">
        <v>53</v>
      </c>
      <c r="G10" s="41" t="s">
        <v>352</v>
      </c>
      <c r="H10" s="41" t="s">
        <v>54</v>
      </c>
      <c r="I10" s="41" t="s">
        <v>10</v>
      </c>
      <c r="J10" s="42" t="s">
        <v>354</v>
      </c>
      <c r="K10" s="42" t="s">
        <v>55</v>
      </c>
      <c r="L10" s="42" t="s">
        <v>355</v>
      </c>
      <c r="M10" s="42" t="s">
        <v>139</v>
      </c>
      <c r="N10" s="42" t="s">
        <v>59</v>
      </c>
      <c r="O10" s="42" t="s">
        <v>37</v>
      </c>
    </row>
    <row r="11" spans="1:16" s="41" customFormat="1" ht="72.5" x14ac:dyDescent="0.35">
      <c r="A11" s="41">
        <v>5</v>
      </c>
      <c r="B11" s="41" t="str">
        <f t="shared" si="0"/>
        <v>11.5</v>
      </c>
      <c r="C11" s="50" t="s">
        <v>41</v>
      </c>
      <c r="D11" s="41" t="s">
        <v>343</v>
      </c>
      <c r="E11" s="41" t="s">
        <v>33</v>
      </c>
      <c r="F11" s="41" t="s">
        <v>52</v>
      </c>
      <c r="G11" s="41" t="s">
        <v>353</v>
      </c>
      <c r="H11" s="41" t="s">
        <v>56</v>
      </c>
      <c r="I11" s="41" t="s">
        <v>10</v>
      </c>
      <c r="J11" s="42" t="s">
        <v>354</v>
      </c>
      <c r="K11" s="41" t="s">
        <v>55</v>
      </c>
      <c r="L11" s="41" t="s">
        <v>356</v>
      </c>
      <c r="M11" s="41" t="s">
        <v>57</v>
      </c>
      <c r="N11" s="41" t="s">
        <v>60</v>
      </c>
      <c r="O11" s="42" t="s">
        <v>37</v>
      </c>
    </row>
    <row r="12" spans="1:16" s="41" customFormat="1" ht="43.5" x14ac:dyDescent="0.35">
      <c r="A12" s="41">
        <v>6</v>
      </c>
      <c r="B12" s="41" t="str">
        <f t="shared" si="0"/>
        <v>11.6</v>
      </c>
      <c r="C12" s="50" t="s">
        <v>41</v>
      </c>
      <c r="D12" s="41" t="s">
        <v>357</v>
      </c>
      <c r="E12" s="41" t="s">
        <v>30</v>
      </c>
      <c r="F12" s="41" t="s">
        <v>68</v>
      </c>
      <c r="G12" s="41" t="s">
        <v>37</v>
      </c>
      <c r="H12" s="41" t="s">
        <v>37</v>
      </c>
      <c r="I12" s="41" t="s">
        <v>10</v>
      </c>
      <c r="J12" s="42" t="s">
        <v>122</v>
      </c>
      <c r="K12" s="41" t="s">
        <v>55</v>
      </c>
      <c r="L12" s="42" t="s">
        <v>358</v>
      </c>
      <c r="M12" s="42" t="s">
        <v>37</v>
      </c>
      <c r="N12" s="42" t="s">
        <v>37</v>
      </c>
      <c r="O12" s="42" t="s">
        <v>124</v>
      </c>
    </row>
    <row r="13" spans="1:16" s="41" customFormat="1" x14ac:dyDescent="0.35">
      <c r="A13" s="41">
        <v>7</v>
      </c>
      <c r="B13" s="41" t="str">
        <f>CONCATENATE($B$2, ".", A13)</f>
        <v>11.7</v>
      </c>
      <c r="C13" s="50" t="s">
        <v>41</v>
      </c>
      <c r="D13" s="41" t="s">
        <v>62</v>
      </c>
      <c r="E13" s="41" t="s">
        <v>43</v>
      </c>
      <c r="F13" s="41" t="s">
        <v>37</v>
      </c>
      <c r="G13" s="41" t="s">
        <v>37</v>
      </c>
      <c r="H13" s="41" t="s">
        <v>37</v>
      </c>
      <c r="I13" s="41" t="s">
        <v>10</v>
      </c>
      <c r="J13" s="41" t="s">
        <v>37</v>
      </c>
      <c r="K13" s="41" t="s">
        <v>37</v>
      </c>
      <c r="L13" s="41" t="s">
        <v>37</v>
      </c>
      <c r="M13" s="41" t="s">
        <v>37</v>
      </c>
      <c r="N13" s="41" t="s">
        <v>37</v>
      </c>
      <c r="O13" s="41" t="s">
        <v>360</v>
      </c>
    </row>
    <row r="14" spans="1:16" s="41" customFormat="1" x14ac:dyDescent="0.35">
      <c r="A14" s="41">
        <v>8</v>
      </c>
      <c r="B14" s="41" t="str">
        <f t="shared" si="0"/>
        <v>11.8</v>
      </c>
      <c r="C14" s="50" t="s">
        <v>41</v>
      </c>
      <c r="D14" s="41" t="s">
        <v>61</v>
      </c>
      <c r="E14" s="41" t="s">
        <v>43</v>
      </c>
      <c r="F14" s="41" t="s">
        <v>37</v>
      </c>
      <c r="G14" s="41" t="s">
        <v>37</v>
      </c>
      <c r="H14" s="41" t="s">
        <v>37</v>
      </c>
      <c r="I14" s="41" t="s">
        <v>10</v>
      </c>
      <c r="J14" s="41" t="s">
        <v>37</v>
      </c>
      <c r="K14" s="41" t="s">
        <v>37</v>
      </c>
      <c r="L14" s="41" t="s">
        <v>37</v>
      </c>
      <c r="M14" s="41" t="s">
        <v>37</v>
      </c>
      <c r="N14" s="41" t="s">
        <v>37</v>
      </c>
      <c r="O14" s="41" t="s">
        <v>359</v>
      </c>
    </row>
    <row r="15" spans="1:16" x14ac:dyDescent="0.35">
      <c r="I15" s="41"/>
      <c r="J15" s="5"/>
      <c r="K15" s="5"/>
      <c r="L15" s="42"/>
      <c r="M15" s="42"/>
      <c r="N15" s="42"/>
      <c r="O15" s="42"/>
    </row>
    <row r="16" spans="1:16" x14ac:dyDescent="0.35">
      <c r="D16" s="6" t="s">
        <v>83</v>
      </c>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row r="22" spans="9:15" x14ac:dyDescent="0.35">
      <c r="I22" s="41"/>
      <c r="J22" s="5"/>
      <c r="K22" s="5"/>
      <c r="L22" s="42"/>
      <c r="M22" s="42"/>
      <c r="N22" s="42"/>
      <c r="O22" s="42"/>
    </row>
  </sheetData>
  <conditionalFormatting sqref="C15:C1048576">
    <cfRule type="cellIs" dxfId="187" priority="12" operator="equal">
      <formula>"WIP (see comments)"</formula>
    </cfRule>
    <cfRule type="cellIs" dxfId="186" priority="13" operator="equal">
      <formula>"Removed"</formula>
    </cfRule>
    <cfRule type="cellIs" dxfId="185" priority="14" operator="equal">
      <formula>"Updated"</formula>
    </cfRule>
    <cfRule type="cellIs" dxfId="184" priority="15" operator="equal">
      <formula>"New"</formula>
    </cfRule>
  </conditionalFormatting>
  <conditionalFormatting sqref="C7:C14">
    <cfRule type="cellIs" dxfId="183" priority="8" operator="equal">
      <formula>"WIP (see comments)"</formula>
    </cfRule>
    <cfRule type="cellIs" dxfId="182" priority="9" operator="equal">
      <formula>"Removed"</formula>
    </cfRule>
    <cfRule type="cellIs" dxfId="181" priority="10" operator="equal">
      <formula>"Updated"</formula>
    </cfRule>
    <cfRule type="cellIs" dxfId="180" priority="11" operator="equal">
      <formula>"New"</formula>
    </cfRule>
  </conditionalFormatting>
  <conditionalFormatting sqref="A2:XFD8 A9:N9 P9:XFD12 A10:D12 A13:XFD1048576 A1:C1 E1:XFD1 C8:C14">
    <cfRule type="cellIs" dxfId="179" priority="7" operator="equal">
      <formula>"n/a"</formula>
    </cfRule>
  </conditionalFormatting>
  <conditionalFormatting sqref="O9">
    <cfRule type="cellIs" dxfId="178" priority="6" operator="equal">
      <formula>"n/a"</formula>
    </cfRule>
  </conditionalFormatting>
  <conditionalFormatting sqref="E11:I12 K11:N11 K12">
    <cfRule type="cellIs" dxfId="177" priority="5" operator="equal">
      <formula>"n/a"</formula>
    </cfRule>
  </conditionalFormatting>
  <conditionalFormatting sqref="E10:O10 J11:J12">
    <cfRule type="cellIs" dxfId="176" priority="4" operator="equal">
      <formula>"n/a"</formula>
    </cfRule>
  </conditionalFormatting>
  <conditionalFormatting sqref="O11">
    <cfRule type="cellIs" dxfId="175" priority="3" operator="equal">
      <formula>"n/a"</formula>
    </cfRule>
  </conditionalFormatting>
  <conditionalFormatting sqref="L12:O12">
    <cfRule type="cellIs" dxfId="174" priority="2" operator="equal">
      <formula>"n/a"</formula>
    </cfRule>
  </conditionalFormatting>
  <conditionalFormatting sqref="D1">
    <cfRule type="cellIs" dxfId="173" priority="1" operator="equal">
      <formula>"n/a"</formula>
    </cfRule>
  </conditionalFormatting>
  <dataValidations count="1">
    <dataValidation type="list" allowBlank="1" showInputMessage="1" showErrorMessage="1" sqref="C15: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C7:C14</xm:sqref>
        </x14:dataValidation>
        <x14:dataValidation type="list" allowBlank="1" showInputMessage="1" showErrorMessage="1">
          <x14:formula1>
            <xm:f>'List Values'!$A$5:$A$26</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9"/>
  <sheetViews>
    <sheetView workbookViewId="0">
      <pane ySplit="6" topLeftCell="A7" activePane="bottomLeft" state="frozen"/>
      <selection pane="bottomLeft" activeCell="A12" sqref="A12"/>
    </sheetView>
  </sheetViews>
  <sheetFormatPr defaultColWidth="9.1796875" defaultRowHeight="14.5" x14ac:dyDescent="0.35"/>
  <cols>
    <col min="1" max="1" width="14.7265625" style="6" customWidth="1"/>
    <col min="2" max="2" width="12.54296875" style="6" customWidth="1"/>
    <col min="3" max="3" width="17.81640625" style="36" customWidth="1"/>
    <col min="4" max="4" width="52.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364</v>
      </c>
      <c r="C1" s="34"/>
      <c r="D1" s="31" t="s">
        <v>409</v>
      </c>
    </row>
    <row r="2" spans="1:16" s="32" customFormat="1" ht="18.5" x14ac:dyDescent="0.35">
      <c r="A2" s="30" t="s">
        <v>7</v>
      </c>
      <c r="B2" s="38" t="s">
        <v>363</v>
      </c>
      <c r="C2" s="37"/>
      <c r="D2" s="38"/>
    </row>
    <row r="3" spans="1:16" s="32" customFormat="1" ht="18.5" x14ac:dyDescent="0.35">
      <c r="A3" s="30" t="s">
        <v>45</v>
      </c>
      <c r="B3" s="38" t="s">
        <v>130</v>
      </c>
      <c r="C3" s="37"/>
      <c r="D3" s="38"/>
    </row>
    <row r="4" spans="1:16" s="32" customFormat="1" ht="18.5" x14ac:dyDescent="0.35">
      <c r="A4" s="30" t="s">
        <v>8</v>
      </c>
      <c r="B4" s="32" t="s">
        <v>365</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s="41" customFormat="1" ht="43.5" x14ac:dyDescent="0.35">
      <c r="A7" s="41">
        <v>1</v>
      </c>
      <c r="B7" s="41" t="str">
        <f t="shared" ref="B7:B11" si="0">CONCATENATE($B$2, ".", A7)</f>
        <v>11a.1</v>
      </c>
      <c r="C7" s="50" t="s">
        <v>41</v>
      </c>
      <c r="D7" s="41" t="s">
        <v>379</v>
      </c>
      <c r="E7" s="41" t="s">
        <v>34</v>
      </c>
      <c r="F7" s="41" t="s">
        <v>37</v>
      </c>
      <c r="G7" s="41" t="s">
        <v>37</v>
      </c>
      <c r="H7" s="41" t="s">
        <v>37</v>
      </c>
      <c r="I7" s="41" t="s">
        <v>10</v>
      </c>
      <c r="J7" s="42" t="s">
        <v>37</v>
      </c>
      <c r="K7" s="42" t="s">
        <v>37</v>
      </c>
      <c r="L7" s="42" t="s">
        <v>37</v>
      </c>
      <c r="M7" s="42" t="s">
        <v>37</v>
      </c>
      <c r="N7" s="42" t="s">
        <v>37</v>
      </c>
      <c r="O7" s="42" t="s">
        <v>37</v>
      </c>
    </row>
    <row r="8" spans="1:16" s="41" customFormat="1" ht="76.5" customHeight="1" x14ac:dyDescent="0.35">
      <c r="A8" s="41">
        <v>2</v>
      </c>
      <c r="B8" s="41" t="str">
        <f t="shared" si="0"/>
        <v>11a.2</v>
      </c>
      <c r="C8" s="50" t="s">
        <v>41</v>
      </c>
      <c r="D8" s="41" t="s">
        <v>367</v>
      </c>
      <c r="E8" s="41" t="s">
        <v>34</v>
      </c>
      <c r="F8" s="41" t="s">
        <v>37</v>
      </c>
      <c r="G8" s="41" t="s">
        <v>37</v>
      </c>
      <c r="H8" s="41" t="s">
        <v>37</v>
      </c>
      <c r="I8" s="41" t="s">
        <v>10</v>
      </c>
      <c r="J8" s="42" t="s">
        <v>37</v>
      </c>
      <c r="K8" s="42" t="s">
        <v>37</v>
      </c>
      <c r="L8" s="42" t="s">
        <v>37</v>
      </c>
      <c r="M8" s="42" t="s">
        <v>37</v>
      </c>
      <c r="N8" s="42" t="s">
        <v>37</v>
      </c>
      <c r="O8" s="42" t="s">
        <v>37</v>
      </c>
    </row>
    <row r="9" spans="1:16" s="41" customFormat="1" x14ac:dyDescent="0.35">
      <c r="A9" s="41">
        <v>3</v>
      </c>
      <c r="B9" s="41" t="str">
        <f t="shared" si="0"/>
        <v>11a.3</v>
      </c>
      <c r="C9" s="50" t="s">
        <v>41</v>
      </c>
      <c r="D9" s="41" t="s">
        <v>366</v>
      </c>
      <c r="E9" s="41" t="s">
        <v>34</v>
      </c>
      <c r="F9" s="41" t="s">
        <v>37</v>
      </c>
      <c r="G9" s="41" t="s">
        <v>37</v>
      </c>
      <c r="H9" s="41" t="s">
        <v>37</v>
      </c>
      <c r="I9" s="41" t="s">
        <v>10</v>
      </c>
      <c r="J9" s="42" t="s">
        <v>37</v>
      </c>
      <c r="K9" s="42" t="s">
        <v>37</v>
      </c>
      <c r="L9" s="42" t="s">
        <v>37</v>
      </c>
      <c r="M9" s="42" t="s">
        <v>37</v>
      </c>
      <c r="N9" s="42" t="s">
        <v>37</v>
      </c>
      <c r="O9" s="42" t="s">
        <v>37</v>
      </c>
    </row>
    <row r="10" spans="1:16" s="41" customFormat="1" ht="43.5" x14ac:dyDescent="0.35">
      <c r="A10" s="41">
        <v>4</v>
      </c>
      <c r="B10" s="41" t="str">
        <f>CONCATENATE($B$2, ".", A10)</f>
        <v>11a.4</v>
      </c>
      <c r="C10" s="50" t="s">
        <v>41</v>
      </c>
      <c r="D10" s="41" t="s">
        <v>369</v>
      </c>
      <c r="E10" s="41" t="s">
        <v>43</v>
      </c>
      <c r="F10" s="41" t="s">
        <v>37</v>
      </c>
      <c r="G10" s="41" t="s">
        <v>37</v>
      </c>
      <c r="H10" s="41" t="s">
        <v>37</v>
      </c>
      <c r="I10" s="41" t="s">
        <v>10</v>
      </c>
      <c r="J10" s="41" t="s">
        <v>37</v>
      </c>
      <c r="K10" s="41" t="s">
        <v>37</v>
      </c>
      <c r="L10" s="41" t="s">
        <v>37</v>
      </c>
      <c r="M10" s="41" t="s">
        <v>37</v>
      </c>
      <c r="N10" s="41" t="s">
        <v>37</v>
      </c>
      <c r="O10" s="80" t="s">
        <v>370</v>
      </c>
      <c r="P10" s="80" t="s">
        <v>371</v>
      </c>
    </row>
    <row r="11" spans="1:16" s="41" customFormat="1" ht="29" x14ac:dyDescent="0.35">
      <c r="A11" s="41">
        <v>5</v>
      </c>
      <c r="B11" s="41" t="str">
        <f t="shared" si="0"/>
        <v>11a.5</v>
      </c>
      <c r="C11" s="50" t="s">
        <v>41</v>
      </c>
      <c r="D11" s="41" t="s">
        <v>368</v>
      </c>
      <c r="E11" s="41" t="s">
        <v>43</v>
      </c>
      <c r="F11" s="41" t="s">
        <v>37</v>
      </c>
      <c r="G11" s="41" t="s">
        <v>37</v>
      </c>
      <c r="H11" s="41" t="s">
        <v>37</v>
      </c>
      <c r="I11" s="41" t="s">
        <v>10</v>
      </c>
      <c r="J11" s="41" t="s">
        <v>37</v>
      </c>
      <c r="K11" s="41" t="s">
        <v>37</v>
      </c>
      <c r="L11" s="41" t="s">
        <v>37</v>
      </c>
      <c r="M11" s="41" t="s">
        <v>37</v>
      </c>
      <c r="N11" s="41" t="s">
        <v>37</v>
      </c>
      <c r="O11" s="41" t="s">
        <v>372</v>
      </c>
    </row>
    <row r="12" spans="1:16" x14ac:dyDescent="0.35">
      <c r="I12" s="41"/>
      <c r="J12" s="5"/>
      <c r="K12" s="5"/>
      <c r="L12" s="42"/>
      <c r="M12" s="42"/>
      <c r="N12" s="42"/>
      <c r="O12" s="42"/>
    </row>
    <row r="13" spans="1:16" x14ac:dyDescent="0.35">
      <c r="D13" s="6" t="s">
        <v>83</v>
      </c>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sheetData>
  <conditionalFormatting sqref="C7:C1048576">
    <cfRule type="cellIs" dxfId="172" priority="12" operator="equal">
      <formula>"WIP (see comments)"</formula>
    </cfRule>
    <cfRule type="cellIs" dxfId="171" priority="13" operator="equal">
      <formula>"Removed"</formula>
    </cfRule>
    <cfRule type="cellIs" dxfId="170" priority="14" operator="equal">
      <formula>"Updated"</formula>
    </cfRule>
    <cfRule type="cellIs" dxfId="169" priority="15" operator="equal">
      <formula>"New"</formula>
    </cfRule>
  </conditionalFormatting>
  <conditionalFormatting sqref="A2:XFD7 A8:N8 P8:XFD9 A9:D9 A10:XFD1048576 F9:H9 J9:N9 A1:C1 E1:XFD1 C8:C11">
    <cfRule type="cellIs" dxfId="168" priority="7" operator="equal">
      <formula>"n/a"</formula>
    </cfRule>
  </conditionalFormatting>
  <conditionalFormatting sqref="O8">
    <cfRule type="cellIs" dxfId="167" priority="6" operator="equal">
      <formula>"n/a"</formula>
    </cfRule>
  </conditionalFormatting>
  <conditionalFormatting sqref="E9 I9 O9">
    <cfRule type="cellIs" dxfId="166" priority="4" operator="equal">
      <formula>"n/a"</formula>
    </cfRule>
  </conditionalFormatting>
  <conditionalFormatting sqref="D1">
    <cfRule type="cellIs" dxfId="165" priority="1" operator="equal">
      <formula>"n/a"</formula>
    </cfRule>
  </conditionalFormatting>
  <dataValidations count="1">
    <dataValidation type="list" allowBlank="1" showInputMessage="1" showErrorMessage="1" sqref="C12: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Values'!$B$5:$B$13</xm:f>
          </x14:formula1>
          <xm:sqref>C7:C11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1"/>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126</v>
      </c>
      <c r="C1" s="34"/>
      <c r="D1" s="31" t="s">
        <v>424</v>
      </c>
      <c r="H1" s="37"/>
    </row>
    <row r="2" spans="1:16" s="32" customFormat="1" ht="18.5" x14ac:dyDescent="0.35">
      <c r="A2" s="30" t="s">
        <v>7</v>
      </c>
      <c r="B2" s="38">
        <v>12</v>
      </c>
      <c r="C2" s="37"/>
      <c r="D2" s="38"/>
      <c r="H2" s="37"/>
    </row>
    <row r="3" spans="1:16" s="32" customFormat="1" ht="18.5" x14ac:dyDescent="0.35">
      <c r="A3" s="30" t="s">
        <v>45</v>
      </c>
      <c r="B3" s="38" t="s">
        <v>391</v>
      </c>
      <c r="C3" s="37"/>
      <c r="D3" s="38"/>
      <c r="H3" s="37"/>
    </row>
    <row r="4" spans="1:16" s="32" customFormat="1" ht="18.5" x14ac:dyDescent="0.35">
      <c r="A4" s="30" t="s">
        <v>8</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6">
        <v>1</v>
      </c>
      <c r="B7" s="6" t="str">
        <f t="shared" ref="B7:B11" si="0">CONCATENATE($B$2, ".", A7)</f>
        <v>12.1</v>
      </c>
      <c r="C7" s="36" t="s">
        <v>40</v>
      </c>
      <c r="D7" s="41" t="s">
        <v>330</v>
      </c>
      <c r="E7" s="41" t="s">
        <v>29</v>
      </c>
      <c r="F7" s="41" t="s">
        <v>37</v>
      </c>
      <c r="G7" s="41" t="s">
        <v>37</v>
      </c>
      <c r="H7" s="36" t="s">
        <v>37</v>
      </c>
      <c r="I7" s="41" t="s">
        <v>10</v>
      </c>
      <c r="J7" s="5" t="s">
        <v>37</v>
      </c>
      <c r="K7" s="5" t="s">
        <v>37</v>
      </c>
      <c r="L7" s="5" t="s">
        <v>37</v>
      </c>
      <c r="M7" s="5" t="s">
        <v>37</v>
      </c>
      <c r="N7" s="5" t="s">
        <v>37</v>
      </c>
      <c r="O7" s="5" t="s">
        <v>37</v>
      </c>
    </row>
    <row r="8" spans="1:16" x14ac:dyDescent="0.35">
      <c r="A8" s="6">
        <v>2</v>
      </c>
      <c r="B8" s="6" t="str">
        <f t="shared" si="0"/>
        <v>12.2</v>
      </c>
      <c r="C8" s="36" t="s">
        <v>40</v>
      </c>
      <c r="D8" s="41" t="s">
        <v>37</v>
      </c>
      <c r="E8" s="41" t="s">
        <v>50</v>
      </c>
      <c r="F8" s="41" t="s">
        <v>37</v>
      </c>
      <c r="G8" s="41" t="s">
        <v>37</v>
      </c>
      <c r="H8" s="36" t="s">
        <v>37</v>
      </c>
      <c r="I8" s="41" t="s">
        <v>10</v>
      </c>
      <c r="J8" s="5" t="s">
        <v>37</v>
      </c>
      <c r="K8" s="5" t="s">
        <v>37</v>
      </c>
      <c r="L8" s="5" t="s">
        <v>37</v>
      </c>
      <c r="M8" s="5" t="s">
        <v>37</v>
      </c>
      <c r="N8" s="5" t="s">
        <v>37</v>
      </c>
      <c r="O8" s="5" t="s">
        <v>37</v>
      </c>
    </row>
    <row r="9" spans="1:16" s="41" customFormat="1" ht="144.75" customHeight="1" x14ac:dyDescent="0.35">
      <c r="A9" s="41">
        <v>3</v>
      </c>
      <c r="B9" s="41" t="str">
        <f t="shared" si="0"/>
        <v>12.3</v>
      </c>
      <c r="C9" s="36" t="s">
        <v>40</v>
      </c>
      <c r="D9" s="41" t="s">
        <v>194</v>
      </c>
      <c r="E9" s="41" t="s">
        <v>35</v>
      </c>
      <c r="F9" s="41" t="s">
        <v>294</v>
      </c>
      <c r="G9" s="41" t="s">
        <v>295</v>
      </c>
      <c r="H9" s="50" t="s">
        <v>37</v>
      </c>
      <c r="I9" s="41" t="s">
        <v>10</v>
      </c>
      <c r="J9" s="42" t="s">
        <v>115</v>
      </c>
      <c r="K9" s="42" t="s">
        <v>55</v>
      </c>
      <c r="L9" s="42" t="s">
        <v>114</v>
      </c>
      <c r="M9" s="42" t="s">
        <v>37</v>
      </c>
      <c r="N9" s="42" t="s">
        <v>37</v>
      </c>
      <c r="O9" s="42" t="s">
        <v>37</v>
      </c>
    </row>
    <row r="10" spans="1:16" s="41" customFormat="1" ht="185.25" customHeight="1" x14ac:dyDescent="0.35">
      <c r="A10" s="41">
        <v>4</v>
      </c>
      <c r="B10" s="41" t="str">
        <f t="shared" si="0"/>
        <v>12.4</v>
      </c>
      <c r="C10" s="36" t="s">
        <v>40</v>
      </c>
      <c r="D10" s="41" t="s">
        <v>195</v>
      </c>
      <c r="E10" s="41" t="s">
        <v>33</v>
      </c>
      <c r="F10" s="41" t="s">
        <v>53</v>
      </c>
      <c r="G10" s="41" t="s">
        <v>37</v>
      </c>
      <c r="H10" s="50">
        <v>30</v>
      </c>
      <c r="I10" s="41" t="s">
        <v>222</v>
      </c>
      <c r="J10" s="42" t="s">
        <v>115</v>
      </c>
      <c r="K10" s="42" t="s">
        <v>55</v>
      </c>
      <c r="L10" s="42" t="s">
        <v>196</v>
      </c>
      <c r="M10" s="42" t="s">
        <v>37</v>
      </c>
      <c r="N10" s="42" t="s">
        <v>37</v>
      </c>
      <c r="O10" s="41" t="s">
        <v>116</v>
      </c>
    </row>
    <row r="11" spans="1:16" ht="119.25" customHeight="1" x14ac:dyDescent="0.35">
      <c r="A11" s="6">
        <v>5</v>
      </c>
      <c r="B11" s="6" t="str">
        <f t="shared" si="0"/>
        <v>12.5</v>
      </c>
      <c r="C11" s="36" t="s">
        <v>40</v>
      </c>
      <c r="D11" s="41" t="s">
        <v>197</v>
      </c>
      <c r="E11" s="41" t="s">
        <v>32</v>
      </c>
      <c r="F11" s="6" t="s">
        <v>65</v>
      </c>
      <c r="G11" s="6" t="s">
        <v>198</v>
      </c>
      <c r="H11" s="36" t="s">
        <v>37</v>
      </c>
      <c r="I11" s="41" t="s">
        <v>128</v>
      </c>
      <c r="J11" s="5" t="s">
        <v>129</v>
      </c>
      <c r="K11" s="5" t="s">
        <v>55</v>
      </c>
      <c r="L11" s="5" t="s">
        <v>37</v>
      </c>
      <c r="M11" s="5" t="s">
        <v>37</v>
      </c>
      <c r="N11" s="5" t="s">
        <v>37</v>
      </c>
      <c r="O11" s="5"/>
    </row>
    <row r="12" spans="1:16" ht="29" x14ac:dyDescent="0.35">
      <c r="A12" s="6">
        <v>6</v>
      </c>
      <c r="B12" s="6" t="str">
        <f>CONCATENATE($B$2, ".", A12)</f>
        <v>12.6</v>
      </c>
      <c r="C12" s="36" t="s">
        <v>46</v>
      </c>
      <c r="D12" s="6" t="s">
        <v>62</v>
      </c>
      <c r="E12" s="6" t="s">
        <v>43</v>
      </c>
      <c r="F12" s="6" t="s">
        <v>37</v>
      </c>
      <c r="G12" s="6" t="s">
        <v>37</v>
      </c>
      <c r="H12" s="36" t="s">
        <v>37</v>
      </c>
      <c r="I12" s="6" t="s">
        <v>10</v>
      </c>
      <c r="J12" s="6" t="s">
        <v>37</v>
      </c>
      <c r="K12" s="6" t="s">
        <v>37</v>
      </c>
      <c r="L12" s="6" t="s">
        <v>37</v>
      </c>
      <c r="M12" s="6" t="s">
        <v>37</v>
      </c>
      <c r="N12" s="6" t="s">
        <v>37</v>
      </c>
      <c r="O12" s="41" t="s">
        <v>331</v>
      </c>
      <c r="P12" s="6" t="s">
        <v>423</v>
      </c>
    </row>
    <row r="13" spans="1:16" ht="87" x14ac:dyDescent="0.35">
      <c r="A13" s="6">
        <v>7</v>
      </c>
      <c r="B13" s="6" t="str">
        <f t="shared" ref="B13" si="1">CONCATENATE($B$2, ".", A13)</f>
        <v>12.7</v>
      </c>
      <c r="C13" s="36" t="s">
        <v>46</v>
      </c>
      <c r="D13" s="6" t="s">
        <v>61</v>
      </c>
      <c r="E13" s="6" t="s">
        <v>43</v>
      </c>
      <c r="F13" s="6" t="s">
        <v>37</v>
      </c>
      <c r="G13" s="6" t="s">
        <v>37</v>
      </c>
      <c r="H13" s="36" t="s">
        <v>37</v>
      </c>
      <c r="I13" s="6" t="s">
        <v>10</v>
      </c>
      <c r="J13" s="6" t="s">
        <v>37</v>
      </c>
      <c r="K13" s="6" t="s">
        <v>37</v>
      </c>
      <c r="L13" s="6" t="s">
        <v>37</v>
      </c>
      <c r="M13" s="6" t="s">
        <v>37</v>
      </c>
      <c r="N13" s="6" t="s">
        <v>37</v>
      </c>
      <c r="O13" s="41" t="s">
        <v>376</v>
      </c>
      <c r="P13" s="6" t="s">
        <v>423</v>
      </c>
    </row>
    <row r="14" spans="1:16" x14ac:dyDescent="0.35">
      <c r="I14" s="41"/>
      <c r="J14" s="5"/>
      <c r="K14" s="5"/>
      <c r="L14" s="42"/>
      <c r="M14" s="42"/>
      <c r="N14" s="42"/>
      <c r="O14" s="42"/>
    </row>
    <row r="15" spans="1:16" x14ac:dyDescent="0.35">
      <c r="D15" s="6" t="s">
        <v>83</v>
      </c>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row r="21" spans="9:15" x14ac:dyDescent="0.35">
      <c r="I21" s="41"/>
      <c r="J21" s="5"/>
      <c r="K21" s="5"/>
      <c r="L21" s="42"/>
      <c r="M21" s="42"/>
      <c r="N21" s="42"/>
      <c r="O21" s="42"/>
    </row>
  </sheetData>
  <autoFilter ref="A6:P13"/>
  <conditionalFormatting sqref="C7:C1048576">
    <cfRule type="cellIs" dxfId="164" priority="18" operator="equal">
      <formula>"WIP (see comments)"</formula>
    </cfRule>
    <cfRule type="cellIs" dxfId="163" priority="19" operator="equal">
      <formula>"Removed"</formula>
    </cfRule>
    <cfRule type="cellIs" dxfId="162" priority="20" operator="equal">
      <formula>"Updated"</formula>
    </cfRule>
    <cfRule type="cellIs" dxfId="161" priority="21" operator="equal">
      <formula>"New"</formula>
    </cfRule>
  </conditionalFormatting>
  <conditionalFormatting sqref="A9:B10 D9:XFD10">
    <cfRule type="cellIs" dxfId="1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3"/>
  <sheetViews>
    <sheetView workbookViewId="0">
      <pane ySplit="6" topLeftCell="A7" activePane="bottomLeft" state="frozen"/>
      <selection pane="bottomLeft" activeCell="C1" sqref="C1"/>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120</v>
      </c>
      <c r="C1" s="34"/>
      <c r="D1" s="31" t="s">
        <v>411</v>
      </c>
      <c r="H1" s="37"/>
    </row>
    <row r="2" spans="1:16" s="32" customFormat="1" ht="18.5" x14ac:dyDescent="0.35">
      <c r="A2" s="30" t="s">
        <v>7</v>
      </c>
      <c r="B2" s="38">
        <v>13</v>
      </c>
      <c r="C2" s="37"/>
      <c r="D2" s="38"/>
      <c r="H2" s="37"/>
    </row>
    <row r="3" spans="1:16" s="32" customFormat="1" ht="18.5" x14ac:dyDescent="0.35">
      <c r="A3" s="30" t="s">
        <v>45</v>
      </c>
      <c r="B3" s="38" t="s">
        <v>391</v>
      </c>
      <c r="C3" s="37"/>
      <c r="D3" s="38"/>
      <c r="H3" s="37"/>
    </row>
    <row r="4" spans="1:16" s="32" customFormat="1" ht="18.5" x14ac:dyDescent="0.35">
      <c r="A4" s="30" t="s">
        <v>8</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s="41" customFormat="1" x14ac:dyDescent="0.35">
      <c r="A7" s="41">
        <v>1</v>
      </c>
      <c r="B7" s="41" t="str">
        <f t="shared" ref="B7:B15" si="0">CONCATENATE($B$2, ".", A7)</f>
        <v>13.1</v>
      </c>
      <c r="C7" s="50" t="s">
        <v>40</v>
      </c>
      <c r="D7" s="41" t="s">
        <v>333</v>
      </c>
      <c r="E7" s="41" t="s">
        <v>29</v>
      </c>
      <c r="F7" s="41" t="s">
        <v>37</v>
      </c>
      <c r="G7" s="41" t="s">
        <v>37</v>
      </c>
      <c r="H7" s="50" t="s">
        <v>37</v>
      </c>
      <c r="I7" s="41" t="s">
        <v>10</v>
      </c>
      <c r="J7" s="42" t="s">
        <v>37</v>
      </c>
      <c r="K7" s="42" t="s">
        <v>37</v>
      </c>
      <c r="L7" s="42" t="s">
        <v>37</v>
      </c>
      <c r="M7" s="42" t="s">
        <v>37</v>
      </c>
      <c r="N7" s="42" t="s">
        <v>37</v>
      </c>
      <c r="O7" s="42" t="s">
        <v>37</v>
      </c>
    </row>
    <row r="8" spans="1:16" s="41" customFormat="1" x14ac:dyDescent="0.35">
      <c r="A8" s="41">
        <v>2</v>
      </c>
      <c r="B8" s="41" t="str">
        <f t="shared" si="0"/>
        <v>13.2</v>
      </c>
      <c r="C8" s="50" t="s">
        <v>40</v>
      </c>
      <c r="D8" s="41" t="s">
        <v>37</v>
      </c>
      <c r="E8" s="41" t="s">
        <v>50</v>
      </c>
      <c r="F8" s="41" t="s">
        <v>37</v>
      </c>
      <c r="G8" s="41" t="s">
        <v>37</v>
      </c>
      <c r="H8" s="50" t="s">
        <v>37</v>
      </c>
      <c r="I8" s="41" t="s">
        <v>10</v>
      </c>
      <c r="J8" s="42" t="s">
        <v>37</v>
      </c>
      <c r="K8" s="42" t="s">
        <v>37</v>
      </c>
      <c r="L8" s="42" t="s">
        <v>37</v>
      </c>
      <c r="M8" s="42" t="s">
        <v>37</v>
      </c>
      <c r="N8" s="42" t="s">
        <v>37</v>
      </c>
      <c r="O8" s="42" t="s">
        <v>37</v>
      </c>
    </row>
    <row r="9" spans="1:16" s="41" customFormat="1" ht="43.5" x14ac:dyDescent="0.35">
      <c r="A9" s="41">
        <v>3</v>
      </c>
      <c r="B9" s="41" t="str">
        <f>CONCATENATE($B$2, ".", A9)</f>
        <v>13.3</v>
      </c>
      <c r="C9" s="50" t="s">
        <v>40</v>
      </c>
      <c r="D9" s="41" t="s">
        <v>213</v>
      </c>
      <c r="E9" s="41" t="s">
        <v>30</v>
      </c>
      <c r="F9" s="41" t="s">
        <v>68</v>
      </c>
      <c r="G9" s="41" t="s">
        <v>37</v>
      </c>
      <c r="H9" s="50" t="s">
        <v>37</v>
      </c>
      <c r="I9" s="41" t="s">
        <v>10</v>
      </c>
      <c r="J9" s="42" t="s">
        <v>122</v>
      </c>
      <c r="K9" s="42" t="s">
        <v>55</v>
      </c>
      <c r="L9" s="42" t="s">
        <v>123</v>
      </c>
      <c r="M9" s="42" t="s">
        <v>37</v>
      </c>
      <c r="N9" s="42" t="s">
        <v>37</v>
      </c>
      <c r="O9" s="42" t="s">
        <v>124</v>
      </c>
    </row>
    <row r="10" spans="1:16" s="41" customFormat="1" ht="29" x14ac:dyDescent="0.35">
      <c r="A10" s="41">
        <v>4</v>
      </c>
      <c r="B10" s="41" t="str">
        <f t="shared" ref="B10:B12" si="1">CONCATENATE($B$2, ".", A10)</f>
        <v>13.4</v>
      </c>
      <c r="C10" s="50" t="s">
        <v>40</v>
      </c>
      <c r="D10" s="49" t="s">
        <v>214</v>
      </c>
      <c r="E10" s="41" t="s">
        <v>34</v>
      </c>
      <c r="F10" s="41" t="s">
        <v>37</v>
      </c>
      <c r="G10" s="41" t="s">
        <v>217</v>
      </c>
      <c r="H10" s="50" t="s">
        <v>37</v>
      </c>
      <c r="I10" s="41" t="s">
        <v>10</v>
      </c>
      <c r="J10" s="42" t="s">
        <v>37</v>
      </c>
      <c r="K10" s="42" t="s">
        <v>37</v>
      </c>
      <c r="L10" s="42" t="s">
        <v>37</v>
      </c>
      <c r="M10" s="42" t="s">
        <v>37</v>
      </c>
      <c r="N10" s="42" t="s">
        <v>37</v>
      </c>
      <c r="O10" s="42"/>
    </row>
    <row r="11" spans="1:16" s="41" customFormat="1" ht="43.5" x14ac:dyDescent="0.35">
      <c r="A11" s="41">
        <v>5</v>
      </c>
      <c r="B11" s="41" t="str">
        <f t="shared" si="1"/>
        <v>13.5</v>
      </c>
      <c r="C11" s="50" t="s">
        <v>40</v>
      </c>
      <c r="D11" s="49" t="s">
        <v>215</v>
      </c>
      <c r="E11" s="41" t="s">
        <v>34</v>
      </c>
      <c r="F11" s="41" t="s">
        <v>37</v>
      </c>
      <c r="G11" s="41" t="s">
        <v>218</v>
      </c>
      <c r="H11" s="50" t="s">
        <v>37</v>
      </c>
      <c r="I11" s="41" t="s">
        <v>10</v>
      </c>
      <c r="J11" s="42" t="s">
        <v>37</v>
      </c>
      <c r="K11" s="42" t="s">
        <v>37</v>
      </c>
      <c r="L11" s="42" t="s">
        <v>37</v>
      </c>
      <c r="M11" s="42" t="s">
        <v>37</v>
      </c>
      <c r="N11" s="42" t="s">
        <v>37</v>
      </c>
      <c r="O11" s="42"/>
    </row>
    <row r="12" spans="1:16" s="41" customFormat="1" ht="43.5" x14ac:dyDescent="0.35">
      <c r="A12" s="41">
        <v>6</v>
      </c>
      <c r="B12" s="41" t="str">
        <f t="shared" si="1"/>
        <v>13.6</v>
      </c>
      <c r="C12" s="50" t="s">
        <v>40</v>
      </c>
      <c r="D12" s="49" t="s">
        <v>216</v>
      </c>
      <c r="E12" s="41" t="s">
        <v>34</v>
      </c>
      <c r="F12" s="41" t="s">
        <v>37</v>
      </c>
      <c r="G12" s="41" t="s">
        <v>219</v>
      </c>
      <c r="H12" s="50" t="s">
        <v>37</v>
      </c>
      <c r="I12" s="41" t="s">
        <v>10</v>
      </c>
      <c r="J12" s="42" t="s">
        <v>37</v>
      </c>
      <c r="K12" s="42" t="s">
        <v>37</v>
      </c>
      <c r="L12" s="42" t="s">
        <v>37</v>
      </c>
      <c r="M12" s="42" t="s">
        <v>37</v>
      </c>
      <c r="N12" s="42" t="s">
        <v>37</v>
      </c>
      <c r="O12" s="42"/>
    </row>
    <row r="13" spans="1:16" s="41" customFormat="1" ht="54" customHeight="1" x14ac:dyDescent="0.35">
      <c r="A13" s="41">
        <v>7</v>
      </c>
      <c r="B13" s="41" t="str">
        <f t="shared" si="0"/>
        <v>13.7</v>
      </c>
      <c r="C13" s="50" t="s">
        <v>40</v>
      </c>
      <c r="D13" s="41" t="s">
        <v>293</v>
      </c>
      <c r="E13" s="41" t="s">
        <v>137</v>
      </c>
      <c r="F13" s="41" t="s">
        <v>37</v>
      </c>
      <c r="G13" s="41" t="s">
        <v>37</v>
      </c>
      <c r="H13" s="50" t="s">
        <v>37</v>
      </c>
      <c r="I13" s="41" t="s">
        <v>10</v>
      </c>
      <c r="J13" s="42" t="s">
        <v>37</v>
      </c>
      <c r="K13" s="42" t="s">
        <v>37</v>
      </c>
      <c r="L13" s="42" t="s">
        <v>37</v>
      </c>
      <c r="M13" s="42" t="s">
        <v>37</v>
      </c>
      <c r="N13" s="42" t="s">
        <v>37</v>
      </c>
      <c r="O13" s="42" t="s">
        <v>121</v>
      </c>
    </row>
    <row r="14" spans="1:16" s="41" customFormat="1" x14ac:dyDescent="0.35">
      <c r="A14" s="41">
        <v>8</v>
      </c>
      <c r="B14" s="41" t="str">
        <f>CONCATENATE($B$2, ".", A14)</f>
        <v>13.8</v>
      </c>
      <c r="C14" s="50" t="s">
        <v>40</v>
      </c>
      <c r="D14" s="41" t="s">
        <v>62</v>
      </c>
      <c r="E14" s="41" t="s">
        <v>43</v>
      </c>
      <c r="F14" s="41" t="s">
        <v>37</v>
      </c>
      <c r="G14" s="41" t="s">
        <v>37</v>
      </c>
      <c r="H14" s="50" t="s">
        <v>37</v>
      </c>
      <c r="I14" s="41" t="s">
        <v>10</v>
      </c>
      <c r="J14" s="41" t="s">
        <v>37</v>
      </c>
      <c r="K14" s="41" t="s">
        <v>37</v>
      </c>
      <c r="L14" s="41" t="s">
        <v>37</v>
      </c>
      <c r="M14" s="41" t="s">
        <v>37</v>
      </c>
      <c r="N14" s="41" t="s">
        <v>37</v>
      </c>
      <c r="O14" s="41" t="s">
        <v>220</v>
      </c>
    </row>
    <row r="15" spans="1:16" s="41" customFormat="1" x14ac:dyDescent="0.35">
      <c r="A15" s="41">
        <v>9</v>
      </c>
      <c r="B15" s="41" t="str">
        <f t="shared" si="0"/>
        <v>13.9</v>
      </c>
      <c r="C15" s="50" t="s">
        <v>40</v>
      </c>
      <c r="D15" s="41" t="s">
        <v>61</v>
      </c>
      <c r="E15" s="41" t="s">
        <v>43</v>
      </c>
      <c r="F15" s="41" t="s">
        <v>37</v>
      </c>
      <c r="G15" s="41" t="s">
        <v>37</v>
      </c>
      <c r="H15" s="50" t="s">
        <v>37</v>
      </c>
      <c r="I15" s="41" t="s">
        <v>10</v>
      </c>
      <c r="J15" s="41" t="s">
        <v>37</v>
      </c>
      <c r="K15" s="41" t="s">
        <v>37</v>
      </c>
      <c r="L15" s="41" t="s">
        <v>37</v>
      </c>
      <c r="M15" s="41" t="s">
        <v>37</v>
      </c>
      <c r="N15" s="41" t="s">
        <v>37</v>
      </c>
      <c r="O15" s="41" t="s">
        <v>332</v>
      </c>
    </row>
    <row r="16" spans="1:16" x14ac:dyDescent="0.35">
      <c r="I16" s="41"/>
      <c r="J16" s="5"/>
      <c r="K16" s="5"/>
      <c r="L16" s="42"/>
      <c r="M16" s="42"/>
      <c r="N16" s="42"/>
      <c r="O16" s="42"/>
    </row>
    <row r="17" spans="4:15" x14ac:dyDescent="0.35">
      <c r="D17" s="6" t="s">
        <v>83</v>
      </c>
      <c r="I17" s="41"/>
      <c r="J17" s="5"/>
      <c r="K17" s="5"/>
      <c r="L17" s="42"/>
      <c r="M17" s="42"/>
      <c r="N17" s="42"/>
      <c r="O17" s="42"/>
    </row>
    <row r="18" spans="4:15" x14ac:dyDescent="0.35">
      <c r="I18" s="41"/>
      <c r="J18" s="5"/>
      <c r="K18" s="5"/>
      <c r="L18" s="42"/>
      <c r="M18" s="42"/>
      <c r="N18" s="42"/>
      <c r="O18" s="42"/>
    </row>
    <row r="19" spans="4:15" x14ac:dyDescent="0.35">
      <c r="I19" s="41"/>
      <c r="J19" s="5"/>
      <c r="K19" s="5"/>
      <c r="L19" s="42"/>
      <c r="M19" s="42"/>
      <c r="N19" s="42"/>
      <c r="O19" s="42"/>
    </row>
    <row r="20" spans="4:15" x14ac:dyDescent="0.35">
      <c r="I20" s="41"/>
      <c r="J20" s="5"/>
      <c r="K20" s="5"/>
      <c r="L20" s="42"/>
      <c r="M20" s="42"/>
      <c r="N20" s="42"/>
      <c r="O20" s="42"/>
    </row>
    <row r="21" spans="4:15" x14ac:dyDescent="0.35">
      <c r="I21" s="41"/>
      <c r="J21" s="5"/>
      <c r="K21" s="5"/>
      <c r="L21" s="42"/>
      <c r="M21" s="42"/>
      <c r="N21" s="42"/>
      <c r="O21" s="42"/>
    </row>
    <row r="22" spans="4:15" x14ac:dyDescent="0.35">
      <c r="I22" s="41"/>
      <c r="J22" s="5"/>
      <c r="K22" s="5"/>
      <c r="L22" s="42"/>
      <c r="M22" s="42"/>
      <c r="N22" s="42"/>
      <c r="O22" s="42"/>
    </row>
    <row r="23" spans="4:15" x14ac:dyDescent="0.35">
      <c r="I23" s="41"/>
      <c r="J23" s="5"/>
      <c r="K23" s="5"/>
      <c r="L23" s="42"/>
      <c r="M23" s="42"/>
      <c r="N23" s="42"/>
      <c r="O23" s="42"/>
    </row>
  </sheetData>
  <autoFilter ref="A6:P15"/>
  <conditionalFormatting sqref="C8:C1048576">
    <cfRule type="cellIs" dxfId="159" priority="23" operator="equal">
      <formula>"WIP (see comments)"</formula>
    </cfRule>
    <cfRule type="cellIs" dxfId="158" priority="24" operator="equal">
      <formula>"Removed"</formula>
    </cfRule>
    <cfRule type="cellIs" dxfId="157" priority="25" operator="equal">
      <formula>"Updated"</formula>
    </cfRule>
    <cfRule type="cellIs" dxfId="156" priority="26" operator="equal">
      <formula>"New"</formula>
    </cfRule>
  </conditionalFormatting>
  <conditionalFormatting sqref="C7:C15">
    <cfRule type="cellIs" dxfId="155" priority="15" operator="equal">
      <formula>"WIP (see comments)"</formula>
    </cfRule>
    <cfRule type="cellIs" dxfId="154" priority="16" operator="equal">
      <formula>"Removed"</formula>
    </cfRule>
    <cfRule type="cellIs" dxfId="153" priority="17" operator="equal">
      <formula>"Updated"</formula>
    </cfRule>
    <cfRule type="cellIs" dxfId="152" priority="18" operator="equal">
      <formula>"New"</formula>
    </cfRule>
  </conditionalFormatting>
  <conditionalFormatting sqref="A2:XFD3 A4 C4:XFD4 A5:XFD1048576 A1:C1 E1:XFD1">
    <cfRule type="cellIs" dxfId="151" priority="6" operator="equal">
      <formula>"n/a"</formula>
    </cfRule>
  </conditionalFormatting>
  <conditionalFormatting sqref="B4">
    <cfRule type="cellIs" dxfId="150" priority="5" operator="equal">
      <formula>"n/a"</formula>
    </cfRule>
  </conditionalFormatting>
  <conditionalFormatting sqref="C7">
    <cfRule type="cellIs" dxfId="149" priority="1" operator="equal">
      <formula>"WIP (see comments)"</formula>
    </cfRule>
    <cfRule type="cellIs" dxfId="148" priority="2" operator="equal">
      <formula>"Removed"</formula>
    </cfRule>
    <cfRule type="cellIs" dxfId="147" priority="3" operator="equal">
      <formula>"Updated"</formula>
    </cfRule>
    <cfRule type="cellIs" dxfId="146" priority="4" operator="equal">
      <formula>"New"</formula>
    </cfRule>
  </conditionalFormatting>
  <dataValidations count="1">
    <dataValidation type="list" allowBlank="1" showInputMessage="1" showErrorMessage="1" sqref="C16:C1048576">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C7:C15</xm:sqref>
        </x14:dataValidation>
        <x14:dataValidation type="list" allowBlank="1" showInputMessage="1" showErrorMessage="1">
          <x14:formula1>
            <xm:f>'List Values'!$A$5:$A$26</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ySplit="6" topLeftCell="A7" activePane="bottomLeft" state="frozen"/>
      <selection pane="bottomLeft" activeCell="A7" sqref="A7"/>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235</v>
      </c>
      <c r="C1" s="34"/>
      <c r="D1" s="31"/>
    </row>
    <row r="2" spans="1:16" s="32" customFormat="1" ht="18.5" x14ac:dyDescent="0.35">
      <c r="A2" s="30" t="s">
        <v>7</v>
      </c>
      <c r="B2" s="38">
        <v>14</v>
      </c>
      <c r="C2" s="37"/>
      <c r="D2" s="38"/>
    </row>
    <row r="3" spans="1:16" s="32" customFormat="1" ht="18.5" x14ac:dyDescent="0.35">
      <c r="A3" s="30" t="s">
        <v>45</v>
      </c>
      <c r="B3" s="38" t="s">
        <v>391</v>
      </c>
      <c r="C3" s="37"/>
      <c r="D3" s="38"/>
    </row>
    <row r="4" spans="1:16" s="32" customFormat="1" ht="18.5" x14ac:dyDescent="0.35">
      <c r="A4" s="30" t="s">
        <v>8</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3" si="0">CONCATENATE($B$2, ".", A7)</f>
        <v>14.1</v>
      </c>
      <c r="C7" s="36" t="s">
        <v>40</v>
      </c>
      <c r="D7" s="41" t="s">
        <v>296</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14.2</v>
      </c>
      <c r="C8" s="36" t="s">
        <v>40</v>
      </c>
      <c r="D8" s="41" t="s">
        <v>37</v>
      </c>
      <c r="E8" s="41" t="s">
        <v>50</v>
      </c>
      <c r="F8" s="6" t="s">
        <v>37</v>
      </c>
      <c r="G8" s="6" t="s">
        <v>37</v>
      </c>
      <c r="H8" s="36" t="s">
        <v>37</v>
      </c>
      <c r="I8" s="41" t="s">
        <v>10</v>
      </c>
      <c r="J8" s="5" t="s">
        <v>37</v>
      </c>
      <c r="K8" s="5" t="s">
        <v>37</v>
      </c>
      <c r="L8" s="5" t="s">
        <v>37</v>
      </c>
      <c r="M8" s="5" t="s">
        <v>37</v>
      </c>
      <c r="N8" s="5" t="s">
        <v>37</v>
      </c>
      <c r="O8" s="5" t="s">
        <v>37</v>
      </c>
    </row>
    <row r="9" spans="1:16" ht="58" x14ac:dyDescent="0.35">
      <c r="A9" s="6">
        <v>3</v>
      </c>
      <c r="B9" s="6" t="str">
        <f t="shared" si="0"/>
        <v>14.3</v>
      </c>
      <c r="C9" s="36" t="s">
        <v>40</v>
      </c>
      <c r="D9" s="41" t="s">
        <v>297</v>
      </c>
      <c r="E9" s="41" t="s">
        <v>34</v>
      </c>
      <c r="F9" s="6" t="s">
        <v>37</v>
      </c>
      <c r="G9" s="6" t="s">
        <v>37</v>
      </c>
      <c r="H9" s="36" t="s">
        <v>37</v>
      </c>
      <c r="I9" s="41" t="s">
        <v>10</v>
      </c>
      <c r="J9" s="5" t="s">
        <v>37</v>
      </c>
      <c r="K9" s="5" t="s">
        <v>37</v>
      </c>
      <c r="L9" s="5" t="s">
        <v>37</v>
      </c>
      <c r="M9" s="5" t="s">
        <v>37</v>
      </c>
      <c r="N9" s="5" t="s">
        <v>37</v>
      </c>
      <c r="O9" s="5" t="s">
        <v>37</v>
      </c>
    </row>
    <row r="10" spans="1:16" ht="29" x14ac:dyDescent="0.35">
      <c r="A10" s="6">
        <v>4</v>
      </c>
      <c r="B10" s="6" t="str">
        <f t="shared" si="0"/>
        <v>14.4</v>
      </c>
      <c r="C10" s="36" t="s">
        <v>40</v>
      </c>
      <c r="D10" s="6" t="s">
        <v>283</v>
      </c>
      <c r="E10" s="93" t="s">
        <v>32</v>
      </c>
      <c r="F10" s="6" t="s">
        <v>68</v>
      </c>
      <c r="G10" s="6" t="s">
        <v>37</v>
      </c>
      <c r="H10" s="36" t="s">
        <v>37</v>
      </c>
      <c r="I10" s="41" t="s">
        <v>10</v>
      </c>
      <c r="J10" s="5" t="s">
        <v>230</v>
      </c>
      <c r="K10" s="90" t="s">
        <v>231</v>
      </c>
      <c r="L10" s="92" t="s">
        <v>284</v>
      </c>
      <c r="M10" s="5" t="s">
        <v>37</v>
      </c>
      <c r="N10" s="5" t="s">
        <v>37</v>
      </c>
      <c r="O10" s="94" t="s">
        <v>285</v>
      </c>
    </row>
    <row r="11" spans="1:16" ht="40.5" customHeight="1" x14ac:dyDescent="0.35">
      <c r="A11" s="6">
        <v>6</v>
      </c>
      <c r="B11" s="6" t="str">
        <f t="shared" si="0"/>
        <v>14.6</v>
      </c>
      <c r="C11" s="36" t="s">
        <v>40</v>
      </c>
      <c r="D11" s="6" t="s">
        <v>425</v>
      </c>
      <c r="E11" s="93"/>
      <c r="F11" s="6" t="s">
        <v>68</v>
      </c>
      <c r="G11" s="51" t="s">
        <v>37</v>
      </c>
      <c r="H11" s="76" t="s">
        <v>37</v>
      </c>
      <c r="I11" s="53" t="s">
        <v>10</v>
      </c>
      <c r="J11" s="5" t="s">
        <v>230</v>
      </c>
      <c r="K11" s="90"/>
      <c r="L11" s="92"/>
      <c r="M11" s="5" t="s">
        <v>37</v>
      </c>
      <c r="N11" s="5" t="s">
        <v>37</v>
      </c>
      <c r="O11" s="94"/>
    </row>
    <row r="12" spans="1:16" ht="231.75" customHeight="1" x14ac:dyDescent="0.35">
      <c r="A12" s="6">
        <v>7</v>
      </c>
      <c r="B12" s="6" t="str">
        <f t="shared" si="0"/>
        <v>14.7</v>
      </c>
      <c r="C12" s="36" t="s">
        <v>40</v>
      </c>
      <c r="D12" s="36" t="s">
        <v>426</v>
      </c>
      <c r="E12" s="41" t="s">
        <v>298</v>
      </c>
      <c r="F12" s="6" t="s">
        <v>37</v>
      </c>
      <c r="G12" s="6" t="s">
        <v>37</v>
      </c>
      <c r="H12" s="76" t="s">
        <v>37</v>
      </c>
      <c r="I12" s="53" t="s">
        <v>373</v>
      </c>
      <c r="J12" s="5" t="s">
        <v>37</v>
      </c>
      <c r="K12" s="5" t="s">
        <v>37</v>
      </c>
      <c r="L12" s="5" t="s">
        <v>37</v>
      </c>
      <c r="M12" s="5" t="s">
        <v>37</v>
      </c>
      <c r="N12" s="5" t="s">
        <v>37</v>
      </c>
      <c r="O12" s="5" t="s">
        <v>374</v>
      </c>
    </row>
    <row r="13" spans="1:16" ht="81.75" customHeight="1" x14ac:dyDescent="0.35">
      <c r="A13" s="6">
        <v>8</v>
      </c>
      <c r="B13" s="6" t="str">
        <f t="shared" si="0"/>
        <v>14.8</v>
      </c>
      <c r="C13" s="36" t="s">
        <v>46</v>
      </c>
      <c r="D13" s="41" t="s">
        <v>62</v>
      </c>
      <c r="E13" s="41" t="s">
        <v>43</v>
      </c>
      <c r="F13" s="41" t="s">
        <v>37</v>
      </c>
      <c r="G13" s="41" t="s">
        <v>37</v>
      </c>
      <c r="H13" s="50" t="s">
        <v>37</v>
      </c>
      <c r="I13" s="41" t="s">
        <v>10</v>
      </c>
      <c r="J13" s="41" t="s">
        <v>37</v>
      </c>
      <c r="K13" s="41" t="s">
        <v>37</v>
      </c>
      <c r="L13" s="41" t="s">
        <v>37</v>
      </c>
      <c r="M13" s="41" t="s">
        <v>37</v>
      </c>
      <c r="N13" s="41" t="s">
        <v>37</v>
      </c>
      <c r="O13" s="41" t="s">
        <v>335</v>
      </c>
      <c r="P13" s="6" t="s">
        <v>423</v>
      </c>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row r="19" spans="9:15" x14ac:dyDescent="0.35">
      <c r="I19" s="41"/>
      <c r="J19" s="5"/>
      <c r="K19" s="5"/>
      <c r="L19" s="42"/>
      <c r="M19" s="42"/>
      <c r="N19" s="42"/>
      <c r="O19" s="42"/>
    </row>
    <row r="20" spans="9:15" x14ac:dyDescent="0.35">
      <c r="I20" s="41"/>
      <c r="J20" s="5"/>
      <c r="K20" s="5"/>
      <c r="L20" s="42"/>
      <c r="M20" s="42"/>
      <c r="N20" s="42"/>
      <c r="O20" s="42"/>
    </row>
  </sheetData>
  <mergeCells count="4">
    <mergeCell ref="K10:K11"/>
    <mergeCell ref="L10:L11"/>
    <mergeCell ref="E10:E11"/>
    <mergeCell ref="O10:O11"/>
  </mergeCells>
  <conditionalFormatting sqref="C7:C1048576">
    <cfRule type="cellIs" dxfId="145" priority="28" operator="equal">
      <formula>"WIP (see comments)"</formula>
    </cfRule>
    <cfRule type="cellIs" dxfId="144" priority="29" operator="equal">
      <formula>"Removed"</formula>
    </cfRule>
    <cfRule type="cellIs" dxfId="143" priority="30" operator="equal">
      <formula>"Updated"</formula>
    </cfRule>
    <cfRule type="cellIs" dxfId="142" priority="31" operator="equal">
      <formula>"New"</formula>
    </cfRule>
  </conditionalFormatting>
  <conditionalFormatting sqref="D10:E10 G10:I10 M10:O10 A10:C12 M11:N11 C11:C13 A7:O9">
    <cfRule type="cellIs" dxfId="141" priority="19" operator="equal">
      <formula>"n/a"</formula>
    </cfRule>
  </conditionalFormatting>
  <conditionalFormatting sqref="D11:D12 F11:J12">
    <cfRule type="cellIs" dxfId="140" priority="18" operator="equal">
      <formula>"n/a"</formula>
    </cfRule>
  </conditionalFormatting>
  <conditionalFormatting sqref="K10:L10">
    <cfRule type="cellIs" dxfId="139" priority="17" operator="equal">
      <formula>"n/a"</formula>
    </cfRule>
  </conditionalFormatting>
  <conditionalFormatting sqref="A13:B13">
    <cfRule type="cellIs" dxfId="138" priority="11" operator="equal">
      <formula>"n/a"</formula>
    </cfRule>
  </conditionalFormatting>
  <conditionalFormatting sqref="D13:N13">
    <cfRule type="cellIs" dxfId="137" priority="10" operator="equal">
      <formula>"n/a"</formula>
    </cfRule>
  </conditionalFormatting>
  <conditionalFormatting sqref="F10">
    <cfRule type="cellIs" dxfId="136" priority="8" operator="equal">
      <formula>"n/a"</formula>
    </cfRule>
  </conditionalFormatting>
  <conditionalFormatting sqref="J10">
    <cfRule type="cellIs" dxfId="135" priority="7" operator="equal">
      <formula>"n/a"</formula>
    </cfRule>
  </conditionalFormatting>
  <conditionalFormatting sqref="E12">
    <cfRule type="cellIs" dxfId="134" priority="6" operator="equal">
      <formula>"n/a"</formula>
    </cfRule>
  </conditionalFormatting>
  <conditionalFormatting sqref="K12">
    <cfRule type="cellIs" dxfId="133" priority="5" operator="equal">
      <formula>"n/a"</formula>
    </cfRule>
  </conditionalFormatting>
  <conditionalFormatting sqref="L12">
    <cfRule type="cellIs" dxfId="132" priority="4" operator="equal">
      <formula>"n/a"</formula>
    </cfRule>
  </conditionalFormatting>
  <conditionalFormatting sqref="M12">
    <cfRule type="cellIs" dxfId="131" priority="3" operator="equal">
      <formula>"n/a"</formula>
    </cfRule>
  </conditionalFormatting>
  <conditionalFormatting sqref="N12">
    <cfRule type="cellIs" dxfId="130" priority="2" operator="equal">
      <formula>"n/a"</formula>
    </cfRule>
  </conditionalFormatting>
  <conditionalFormatting sqref="O12">
    <cfRule type="cellIs" dxfId="12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Values'!$A$5:$A$26</xm:f>
          </x14:formula1>
          <xm:sqref>E7:E10 E12:E1048576</xm:sqref>
        </x14:dataValidation>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238</v>
      </c>
      <c r="C1" s="34"/>
      <c r="D1" s="31"/>
    </row>
    <row r="2" spans="1:16" s="32" customFormat="1" ht="18.5" x14ac:dyDescent="0.35">
      <c r="A2" s="30" t="s">
        <v>7</v>
      </c>
      <c r="B2" s="38">
        <v>15</v>
      </c>
      <c r="C2" s="37"/>
      <c r="D2" s="38"/>
    </row>
    <row r="3" spans="1:16" s="32" customFormat="1" ht="18.5" x14ac:dyDescent="0.35">
      <c r="A3" s="30" t="s">
        <v>45</v>
      </c>
      <c r="B3" s="38" t="s">
        <v>391</v>
      </c>
      <c r="C3" s="37"/>
      <c r="D3" s="38"/>
    </row>
    <row r="4" spans="1:16" s="32" customFormat="1" ht="18.5" x14ac:dyDescent="0.35">
      <c r="A4" s="30" t="s">
        <v>8</v>
      </c>
      <c r="B4" s="32" t="s">
        <v>237</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6">
        <v>1</v>
      </c>
      <c r="B7" s="6" t="str">
        <f t="shared" ref="B7:B11" si="0">CONCATENATE($B$2, ".", A7)</f>
        <v>15.1</v>
      </c>
      <c r="C7" s="36" t="s">
        <v>40</v>
      </c>
      <c r="D7" s="41" t="s">
        <v>186</v>
      </c>
      <c r="E7" s="6" t="s">
        <v>29</v>
      </c>
      <c r="F7" s="6" t="s">
        <v>37</v>
      </c>
      <c r="G7" s="6" t="s">
        <v>37</v>
      </c>
      <c r="H7" s="36" t="s">
        <v>37</v>
      </c>
      <c r="I7" s="41" t="s">
        <v>10</v>
      </c>
      <c r="J7" s="5" t="s">
        <v>37</v>
      </c>
      <c r="K7" s="5" t="s">
        <v>37</v>
      </c>
      <c r="L7" s="5" t="s">
        <v>37</v>
      </c>
      <c r="M7" s="5" t="s">
        <v>37</v>
      </c>
      <c r="N7" s="5" t="s">
        <v>37</v>
      </c>
      <c r="O7" s="5" t="s">
        <v>37</v>
      </c>
    </row>
    <row r="8" spans="1:16" x14ac:dyDescent="0.35">
      <c r="A8" s="6">
        <v>2</v>
      </c>
      <c r="B8" s="6" t="str">
        <f t="shared" si="0"/>
        <v>15.2</v>
      </c>
      <c r="C8" s="36" t="s">
        <v>40</v>
      </c>
      <c r="D8" s="41" t="s">
        <v>37</v>
      </c>
      <c r="E8" s="41" t="s">
        <v>50</v>
      </c>
      <c r="F8" s="6" t="s">
        <v>37</v>
      </c>
      <c r="G8" s="6" t="s">
        <v>37</v>
      </c>
      <c r="H8" s="36" t="s">
        <v>37</v>
      </c>
      <c r="I8" s="41" t="s">
        <v>10</v>
      </c>
      <c r="J8" s="5" t="s">
        <v>37</v>
      </c>
      <c r="K8" s="5" t="s">
        <v>37</v>
      </c>
      <c r="L8" s="5" t="s">
        <v>37</v>
      </c>
      <c r="M8" s="5" t="s">
        <v>37</v>
      </c>
      <c r="N8" s="5" t="s">
        <v>37</v>
      </c>
      <c r="O8" s="5" t="s">
        <v>37</v>
      </c>
    </row>
    <row r="9" spans="1:16" ht="105.75" customHeight="1" x14ac:dyDescent="0.35">
      <c r="A9" s="6">
        <v>3</v>
      </c>
      <c r="B9" s="6" t="str">
        <f t="shared" si="0"/>
        <v>15.3</v>
      </c>
      <c r="C9" s="36" t="s">
        <v>40</v>
      </c>
      <c r="D9" s="6" t="s">
        <v>37</v>
      </c>
      <c r="E9" s="6" t="s">
        <v>258</v>
      </c>
      <c r="F9" s="6" t="s">
        <v>37</v>
      </c>
      <c r="G9" s="6" t="s">
        <v>37</v>
      </c>
      <c r="H9" s="36" t="s">
        <v>37</v>
      </c>
      <c r="I9" s="41" t="s">
        <v>10</v>
      </c>
      <c r="J9" s="5" t="s">
        <v>37</v>
      </c>
      <c r="K9" s="5" t="s">
        <v>231</v>
      </c>
      <c r="L9" s="53" t="s">
        <v>37</v>
      </c>
      <c r="M9" s="5" t="s">
        <v>37</v>
      </c>
      <c r="N9" s="5" t="s">
        <v>37</v>
      </c>
      <c r="O9" s="42" t="s">
        <v>292</v>
      </c>
    </row>
    <row r="10" spans="1:16" ht="105.75" customHeight="1" x14ac:dyDescent="0.35">
      <c r="A10" s="6">
        <v>4</v>
      </c>
      <c r="B10" s="6" t="str">
        <f t="shared" si="0"/>
        <v>15.4</v>
      </c>
      <c r="C10" s="36" t="s">
        <v>40</v>
      </c>
      <c r="D10" s="6" t="s">
        <v>61</v>
      </c>
      <c r="E10" s="6" t="s">
        <v>43</v>
      </c>
      <c r="F10" s="6" t="s">
        <v>37</v>
      </c>
      <c r="G10" s="6" t="s">
        <v>37</v>
      </c>
      <c r="H10" s="36" t="s">
        <v>37</v>
      </c>
      <c r="I10" s="41" t="s">
        <v>336</v>
      </c>
      <c r="J10" s="5" t="s">
        <v>37</v>
      </c>
      <c r="K10" s="5" t="s">
        <v>37</v>
      </c>
      <c r="L10" s="53" t="s">
        <v>37</v>
      </c>
      <c r="M10" s="5" t="s">
        <v>37</v>
      </c>
      <c r="N10" s="5" t="s">
        <v>37</v>
      </c>
      <c r="O10" s="42" t="s">
        <v>337</v>
      </c>
    </row>
    <row r="11" spans="1:16" ht="29" x14ac:dyDescent="0.35">
      <c r="A11" s="6">
        <v>5</v>
      </c>
      <c r="B11" s="6" t="str">
        <f t="shared" si="0"/>
        <v>15.5</v>
      </c>
      <c r="C11" s="36" t="s">
        <v>40</v>
      </c>
      <c r="D11" s="41" t="s">
        <v>62</v>
      </c>
      <c r="E11" s="41" t="s">
        <v>43</v>
      </c>
      <c r="F11" s="41" t="s">
        <v>37</v>
      </c>
      <c r="G11" s="41" t="s">
        <v>37</v>
      </c>
      <c r="H11" s="50" t="s">
        <v>37</v>
      </c>
      <c r="I11" s="41" t="s">
        <v>10</v>
      </c>
      <c r="J11" s="41" t="s">
        <v>37</v>
      </c>
      <c r="K11" s="41" t="s">
        <v>37</v>
      </c>
      <c r="L11" s="41" t="s">
        <v>37</v>
      </c>
      <c r="M11" s="41" t="s">
        <v>37</v>
      </c>
      <c r="N11" s="41" t="s">
        <v>37</v>
      </c>
      <c r="O11" s="41" t="s">
        <v>127</v>
      </c>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row r="16" spans="1:16" x14ac:dyDescent="0.35">
      <c r="I16" s="41"/>
      <c r="J16" s="5"/>
      <c r="K16" s="5"/>
      <c r="L16" s="42"/>
      <c r="M16" s="42"/>
      <c r="N16" s="42"/>
      <c r="O16" s="42"/>
    </row>
    <row r="17" spans="9:15" x14ac:dyDescent="0.35">
      <c r="I17" s="41"/>
      <c r="J17" s="5"/>
      <c r="K17" s="5"/>
      <c r="L17" s="42"/>
      <c r="M17" s="42"/>
      <c r="N17" s="42"/>
      <c r="O17" s="42"/>
    </row>
    <row r="18" spans="9:15" x14ac:dyDescent="0.35">
      <c r="I18" s="41"/>
      <c r="J18" s="5"/>
      <c r="K18" s="5"/>
      <c r="L18" s="42"/>
      <c r="M18" s="42"/>
      <c r="N18" s="42"/>
      <c r="O18" s="42"/>
    </row>
  </sheetData>
  <conditionalFormatting sqref="C12:C1048576">
    <cfRule type="cellIs" dxfId="128" priority="15" operator="equal">
      <formula>"WIP (see comments)"</formula>
    </cfRule>
    <cfRule type="cellIs" dxfId="127" priority="16" operator="equal">
      <formula>"Removed"</formula>
    </cfRule>
    <cfRule type="cellIs" dxfId="126" priority="17" operator="equal">
      <formula>"Updated"</formula>
    </cfRule>
    <cfRule type="cellIs" dxfId="125" priority="18" operator="equal">
      <formula>"New"</formula>
    </cfRule>
  </conditionalFormatting>
  <conditionalFormatting sqref="C7:C10">
    <cfRule type="cellIs" dxfId="124" priority="11" operator="equal">
      <formula>"WIP (see comments)"</formula>
    </cfRule>
    <cfRule type="cellIs" dxfId="123" priority="12" operator="equal">
      <formula>"Removed"</formula>
    </cfRule>
    <cfRule type="cellIs" dxfId="122" priority="13" operator="equal">
      <formula>"Updated"</formula>
    </cfRule>
    <cfRule type="cellIs" dxfId="121" priority="14" operator="equal">
      <formula>"New"</formula>
    </cfRule>
  </conditionalFormatting>
  <conditionalFormatting sqref="A1:XFD8 A12:XFD1048576 P9:XFD10 M9:N10 A9:J9 C10:J10 A10:B11">
    <cfRule type="cellIs" dxfId="120" priority="10" operator="equal">
      <formula>"n/a"</formula>
    </cfRule>
  </conditionalFormatting>
  <conditionalFormatting sqref="K9:L10">
    <cfRule type="cellIs" dxfId="119" priority="8" operator="equal">
      <formula>"n/a"</formula>
    </cfRule>
  </conditionalFormatting>
  <conditionalFormatting sqref="O9:O10">
    <cfRule type="cellIs" dxfId="118" priority="7" operator="equal">
      <formula>"n/a"</formula>
    </cfRule>
  </conditionalFormatting>
  <conditionalFormatting sqref="C11">
    <cfRule type="cellIs" dxfId="117" priority="3" operator="equal">
      <formula>"WIP (see comments)"</formula>
    </cfRule>
    <cfRule type="cellIs" dxfId="116" priority="4" operator="equal">
      <formula>"Removed"</formula>
    </cfRule>
    <cfRule type="cellIs" dxfId="115" priority="5" operator="equal">
      <formula>"Updated"</formula>
    </cfRule>
    <cfRule type="cellIs" dxfId="114" priority="6" operator="equal">
      <formula>"New"</formula>
    </cfRule>
  </conditionalFormatting>
  <conditionalFormatting sqref="P11:XFD11 C11">
    <cfRule type="cellIs" dxfId="113" priority="2" operator="equal">
      <formula>"n/a"</formula>
    </cfRule>
  </conditionalFormatting>
  <conditionalFormatting sqref="D11:N11">
    <cfRule type="cellIs" dxfId="11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Views>
    <sheetView workbookViewId="0">
      <pane ySplit="6" topLeftCell="A7" activePane="bottomLeft" state="frozen"/>
      <selection pane="bottomLeft" activeCell="A9" sqref="A9"/>
    </sheetView>
  </sheetViews>
  <sheetFormatPr defaultColWidth="9.1796875" defaultRowHeight="14.5" x14ac:dyDescent="0.35"/>
  <cols>
    <col min="1" max="1" width="14.7265625" style="6" customWidth="1"/>
    <col min="2" max="2" width="12.54296875" style="6" customWidth="1"/>
    <col min="3" max="3" width="15.1796875" style="36"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286</v>
      </c>
      <c r="C1" s="34"/>
      <c r="D1" s="31"/>
    </row>
    <row r="2" spans="1:16" s="32" customFormat="1" ht="18.5" x14ac:dyDescent="0.35">
      <c r="A2" s="30" t="s">
        <v>7</v>
      </c>
      <c r="B2" s="38">
        <v>16</v>
      </c>
      <c r="C2" s="37"/>
      <c r="D2" s="38"/>
    </row>
    <row r="3" spans="1:16" s="32" customFormat="1" ht="18.5" x14ac:dyDescent="0.35">
      <c r="A3" s="30" t="s">
        <v>45</v>
      </c>
      <c r="B3" s="38" t="s">
        <v>391</v>
      </c>
      <c r="C3" s="37"/>
      <c r="D3" s="38"/>
    </row>
    <row r="4" spans="1:16" s="32" customFormat="1" ht="18.5" x14ac:dyDescent="0.35">
      <c r="A4" s="30" t="s">
        <v>8</v>
      </c>
      <c r="B4" s="32" t="s">
        <v>410</v>
      </c>
      <c r="C4" s="37"/>
    </row>
    <row r="5" spans="1:16" s="4" customFormat="1" x14ac:dyDescent="0.35">
      <c r="C5" s="39"/>
    </row>
    <row r="6" spans="1:16" s="33" customFormat="1" ht="15" thickBot="1" x14ac:dyDescent="0.4">
      <c r="A6" s="33" t="s">
        <v>11</v>
      </c>
      <c r="B6" s="33" t="s">
        <v>12</v>
      </c>
      <c r="C6" s="35" t="s">
        <v>26</v>
      </c>
      <c r="D6" s="33" t="s">
        <v>25</v>
      </c>
      <c r="E6" s="33" t="s">
        <v>13</v>
      </c>
      <c r="F6" s="33" t="s">
        <v>14</v>
      </c>
      <c r="G6" s="33" t="s">
        <v>15</v>
      </c>
      <c r="H6" s="33" t="s">
        <v>16</v>
      </c>
      <c r="I6" s="33" t="s">
        <v>17</v>
      </c>
      <c r="J6" s="33" t="s">
        <v>18</v>
      </c>
      <c r="K6" s="33" t="s">
        <v>19</v>
      </c>
      <c r="L6" s="33" t="s">
        <v>20</v>
      </c>
      <c r="M6" s="33" t="s">
        <v>21</v>
      </c>
      <c r="N6" s="33" t="s">
        <v>22</v>
      </c>
      <c r="O6" s="33" t="s">
        <v>23</v>
      </c>
      <c r="P6" s="33" t="s">
        <v>24</v>
      </c>
    </row>
    <row r="7" spans="1:16" x14ac:dyDescent="0.35">
      <c r="A7" s="5">
        <v>1</v>
      </c>
      <c r="B7" s="5" t="str">
        <f>CONCATENATE($B$2, ".", A7)</f>
        <v>16.1</v>
      </c>
      <c r="C7" s="75" t="s">
        <v>306</v>
      </c>
      <c r="D7" s="5" t="s">
        <v>37</v>
      </c>
      <c r="E7" s="42" t="s">
        <v>171</v>
      </c>
      <c r="F7" s="5" t="s">
        <v>37</v>
      </c>
      <c r="G7" s="5" t="s">
        <v>37</v>
      </c>
      <c r="H7" s="75" t="s">
        <v>37</v>
      </c>
      <c r="I7" s="42" t="s">
        <v>10</v>
      </c>
      <c r="J7" s="5" t="s">
        <v>37</v>
      </c>
      <c r="K7" s="5" t="s">
        <v>37</v>
      </c>
      <c r="L7" s="5" t="s">
        <v>37</v>
      </c>
      <c r="M7" s="5" t="s">
        <v>37</v>
      </c>
      <c r="N7" s="5" t="s">
        <v>37</v>
      </c>
      <c r="O7" s="42" t="s">
        <v>301</v>
      </c>
      <c r="P7" s="5"/>
    </row>
    <row r="8" spans="1:16" x14ac:dyDescent="0.35">
      <c r="A8" s="5">
        <v>2</v>
      </c>
      <c r="B8" s="5" t="str">
        <f t="shared" ref="B8" si="0">CONCATENATE($B$2, ".", A8)</f>
        <v>16.2</v>
      </c>
      <c r="C8" s="77" t="s">
        <v>306</v>
      </c>
      <c r="D8" s="42" t="s">
        <v>299</v>
      </c>
      <c r="E8" s="42" t="s">
        <v>172</v>
      </c>
      <c r="F8" s="5" t="s">
        <v>37</v>
      </c>
      <c r="G8" s="5" t="s">
        <v>37</v>
      </c>
      <c r="H8" s="75" t="s">
        <v>37</v>
      </c>
      <c r="I8" s="42" t="s">
        <v>10</v>
      </c>
      <c r="J8" s="5" t="s">
        <v>37</v>
      </c>
      <c r="K8" s="5" t="s">
        <v>37</v>
      </c>
      <c r="L8" s="5" t="s">
        <v>37</v>
      </c>
      <c r="M8" s="5" t="s">
        <v>37</v>
      </c>
      <c r="N8" s="5" t="s">
        <v>37</v>
      </c>
      <c r="O8" s="5"/>
      <c r="P8" s="5"/>
    </row>
    <row r="9" spans="1:16" ht="231" customHeight="1" x14ac:dyDescent="0.35">
      <c r="A9" s="6">
        <v>3</v>
      </c>
      <c r="B9" s="6" t="str">
        <f t="shared" ref="B9" si="1">CONCATENATE($B$2, ".", A9)</f>
        <v>16.3</v>
      </c>
      <c r="C9" s="77" t="s">
        <v>46</v>
      </c>
      <c r="D9" s="41" t="s">
        <v>300</v>
      </c>
      <c r="E9" s="41" t="s">
        <v>137</v>
      </c>
      <c r="F9" s="6" t="s">
        <v>37</v>
      </c>
      <c r="G9" s="6" t="s">
        <v>37</v>
      </c>
      <c r="H9" s="36" t="s">
        <v>37</v>
      </c>
      <c r="I9" s="41" t="s">
        <v>10</v>
      </c>
      <c r="J9" s="5" t="s">
        <v>37</v>
      </c>
      <c r="K9" s="5" t="s">
        <v>37</v>
      </c>
      <c r="L9" s="5" t="s">
        <v>37</v>
      </c>
      <c r="M9" s="5" t="s">
        <v>37</v>
      </c>
      <c r="N9" s="5" t="s">
        <v>37</v>
      </c>
      <c r="O9" s="5" t="s">
        <v>208</v>
      </c>
      <c r="P9" s="6" t="s">
        <v>427</v>
      </c>
    </row>
    <row r="10" spans="1:16" x14ac:dyDescent="0.35">
      <c r="I10" s="41"/>
      <c r="J10" s="5"/>
      <c r="K10" s="5"/>
      <c r="L10" s="42"/>
      <c r="M10" s="42"/>
      <c r="N10" s="42"/>
      <c r="O10" s="42"/>
    </row>
    <row r="11" spans="1:16" x14ac:dyDescent="0.35">
      <c r="I11" s="41"/>
      <c r="J11" s="5"/>
      <c r="K11" s="5"/>
      <c r="L11" s="42"/>
      <c r="M11" s="42"/>
      <c r="N11" s="42"/>
      <c r="O11" s="42"/>
    </row>
    <row r="12" spans="1:16" x14ac:dyDescent="0.35">
      <c r="I12" s="41"/>
      <c r="J12" s="5"/>
      <c r="K12" s="5"/>
      <c r="L12" s="42"/>
      <c r="M12" s="42"/>
      <c r="N12" s="42"/>
      <c r="O12" s="42"/>
    </row>
    <row r="13" spans="1:16" x14ac:dyDescent="0.35">
      <c r="I13" s="41"/>
      <c r="J13" s="5"/>
      <c r="K13" s="5"/>
      <c r="L13" s="42"/>
      <c r="M13" s="42"/>
      <c r="N13" s="42"/>
      <c r="O13" s="42"/>
    </row>
    <row r="14" spans="1:16" x14ac:dyDescent="0.35">
      <c r="I14" s="41"/>
      <c r="J14" s="5"/>
      <c r="K14" s="5"/>
      <c r="L14" s="42"/>
      <c r="M14" s="42"/>
      <c r="N14" s="42"/>
      <c r="O14" s="42"/>
    </row>
    <row r="15" spans="1:16" x14ac:dyDescent="0.35">
      <c r="I15" s="41"/>
      <c r="J15" s="5"/>
      <c r="K15" s="5"/>
      <c r="L15" s="42"/>
      <c r="M15" s="42"/>
      <c r="N15" s="42"/>
      <c r="O15" s="42"/>
    </row>
  </sheetData>
  <conditionalFormatting sqref="C7:C1048576">
    <cfRule type="cellIs" dxfId="111" priority="21" operator="equal">
      <formula>"WIP (see comments)"</formula>
    </cfRule>
    <cfRule type="cellIs" dxfId="110" priority="22" operator="equal">
      <formula>"Removed"</formula>
    </cfRule>
    <cfRule type="cellIs" dxfId="109" priority="23" operator="equal">
      <formula>"Updated"</formula>
    </cfRule>
    <cfRule type="cellIs" dxfId="108" priority="24" operator="equal">
      <formula>"New"</formula>
    </cfRule>
  </conditionalFormatting>
  <conditionalFormatting sqref="A9:O9">
    <cfRule type="cellIs" dxfId="107" priority="20" operator="equal">
      <formula>"n/a"</formula>
    </cfRule>
  </conditionalFormatting>
  <conditionalFormatting sqref="A8:P8 E7:O7 A7:C7 C8:C9">
    <cfRule type="cellIs" dxfId="106" priority="4" operator="equal">
      <formula>"n/a"</formula>
    </cfRule>
  </conditionalFormatting>
  <conditionalFormatting sqref="P7">
    <cfRule type="cellIs" dxfId="105" priority="3" operator="equal">
      <formula>"n/a"</formula>
    </cfRule>
  </conditionalFormatting>
  <conditionalFormatting sqref="D7">
    <cfRule type="cellIs" dxfId="104" priority="2" operator="equal">
      <formula>"-"</formula>
    </cfRule>
  </conditionalFormatting>
  <conditionalFormatting sqref="D7">
    <cfRule type="cellIs" dxfId="1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6"/>
  <sheetViews>
    <sheetView workbookViewId="0">
      <pane ySplit="6" topLeftCell="A7" activePane="bottomLeft" state="frozen"/>
      <selection pane="bottomLeft" activeCell="A7" sqref="A7"/>
    </sheetView>
  </sheetViews>
  <sheetFormatPr defaultColWidth="9.1796875" defaultRowHeight="14.5" x14ac:dyDescent="0.35"/>
  <cols>
    <col min="1" max="1" width="14.7265625" style="6" customWidth="1"/>
    <col min="2" max="2" width="12.54296875" style="6" customWidth="1"/>
    <col min="3" max="3" width="13" style="36" customWidth="1"/>
    <col min="4" max="4" width="45.1796875" style="6" customWidth="1"/>
    <col min="5" max="5" width="28.7265625" style="6" customWidth="1"/>
    <col min="6" max="6" width="37" style="6" customWidth="1"/>
    <col min="7" max="7" width="29.26953125" style="6" customWidth="1"/>
    <col min="8" max="8" width="11.54296875" style="3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32" customFormat="1" ht="18.5" x14ac:dyDescent="0.35">
      <c r="A1" s="30" t="s">
        <v>6</v>
      </c>
      <c r="B1" s="40" t="s">
        <v>125</v>
      </c>
      <c r="C1" s="34"/>
      <c r="D1" s="31" t="s">
        <v>411</v>
      </c>
      <c r="H1" s="37"/>
    </row>
    <row r="2" spans="1:16" s="32" customFormat="1" ht="18.5" x14ac:dyDescent="0.35">
      <c r="A2" s="30" t="s">
        <v>7</v>
      </c>
      <c r="B2" s="38">
        <v>17</v>
      </c>
      <c r="C2" s="37"/>
      <c r="D2" s="38"/>
      <c r="H2" s="37"/>
    </row>
    <row r="3" spans="1:16" s="32" customFormat="1" ht="18.5" x14ac:dyDescent="0.35">
      <c r="A3" s="30" t="s">
        <v>45</v>
      </c>
      <c r="B3" s="38" t="s">
        <v>391</v>
      </c>
      <c r="C3" s="37"/>
      <c r="D3" s="38"/>
      <c r="H3" s="37"/>
    </row>
    <row r="4" spans="1:16" s="32" customFormat="1" ht="18.5" x14ac:dyDescent="0.35">
      <c r="A4" s="30" t="s">
        <v>8</v>
      </c>
      <c r="B4" s="32" t="s">
        <v>48</v>
      </c>
      <c r="C4" s="37"/>
      <c r="H4" s="37"/>
    </row>
    <row r="5" spans="1:16" s="4" customFormat="1" x14ac:dyDescent="0.35">
      <c r="C5" s="39"/>
      <c r="H5" s="39"/>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6">
        <v>1</v>
      </c>
      <c r="B7" s="6" t="str">
        <f t="shared" ref="B7:B16" si="0">CONCATENATE($B$2, ".", A7)</f>
        <v>17.1</v>
      </c>
      <c r="C7" s="36" t="s">
        <v>46</v>
      </c>
      <c r="D7" s="41" t="s">
        <v>338</v>
      </c>
      <c r="E7" s="6" t="s">
        <v>29</v>
      </c>
      <c r="F7" s="6" t="s">
        <v>37</v>
      </c>
      <c r="G7" s="6" t="s">
        <v>37</v>
      </c>
      <c r="H7" s="36" t="s">
        <v>37</v>
      </c>
      <c r="I7" s="41" t="s">
        <v>10</v>
      </c>
      <c r="J7" s="5" t="s">
        <v>37</v>
      </c>
      <c r="K7" s="5" t="s">
        <v>37</v>
      </c>
      <c r="L7" s="5" t="s">
        <v>37</v>
      </c>
      <c r="M7" s="5" t="s">
        <v>37</v>
      </c>
      <c r="N7" s="5" t="s">
        <v>37</v>
      </c>
      <c r="O7" s="5" t="s">
        <v>37</v>
      </c>
      <c r="P7" s="6" t="s">
        <v>430</v>
      </c>
    </row>
    <row r="8" spans="1:16" x14ac:dyDescent="0.35">
      <c r="A8" s="6">
        <v>2</v>
      </c>
      <c r="B8" s="6" t="str">
        <f t="shared" si="0"/>
        <v>17.2</v>
      </c>
      <c r="C8" s="36" t="s">
        <v>40</v>
      </c>
      <c r="D8" s="41" t="s">
        <v>37</v>
      </c>
      <c r="E8" s="41" t="s">
        <v>50</v>
      </c>
      <c r="F8" s="6" t="s">
        <v>37</v>
      </c>
      <c r="G8" s="6" t="s">
        <v>37</v>
      </c>
      <c r="H8" s="36" t="s">
        <v>37</v>
      </c>
      <c r="I8" s="41" t="s">
        <v>10</v>
      </c>
      <c r="J8" s="5" t="s">
        <v>37</v>
      </c>
      <c r="K8" s="5" t="s">
        <v>37</v>
      </c>
      <c r="L8" s="5" t="s">
        <v>37</v>
      </c>
      <c r="M8" s="5" t="s">
        <v>37</v>
      </c>
      <c r="N8" s="5" t="s">
        <v>37</v>
      </c>
      <c r="O8" s="5" t="s">
        <v>37</v>
      </c>
    </row>
    <row r="9" spans="1:16" ht="43.5" x14ac:dyDescent="0.35">
      <c r="A9" s="6">
        <v>3</v>
      </c>
      <c r="B9" s="6" t="str">
        <f t="shared" si="0"/>
        <v>17.3</v>
      </c>
      <c r="C9" s="36" t="s">
        <v>40</v>
      </c>
      <c r="D9" s="41" t="s">
        <v>240</v>
      </c>
      <c r="E9" s="41" t="s">
        <v>30</v>
      </c>
      <c r="F9" s="6" t="s">
        <v>68</v>
      </c>
      <c r="G9" s="6" t="s">
        <v>37</v>
      </c>
      <c r="H9" s="36" t="s">
        <v>37</v>
      </c>
      <c r="I9" s="41" t="s">
        <v>10</v>
      </c>
      <c r="J9" s="5" t="s">
        <v>122</v>
      </c>
      <c r="K9" s="5" t="s">
        <v>55</v>
      </c>
      <c r="L9" s="42" t="s">
        <v>123</v>
      </c>
      <c r="M9" s="5" t="s">
        <v>37</v>
      </c>
      <c r="N9" s="5" t="s">
        <v>37</v>
      </c>
      <c r="O9" s="5" t="s">
        <v>37</v>
      </c>
    </row>
    <row r="10" spans="1:16" ht="29" x14ac:dyDescent="0.35">
      <c r="A10" s="6">
        <v>4</v>
      </c>
      <c r="B10" s="6" t="str">
        <f t="shared" si="0"/>
        <v>17.4</v>
      </c>
      <c r="C10" s="36" t="s">
        <v>46</v>
      </c>
      <c r="D10" s="56" t="s">
        <v>428</v>
      </c>
      <c r="E10" s="6" t="s">
        <v>137</v>
      </c>
      <c r="F10" s="6" t="s">
        <v>37</v>
      </c>
      <c r="G10" s="6" t="s">
        <v>37</v>
      </c>
      <c r="H10" s="36" t="s">
        <v>37</v>
      </c>
      <c r="I10" s="6" t="s">
        <v>10</v>
      </c>
      <c r="J10" s="6" t="s">
        <v>37</v>
      </c>
      <c r="K10" s="6" t="s">
        <v>37</v>
      </c>
      <c r="L10" s="6" t="s">
        <v>37</v>
      </c>
      <c r="M10" s="6" t="s">
        <v>37</v>
      </c>
      <c r="N10" s="6" t="s">
        <v>37</v>
      </c>
      <c r="O10" s="42" t="s">
        <v>431</v>
      </c>
      <c r="P10" s="6" t="s">
        <v>436</v>
      </c>
    </row>
    <row r="11" spans="1:16" ht="191.25" customHeight="1" x14ac:dyDescent="0.35">
      <c r="A11" s="6">
        <v>5</v>
      </c>
      <c r="B11" s="6" t="str">
        <f t="shared" si="0"/>
        <v>17.5</v>
      </c>
      <c r="C11" s="36" t="s">
        <v>40</v>
      </c>
      <c r="D11" s="56" t="s">
        <v>241</v>
      </c>
      <c r="E11" s="6" t="s">
        <v>34</v>
      </c>
      <c r="F11" s="6" t="s">
        <v>37</v>
      </c>
      <c r="G11" s="41" t="s">
        <v>242</v>
      </c>
      <c r="H11" s="36" t="s">
        <v>37</v>
      </c>
      <c r="I11" s="6" t="s">
        <v>10</v>
      </c>
      <c r="J11" s="6" t="s">
        <v>37</v>
      </c>
      <c r="K11" s="6" t="s">
        <v>37</v>
      </c>
      <c r="L11" s="6" t="s">
        <v>37</v>
      </c>
      <c r="M11" s="6" t="s">
        <v>37</v>
      </c>
      <c r="N11" s="6" t="s">
        <v>37</v>
      </c>
      <c r="O11" s="42" t="s">
        <v>37</v>
      </c>
    </row>
    <row r="12" spans="1:16" ht="214.5" customHeight="1" x14ac:dyDescent="0.35">
      <c r="A12" s="6">
        <v>6</v>
      </c>
      <c r="B12" s="6" t="str">
        <f t="shared" si="0"/>
        <v>17.6</v>
      </c>
      <c r="C12" s="36" t="s">
        <v>40</v>
      </c>
      <c r="D12" s="56" t="s">
        <v>243</v>
      </c>
      <c r="E12" s="6" t="s">
        <v>34</v>
      </c>
      <c r="F12" s="6" t="s">
        <v>37</v>
      </c>
      <c r="G12" s="41" t="s">
        <v>242</v>
      </c>
      <c r="H12" s="36" t="s">
        <v>37</v>
      </c>
      <c r="I12" s="6" t="s">
        <v>10</v>
      </c>
      <c r="J12" s="6" t="s">
        <v>37</v>
      </c>
      <c r="K12" s="6" t="s">
        <v>37</v>
      </c>
      <c r="L12" s="6" t="s">
        <v>37</v>
      </c>
      <c r="M12" s="6" t="s">
        <v>37</v>
      </c>
      <c r="N12" s="6" t="s">
        <v>37</v>
      </c>
      <c r="O12" s="42" t="s">
        <v>37</v>
      </c>
    </row>
    <row r="13" spans="1:16" ht="195.75" customHeight="1" x14ac:dyDescent="0.35">
      <c r="A13" s="6">
        <v>7</v>
      </c>
      <c r="B13" s="6" t="str">
        <f t="shared" si="0"/>
        <v>17.7</v>
      </c>
      <c r="C13" s="36" t="s">
        <v>40</v>
      </c>
      <c r="D13" s="56" t="s">
        <v>244</v>
      </c>
      <c r="E13" s="6" t="s">
        <v>34</v>
      </c>
      <c r="F13" s="6" t="s">
        <v>37</v>
      </c>
      <c r="G13" s="41" t="s">
        <v>242</v>
      </c>
      <c r="H13" s="36" t="s">
        <v>37</v>
      </c>
      <c r="I13" s="6" t="s">
        <v>10</v>
      </c>
      <c r="J13" s="6" t="s">
        <v>37</v>
      </c>
      <c r="K13" s="6" t="s">
        <v>37</v>
      </c>
      <c r="L13" s="6" t="s">
        <v>37</v>
      </c>
      <c r="M13" s="6" t="s">
        <v>37</v>
      </c>
      <c r="N13" s="6" t="s">
        <v>37</v>
      </c>
      <c r="O13" s="42" t="s">
        <v>37</v>
      </c>
    </row>
    <row r="14" spans="1:16" ht="87" customHeight="1" x14ac:dyDescent="0.35">
      <c r="A14" s="6">
        <v>8</v>
      </c>
      <c r="B14" s="6" t="str">
        <f t="shared" si="0"/>
        <v>17.8</v>
      </c>
      <c r="C14" s="36" t="s">
        <v>40</v>
      </c>
      <c r="D14" s="49" t="s">
        <v>245</v>
      </c>
      <c r="E14" s="6" t="s">
        <v>34</v>
      </c>
      <c r="F14" s="6" t="s">
        <v>37</v>
      </c>
      <c r="G14" s="6" t="s">
        <v>415</v>
      </c>
      <c r="H14" s="36" t="s">
        <v>37</v>
      </c>
      <c r="I14" s="6" t="s">
        <v>10</v>
      </c>
      <c r="J14" s="6" t="s">
        <v>37</v>
      </c>
      <c r="K14" s="6" t="s">
        <v>37</v>
      </c>
      <c r="L14" s="6" t="s">
        <v>37</v>
      </c>
      <c r="M14" s="6" t="s">
        <v>37</v>
      </c>
      <c r="N14" s="6" t="s">
        <v>37</v>
      </c>
      <c r="O14" s="42" t="s">
        <v>37</v>
      </c>
    </row>
    <row r="15" spans="1:16" ht="87" x14ac:dyDescent="0.35">
      <c r="A15" s="6">
        <v>9</v>
      </c>
      <c r="B15" s="6" t="str">
        <f t="shared" si="0"/>
        <v>17.9</v>
      </c>
      <c r="C15" s="36" t="s">
        <v>40</v>
      </c>
      <c r="D15" s="6" t="s">
        <v>429</v>
      </c>
      <c r="E15" s="6" t="s">
        <v>34</v>
      </c>
      <c r="F15" s="6" t="s">
        <v>37</v>
      </c>
      <c r="G15" s="6" t="s">
        <v>37</v>
      </c>
      <c r="H15" s="36" t="s">
        <v>37</v>
      </c>
      <c r="I15" s="6" t="s">
        <v>10</v>
      </c>
      <c r="J15" s="6" t="s">
        <v>37</v>
      </c>
      <c r="K15" s="6" t="s">
        <v>37</v>
      </c>
      <c r="L15" s="6" t="s">
        <v>37</v>
      </c>
      <c r="M15" s="6" t="s">
        <v>37</v>
      </c>
      <c r="N15" s="6" t="s">
        <v>37</v>
      </c>
      <c r="O15" s="42" t="s">
        <v>37</v>
      </c>
    </row>
    <row r="16" spans="1:16" x14ac:dyDescent="0.35">
      <c r="A16" s="6">
        <v>10</v>
      </c>
      <c r="B16" s="6" t="str">
        <f t="shared" si="0"/>
        <v>17.10</v>
      </c>
      <c r="C16" s="36" t="s">
        <v>40</v>
      </c>
      <c r="D16" s="41" t="s">
        <v>62</v>
      </c>
      <c r="E16" s="41" t="s">
        <v>43</v>
      </c>
      <c r="F16" s="41" t="s">
        <v>37</v>
      </c>
      <c r="G16" s="41" t="s">
        <v>37</v>
      </c>
      <c r="H16" s="50" t="s">
        <v>37</v>
      </c>
      <c r="I16" s="41" t="s">
        <v>10</v>
      </c>
      <c r="J16" s="41" t="s">
        <v>37</v>
      </c>
      <c r="K16" s="41" t="s">
        <v>37</v>
      </c>
      <c r="L16" s="41" t="s">
        <v>37</v>
      </c>
      <c r="M16" s="41" t="s">
        <v>37</v>
      </c>
      <c r="N16" s="41" t="s">
        <v>37</v>
      </c>
      <c r="O16" s="41" t="s">
        <v>334</v>
      </c>
    </row>
  </sheetData>
  <autoFilter ref="A6:P6"/>
  <conditionalFormatting sqref="C17:C1048576">
    <cfRule type="cellIs" dxfId="102" priority="23" operator="equal">
      <formula>"WIP (see comments)"</formula>
    </cfRule>
    <cfRule type="cellIs" dxfId="101" priority="24" operator="equal">
      <formula>"Removed"</formula>
    </cfRule>
    <cfRule type="cellIs" dxfId="100" priority="25" operator="equal">
      <formula>"Updated"</formula>
    </cfRule>
    <cfRule type="cellIs" dxfId="99" priority="26" operator="equal">
      <formula>"New"</formula>
    </cfRule>
  </conditionalFormatting>
  <conditionalFormatting sqref="C8:C16">
    <cfRule type="cellIs" dxfId="98" priority="7" operator="equal">
      <formula>"WIP (see comments)"</formula>
    </cfRule>
    <cfRule type="cellIs" dxfId="97" priority="8" operator="equal">
      <formula>"Removed"</formula>
    </cfRule>
    <cfRule type="cellIs" dxfId="96" priority="9" operator="equal">
      <formula>"Updated"</formula>
    </cfRule>
    <cfRule type="cellIs" dxfId="95" priority="10" operator="equal">
      <formula>"New"</formula>
    </cfRule>
  </conditionalFormatting>
  <conditionalFormatting sqref="C7">
    <cfRule type="cellIs" dxfId="94" priority="3" operator="equal">
      <formula>"WIP (see comments)"</formula>
    </cfRule>
    <cfRule type="cellIs" dxfId="93" priority="4" operator="equal">
      <formula>"Removed"</formula>
    </cfRule>
    <cfRule type="cellIs" dxfId="92" priority="5" operator="equal">
      <formula>"Updated"</formula>
    </cfRule>
    <cfRule type="cellIs" dxfId="91" priority="6" operator="equal">
      <formula>"New"</formula>
    </cfRule>
  </conditionalFormatting>
  <conditionalFormatting sqref="A16:C16 P16:XFD16 C9:C16 A7:XFD15">
    <cfRule type="cellIs" dxfId="90" priority="2" operator="equal">
      <formula>"n/a"</formula>
    </cfRule>
  </conditionalFormatting>
  <conditionalFormatting sqref="D16:N16">
    <cfRule type="cellIs" dxfId="8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A10" sqref="A10"/>
    </sheetView>
  </sheetViews>
  <sheetFormatPr defaultColWidth="9.1796875" defaultRowHeight="14.5" x14ac:dyDescent="0.35"/>
  <cols>
    <col min="1" max="1" width="14.7265625" style="5" customWidth="1"/>
    <col min="2" max="2" width="12.54296875" style="5" customWidth="1"/>
    <col min="3" max="3" width="14.269531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173</v>
      </c>
      <c r="C1" s="34"/>
      <c r="D1" s="31"/>
      <c r="H1" s="37"/>
    </row>
    <row r="2" spans="1:16" s="32" customFormat="1" ht="18.5" x14ac:dyDescent="0.35">
      <c r="A2" s="30" t="s">
        <v>7</v>
      </c>
      <c r="B2" s="38" t="s">
        <v>202</v>
      </c>
      <c r="C2" s="37"/>
      <c r="D2" s="38"/>
      <c r="H2" s="37"/>
    </row>
    <row r="3" spans="1:16" s="32" customFormat="1" ht="18.5" x14ac:dyDescent="0.35">
      <c r="A3" s="30" t="s">
        <v>45</v>
      </c>
      <c r="B3" s="38" t="s">
        <v>391</v>
      </c>
      <c r="C3" s="37"/>
      <c r="D3" s="38" t="s">
        <v>83</v>
      </c>
      <c r="H3" s="37"/>
    </row>
    <row r="4" spans="1:16" s="32" customFormat="1" ht="18.5" x14ac:dyDescent="0.35">
      <c r="A4" s="30" t="s">
        <v>8</v>
      </c>
      <c r="B4" s="32" t="s">
        <v>169</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A.1</v>
      </c>
      <c r="C7" s="54" t="s">
        <v>40</v>
      </c>
      <c r="D7" s="5" t="s">
        <v>37</v>
      </c>
      <c r="E7" s="42" t="s">
        <v>171</v>
      </c>
      <c r="F7" s="5" t="s">
        <v>37</v>
      </c>
      <c r="G7" s="5" t="s">
        <v>37</v>
      </c>
      <c r="H7" s="44" t="s">
        <v>37</v>
      </c>
      <c r="I7" s="42" t="s">
        <v>10</v>
      </c>
      <c r="J7" s="5" t="s">
        <v>37</v>
      </c>
      <c r="K7" s="5" t="s">
        <v>37</v>
      </c>
      <c r="L7" s="5" t="s">
        <v>37</v>
      </c>
      <c r="M7" s="5" t="s">
        <v>37</v>
      </c>
      <c r="N7" s="5" t="s">
        <v>37</v>
      </c>
      <c r="O7" s="5" t="s">
        <v>246</v>
      </c>
    </row>
    <row r="8" spans="1:16" x14ac:dyDescent="0.35">
      <c r="A8" s="5">
        <v>2</v>
      </c>
      <c r="B8" s="5" t="str">
        <f t="shared" ref="B8:B10" si="0">CONCATENATE($B$2, ".", A8)</f>
        <v>A.2</v>
      </c>
      <c r="C8" s="44" t="s">
        <v>40</v>
      </c>
      <c r="D8" s="42" t="s">
        <v>170</v>
      </c>
      <c r="E8" s="42" t="s">
        <v>172</v>
      </c>
      <c r="F8" s="5" t="s">
        <v>37</v>
      </c>
      <c r="G8" s="5" t="s">
        <v>37</v>
      </c>
      <c r="H8" s="44" t="s">
        <v>37</v>
      </c>
      <c r="I8" s="42" t="s">
        <v>10</v>
      </c>
      <c r="J8" s="5" t="s">
        <v>37</v>
      </c>
      <c r="K8" s="5" t="s">
        <v>37</v>
      </c>
      <c r="L8" s="5" t="s">
        <v>37</v>
      </c>
      <c r="M8" s="5" t="s">
        <v>37</v>
      </c>
      <c r="N8" s="5" t="s">
        <v>37</v>
      </c>
    </row>
    <row r="9" spans="1:16" x14ac:dyDescent="0.35">
      <c r="A9" s="5">
        <v>3</v>
      </c>
      <c r="B9" s="5" t="str">
        <f t="shared" si="0"/>
        <v>A.3</v>
      </c>
      <c r="C9" s="54" t="s">
        <v>40</v>
      </c>
      <c r="D9" s="47" t="s">
        <v>187</v>
      </c>
      <c r="E9" s="42" t="s">
        <v>34</v>
      </c>
      <c r="F9" s="5" t="s">
        <v>37</v>
      </c>
      <c r="G9" s="5" t="s">
        <v>37</v>
      </c>
      <c r="H9" s="44" t="s">
        <v>37</v>
      </c>
      <c r="I9" s="42" t="s">
        <v>10</v>
      </c>
      <c r="J9" s="5" t="s">
        <v>37</v>
      </c>
      <c r="K9" s="5" t="s">
        <v>37</v>
      </c>
      <c r="L9" s="5" t="s">
        <v>37</v>
      </c>
      <c r="M9" s="5" t="s">
        <v>37</v>
      </c>
      <c r="N9" s="5" t="s">
        <v>37</v>
      </c>
    </row>
    <row r="10" spans="1:16" ht="81" customHeight="1" x14ac:dyDescent="0.35">
      <c r="A10" s="5">
        <v>4</v>
      </c>
      <c r="B10" s="5" t="str">
        <f t="shared" si="0"/>
        <v>A.4</v>
      </c>
      <c r="C10" s="54" t="s">
        <v>46</v>
      </c>
      <c r="D10" s="5" t="s">
        <v>209</v>
      </c>
      <c r="E10" s="42" t="s">
        <v>34</v>
      </c>
      <c r="F10" s="5" t="s">
        <v>37</v>
      </c>
      <c r="G10" s="5" t="s">
        <v>37</v>
      </c>
      <c r="H10" s="44" t="s">
        <v>37</v>
      </c>
      <c r="I10" s="42" t="s">
        <v>10</v>
      </c>
      <c r="J10" s="5" t="s">
        <v>37</v>
      </c>
      <c r="K10" s="5" t="s">
        <v>37</v>
      </c>
      <c r="L10" s="5" t="s">
        <v>37</v>
      </c>
      <c r="M10" s="5" t="s">
        <v>37</v>
      </c>
      <c r="N10" s="5" t="s">
        <v>37</v>
      </c>
      <c r="O10" s="5" t="s">
        <v>208</v>
      </c>
      <c r="P10" s="5" t="s">
        <v>432</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88" priority="5" operator="equal">
      <formula>"WIP (see comments)"</formula>
    </cfRule>
    <cfRule type="cellIs" dxfId="87" priority="6" operator="equal">
      <formula>"Removed"</formula>
    </cfRule>
    <cfRule type="cellIs" dxfId="86" priority="7" operator="equal">
      <formula>"Updated"</formula>
    </cfRule>
    <cfRule type="cellIs" dxfId="85" priority="8" operator="equal">
      <formula>"New"</formula>
    </cfRule>
  </conditionalFormatting>
  <conditionalFormatting sqref="D9">
    <cfRule type="cellIs" dxfId="84" priority="4" operator="equal">
      <formula>"-"</formula>
    </cfRule>
  </conditionalFormatting>
  <conditionalFormatting sqref="A1:XFD6 E7:XFD7 A8:XFD1048576 A7:C7">
    <cfRule type="cellIs" dxfId="83" priority="3" operator="equal">
      <formula>"n/a"</formula>
    </cfRule>
  </conditionalFormatting>
  <conditionalFormatting sqref="D7">
    <cfRule type="cellIs" dxfId="82" priority="2" operator="equal">
      <formula>"-"</formula>
    </cfRule>
  </conditionalFormatting>
  <conditionalFormatting sqref="D7">
    <cfRule type="cellIs" dxfId="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Values'!$A$5:$A$26</xm:f>
          </x14:formula1>
          <xm:sqref>E10:E1048576 E7:E9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ySplit="6" topLeftCell="A7" activePane="bottomLeft" state="frozen"/>
      <selection pane="bottomLeft" activeCell="A9" sqref="A9"/>
    </sheetView>
  </sheetViews>
  <sheetFormatPr defaultColWidth="9.1796875" defaultRowHeight="14.5" x14ac:dyDescent="0.35"/>
  <cols>
    <col min="1" max="1" width="14.7265625" style="5" customWidth="1"/>
    <col min="2" max="2" width="12.54296875" style="5" customWidth="1"/>
    <col min="3" max="3" width="15.81640625"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174</v>
      </c>
      <c r="C1" s="34"/>
      <c r="D1" s="31"/>
      <c r="H1" s="37"/>
    </row>
    <row r="2" spans="1:16" s="32" customFormat="1" ht="18.5" x14ac:dyDescent="0.35">
      <c r="A2" s="30" t="s">
        <v>7</v>
      </c>
      <c r="B2" s="38" t="s">
        <v>203</v>
      </c>
      <c r="C2" s="37"/>
      <c r="D2" s="38"/>
      <c r="H2" s="37"/>
    </row>
    <row r="3" spans="1:16" s="32" customFormat="1" ht="18.5" x14ac:dyDescent="0.35">
      <c r="A3" s="30" t="s">
        <v>45</v>
      </c>
      <c r="B3" s="38" t="s">
        <v>391</v>
      </c>
      <c r="C3" s="37"/>
      <c r="D3" s="38" t="s">
        <v>83</v>
      </c>
      <c r="H3" s="37"/>
    </row>
    <row r="4" spans="1:16" s="32" customFormat="1" ht="18.5" x14ac:dyDescent="0.35">
      <c r="A4" s="30" t="s">
        <v>8</v>
      </c>
      <c r="B4" s="32" t="s">
        <v>236</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B.1</v>
      </c>
      <c r="C7" s="54" t="s">
        <v>40</v>
      </c>
      <c r="D7" s="5" t="s">
        <v>37</v>
      </c>
      <c r="E7" s="42" t="s">
        <v>171</v>
      </c>
      <c r="F7" s="5" t="s">
        <v>37</v>
      </c>
      <c r="G7" s="5" t="s">
        <v>37</v>
      </c>
      <c r="H7" s="44" t="s">
        <v>37</v>
      </c>
      <c r="I7" s="42" t="s">
        <v>10</v>
      </c>
      <c r="J7" s="5" t="s">
        <v>37</v>
      </c>
      <c r="K7" s="5" t="s">
        <v>37</v>
      </c>
      <c r="L7" s="5" t="s">
        <v>37</v>
      </c>
      <c r="M7" s="5" t="s">
        <v>37</v>
      </c>
      <c r="N7" s="5" t="s">
        <v>37</v>
      </c>
      <c r="O7" s="5" t="s">
        <v>247</v>
      </c>
    </row>
    <row r="8" spans="1:16" x14ac:dyDescent="0.35">
      <c r="A8" s="5">
        <v>2</v>
      </c>
      <c r="B8" s="5" t="str">
        <f t="shared" ref="B8:B9" si="0">CONCATENATE($B$2, ".", A8)</f>
        <v>B.2</v>
      </c>
      <c r="C8" s="44" t="s">
        <v>40</v>
      </c>
      <c r="D8" s="42" t="s">
        <v>188</v>
      </c>
      <c r="E8" s="42" t="s">
        <v>172</v>
      </c>
      <c r="F8" s="5" t="s">
        <v>37</v>
      </c>
      <c r="G8" s="5" t="s">
        <v>37</v>
      </c>
      <c r="H8" s="44" t="s">
        <v>37</v>
      </c>
      <c r="I8" s="42" t="s">
        <v>10</v>
      </c>
      <c r="J8" s="5" t="s">
        <v>37</v>
      </c>
      <c r="K8" s="5" t="s">
        <v>37</v>
      </c>
      <c r="L8" s="5" t="s">
        <v>37</v>
      </c>
      <c r="M8" s="5" t="s">
        <v>37</v>
      </c>
      <c r="N8" s="5" t="s">
        <v>37</v>
      </c>
    </row>
    <row r="9" spans="1:16" ht="71.25" customHeight="1" x14ac:dyDescent="0.35">
      <c r="A9" s="5">
        <v>3</v>
      </c>
      <c r="B9" s="5" t="str">
        <f t="shared" si="0"/>
        <v>B.3</v>
      </c>
      <c r="C9" s="54" t="s">
        <v>46</v>
      </c>
      <c r="D9" s="5" t="s">
        <v>210</v>
      </c>
      <c r="E9" s="42" t="s">
        <v>34</v>
      </c>
      <c r="F9" s="5" t="s">
        <v>37</v>
      </c>
      <c r="G9" s="5" t="s">
        <v>37</v>
      </c>
      <c r="H9" s="44" t="s">
        <v>37</v>
      </c>
      <c r="I9" s="42" t="s">
        <v>10</v>
      </c>
      <c r="J9" s="5" t="s">
        <v>37</v>
      </c>
      <c r="K9" s="5" t="s">
        <v>37</v>
      </c>
      <c r="L9" s="5" t="s">
        <v>37</v>
      </c>
      <c r="M9" s="5" t="s">
        <v>37</v>
      </c>
      <c r="N9" s="5" t="s">
        <v>37</v>
      </c>
      <c r="O9" s="5" t="s">
        <v>208</v>
      </c>
      <c r="P9" s="5" t="s">
        <v>432</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80" priority="7" operator="equal">
      <formula>"WIP (see comments)"</formula>
    </cfRule>
    <cfRule type="cellIs" dxfId="79" priority="8" operator="equal">
      <formula>"Removed"</formula>
    </cfRule>
    <cfRule type="cellIs" dxfId="78" priority="9" operator="equal">
      <formula>"Updated"</formula>
    </cfRule>
    <cfRule type="cellIs" dxfId="77" priority="10" operator="equal">
      <formula>"New"</formula>
    </cfRule>
  </conditionalFormatting>
  <conditionalFormatting sqref="A12:XFD1048576 A11:C11 E11:XFD11 P9:XFD9 A10:XFD10 A1:XFD6 Q7:XFD7 E7:O7 A8:XFD8 A9:N9 A7:C7">
    <cfRule type="cellIs" dxfId="76" priority="5" operator="equal">
      <formula>"n/a"</formula>
    </cfRule>
  </conditionalFormatting>
  <conditionalFormatting sqref="O9">
    <cfRule type="cellIs" dxfId="75" priority="4" operator="equal">
      <formula>"n/a"</formula>
    </cfRule>
  </conditionalFormatting>
  <conditionalFormatting sqref="P7">
    <cfRule type="cellIs" dxfId="74" priority="3" operator="equal">
      <formula>"n/a"</formula>
    </cfRule>
  </conditionalFormatting>
  <conditionalFormatting sqref="D7">
    <cfRule type="cellIs" dxfId="73" priority="2" operator="equal">
      <formula>"-"</formula>
    </cfRule>
  </conditionalFormatting>
  <conditionalFormatting sqref="D7">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E9:E1048576 E7:E8</xm:sqref>
        </x14:dataValidation>
        <x14:dataValidation type="list" allowBlank="1" showInputMessage="1" showErrorMessage="1">
          <x14:formula1>
            <xm:f>'List Values'!$B$5:$B$13</xm:f>
          </x14:formula1>
          <xm:sqref>C9:C1048576 C7:C8</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C5" sqref="C5"/>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175</v>
      </c>
      <c r="C1" s="34"/>
      <c r="D1" s="31"/>
      <c r="H1" s="37"/>
    </row>
    <row r="2" spans="1:16" s="32" customFormat="1" ht="18.5" x14ac:dyDescent="0.35">
      <c r="A2" s="30" t="s">
        <v>7</v>
      </c>
      <c r="B2" s="38" t="s">
        <v>204</v>
      </c>
      <c r="C2" s="37"/>
      <c r="D2" s="38"/>
      <c r="H2" s="37"/>
    </row>
    <row r="3" spans="1:16" s="32" customFormat="1" ht="18.5" x14ac:dyDescent="0.35">
      <c r="A3" s="30" t="s">
        <v>45</v>
      </c>
      <c r="B3" s="38" t="s">
        <v>391</v>
      </c>
      <c r="C3" s="37"/>
      <c r="D3" s="38" t="s">
        <v>83</v>
      </c>
      <c r="H3" s="37"/>
    </row>
    <row r="4" spans="1:16" s="32" customFormat="1" ht="18.5" x14ac:dyDescent="0.35">
      <c r="A4" s="30" t="s">
        <v>8</v>
      </c>
      <c r="B4" s="32" t="s">
        <v>434</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C.1</v>
      </c>
      <c r="C7" s="54" t="s">
        <v>40</v>
      </c>
      <c r="D7" s="5" t="s">
        <v>37</v>
      </c>
      <c r="E7" s="42" t="s">
        <v>171</v>
      </c>
      <c r="F7" s="5" t="s">
        <v>37</v>
      </c>
      <c r="G7" s="5" t="s">
        <v>37</v>
      </c>
      <c r="H7" s="44" t="s">
        <v>37</v>
      </c>
      <c r="I7" s="42" t="s">
        <v>10</v>
      </c>
      <c r="J7" s="5" t="s">
        <v>37</v>
      </c>
      <c r="K7" s="5" t="s">
        <v>37</v>
      </c>
      <c r="L7" s="5" t="s">
        <v>37</v>
      </c>
      <c r="M7" s="5" t="s">
        <v>37</v>
      </c>
      <c r="N7" s="5" t="s">
        <v>37</v>
      </c>
      <c r="O7" s="5" t="s">
        <v>248</v>
      </c>
    </row>
    <row r="8" spans="1:16" x14ac:dyDescent="0.35">
      <c r="A8" s="5">
        <v>2</v>
      </c>
      <c r="B8" s="5" t="str">
        <f t="shared" ref="B8:B10" si="0">CONCATENATE($B$2, ".", A8)</f>
        <v>C.2</v>
      </c>
      <c r="C8" s="44" t="s">
        <v>40</v>
      </c>
      <c r="D8" s="42" t="s">
        <v>176</v>
      </c>
      <c r="E8" s="42" t="s">
        <v>172</v>
      </c>
      <c r="F8" s="5" t="s">
        <v>37</v>
      </c>
      <c r="G8" s="5" t="s">
        <v>37</v>
      </c>
      <c r="H8" s="44" t="s">
        <v>37</v>
      </c>
      <c r="I8" s="42" t="s">
        <v>10</v>
      </c>
      <c r="J8" s="5" t="s">
        <v>37</v>
      </c>
      <c r="K8" s="5" t="s">
        <v>37</v>
      </c>
      <c r="L8" s="5" t="s">
        <v>37</v>
      </c>
      <c r="M8" s="5" t="s">
        <v>37</v>
      </c>
      <c r="N8" s="5" t="s">
        <v>37</v>
      </c>
    </row>
    <row r="9" spans="1:16" ht="29" x14ac:dyDescent="0.35">
      <c r="A9" s="5">
        <v>3</v>
      </c>
      <c r="B9" s="5" t="str">
        <f t="shared" si="0"/>
        <v>C.3</v>
      </c>
      <c r="C9" s="54" t="s">
        <v>40</v>
      </c>
      <c r="D9" s="5" t="s">
        <v>189</v>
      </c>
      <c r="E9" s="42" t="s">
        <v>34</v>
      </c>
      <c r="F9" s="5" t="s">
        <v>37</v>
      </c>
      <c r="G9" s="5" t="s">
        <v>37</v>
      </c>
      <c r="H9" s="44" t="s">
        <v>37</v>
      </c>
      <c r="I9" s="42" t="s">
        <v>10</v>
      </c>
      <c r="J9" s="5" t="s">
        <v>37</v>
      </c>
      <c r="K9" s="5" t="s">
        <v>37</v>
      </c>
      <c r="L9" s="5" t="s">
        <v>37</v>
      </c>
      <c r="M9" s="5" t="s">
        <v>37</v>
      </c>
      <c r="N9" s="5" t="s">
        <v>37</v>
      </c>
    </row>
    <row r="10" spans="1:16" ht="54" customHeight="1" x14ac:dyDescent="0.35">
      <c r="A10" s="5">
        <v>4</v>
      </c>
      <c r="B10" s="5" t="str">
        <f t="shared" si="0"/>
        <v>C.4</v>
      </c>
      <c r="C10" s="54" t="s">
        <v>40</v>
      </c>
      <c r="D10" s="5" t="s">
        <v>433</v>
      </c>
      <c r="E10" s="42" t="s">
        <v>34</v>
      </c>
      <c r="F10" s="5" t="s">
        <v>37</v>
      </c>
      <c r="G10" s="5" t="s">
        <v>37</v>
      </c>
      <c r="H10" s="4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71" priority="4" operator="equal">
      <formula>"WIP (see comments)"</formula>
    </cfRule>
    <cfRule type="cellIs" dxfId="70" priority="5" operator="equal">
      <formula>"Removed"</formula>
    </cfRule>
    <cfRule type="cellIs" dxfId="69" priority="6" operator="equal">
      <formula>"Updated"</formula>
    </cfRule>
    <cfRule type="cellIs" dxfId="68" priority="7" operator="equal">
      <formula>"New"</formula>
    </cfRule>
  </conditionalFormatting>
  <conditionalFormatting sqref="D9 D7">
    <cfRule type="cellIs" dxfId="67" priority="3" operator="equal">
      <formula>"-"</formula>
    </cfRule>
  </conditionalFormatting>
  <conditionalFormatting sqref="A1:XFD6 Q7:XFD7 A8:XFD1048576 A7:O7">
    <cfRule type="cellIs" dxfId="66" priority="2" operator="equal">
      <formula>"n/a"</formula>
    </cfRule>
  </conditionalFormatting>
  <conditionalFormatting sqref="P7">
    <cfRule type="cellIs" dxfId="6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Values'!$A$5:$A$26</xm:f>
          </x14:formula1>
          <xm:sqref>E10:E1048576 E7:E9</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ySplit="6" topLeftCell="A7" activePane="bottomLeft" state="frozen"/>
      <selection pane="bottomLeft" activeCell="A10" sqref="A10"/>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177</v>
      </c>
      <c r="C1" s="34"/>
      <c r="D1" s="31"/>
      <c r="H1" s="37"/>
    </row>
    <row r="2" spans="1:16" s="32" customFormat="1" ht="18.5" x14ac:dyDescent="0.35">
      <c r="A2" s="30" t="s">
        <v>7</v>
      </c>
      <c r="B2" s="38" t="s">
        <v>205</v>
      </c>
      <c r="C2" s="37"/>
      <c r="D2" s="38"/>
      <c r="H2" s="37"/>
    </row>
    <row r="3" spans="1:16" s="32" customFormat="1" ht="18.5" x14ac:dyDescent="0.35">
      <c r="A3" s="30" t="s">
        <v>45</v>
      </c>
      <c r="B3" s="38" t="s">
        <v>391</v>
      </c>
      <c r="C3" s="37"/>
      <c r="D3" s="38" t="s">
        <v>83</v>
      </c>
      <c r="H3" s="37"/>
    </row>
    <row r="4" spans="1:16" s="32" customFormat="1" ht="18.5" x14ac:dyDescent="0.35">
      <c r="A4" s="30" t="s">
        <v>8</v>
      </c>
      <c r="B4" s="32" t="s">
        <v>178</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D.1</v>
      </c>
      <c r="C7" s="54" t="s">
        <v>40</v>
      </c>
      <c r="D7" s="5" t="s">
        <v>37</v>
      </c>
      <c r="E7" s="42" t="s">
        <v>171</v>
      </c>
      <c r="F7" s="5" t="s">
        <v>37</v>
      </c>
      <c r="G7" s="5" t="s">
        <v>37</v>
      </c>
      <c r="H7" s="44" t="s">
        <v>37</v>
      </c>
      <c r="I7" s="42" t="s">
        <v>10</v>
      </c>
      <c r="J7" s="5" t="s">
        <v>37</v>
      </c>
      <c r="K7" s="5" t="s">
        <v>37</v>
      </c>
      <c r="L7" s="5" t="s">
        <v>37</v>
      </c>
      <c r="M7" s="5" t="s">
        <v>37</v>
      </c>
      <c r="N7" s="5" t="s">
        <v>37</v>
      </c>
      <c r="O7" s="5" t="s">
        <v>249</v>
      </c>
    </row>
    <row r="8" spans="1:16" x14ac:dyDescent="0.35">
      <c r="A8" s="5">
        <v>2</v>
      </c>
      <c r="B8" s="5" t="str">
        <f t="shared" ref="B8:B9" si="0">CONCATENATE($B$2, ".", A8)</f>
        <v>D.2</v>
      </c>
      <c r="C8" s="44" t="s">
        <v>40</v>
      </c>
      <c r="D8" s="42" t="s">
        <v>179</v>
      </c>
      <c r="E8" s="42" t="s">
        <v>172</v>
      </c>
      <c r="F8" s="5" t="s">
        <v>37</v>
      </c>
      <c r="G8" s="5" t="s">
        <v>37</v>
      </c>
      <c r="H8" s="44" t="s">
        <v>37</v>
      </c>
      <c r="I8" s="42" t="s">
        <v>10</v>
      </c>
      <c r="J8" s="5" t="s">
        <v>37</v>
      </c>
      <c r="K8" s="5" t="s">
        <v>37</v>
      </c>
      <c r="L8" s="5" t="s">
        <v>37</v>
      </c>
      <c r="M8" s="5" t="s">
        <v>37</v>
      </c>
      <c r="N8" s="5" t="s">
        <v>37</v>
      </c>
    </row>
    <row r="9" spans="1:16" ht="43.5" x14ac:dyDescent="0.35">
      <c r="A9" s="5">
        <v>3</v>
      </c>
      <c r="B9" s="5" t="str">
        <f t="shared" si="0"/>
        <v>D.3</v>
      </c>
      <c r="C9" s="54" t="s">
        <v>46</v>
      </c>
      <c r="D9" s="47" t="s">
        <v>190</v>
      </c>
      <c r="E9" s="42" t="s">
        <v>34</v>
      </c>
      <c r="F9" s="5" t="s">
        <v>37</v>
      </c>
      <c r="G9" s="5" t="s">
        <v>37</v>
      </c>
      <c r="H9" s="44" t="s">
        <v>37</v>
      </c>
      <c r="I9" s="42" t="s">
        <v>10</v>
      </c>
      <c r="J9" s="5" t="s">
        <v>37</v>
      </c>
      <c r="K9" s="5" t="s">
        <v>37</v>
      </c>
      <c r="L9" s="5" t="s">
        <v>37</v>
      </c>
      <c r="M9" s="5" t="s">
        <v>37</v>
      </c>
      <c r="N9" s="5" t="s">
        <v>37</v>
      </c>
      <c r="P9" s="5" t="s">
        <v>432</v>
      </c>
    </row>
    <row r="10" spans="1:16" x14ac:dyDescent="0.35">
      <c r="I10" s="42"/>
      <c r="L10" s="42"/>
      <c r="M10" s="42"/>
      <c r="N10" s="42"/>
      <c r="O10" s="42"/>
    </row>
    <row r="11" spans="1:16" x14ac:dyDescent="0.35">
      <c r="I11" s="42"/>
      <c r="L11" s="42"/>
      <c r="M11" s="42"/>
      <c r="N11" s="42"/>
      <c r="O11" s="42"/>
    </row>
  </sheetData>
  <autoFilter ref="A6:P9"/>
  <conditionalFormatting sqref="C7:C1048576">
    <cfRule type="cellIs" dxfId="64" priority="4" operator="equal">
      <formula>"WIP (see comments)"</formula>
    </cfRule>
    <cfRule type="cellIs" dxfId="63" priority="5" operator="equal">
      <formula>"Removed"</formula>
    </cfRule>
    <cfRule type="cellIs" dxfId="62" priority="6" operator="equal">
      <formula>"Updated"</formula>
    </cfRule>
    <cfRule type="cellIs" dxfId="61" priority="7" operator="equal">
      <formula>"New"</formula>
    </cfRule>
  </conditionalFormatting>
  <conditionalFormatting sqref="D9 D7">
    <cfRule type="cellIs" dxfId="60" priority="3" operator="equal">
      <formula>"-"</formula>
    </cfRule>
  </conditionalFormatting>
  <conditionalFormatting sqref="A1:XFD6 Q7:XFD7 A8:XFD1048576 A7:O7">
    <cfRule type="cellIs" dxfId="59" priority="2" operator="equal">
      <formula>"n/a"</formula>
    </cfRule>
  </conditionalFormatting>
  <conditionalFormatting sqref="P7">
    <cfRule type="cellIs" dxfId="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E10:E1048576 E7:E9</xm:sqref>
        </x14:dataValidation>
        <x14:dataValidation type="list" allowBlank="1" showInputMessage="1" showErrorMessage="1">
          <x14:formula1>
            <xm:f>'List Values'!$B$5:$B$13</xm:f>
          </x14:formula1>
          <xm:sqref>C10:C1048576 C7:C9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180</v>
      </c>
      <c r="C1" s="34"/>
      <c r="D1" s="31"/>
      <c r="H1" s="37"/>
    </row>
    <row r="2" spans="1:16" s="32" customFormat="1" ht="18.5" x14ac:dyDescent="0.35">
      <c r="A2" s="30" t="s">
        <v>7</v>
      </c>
      <c r="B2" s="38" t="s">
        <v>206</v>
      </c>
      <c r="C2" s="37"/>
      <c r="D2" s="38"/>
      <c r="H2" s="37"/>
    </row>
    <row r="3" spans="1:16" s="32" customFormat="1" ht="18.5" x14ac:dyDescent="0.35">
      <c r="A3" s="30" t="s">
        <v>45</v>
      </c>
      <c r="B3" s="38" t="s">
        <v>391</v>
      </c>
      <c r="C3" s="37"/>
      <c r="D3" s="38" t="s">
        <v>83</v>
      </c>
      <c r="H3" s="37"/>
    </row>
    <row r="4" spans="1:16" s="32" customFormat="1" ht="18.5" x14ac:dyDescent="0.35">
      <c r="A4" s="30" t="s">
        <v>8</v>
      </c>
      <c r="B4" s="32" t="s">
        <v>181</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CONCATENATE($B$2, ".", A7)</f>
        <v>E.1</v>
      </c>
      <c r="C7" s="54" t="s">
        <v>40</v>
      </c>
      <c r="D7" s="5" t="s">
        <v>37</v>
      </c>
      <c r="E7" s="42" t="s">
        <v>171</v>
      </c>
      <c r="F7" s="5" t="s">
        <v>37</v>
      </c>
      <c r="G7" s="5" t="s">
        <v>37</v>
      </c>
      <c r="H7" s="44" t="s">
        <v>37</v>
      </c>
      <c r="I7" s="42" t="s">
        <v>10</v>
      </c>
      <c r="J7" s="5" t="s">
        <v>37</v>
      </c>
      <c r="K7" s="5" t="s">
        <v>37</v>
      </c>
      <c r="L7" s="5" t="s">
        <v>37</v>
      </c>
      <c r="M7" s="5" t="s">
        <v>37</v>
      </c>
      <c r="N7" s="5" t="s">
        <v>37</v>
      </c>
      <c r="O7" s="5" t="s">
        <v>250</v>
      </c>
    </row>
    <row r="8" spans="1:16" x14ac:dyDescent="0.35">
      <c r="A8" s="5">
        <v>2</v>
      </c>
      <c r="B8" s="5" t="str">
        <f t="shared" ref="B8:B10" si="0">CONCATENATE($B$2, ".", A8)</f>
        <v>E.2</v>
      </c>
      <c r="C8" s="44" t="s">
        <v>40</v>
      </c>
      <c r="D8" s="42" t="s">
        <v>182</v>
      </c>
      <c r="E8" s="42" t="s">
        <v>172</v>
      </c>
      <c r="F8" s="5" t="s">
        <v>37</v>
      </c>
      <c r="G8" s="5" t="s">
        <v>37</v>
      </c>
      <c r="H8" s="44" t="s">
        <v>37</v>
      </c>
      <c r="I8" s="42" t="s">
        <v>10</v>
      </c>
      <c r="J8" s="5" t="s">
        <v>37</v>
      </c>
      <c r="K8" s="5" t="s">
        <v>37</v>
      </c>
      <c r="L8" s="5" t="s">
        <v>37</v>
      </c>
      <c r="M8" s="5" t="s">
        <v>37</v>
      </c>
      <c r="N8" s="5" t="s">
        <v>37</v>
      </c>
    </row>
    <row r="9" spans="1:16" ht="29" x14ac:dyDescent="0.35">
      <c r="A9" s="5">
        <v>3</v>
      </c>
      <c r="B9" s="5" t="str">
        <f t="shared" si="0"/>
        <v>E.3</v>
      </c>
      <c r="C9" s="54" t="s">
        <v>40</v>
      </c>
      <c r="D9" s="47" t="s">
        <v>191</v>
      </c>
      <c r="E9" s="42" t="s">
        <v>34</v>
      </c>
      <c r="F9" s="5" t="s">
        <v>37</v>
      </c>
      <c r="G9" s="5" t="s">
        <v>37</v>
      </c>
      <c r="H9" s="44" t="s">
        <v>37</v>
      </c>
      <c r="I9" s="42" t="s">
        <v>10</v>
      </c>
      <c r="J9" s="5" t="s">
        <v>37</v>
      </c>
      <c r="K9" s="5" t="s">
        <v>37</v>
      </c>
      <c r="L9" s="5" t="s">
        <v>37</v>
      </c>
      <c r="M9" s="5" t="s">
        <v>37</v>
      </c>
      <c r="N9" s="5" t="s">
        <v>37</v>
      </c>
    </row>
    <row r="10" spans="1:16" ht="79.5" customHeight="1" x14ac:dyDescent="0.35">
      <c r="A10" s="5">
        <v>4</v>
      </c>
      <c r="B10" s="5" t="str">
        <f t="shared" si="0"/>
        <v>E.4</v>
      </c>
      <c r="C10" s="54" t="s">
        <v>40</v>
      </c>
      <c r="D10" s="5" t="s">
        <v>192</v>
      </c>
      <c r="E10" s="42" t="s">
        <v>34</v>
      </c>
      <c r="F10" s="5" t="s">
        <v>37</v>
      </c>
      <c r="G10" s="5" t="s">
        <v>37</v>
      </c>
      <c r="H10" s="44" t="s">
        <v>37</v>
      </c>
      <c r="I10" s="42" t="s">
        <v>10</v>
      </c>
      <c r="J10" s="5" t="s">
        <v>37</v>
      </c>
      <c r="K10" s="5" t="s">
        <v>37</v>
      </c>
      <c r="L10" s="5" t="s">
        <v>37</v>
      </c>
      <c r="M10" s="5" t="s">
        <v>37</v>
      </c>
      <c r="N10" s="5" t="s">
        <v>37</v>
      </c>
    </row>
    <row r="11" spans="1:16" x14ac:dyDescent="0.35">
      <c r="I11" s="42"/>
      <c r="L11" s="42"/>
      <c r="M11" s="42"/>
      <c r="N11" s="42"/>
      <c r="O11" s="42"/>
    </row>
    <row r="12" spans="1:16" x14ac:dyDescent="0.35">
      <c r="I12" s="42"/>
      <c r="L12" s="42"/>
      <c r="M12" s="42"/>
      <c r="N12" s="42"/>
      <c r="O12" s="42"/>
    </row>
  </sheetData>
  <autoFilter ref="A6:P9"/>
  <conditionalFormatting sqref="C7:C1048576">
    <cfRule type="cellIs" dxfId="57" priority="4" operator="equal">
      <formula>"WIP (see comments)"</formula>
    </cfRule>
    <cfRule type="cellIs" dxfId="56" priority="5" operator="equal">
      <formula>"Removed"</formula>
    </cfRule>
    <cfRule type="cellIs" dxfId="55" priority="6" operator="equal">
      <formula>"Updated"</formula>
    </cfRule>
    <cfRule type="cellIs" dxfId="54" priority="7" operator="equal">
      <formula>"New"</formula>
    </cfRule>
  </conditionalFormatting>
  <conditionalFormatting sqref="D9 D7">
    <cfRule type="cellIs" dxfId="53" priority="3" operator="equal">
      <formula>"-"</formula>
    </cfRule>
  </conditionalFormatting>
  <conditionalFormatting sqref="A1:XFD6 Q7:XFD7 A8:XFD1048576 A7:O7">
    <cfRule type="cellIs" dxfId="52" priority="2" operator="equal">
      <formula>"n/a"</formula>
    </cfRule>
  </conditionalFormatting>
  <conditionalFormatting sqref="P7">
    <cfRule type="cellIs" dxfId="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C10:C1048576 C7:C9</xm:sqref>
        </x14:dataValidation>
        <x14:dataValidation type="list" allowBlank="1" showInputMessage="1" showErrorMessage="1">
          <x14:formula1>
            <xm:f>'List Values'!$A$5:$A$26</xm:f>
          </x14:formula1>
          <xm:sqref>E10:E1048576 E7:E9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ySplit="6" topLeftCell="A7" activePane="bottomLeft" state="frozen"/>
      <selection pane="bottomLeft" activeCell="D1" sqref="D1"/>
    </sheetView>
  </sheetViews>
  <sheetFormatPr defaultColWidth="9.1796875" defaultRowHeight="14.5" x14ac:dyDescent="0.35"/>
  <cols>
    <col min="1" max="1" width="14.7265625" style="5" customWidth="1"/>
    <col min="2" max="2" width="12.54296875" style="5" customWidth="1"/>
    <col min="3" max="3" width="13" style="44" customWidth="1"/>
    <col min="4" max="4" width="45.1796875" style="5" customWidth="1"/>
    <col min="5" max="5" width="28.7265625" style="5" customWidth="1"/>
    <col min="6" max="6" width="37" style="5" customWidth="1"/>
    <col min="7" max="7" width="29.26953125" style="5" customWidth="1"/>
    <col min="8" max="8" width="11.54296875" style="4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183</v>
      </c>
      <c r="C1" s="34"/>
      <c r="D1" s="31"/>
      <c r="H1" s="37"/>
    </row>
    <row r="2" spans="1:16" s="32" customFormat="1" ht="18.5" x14ac:dyDescent="0.35">
      <c r="A2" s="30" t="s">
        <v>7</v>
      </c>
      <c r="B2" s="38" t="s">
        <v>207</v>
      </c>
      <c r="C2" s="37"/>
      <c r="D2" s="38"/>
      <c r="H2" s="37"/>
    </row>
    <row r="3" spans="1:16" s="32" customFormat="1" ht="18.5" x14ac:dyDescent="0.35">
      <c r="A3" s="30" t="s">
        <v>45</v>
      </c>
      <c r="B3" s="38" t="s">
        <v>391</v>
      </c>
      <c r="C3" s="37"/>
      <c r="D3" s="38" t="s">
        <v>83</v>
      </c>
      <c r="H3" s="37"/>
    </row>
    <row r="4" spans="1:16" s="32" customFormat="1" ht="18.5" x14ac:dyDescent="0.35">
      <c r="A4" s="30" t="s">
        <v>8</v>
      </c>
      <c r="B4" s="32" t="s">
        <v>184</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1" si="0">CONCATENATE($B$2, ".", A7)</f>
        <v>F.1</v>
      </c>
      <c r="C7" s="54" t="s">
        <v>40</v>
      </c>
      <c r="D7" s="42" t="s">
        <v>251</v>
      </c>
      <c r="E7" s="42" t="s">
        <v>172</v>
      </c>
      <c r="F7" s="5" t="s">
        <v>37</v>
      </c>
      <c r="G7" s="5" t="s">
        <v>37</v>
      </c>
      <c r="H7" s="54" t="s">
        <v>37</v>
      </c>
      <c r="I7" s="42" t="s">
        <v>10</v>
      </c>
      <c r="J7" s="5" t="s">
        <v>37</v>
      </c>
      <c r="K7" s="5" t="s">
        <v>37</v>
      </c>
      <c r="L7" s="5" t="s">
        <v>37</v>
      </c>
      <c r="M7" s="5" t="s">
        <v>37</v>
      </c>
      <c r="N7" s="5" t="s">
        <v>37</v>
      </c>
    </row>
    <row r="8" spans="1:16" ht="43.5" x14ac:dyDescent="0.35">
      <c r="A8" s="5">
        <v>2</v>
      </c>
      <c r="B8" s="5" t="str">
        <f t="shared" si="0"/>
        <v>F.2</v>
      </c>
      <c r="C8" s="54" t="s">
        <v>40</v>
      </c>
      <c r="D8" s="47" t="s">
        <v>252</v>
      </c>
      <c r="E8" s="42" t="s">
        <v>34</v>
      </c>
      <c r="F8" s="5" t="s">
        <v>37</v>
      </c>
      <c r="G8" s="5" t="s">
        <v>37</v>
      </c>
      <c r="H8" s="54" t="s">
        <v>37</v>
      </c>
      <c r="I8" s="42" t="s">
        <v>10</v>
      </c>
      <c r="J8" s="5" t="s">
        <v>37</v>
      </c>
      <c r="K8" s="5" t="s">
        <v>37</v>
      </c>
      <c r="L8" s="5" t="s">
        <v>37</v>
      </c>
      <c r="M8" s="5" t="s">
        <v>37</v>
      </c>
      <c r="N8" s="5" t="s">
        <v>37</v>
      </c>
    </row>
    <row r="9" spans="1:16" x14ac:dyDescent="0.35">
      <c r="A9" s="5">
        <v>3</v>
      </c>
      <c r="B9" s="5" t="str">
        <f t="shared" si="0"/>
        <v>F.3</v>
      </c>
      <c r="C9" s="57" t="s">
        <v>40</v>
      </c>
      <c r="D9" s="47" t="s">
        <v>253</v>
      </c>
      <c r="E9" s="42" t="s">
        <v>33</v>
      </c>
      <c r="F9" s="5" t="s">
        <v>37</v>
      </c>
      <c r="G9" s="5" t="s">
        <v>37</v>
      </c>
      <c r="H9" s="54" t="s">
        <v>37</v>
      </c>
      <c r="I9" s="42" t="s">
        <v>10</v>
      </c>
      <c r="J9" s="5" t="s">
        <v>37</v>
      </c>
      <c r="K9" s="5" t="s">
        <v>37</v>
      </c>
      <c r="L9" s="5" t="s">
        <v>37</v>
      </c>
      <c r="M9" s="5" t="s">
        <v>37</v>
      </c>
      <c r="N9" s="5" t="s">
        <v>37</v>
      </c>
    </row>
    <row r="10" spans="1:16" x14ac:dyDescent="0.35">
      <c r="A10" s="5">
        <v>4</v>
      </c>
      <c r="B10" s="5" t="str">
        <f t="shared" si="0"/>
        <v>F.4</v>
      </c>
      <c r="C10" s="57" t="s">
        <v>40</v>
      </c>
      <c r="D10" s="5" t="s">
        <v>254</v>
      </c>
      <c r="E10" s="5" t="s">
        <v>43</v>
      </c>
      <c r="F10" s="5" t="s">
        <v>37</v>
      </c>
      <c r="G10" s="5" t="s">
        <v>37</v>
      </c>
      <c r="H10" s="54" t="s">
        <v>37</v>
      </c>
      <c r="I10" s="42" t="s">
        <v>10</v>
      </c>
      <c r="J10" s="5" t="s">
        <v>37</v>
      </c>
      <c r="K10" s="5" t="s">
        <v>37</v>
      </c>
      <c r="L10" s="5" t="s">
        <v>37</v>
      </c>
      <c r="M10" s="5" t="s">
        <v>37</v>
      </c>
      <c r="N10" s="5" t="s">
        <v>37</v>
      </c>
      <c r="O10" s="42" t="s">
        <v>255</v>
      </c>
    </row>
    <row r="11" spans="1:16" x14ac:dyDescent="0.35">
      <c r="A11" s="5">
        <v>5</v>
      </c>
      <c r="B11" s="5" t="str">
        <f t="shared" si="0"/>
        <v>F.5</v>
      </c>
      <c r="C11" s="57" t="s">
        <v>40</v>
      </c>
      <c r="D11" s="5" t="s">
        <v>256</v>
      </c>
      <c r="E11" s="5" t="s">
        <v>43</v>
      </c>
      <c r="F11" s="5" t="s">
        <v>37</v>
      </c>
      <c r="G11" s="5" t="s">
        <v>37</v>
      </c>
      <c r="H11" s="54" t="s">
        <v>37</v>
      </c>
      <c r="I11" s="42" t="s">
        <v>10</v>
      </c>
      <c r="J11" s="5" t="s">
        <v>37</v>
      </c>
      <c r="K11" s="5" t="s">
        <v>37</v>
      </c>
      <c r="L11" s="5" t="s">
        <v>37</v>
      </c>
      <c r="M11" s="5" t="s">
        <v>37</v>
      </c>
      <c r="N11" s="5" t="s">
        <v>37</v>
      </c>
      <c r="O11" s="42" t="s">
        <v>257</v>
      </c>
    </row>
  </sheetData>
  <autoFilter ref="A6:P6"/>
  <conditionalFormatting sqref="C12:C1048576">
    <cfRule type="cellIs" dxfId="50" priority="20" operator="equal">
      <formula>"WIP (see comments)"</formula>
    </cfRule>
    <cfRule type="cellIs" dxfId="49" priority="21" operator="equal">
      <formula>"Removed"</formula>
    </cfRule>
    <cfRule type="cellIs" dxfId="48" priority="22" operator="equal">
      <formula>"Updated"</formula>
    </cfRule>
    <cfRule type="cellIs" dxfId="47" priority="23" operator="equal">
      <formula>"New"</formula>
    </cfRule>
  </conditionalFormatting>
  <conditionalFormatting sqref="A1:XFD6 A12:XFD1048576">
    <cfRule type="cellIs" dxfId="46" priority="18" operator="equal">
      <formula>"n/a"</formula>
    </cfRule>
  </conditionalFormatting>
  <conditionalFormatting sqref="D8:D9">
    <cfRule type="cellIs" dxfId="45" priority="17" operator="equal">
      <formula>"-"</formula>
    </cfRule>
  </conditionalFormatting>
  <conditionalFormatting sqref="A8:B9 D8:XFD9">
    <cfRule type="cellIs" dxfId="44" priority="16" operator="equal">
      <formula>"n/a"</formula>
    </cfRule>
  </conditionalFormatting>
  <conditionalFormatting sqref="C7:C11">
    <cfRule type="cellIs" dxfId="43" priority="12" operator="equal">
      <formula>"WIP (see comments)"</formula>
    </cfRule>
    <cfRule type="cellIs" dxfId="42" priority="13" operator="equal">
      <formula>"Removed"</formula>
    </cfRule>
    <cfRule type="cellIs" dxfId="41" priority="14" operator="equal">
      <formula>"Updated"</formula>
    </cfRule>
    <cfRule type="cellIs" dxfId="40" priority="15" operator="equal">
      <formula>"New"</formula>
    </cfRule>
  </conditionalFormatting>
  <conditionalFormatting sqref="A7:XFD7 C8:C11">
    <cfRule type="cellIs" dxfId="39" priority="11" operator="equal">
      <formula>"n/a"</formula>
    </cfRule>
  </conditionalFormatting>
  <conditionalFormatting sqref="A10:B10 D10:XFD10">
    <cfRule type="cellIs" dxfId="38" priority="6" operator="equal">
      <formula>"n/a"</formula>
    </cfRule>
  </conditionalFormatting>
  <conditionalFormatting sqref="A11:B11 D11:XFD11">
    <cfRule type="cellIs" dxfId="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C3" sqref="C3"/>
    </sheetView>
  </sheetViews>
  <sheetFormatPr defaultColWidth="9.1796875" defaultRowHeight="14.5" x14ac:dyDescent="0.35"/>
  <cols>
    <col min="1" max="1" width="14.7265625" style="5" customWidth="1"/>
    <col min="2" max="2" width="12.54296875" style="5" customWidth="1"/>
    <col min="3" max="3" width="13" style="57" customWidth="1"/>
    <col min="4" max="4" width="45.1796875" style="5" customWidth="1"/>
    <col min="5" max="5" width="28.7265625" style="5" customWidth="1"/>
    <col min="6" max="6" width="37" style="5" customWidth="1"/>
    <col min="7" max="7" width="29.26953125" style="5" customWidth="1"/>
    <col min="8" max="8" width="11.54296875" style="5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262</v>
      </c>
      <c r="C1" s="34"/>
      <c r="D1" s="31"/>
      <c r="H1" s="37"/>
    </row>
    <row r="2" spans="1:16" s="32" customFormat="1" ht="18.5" x14ac:dyDescent="0.35">
      <c r="A2" s="30" t="s">
        <v>7</v>
      </c>
      <c r="B2" s="38" t="s">
        <v>260</v>
      </c>
      <c r="C2" s="37"/>
      <c r="D2" s="38"/>
      <c r="H2" s="37"/>
    </row>
    <row r="3" spans="1:16" s="32" customFormat="1" ht="18.5" x14ac:dyDescent="0.35">
      <c r="A3" s="30" t="s">
        <v>45</v>
      </c>
      <c r="B3" s="38" t="s">
        <v>391</v>
      </c>
      <c r="C3" s="37"/>
      <c r="D3" s="38" t="s">
        <v>83</v>
      </c>
      <c r="H3" s="37"/>
    </row>
    <row r="4" spans="1:16" s="32" customFormat="1" ht="18.5" x14ac:dyDescent="0.35">
      <c r="A4" s="30" t="s">
        <v>8</v>
      </c>
      <c r="B4" s="32" t="s">
        <v>261</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G.1</v>
      </c>
      <c r="C7" s="57" t="s">
        <v>306</v>
      </c>
      <c r="D7" s="42" t="s">
        <v>263</v>
      </c>
      <c r="E7" s="42" t="s">
        <v>172</v>
      </c>
      <c r="F7" s="5" t="s">
        <v>37</v>
      </c>
      <c r="G7" s="5" t="s">
        <v>37</v>
      </c>
      <c r="H7" s="57" t="s">
        <v>37</v>
      </c>
      <c r="I7" s="42" t="s">
        <v>10</v>
      </c>
      <c r="J7" s="5" t="s">
        <v>37</v>
      </c>
      <c r="K7" s="5" t="s">
        <v>37</v>
      </c>
      <c r="L7" s="5" t="s">
        <v>37</v>
      </c>
      <c r="M7" s="5" t="s">
        <v>37</v>
      </c>
      <c r="N7" s="5" t="s">
        <v>37</v>
      </c>
    </row>
    <row r="8" spans="1:16" ht="29" x14ac:dyDescent="0.35">
      <c r="A8" s="5">
        <v>3</v>
      </c>
      <c r="B8" s="5" t="str">
        <f>CONCATENATE($B$2, ".", A8)</f>
        <v>G.3</v>
      </c>
      <c r="C8" s="77" t="s">
        <v>306</v>
      </c>
      <c r="D8" s="47" t="s">
        <v>267</v>
      </c>
      <c r="E8" s="42" t="s">
        <v>266</v>
      </c>
      <c r="F8" s="5" t="s">
        <v>37</v>
      </c>
      <c r="G8" s="5" t="s">
        <v>37</v>
      </c>
      <c r="H8" s="57" t="s">
        <v>37</v>
      </c>
      <c r="I8" s="42" t="s">
        <v>10</v>
      </c>
      <c r="J8" s="5" t="s">
        <v>37</v>
      </c>
      <c r="K8" s="5" t="s">
        <v>37</v>
      </c>
      <c r="L8" s="5" t="s">
        <v>37</v>
      </c>
      <c r="M8" s="5" t="s">
        <v>37</v>
      </c>
      <c r="N8" s="5" t="s">
        <v>37</v>
      </c>
      <c r="O8" s="5" t="s">
        <v>268</v>
      </c>
    </row>
    <row r="9" spans="1:16" ht="29" x14ac:dyDescent="0.35">
      <c r="A9" s="5">
        <v>2</v>
      </c>
      <c r="B9" s="5" t="str">
        <f t="shared" si="0"/>
        <v>G.2</v>
      </c>
      <c r="C9" s="77" t="s">
        <v>306</v>
      </c>
      <c r="D9" s="47" t="s">
        <v>264</v>
      </c>
      <c r="E9" s="42" t="s">
        <v>34</v>
      </c>
      <c r="F9" s="5" t="s">
        <v>37</v>
      </c>
      <c r="G9" s="5" t="s">
        <v>37</v>
      </c>
      <c r="H9" s="57" t="s">
        <v>37</v>
      </c>
      <c r="I9" s="42" t="s">
        <v>10</v>
      </c>
      <c r="J9" s="5" t="s">
        <v>37</v>
      </c>
      <c r="K9" s="5" t="s">
        <v>37</v>
      </c>
      <c r="L9" s="5" t="s">
        <v>37</v>
      </c>
      <c r="M9" s="5" t="s">
        <v>37</v>
      </c>
      <c r="N9" s="5" t="s">
        <v>37</v>
      </c>
    </row>
    <row r="10" spans="1:16" ht="43.5" x14ac:dyDescent="0.35">
      <c r="A10" s="5">
        <v>4</v>
      </c>
      <c r="B10" s="5" t="str">
        <f t="shared" si="0"/>
        <v>G.4</v>
      </c>
      <c r="C10" s="77" t="s">
        <v>306</v>
      </c>
      <c r="D10" s="5" t="s">
        <v>254</v>
      </c>
      <c r="E10" s="5" t="s">
        <v>43</v>
      </c>
      <c r="F10" s="5" t="s">
        <v>37</v>
      </c>
      <c r="G10" s="5" t="s">
        <v>37</v>
      </c>
      <c r="H10" s="57" t="s">
        <v>37</v>
      </c>
      <c r="I10" s="42" t="s">
        <v>10</v>
      </c>
      <c r="J10" s="5" t="s">
        <v>37</v>
      </c>
      <c r="K10" s="5" t="s">
        <v>37</v>
      </c>
      <c r="L10" s="5" t="s">
        <v>37</v>
      </c>
      <c r="M10" s="5" t="s">
        <v>37</v>
      </c>
      <c r="N10" s="5" t="s">
        <v>37</v>
      </c>
      <c r="O10" s="42" t="s">
        <v>265</v>
      </c>
    </row>
  </sheetData>
  <autoFilter ref="A6:P6"/>
  <conditionalFormatting sqref="C11:C1048576">
    <cfRule type="cellIs" dxfId="36" priority="11" operator="equal">
      <formula>"WIP (see comments)"</formula>
    </cfRule>
    <cfRule type="cellIs" dxfId="35" priority="12" operator="equal">
      <formula>"Removed"</formula>
    </cfRule>
    <cfRule type="cellIs" dxfId="34" priority="13" operator="equal">
      <formula>"Updated"</formula>
    </cfRule>
    <cfRule type="cellIs" dxfId="33" priority="14" operator="equal">
      <formula>"New"</formula>
    </cfRule>
  </conditionalFormatting>
  <conditionalFormatting sqref="A1:XFD6 A11:XFD1048576 A8:B9 D8:XFD9">
    <cfRule type="cellIs" dxfId="32" priority="10" operator="equal">
      <formula>"n/a"</formula>
    </cfRule>
  </conditionalFormatting>
  <conditionalFormatting sqref="D8:D9">
    <cfRule type="cellIs" dxfId="31" priority="9" operator="equal">
      <formula>"-"</formula>
    </cfRule>
  </conditionalFormatting>
  <conditionalFormatting sqref="C7:C10">
    <cfRule type="cellIs" dxfId="30" priority="4" operator="equal">
      <formula>"WIP (see comments)"</formula>
    </cfRule>
    <cfRule type="cellIs" dxfId="29" priority="5" operator="equal">
      <formula>"Removed"</formula>
    </cfRule>
    <cfRule type="cellIs" dxfId="28" priority="6" operator="equal">
      <formula>"Updated"</formula>
    </cfRule>
    <cfRule type="cellIs" dxfId="27" priority="7" operator="equal">
      <formula>"New"</formula>
    </cfRule>
  </conditionalFormatting>
  <conditionalFormatting sqref="A7:XFD7 C8:C10">
    <cfRule type="cellIs" dxfId="26" priority="3" operator="equal">
      <formula>"n/a"</formula>
    </cfRule>
  </conditionalFormatting>
  <conditionalFormatting sqref="A10:B10 D10:XFD10">
    <cfRule type="cellIs" dxfId="25"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Values'!$A$5:$A$26</xm:f>
          </x14:formula1>
          <xm:sqref>E7:E1048576</xm:sqref>
        </x14:dataValidation>
        <x14:dataValidation type="list" allowBlank="1" showInputMessage="1" showErrorMessage="1">
          <x14:formula1>
            <xm:f>'List Values'!$B$5:$B$12</xm:f>
          </x14:formula1>
          <xm:sqref>C7:C1048576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ySplit="6" topLeftCell="A7" activePane="bottomLeft" state="frozen"/>
      <selection pane="bottomLeft" activeCell="A8" sqref="A8"/>
    </sheetView>
  </sheetViews>
  <sheetFormatPr defaultColWidth="9.1796875" defaultRowHeight="14.5" x14ac:dyDescent="0.35"/>
  <cols>
    <col min="1" max="1" width="14.7265625" style="5" customWidth="1"/>
    <col min="2" max="2" width="12.54296875" style="5" customWidth="1"/>
    <col min="3" max="3" width="13" style="73" customWidth="1"/>
    <col min="4" max="4" width="45.1796875" style="5" customWidth="1"/>
    <col min="5" max="5" width="28.7265625" style="5" customWidth="1"/>
    <col min="6" max="6" width="37" style="5" customWidth="1"/>
    <col min="7" max="7" width="29.26953125" style="5" customWidth="1"/>
    <col min="8" max="8" width="11.54296875" style="7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269</v>
      </c>
      <c r="C1" s="34"/>
      <c r="D1" s="31"/>
      <c r="H1" s="37"/>
    </row>
    <row r="2" spans="1:16" s="32" customFormat="1" ht="18.5" x14ac:dyDescent="0.35">
      <c r="A2" s="30" t="s">
        <v>7</v>
      </c>
      <c r="B2" s="38" t="s">
        <v>271</v>
      </c>
      <c r="C2" s="37"/>
      <c r="D2" s="38"/>
      <c r="H2" s="37"/>
    </row>
    <row r="3" spans="1:16" s="32" customFormat="1" ht="18.5" x14ac:dyDescent="0.35">
      <c r="A3" s="30" t="s">
        <v>45</v>
      </c>
      <c r="B3" s="38" t="s">
        <v>391</v>
      </c>
      <c r="C3" s="37"/>
      <c r="D3" s="38" t="s">
        <v>83</v>
      </c>
      <c r="H3" s="37"/>
    </row>
    <row r="4" spans="1:16" s="32" customFormat="1" ht="18.5" x14ac:dyDescent="0.35">
      <c r="A4" s="30" t="s">
        <v>8</v>
      </c>
      <c r="B4" s="32" t="s">
        <v>270</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ht="29" x14ac:dyDescent="0.35">
      <c r="A7" s="5">
        <v>1</v>
      </c>
      <c r="B7" s="5" t="str">
        <f t="shared" ref="B7" si="0">CONCATENATE($B$2, ".", A7)</f>
        <v>H.1</v>
      </c>
      <c r="C7" s="73" t="s">
        <v>46</v>
      </c>
      <c r="D7" s="42" t="s">
        <v>37</v>
      </c>
      <c r="E7" s="42" t="s">
        <v>171</v>
      </c>
      <c r="F7" s="5" t="s">
        <v>37</v>
      </c>
      <c r="G7" s="5" t="s">
        <v>37</v>
      </c>
      <c r="H7" s="73" t="s">
        <v>37</v>
      </c>
      <c r="I7" s="42" t="s">
        <v>10</v>
      </c>
      <c r="J7" s="5" t="s">
        <v>37</v>
      </c>
      <c r="K7" s="5" t="s">
        <v>37</v>
      </c>
      <c r="L7" s="5" t="s">
        <v>37</v>
      </c>
      <c r="M7" s="5" t="s">
        <v>37</v>
      </c>
      <c r="N7" s="5" t="s">
        <v>37</v>
      </c>
      <c r="O7" s="5" t="s">
        <v>272</v>
      </c>
      <c r="P7" s="5" t="s">
        <v>435</v>
      </c>
    </row>
  </sheetData>
  <autoFilter ref="A6:P6"/>
  <conditionalFormatting sqref="C8:C1048576">
    <cfRule type="cellIs" dxfId="24" priority="9" operator="equal">
      <formula>"WIP (see comments)"</formula>
    </cfRule>
    <cfRule type="cellIs" dxfId="23" priority="10" operator="equal">
      <formula>"Removed"</formula>
    </cfRule>
    <cfRule type="cellIs" dxfId="22" priority="11" operator="equal">
      <formula>"Updated"</formula>
    </cfRule>
    <cfRule type="cellIs" dxfId="21" priority="12" operator="equal">
      <formula>"New"</formula>
    </cfRule>
  </conditionalFormatting>
  <conditionalFormatting sqref="A1:XFD6 A8:XFD1048576">
    <cfRule type="cellIs" dxfId="20" priority="8" operator="equal">
      <formula>"n/a"</formula>
    </cfRule>
  </conditionalFormatting>
  <conditionalFormatting sqref="C7">
    <cfRule type="cellIs" dxfId="19" priority="3" operator="equal">
      <formula>"WIP (see comments)"</formula>
    </cfRule>
    <cfRule type="cellIs" dxfId="18" priority="4" operator="equal">
      <formula>"Removed"</formula>
    </cfRule>
    <cfRule type="cellIs" dxfId="17" priority="5" operator="equal">
      <formula>"Updated"</formula>
    </cfRule>
    <cfRule type="cellIs" dxfId="16" priority="6" operator="equal">
      <formula>"New"</formula>
    </cfRule>
  </conditionalFormatting>
  <conditionalFormatting sqref="A7:XFD7">
    <cfRule type="cellIs" dxfId="15"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Values'!$A$5:$A$26</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ySplit="6" topLeftCell="A7" activePane="bottomLeft" state="frozen"/>
      <selection pane="bottomLeft" activeCell="A9" sqref="A9"/>
    </sheetView>
  </sheetViews>
  <sheetFormatPr defaultColWidth="9.1796875" defaultRowHeight="14.5" x14ac:dyDescent="0.35"/>
  <cols>
    <col min="1" max="1" width="14.7265625" style="5" customWidth="1"/>
    <col min="2" max="2" width="12.54296875" style="5" customWidth="1"/>
    <col min="3" max="3" width="19.26953125"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32" customFormat="1" ht="18.5" x14ac:dyDescent="0.35">
      <c r="A1" s="30" t="s">
        <v>6</v>
      </c>
      <c r="B1" s="40" t="s">
        <v>308</v>
      </c>
      <c r="C1" s="34"/>
      <c r="D1" s="31"/>
      <c r="H1" s="37"/>
    </row>
    <row r="2" spans="1:16" s="32" customFormat="1" ht="18.5" x14ac:dyDescent="0.35">
      <c r="A2" s="30" t="s">
        <v>7</v>
      </c>
      <c r="B2" s="38" t="s">
        <v>307</v>
      </c>
      <c r="C2" s="37"/>
      <c r="D2" s="38"/>
      <c r="H2" s="37"/>
    </row>
    <row r="3" spans="1:16" s="32" customFormat="1" ht="18.5" x14ac:dyDescent="0.35">
      <c r="A3" s="30" t="s">
        <v>45</v>
      </c>
      <c r="B3" s="38"/>
      <c r="C3" s="37"/>
      <c r="D3" s="38" t="s">
        <v>83</v>
      </c>
      <c r="H3" s="37"/>
    </row>
    <row r="4" spans="1:16" s="32" customFormat="1" ht="18.5" x14ac:dyDescent="0.35">
      <c r="A4" s="30" t="s">
        <v>8</v>
      </c>
      <c r="B4" s="32" t="s">
        <v>313</v>
      </c>
      <c r="C4" s="37"/>
      <c r="H4" s="37"/>
    </row>
    <row r="5" spans="1:16" s="45" customFormat="1" x14ac:dyDescent="0.35">
      <c r="C5" s="46"/>
      <c r="H5" s="46"/>
    </row>
    <row r="6" spans="1:16" s="33" customFormat="1" ht="15" thickBot="1" x14ac:dyDescent="0.4">
      <c r="A6" s="33" t="s">
        <v>11</v>
      </c>
      <c r="B6" s="33" t="s">
        <v>12</v>
      </c>
      <c r="C6" s="35" t="s">
        <v>26</v>
      </c>
      <c r="D6" s="33" t="s">
        <v>25</v>
      </c>
      <c r="E6" s="33" t="s">
        <v>13</v>
      </c>
      <c r="F6" s="33" t="s">
        <v>14</v>
      </c>
      <c r="G6" s="33" t="s">
        <v>15</v>
      </c>
      <c r="H6" s="35" t="s">
        <v>16</v>
      </c>
      <c r="I6" s="33" t="s">
        <v>17</v>
      </c>
      <c r="J6" s="33" t="s">
        <v>18</v>
      </c>
      <c r="K6" s="33" t="s">
        <v>19</v>
      </c>
      <c r="L6" s="33" t="s">
        <v>20</v>
      </c>
      <c r="M6" s="33" t="s">
        <v>21</v>
      </c>
      <c r="N6" s="33" t="s">
        <v>22</v>
      </c>
      <c r="O6" s="33" t="s">
        <v>23</v>
      </c>
      <c r="P6" s="33" t="s">
        <v>24</v>
      </c>
    </row>
    <row r="7" spans="1:16" x14ac:dyDescent="0.35">
      <c r="A7" s="5">
        <v>1</v>
      </c>
      <c r="B7" s="5" t="str">
        <f t="shared" ref="B7:B10" si="0">CONCATENATE($B$2, ".", A7)</f>
        <v>I.1</v>
      </c>
      <c r="C7" s="77" t="s">
        <v>306</v>
      </c>
      <c r="D7" s="42" t="s">
        <v>312</v>
      </c>
      <c r="E7" s="42" t="s">
        <v>172</v>
      </c>
      <c r="F7" s="5" t="s">
        <v>37</v>
      </c>
      <c r="G7" s="5" t="s">
        <v>37</v>
      </c>
      <c r="H7" s="77" t="s">
        <v>37</v>
      </c>
      <c r="I7" s="42" t="s">
        <v>10</v>
      </c>
      <c r="J7" s="5" t="s">
        <v>37</v>
      </c>
      <c r="K7" s="5" t="s">
        <v>37</v>
      </c>
      <c r="L7" s="5" t="s">
        <v>37</v>
      </c>
      <c r="M7" s="5" t="s">
        <v>37</v>
      </c>
      <c r="N7" s="5" t="s">
        <v>37</v>
      </c>
    </row>
    <row r="8" spans="1:16" ht="114" customHeight="1" x14ac:dyDescent="0.35">
      <c r="A8" s="5">
        <v>2</v>
      </c>
      <c r="B8" s="5" t="str">
        <f t="shared" si="0"/>
        <v>I.2</v>
      </c>
      <c r="C8" s="78" t="s">
        <v>46</v>
      </c>
      <c r="D8" s="47" t="s">
        <v>311</v>
      </c>
      <c r="E8" s="42" t="s">
        <v>34</v>
      </c>
      <c r="F8" s="5" t="s">
        <v>37</v>
      </c>
      <c r="G8" s="5" t="s">
        <v>37</v>
      </c>
      <c r="H8" s="77" t="s">
        <v>37</v>
      </c>
      <c r="I8" s="42" t="s">
        <v>10</v>
      </c>
      <c r="J8" s="5" t="s">
        <v>37</v>
      </c>
      <c r="K8" s="5" t="s">
        <v>37</v>
      </c>
      <c r="L8" s="5" t="s">
        <v>37</v>
      </c>
      <c r="M8" s="5" t="s">
        <v>37</v>
      </c>
      <c r="N8" s="5" t="s">
        <v>37</v>
      </c>
      <c r="O8" s="5" t="s">
        <v>208</v>
      </c>
      <c r="P8" s="5" t="s">
        <v>432</v>
      </c>
    </row>
    <row r="9" spans="1:16" x14ac:dyDescent="0.35">
      <c r="A9" s="5">
        <v>3</v>
      </c>
      <c r="B9" s="5" t="str">
        <f t="shared" si="0"/>
        <v>I.3</v>
      </c>
      <c r="C9" s="78" t="s">
        <v>306</v>
      </c>
      <c r="D9" s="47" t="s">
        <v>309</v>
      </c>
      <c r="E9" s="42" t="s">
        <v>36</v>
      </c>
      <c r="F9" s="5" t="s">
        <v>37</v>
      </c>
      <c r="G9" s="5" t="s">
        <v>37</v>
      </c>
      <c r="H9" s="77" t="s">
        <v>37</v>
      </c>
      <c r="I9" s="42" t="s">
        <v>10</v>
      </c>
      <c r="J9" s="5" t="s">
        <v>37</v>
      </c>
      <c r="K9" s="5" t="s">
        <v>37</v>
      </c>
      <c r="L9" s="5" t="s">
        <v>37</v>
      </c>
      <c r="M9" s="5" t="s">
        <v>37</v>
      </c>
      <c r="N9" s="5" t="s">
        <v>37</v>
      </c>
    </row>
    <row r="10" spans="1:16" ht="29" x14ac:dyDescent="0.35">
      <c r="A10" s="5">
        <v>4</v>
      </c>
      <c r="B10" s="5" t="str">
        <f t="shared" si="0"/>
        <v>I.4</v>
      </c>
      <c r="C10" s="78" t="s">
        <v>306</v>
      </c>
      <c r="D10" s="5" t="s">
        <v>310</v>
      </c>
      <c r="E10" s="42" t="s">
        <v>34</v>
      </c>
      <c r="F10" s="5" t="s">
        <v>37</v>
      </c>
      <c r="G10" s="5" t="s">
        <v>37</v>
      </c>
      <c r="H10" s="77" t="s">
        <v>37</v>
      </c>
      <c r="I10" s="42" t="s">
        <v>10</v>
      </c>
      <c r="J10" s="5" t="s">
        <v>37</v>
      </c>
      <c r="K10" s="5" t="s">
        <v>37</v>
      </c>
      <c r="L10" s="5" t="s">
        <v>37</v>
      </c>
      <c r="M10" s="5" t="s">
        <v>37</v>
      </c>
      <c r="N10" s="5" t="s">
        <v>37</v>
      </c>
      <c r="O10" s="42"/>
    </row>
  </sheetData>
  <autoFilter ref="A6:P6"/>
  <conditionalFormatting sqref="C11:C1048576">
    <cfRule type="cellIs" dxfId="14" priority="13" operator="equal">
      <formula>"WIP (see comments)"</formula>
    </cfRule>
    <cfRule type="cellIs" dxfId="13" priority="14" operator="equal">
      <formula>"Removed"</formula>
    </cfRule>
    <cfRule type="cellIs" dxfId="12" priority="15" operator="equal">
      <formula>"Updated"</formula>
    </cfRule>
    <cfRule type="cellIs" dxfId="11" priority="16" operator="equal">
      <formula>"New"</formula>
    </cfRule>
  </conditionalFormatting>
  <conditionalFormatting sqref="A1:XFD6 A11:XFD1048576">
    <cfRule type="cellIs" dxfId="10" priority="12" operator="equal">
      <formula>"n/a"</formula>
    </cfRule>
  </conditionalFormatting>
  <conditionalFormatting sqref="D8:D9">
    <cfRule type="cellIs" dxfId="9" priority="11" operator="equal">
      <formula>"-"</formula>
    </cfRule>
  </conditionalFormatting>
  <conditionalFormatting sqref="A8:B9 D9:XFD9 D8:N8 P8:XFD8">
    <cfRule type="cellIs" dxfId="8" priority="10" operator="equal">
      <formula>"n/a"</formula>
    </cfRule>
  </conditionalFormatting>
  <conditionalFormatting sqref="C7:C10">
    <cfRule type="cellIs" dxfId="7" priority="6" operator="equal">
      <formula>"WIP (see comments)"</formula>
    </cfRule>
    <cfRule type="cellIs" dxfId="6" priority="7" operator="equal">
      <formula>"Removed"</formula>
    </cfRule>
    <cfRule type="cellIs" dxfId="5" priority="8" operator="equal">
      <formula>"Updated"</formula>
    </cfRule>
    <cfRule type="cellIs" dxfId="4" priority="9" operator="equal">
      <formula>"New"</formula>
    </cfRule>
  </conditionalFormatting>
  <conditionalFormatting sqref="A7:XFD7 C8:C10">
    <cfRule type="cellIs" dxfId="3" priority="5" operator="equal">
      <formula>"n/a"</formula>
    </cfRule>
  </conditionalFormatting>
  <conditionalFormatting sqref="A10:B10 D10 F10:XFD10">
    <cfRule type="cellIs" dxfId="2" priority="4" operator="equal">
      <formula>"n/a"</formula>
    </cfRule>
  </conditionalFormatting>
  <conditionalFormatting sqref="E10">
    <cfRule type="cellIs" dxfId="1" priority="2" operator="equal">
      <formula>"n/a"</formula>
    </cfRule>
  </conditionalFormatting>
  <conditionalFormatting sqref="O8">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Values'!$A$5:$A$26</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BBA821BB-AF39-46EC-BB60-D2FAF5C53F78}"/>
</file>

<file path=customXml/itemProps3.xml><?xml version="1.0" encoding="utf-8"?>
<ds:datastoreItem xmlns:ds="http://schemas.openxmlformats.org/officeDocument/2006/customXml" ds:itemID="{C3D6FEB5-9572-48F7-8975-C31DE547C2D9}">
  <ds:schemaRef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Revision Control</vt:lpstr>
      <vt:lpstr>List Values</vt:lpstr>
      <vt:lpstr>1. Landing Page</vt:lpstr>
      <vt:lpstr>2. Existing Cust. Check</vt:lpstr>
      <vt:lpstr>3. Contact Info</vt:lpstr>
      <vt:lpstr>3a. Mobile Verify</vt:lpstr>
      <vt:lpstr>4. Product Selector</vt:lpstr>
      <vt:lpstr>5. Qualifying Questions</vt:lpstr>
      <vt:lpstr>6. IDScan</vt:lpstr>
      <vt:lpstr>7. Name</vt:lpstr>
      <vt:lpstr>8. Address</vt:lpstr>
      <vt:lpstr>9. Birthday &amp; SIN</vt:lpstr>
      <vt:lpstr>10. Co-app Name</vt:lpstr>
      <vt:lpstr>11. Co-app Contact</vt:lpstr>
      <vt:lpstr>11a. Co-app Confirmation</vt:lpstr>
      <vt:lpstr>12. Account Options</vt:lpstr>
      <vt:lpstr>13. eConsent</vt:lpstr>
      <vt:lpstr>14. Alternate IDV</vt:lpstr>
      <vt:lpstr>15. Flinks</vt:lpstr>
      <vt:lpstr>16. Manual IDV</vt:lpstr>
      <vt:lpstr>17. Dynamic Disclosures</vt:lpstr>
      <vt:lpstr>A. Generic Error</vt:lpstr>
      <vt:lpstr>B. Manual Review</vt:lpstr>
      <vt:lpstr>C. Decline</vt:lpstr>
      <vt:lpstr>D. Cancel</vt:lpstr>
      <vt:lpstr>E. Save</vt:lpstr>
      <vt:lpstr>F. Resume</vt:lpstr>
      <vt:lpstr>G. Time Out</vt:lpstr>
      <vt:lpstr>H. Progress</vt:lpstr>
      <vt:lpstr>I. Previously Submitted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2020-07-20T17:48:58Z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271500</vt:r8>
  </property>
  <property fmtid="{D5CDD505-2E9C-101B-9397-08002B2CF9AE}" pid="4" name="URL">
    <vt:lpwstr/>
  </property>
</Properties>
</file>