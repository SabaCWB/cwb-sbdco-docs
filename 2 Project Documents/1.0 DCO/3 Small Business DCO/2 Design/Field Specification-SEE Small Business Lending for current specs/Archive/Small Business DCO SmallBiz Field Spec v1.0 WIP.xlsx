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activeTab="5"/>
  </bookViews>
  <sheets>
    <sheet name="Revision Control" sheetId="1" r:id="rId1"/>
    <sheet name="List Values" sheetId="3" r:id="rId2"/>
    <sheet name="1. Qualifying Questions" sheetId="9" r:id="rId3"/>
    <sheet name="1a. Not Qualified Info Page" sheetId="50" r:id="rId4"/>
    <sheet name="2. Existing Cust. Check" sheetId="52" r:id="rId5"/>
    <sheet name="2. Contact Info" sheetId="5" r:id="rId6"/>
    <sheet name="3. Verify Mobile" sheetId="2" r:id="rId7"/>
    <sheet name="4. Screening Questions" sheetId="41" r:id="rId8"/>
    <sheet name="4a. Failed Screening Info Page" sheetId="51"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3. App - eConsent" sheetId="16" r:id="rId18"/>
    <sheet name="14. App- Alternate IDV" sheetId="29" r:id="rId19"/>
    <sheet name="15. App - Flinks" sheetId="31" r:id="rId20"/>
    <sheet name="16. App - Manual IDV" sheetId="36" r:id="rId21"/>
    <sheet name="17. Authorized Signers" sheetId="49" r:id="rId22"/>
    <sheet name="18. Business Disclosures" sheetId="17" r:id="rId23"/>
    <sheet name="19. Account Options" sheetId="45" r:id="rId24"/>
    <sheet name="20. Complementary Services" sheetId="46" r:id="rId25"/>
    <sheet name="A. Generic Error" sheetId="22" r:id="rId26"/>
    <sheet name="B. Manual Review" sheetId="23" r:id="rId27"/>
    <sheet name="C. Decline" sheetId="24" r:id="rId28"/>
    <sheet name="D. Cancel" sheetId="26" r:id="rId29"/>
    <sheet name="E. Save" sheetId="27" r:id="rId30"/>
    <sheet name="F. Resume" sheetId="28" r:id="rId31"/>
    <sheet name="G. Time Out" sheetId="33" r:id="rId32"/>
    <sheet name="H. Progress" sheetId="34" r:id="rId33"/>
    <sheet name="I. Previously Submitted" sheetId="37" r:id="rId34"/>
    <sheet name="J. Not Qualified" sheetId="47" r:id="rId35"/>
    <sheet name="K. Failed Screening" sheetId="48" r:id="rId36"/>
  </sheets>
  <externalReferences>
    <externalReference r:id="rId37"/>
    <externalReference r:id="rId38"/>
  </externalReferences>
  <definedNames>
    <definedName name="_xlnm._FilterDatabase" localSheetId="16" hidden="1">'12. App - Birthday, SIN &amp; Occ.'!$A$6:$P$13</definedName>
    <definedName name="_xlnm._FilterDatabase" localSheetId="17" hidden="1">'13. App - eConsent'!$A$6:$P$15</definedName>
    <definedName name="_xlnm._FilterDatabase" localSheetId="21" hidden="1">'17. Authorized Signers'!$A$6:$P$6</definedName>
    <definedName name="_xlnm._FilterDatabase" localSheetId="22" hidden="1">'18. Business Disclosures'!$A$6:$P$6</definedName>
    <definedName name="_xlnm._FilterDatabase" localSheetId="23" hidden="1">'19. Account Options'!$A$6:$P$13</definedName>
    <definedName name="_xlnm._FilterDatabase" localSheetId="24" hidden="1">'20. Complementary Services'!$A$6:$P$11</definedName>
    <definedName name="_xlnm._FilterDatabase" localSheetId="9" hidden="1">'5. Business eConsent'!$A$6:$P$18</definedName>
    <definedName name="_xlnm._FilterDatabase" localSheetId="11" hidden="1">'7. Log into CODAT'!$A$6:$P$6</definedName>
    <definedName name="_xlnm._FilterDatabase" localSheetId="25" hidden="1">'A. Generic Error'!$A$6:$P$9</definedName>
    <definedName name="_xlnm._FilterDatabase" localSheetId="26" hidden="1">'B. Manual Review'!$A$6:$P$9</definedName>
    <definedName name="_xlnm._FilterDatabase" localSheetId="27" hidden="1">'C. Decline'!$A$6:$P$9</definedName>
    <definedName name="_xlnm._FilterDatabase" localSheetId="28" hidden="1">'D. Cancel'!$A$6:$P$9</definedName>
    <definedName name="_xlnm._FilterDatabase" localSheetId="29" hidden="1">'E. Save'!$A$6:$P$9</definedName>
    <definedName name="_xlnm._FilterDatabase" localSheetId="30" hidden="1">'F. Resume'!$A$6:$P$6</definedName>
    <definedName name="_xlnm._FilterDatabase" localSheetId="31" hidden="1">'G. Time Out'!$A$6:$P$6</definedName>
    <definedName name="_xlnm._FilterDatabase" localSheetId="32" hidden="1">'H. Progress'!$A$6:$P$6</definedName>
    <definedName name="_xlnm._FilterDatabase" localSheetId="33" hidden="1">'I. Previously Submitted'!$A$6:$P$6</definedName>
    <definedName name="_xlnm._FilterDatabase" localSheetId="34" hidden="1">'J. Not Qualified'!$A$6:$P$9</definedName>
    <definedName name="_xlnm._FilterDatabase" localSheetId="35" hidden="1">'K. Failed Screening'!$A$6:$P$9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4" i="12" l="1"/>
  <c r="B35" i="12"/>
  <c r="B12" i="2" l="1"/>
  <c r="B15" i="42" l="1"/>
  <c r="B16" i="42"/>
  <c r="B17" i="42"/>
  <c r="B18" i="42"/>
  <c r="B14" i="42"/>
  <c r="B13" i="42"/>
  <c r="B17" i="9"/>
  <c r="B18" i="9"/>
  <c r="B19" i="9"/>
  <c r="B20" i="9"/>
  <c r="B21" i="9"/>
  <c r="B22" i="9"/>
  <c r="B23" i="9"/>
  <c r="B15" i="9"/>
  <c r="B16" i="9"/>
  <c r="B14" i="52" l="1"/>
  <c r="B13" i="52"/>
  <c r="B12" i="52"/>
  <c r="B11" i="52"/>
  <c r="B10" i="52"/>
  <c r="B9" i="52"/>
  <c r="B8" i="52"/>
  <c r="B7" i="52"/>
  <c r="B14" i="51" l="1"/>
  <c r="B13" i="51"/>
  <c r="B12" i="51"/>
  <c r="B11" i="51"/>
  <c r="B10" i="51"/>
  <c r="B9" i="51"/>
  <c r="B8" i="51"/>
  <c r="B7" i="51"/>
  <c r="B9" i="50"/>
  <c r="B8" i="50"/>
  <c r="B7" i="50"/>
  <c r="B16" i="49" l="1"/>
  <c r="B15" i="49"/>
  <c r="B14" i="49"/>
  <c r="B13" i="49"/>
  <c r="B12" i="49"/>
  <c r="B11" i="49"/>
  <c r="B10" i="49"/>
  <c r="B9" i="49"/>
  <c r="B8" i="49"/>
  <c r="B7" i="49"/>
  <c r="B10" i="48"/>
  <c r="B9" i="48"/>
  <c r="B8" i="48"/>
  <c r="B7" i="48"/>
  <c r="B10" i="47"/>
  <c r="B9" i="47"/>
  <c r="B8" i="47"/>
  <c r="B7" i="47"/>
  <c r="B11" i="46" l="1"/>
  <c r="B10" i="46"/>
  <c r="B9" i="46"/>
  <c r="B8" i="46"/>
  <c r="B7" i="46"/>
  <c r="B13" i="45"/>
  <c r="B12" i="45"/>
  <c r="B11" i="45"/>
  <c r="B10" i="45"/>
  <c r="B9" i="45"/>
  <c r="B8" i="45"/>
  <c r="B7" i="45"/>
  <c r="B33" i="12" l="1"/>
  <c r="B32" i="12"/>
  <c r="B31" i="12"/>
  <c r="B30" i="12"/>
  <c r="B29" i="12"/>
  <c r="B28" i="12"/>
  <c r="B27" i="12"/>
  <c r="B26" i="12"/>
  <c r="B25" i="12"/>
  <c r="B24" i="12"/>
  <c r="B23" i="12"/>
  <c r="B22" i="12"/>
  <c r="B21" i="12"/>
  <c r="B20" i="12"/>
  <c r="B19" i="12"/>
  <c r="B18" i="12"/>
  <c r="B17" i="12"/>
  <c r="B16" i="12"/>
  <c r="B15" i="12"/>
  <c r="B14" i="12"/>
  <c r="B13" i="12"/>
  <c r="B12" i="12"/>
  <c r="B11" i="12"/>
  <c r="B11" i="44"/>
  <c r="B10" i="44"/>
  <c r="B9" i="44"/>
  <c r="B8" i="44"/>
  <c r="B7" i="44"/>
  <c r="B13" i="43"/>
  <c r="B12" i="43"/>
  <c r="B11" i="43"/>
  <c r="B10" i="43"/>
  <c r="B9" i="43"/>
  <c r="B8" i="43"/>
  <c r="B7" i="43"/>
  <c r="B12" i="42"/>
  <c r="B11" i="42"/>
  <c r="B10" i="42"/>
  <c r="B9" i="42"/>
  <c r="B8" i="42"/>
  <c r="B7" i="42"/>
  <c r="B24" i="9"/>
  <c r="B25" i="9"/>
  <c r="B14" i="41" l="1"/>
  <c r="B13" i="41"/>
  <c r="B12" i="41"/>
  <c r="B11" i="41"/>
  <c r="B10" i="41"/>
  <c r="B9" i="41"/>
  <c r="B8" i="41"/>
  <c r="B7" i="41"/>
  <c r="B15" i="17" l="1"/>
  <c r="B10" i="31"/>
  <c r="B11" i="31"/>
  <c r="B10" i="37" l="1"/>
  <c r="B9" i="37"/>
  <c r="B8" i="37"/>
  <c r="B7" i="37"/>
  <c r="B7" i="36" l="1"/>
  <c r="B8" i="36"/>
  <c r="B11" i="14"/>
  <c r="B12" i="29" l="1"/>
  <c r="B9" i="36"/>
  <c r="B9" i="29"/>
  <c r="B13" i="29"/>
  <c r="B11" i="29"/>
  <c r="B10" i="29"/>
  <c r="B8" i="29"/>
  <c r="B7" i="29"/>
  <c r="B13" i="11" l="1"/>
  <c r="B12" i="11"/>
  <c r="B12" i="5" l="1"/>
  <c r="B9" i="35"/>
  <c r="B8" i="35"/>
  <c r="B7" i="35"/>
  <c r="B7" i="34" l="1"/>
  <c r="B10" i="33" l="1"/>
  <c r="B8" i="33"/>
  <c r="B9" i="33"/>
  <c r="B7" i="33"/>
  <c r="B9" i="31" l="1"/>
  <c r="B11" i="28"/>
  <c r="B10" i="28"/>
  <c r="B9" i="28"/>
  <c r="B8" i="28"/>
  <c r="B7" i="28"/>
  <c r="B16" i="17"/>
  <c r="B14" i="17"/>
  <c r="B13" i="17"/>
  <c r="B12" i="17"/>
  <c r="B11" i="17"/>
  <c r="B10" i="17"/>
  <c r="B9" i="17"/>
  <c r="B8" i="17"/>
  <c r="B7" i="17"/>
  <c r="B14"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3" i="9" l="1"/>
  <c r="B12" i="9"/>
  <c r="B11" i="9"/>
  <c r="B10" i="9"/>
  <c r="B9" i="9" l="1"/>
  <c r="B9" i="7" l="1"/>
  <c r="B9" i="16" l="1"/>
  <c r="B13" i="16"/>
  <c r="B14" i="16" l="1"/>
  <c r="B15" i="16"/>
  <c r="B8" i="16"/>
  <c r="B7" i="16"/>
  <c r="B12" i="14" l="1"/>
  <c r="B13" i="14"/>
  <c r="B10" i="14"/>
  <c r="B9" i="14"/>
  <c r="B8" i="14"/>
  <c r="B7" i="14"/>
  <c r="B10" i="12" l="1"/>
  <c r="B9" i="12"/>
  <c r="B8" i="12"/>
  <c r="B7" i="12"/>
  <c r="B7" i="9" l="1"/>
  <c r="B7" i="7"/>
  <c r="B8" i="9" l="1"/>
  <c r="B10" i="7"/>
  <c r="B11" i="7"/>
  <c r="B8" i="7"/>
  <c r="B13" i="5"/>
  <c r="B14" i="5"/>
  <c r="B11" i="5"/>
  <c r="B9" i="5"/>
  <c r="B8" i="5"/>
  <c r="B7" i="5"/>
  <c r="B11" i="2"/>
  <c r="B8" i="2" l="1"/>
  <c r="B9" i="2"/>
  <c r="B10" i="2"/>
  <c r="B7" i="2"/>
</calcChain>
</file>

<file path=xl/sharedStrings.xml><?xml version="1.0" encoding="utf-8"?>
<sst xmlns="http://schemas.openxmlformats.org/spreadsheetml/2006/main" count="3688" uniqueCount="463">
  <si>
    <t>Motive Digital Client Onboarding (DCO)</t>
  </si>
  <si>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</si>
  <si>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</si>
  <si>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</si>
  <si>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</si>
  <si>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</si>
  <si>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</si>
  <si>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</si>
  <si>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</si>
  <si>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</si>
  <si>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</si>
  <si>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</si>
  <si>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</si>
  <si>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</si>
  <si>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</si>
  <si>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</si>
  <si>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</si>
  <si>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</si>
  <si>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</si>
  <si>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</si>
  <si>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</si>
  <si>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</si>
  <si>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</si>
  <si>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</si>
  <si>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</si>
  <si>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</si>
  <si>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</si>
  <si>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</si>
  <si>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</si>
  <si>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</si>
  <si>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</si>
  <si>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</si>
  <si>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</si>
  <si>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</si>
  <si>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</si>
  <si>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</si>
  <si>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</si>
  <si>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</si>
  <si>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</si>
  <si>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</si>
  <si>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</si>
  <si>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</si>
  <si>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</si>
  <si>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</si>
  <si>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On click, navigate to "Contact Info" page (CWB-181)</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</si>
  <si>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</si>
  <si>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</si>
  <si>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</si>
  <si>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</si>
  <si>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</si>
  <si>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</si>
  <si>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</si>
  <si>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</si>
  <si>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</si>
  <si>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</si>
  <si>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</si>
  <si>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</si>
  <si>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</si>
  <si>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</si>
  <si>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</si>
  <si>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</si>
  <si>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</si>
  <si>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On click, navigate to "Product Selector" page (CWB-223)</t>
  </si>
  <si>
    <t>A) Yes
B) No</t>
  </si>
  <si>
    <t>Checkbox Group</t>
  </si>
  <si>
    <t>A) Checked
B) Unchecked</t>
  </si>
  <si>
    <t>On click, navigate to "Qualifying Questions" page (CWB-182)</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</si>
  <si>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</si>
  <si>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</si>
  <si>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</si>
  <si>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</si>
  <si>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</si>
  <si>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</si>
  <si>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</si>
  <si>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</si>
  <si>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</si>
  <si>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</si>
  <si>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</si>
  <si>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</si>
  <si>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</si>
  <si>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</si>
  <si>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</si>
  <si>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</si>
  <si>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</si>
  <si>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</si>
  <si>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</si>
  <si>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</si>
  <si>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</si>
  <si>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</si>
  <si>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</si>
  <si>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</si>
  <si>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</si>
  <si>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</si>
  <si>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On click, navigate to "Name" page (CWB-180)</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</si>
  <si>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</si>
  <si>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</si>
  <si>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</si>
  <si>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</si>
  <si>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</si>
  <si>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</si>
  <si>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</si>
  <si>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</si>
  <si>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</si>
  <si>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</si>
  <si>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</si>
  <si>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</si>
  <si>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</si>
  <si>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</si>
  <si>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</si>
  <si>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</si>
  <si>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</si>
  <si>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</si>
  <si>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Account Options</t>
  </si>
  <si>
    <t>Only if the user's product selection includes a chequing and/or savings account.</t>
  </si>
  <si>
    <t>"Yes", if the user is applying for a chequing account.
"No", otherwise.</t>
  </si>
  <si>
    <t>Static text with hyperlink</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</si>
  <si>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</si>
  <si>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</si>
  <si>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</si>
  <si>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</si>
  <si>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</si>
  <si>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</si>
  <si>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</si>
  <si>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</si>
  <si>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</si>
  <si>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</si>
  <si>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</si>
  <si>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</si>
  <si>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</si>
  <si>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</si>
  <si>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</si>
  <si>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</si>
  <si>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</si>
  <si>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</si>
  <si>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</si>
  <si>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Yes, I meet all of the above criteria.</t>
  </si>
  <si>
    <t>We are only able to open accounts for tax residents of Canada.</t>
  </si>
  <si>
    <t>We are unable to open accounts for residents of Quebec.</t>
  </si>
  <si>
    <t>This may include being a citizen of another country or having dual citizenship.</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</si>
  <si>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</si>
  <si>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</si>
  <si>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</si>
  <si>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</si>
  <si>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</si>
  <si>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</si>
  <si>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</si>
  <si>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</si>
  <si>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</si>
  <si>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</si>
  <si>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</si>
  <si>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</si>
  <si>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</si>
  <si>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</si>
  <si>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</si>
  <si>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</si>
  <si>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</si>
  <si>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Step 8: Your fine print</t>
  </si>
  <si>
    <t>A little help from our friends</t>
  </si>
  <si>
    <t>We weren't able to process your application.</t>
  </si>
  <si>
    <t>We're reviewing your application.</t>
  </si>
  <si>
    <t>Unfortunately, at this time we can't approve your application.</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</si>
  <si>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</si>
  <si>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</si>
  <si>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</si>
  <si>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</si>
  <si>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</si>
  <si>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</si>
  <si>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</si>
  <si>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</si>
  <si>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</si>
  <si>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</si>
  <si>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</si>
  <si>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</si>
  <si>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</si>
  <si>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</si>
  <si>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</si>
  <si>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</si>
  <si>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</si>
  <si>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</si>
  <si>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</si>
  <si>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</si>
  <si>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</si>
  <si>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</si>
  <si>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</si>
  <si>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</si>
  <si>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</si>
  <si>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</si>
  <si>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</si>
  <si>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</si>
  <si>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</si>
  <si>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</si>
  <si>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</si>
  <si>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</si>
  <si>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</si>
  <si>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</si>
  <si>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</si>
  <si>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</si>
  <si>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</si>
  <si>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</si>
  <si>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</si>
  <si>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</si>
  <si>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I, &lt;&lt;First Name&gt;&gt; &lt;&lt;Last Name&gt;&gt;, agree to the following:</t>
  </si>
  <si>
    <t>- I am a tax resident of Canada</t>
  </si>
  <si>
    <t xml:space="preserve">We are required under Canadian tax law to collect 
this information to determine the tax residency of 
all our account holders.  If you need help with your
 tax residency information for these questions, see 
Income Tax Folio, S5-F1-C1, Determining an Individual’s 
Residence Status, which you can find on the CRA website. </t>
  </si>
  <si>
    <t>- I am not a tax resident or citizen of the United States</t>
  </si>
  <si>
    <t>- I am not a tax resident of a jurisdiction other than Canada or the United States</t>
  </si>
  <si>
    <t>- I am not opening this account(s) for use by or benefit of a third party</t>
  </si>
  <si>
    <t>Display "Oops.svg" image</t>
  </si>
  <si>
    <t>Display "reviewing.svg" image</t>
  </si>
  <si>
    <t>Display "thankyou.svg" image</t>
  </si>
  <si>
    <t>Display "sorry.svg" image</t>
  </si>
  <si>
    <t>Display "safe-app.svg" image</t>
  </si>
  <si>
    <t>Welcome Back!</t>
  </si>
  <si>
    <t>A PIN code was sent to the mobile number you provided when you started your application. Please enter it below to continue with your application.</t>
  </si>
  <si>
    <t>&lt;&lt;no caption&gt;&gt;</t>
  </si>
  <si>
    <t>Continue</t>
  </si>
  <si>
    <t>On click, validate PIN, and resume application.</t>
  </si>
  <si>
    <t>Resend PIN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</si>
  <si>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</si>
  <si>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</si>
  <si>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</si>
  <si>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</si>
  <si>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</si>
  <si>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</si>
  <si>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</si>
  <si>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</si>
  <si>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</si>
  <si>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</si>
  <si>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</si>
  <si>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</si>
  <si>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</si>
  <si>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</si>
  <si>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</si>
  <si>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</si>
  <si>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</si>
  <si>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</si>
  <si>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</si>
  <si>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</si>
  <si>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</si>
  <si>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</si>
  <si>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</si>
  <si>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I'd like to sign into my other bank or financial institution to verify my identity.</t>
  </si>
  <si>
    <t>Please select your preferred method of identity verification</t>
  </si>
  <si>
    <t>Mandatory field.
The user must select one of the radio buttons from this group.</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</si>
  <si>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</si>
  <si>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</si>
  <si>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</si>
  <si>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</si>
  <si>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</si>
  <si>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</si>
  <si>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</si>
  <si>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</si>
  <si>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</si>
  <si>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</si>
  <si>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</si>
  <si>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</si>
  <si>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r>
      <t xml:space="preserve">Please send one of the following documents to </t>
    </r>
    <r>
      <rPr>
        <u/>
        <sz val="11"/>
        <color theme="1"/>
        <rFont val="Calibri"/>
        <family val="2"/>
        <scheme val="minor"/>
      </rPr>
      <t>Help@MotiveFinancial.com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(877) 441-2249.</t>
    </r>
  </si>
  <si>
    <t>Display "Email Envelope.svg"</t>
  </si>
  <si>
    <t>If specified address is a Quebec address then
"Sorry, but we are unable to offer banking services to residents of Quebec at this time."</t>
  </si>
  <si>
    <t>Only if the user has already passed ReCAPTCH verification (field 3.6)</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</si>
  <si>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</si>
  <si>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</si>
  <si>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</si>
  <si>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</si>
  <si>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</si>
  <si>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</si>
  <si>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</si>
  <si>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</si>
  <si>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We can scan the back of your driver's licence to quickly fill in your personal information for you.  Upload an image or skip this step to fill in your information yourself.</t>
  </si>
  <si>
    <t>Only if manual address mode is enabled on field 8.3 (current address).</t>
  </si>
  <si>
    <t>Only if radio button 8.10 is "No".</t>
  </si>
  <si>
    <t>Yes, if radio button 8.10 is "No", and not in manual address mode.</t>
  </si>
  <si>
    <t>Only if radio button 8.10 is "No", and manual address mode is enabled on field 8.11 (previous address).</t>
  </si>
  <si>
    <t>Only if radio button 8.18 is "No".</t>
  </si>
  <si>
    <t>Yes, if radio button 8.18 is "No", and not in manual address mode.</t>
  </si>
  <si>
    <t>Only if radio button 8.18 is "No", and manual address mode is enabled on field 8.19 (previous address).</t>
  </si>
  <si>
    <t>Step 9:  Almost there</t>
  </si>
  <si>
    <t>On click, navigate to the "eConsent" page.</t>
  </si>
  <si>
    <t>On click, navigate back to "Account Options" page</t>
  </si>
  <si>
    <t>Step 10:  With your permission…</t>
  </si>
  <si>
    <t>On click, start account provisioning</t>
  </si>
  <si>
    <t>Only when a response has not been received from the Flinks service.
Hide button when response arrives.</t>
  </si>
  <si>
    <t>Step 11:  Our not-so-fine print</t>
  </si>
  <si>
    <t>After the user clicks "Next", if radio button 14.6 has been selected.</t>
  </si>
  <si>
    <t>If the user selects radio button 14.6 and clicks "Next" (14.8),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</si>
  <si>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Always show</t>
  </si>
  <si>
    <t>On click, apply the following business logic:
A) If the user is applying for one or more joint accounts, navigate back to the "Co-applicant Contact" page.
B) Otherwise, navigate back to the "Birthday &amp; SIN" page</t>
  </si>
  <si>
    <t>- At least 18 years of age</t>
  </si>
  <si>
    <t>- A tax resident of Canada</t>
  </si>
  <si>
    <t>- Not a resident of Quebec</t>
  </si>
  <si>
    <t>- Not required to file taxes in any country other than Canada</t>
  </si>
  <si>
    <t xml:space="preserve">- Not opening the account(s) for use by, or benefit of a third party </t>
  </si>
  <si>
    <t>0.1</t>
  </si>
  <si>
    <t>Cloned for use with Small Business DCO</t>
  </si>
  <si>
    <t>Ian Hicks</t>
  </si>
  <si>
    <t>CWB-xxx</t>
  </si>
  <si>
    <t>Only for users that select Manual IDV on the Alternate IDV page</t>
  </si>
  <si>
    <t>CWB is unable to open an account that will be used by, or on behalf of, anyone other than the named account holder.</t>
  </si>
  <si>
    <t>Before we continue, we need to confirm that you meet the following required conditions to open a CWB business account:
You are:</t>
  </si>
  <si>
    <t>May be conditional on the applicant being a Sole Proprietor</t>
  </si>
  <si>
    <t>Review for language</t>
  </si>
  <si>
    <t>Review navigation</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</si>
  <si>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</si>
  <si>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</si>
  <si>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language/content</t>
  </si>
  <si>
    <t>- I have read and agree to the CWB Internet Banking Account Agreement, which can be found here</t>
  </si>
  <si>
    <t>By submission of this application, I ceritfy that the tax jurisdiction information provided is correct and complete. I will notify CWB within 30 days of any change in circumstances that causes this tax jurisdiction information to become incomplete or inaccurate.</t>
  </si>
  <si>
    <t>Review language</t>
  </si>
  <si>
    <t xml:space="preserve">Hyperlink the word "here" to the following URL:
</t>
  </si>
  <si>
    <t>URL to be confirmed</t>
  </si>
  <si>
    <t>Review language and content</t>
  </si>
  <si>
    <t>If you'd like to apply to CWB again, you may do so in six months.</t>
  </si>
  <si>
    <t>As Required</t>
  </si>
  <si>
    <t>Review for content</t>
  </si>
  <si>
    <t>Small Business Digital Client Onboarding (DCO) - SmallBiz Form</t>
  </si>
  <si>
    <t>Refactored to constitute basis of SmallBiz DCO Form</t>
  </si>
  <si>
    <t>Dean Poole</t>
  </si>
  <si>
    <t>Screening Questions</t>
  </si>
  <si>
    <t>Business eConsent</t>
  </si>
  <si>
    <t>Step xx:  With your permission…</t>
  </si>
  <si>
    <t>Step xx: How may we reach you?</t>
  </si>
  <si>
    <t>Step xx: First things first</t>
  </si>
  <si>
    <t>About Your Business</t>
  </si>
  <si>
    <t>Step x: Help us help you</t>
  </si>
  <si>
    <t>We can use your existing account software to....</t>
  </si>
  <si>
    <t>[Log into CODAT]</t>
  </si>
  <si>
    <t>Log into CODAT</t>
  </si>
  <si>
    <t>Step x: About Your Business</t>
  </si>
  <si>
    <t>More About Your Business</t>
  </si>
  <si>
    <t>List of questions about business including
- Operating states
- Years active
- Turnover?
- SIN</t>
  </si>
  <si>
    <t>Step xx: All about you</t>
  </si>
  <si>
    <t>App - Name &amp; Address</t>
  </si>
  <si>
    <t>App - ID Scan Form</t>
  </si>
  <si>
    <t>App - Birthday, SIN &amp; Occupation</t>
  </si>
  <si>
    <t>App - eConsent</t>
  </si>
  <si>
    <t>App - Alternate IDV Selection</t>
  </si>
  <si>
    <t>App - Flinks IDV</t>
  </si>
  <si>
    <t>App - Manual IDV</t>
  </si>
  <si>
    <t>Complentary Services</t>
  </si>
  <si>
    <t>You also qualify for…</t>
  </si>
  <si>
    <t xml:space="preserve">Please contact us at </t>
  </si>
  <si>
    <t>Based on your answers so far, we would recommend that you contact CWB for further assistance.</t>
  </si>
  <si>
    <t>J</t>
  </si>
  <si>
    <t>Not Qualified</t>
  </si>
  <si>
    <t>Verify Mobile</t>
  </si>
  <si>
    <t>Failed Screening</t>
  </si>
  <si>
    <t>K</t>
  </si>
  <si>
    <t>There will be some "hard stop" conditions at this point, as the flow indicates - including:
- A prohibited industry (CWB policy) - this could be via an explicit question, or via the industry selection/lookup
- Individual making the application declares they are not authorized to act on behalf of the business
- The business is not registered in/tax resident of Canada.
In some cases - if the type/size of business is not compatible with DCO, if the selected industry is "Restricted" (rather than prohibited) per CWB policy - we do not necessarily want a hard stop here. Rather, the applicant should be redirected to a supported channel where they can interact with a CWB staff member - perhaps a dedicated Workspace queue?</t>
  </si>
  <si>
    <t>Your Business</t>
  </si>
  <si>
    <t>List of questions about business including
-Entity Type_x000B_-Name_x000B_-Address_x000B_-NAICS_x000B_-business email_x000B_-and…</t>
  </si>
  <si>
    <t>Authorized Signers</t>
  </si>
  <si>
    <t>Business Disclosures and Signature</t>
  </si>
  <si>
    <r>
      <t xml:space="preserve">We've cancelled your application, but if you change your mind, please call us at </t>
    </r>
    <r>
      <rPr>
        <sz val="11"/>
        <color rgb="FFFF0000"/>
        <rFont val="Calibri"/>
        <family val="2"/>
        <scheme val="minor"/>
      </rPr>
      <t>1 (877) 441-2249</t>
    </r>
    <r>
      <rPr>
        <sz val="11"/>
        <color theme="1"/>
        <rFont val="Calibri"/>
        <family val="2"/>
        <scheme val="minor"/>
      </rPr>
      <t xml:space="preserve">, or email us at </t>
    </r>
    <r>
      <rPr>
        <sz val="11"/>
        <color rgb="FFFF0000"/>
        <rFont val="Calibri"/>
        <family val="2"/>
        <scheme val="minor"/>
      </rPr>
      <t>Help@MotiveFinancial.com</t>
    </r>
    <r>
      <rPr>
        <sz val="11"/>
        <color theme="1"/>
        <rFont val="Calibri"/>
        <family val="2"/>
        <scheme val="minor"/>
      </rPr>
      <t>.</t>
    </r>
  </si>
  <si>
    <t>Not Qualified Info Page</t>
  </si>
  <si>
    <t>1A</t>
  </si>
  <si>
    <t>CWBSB-13</t>
  </si>
  <si>
    <t>4a</t>
  </si>
  <si>
    <t>Failed Screening Info Page</t>
  </si>
  <si>
    <t>CWBSB-18</t>
  </si>
  <si>
    <t>0.1 WIP</t>
  </si>
  <si>
    <t>Existing Customer Check</t>
  </si>
  <si>
    <t>This would essentially lead to the "authenticated path" if they are existing - i.e. skip all of the IDV and related activity then continue in the SB flow.</t>
  </si>
  <si>
    <t>Step 1: Let's get started</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</si>
  <si>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</si>
  <si>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</si>
  <si>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</si>
  <si>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</si>
  <si>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</si>
  <si>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</si>
  <si>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</si>
  <si>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</si>
  <si>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</si>
  <si>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</si>
  <si>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</si>
  <si>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</si>
  <si>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</si>
  <si>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</si>
  <si>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</si>
  <si>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</si>
  <si>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</si>
  <si>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To be displayed only for existing Motive Financial clients. 
On click, navigate to the URL:
https://www.motivefinancial.com/OnlineBanking/</t>
  </si>
  <si>
    <t>Added not qualified/screening info and existing cust check pages</t>
  </si>
  <si>
    <t>Please confirm that your business meets the following required conditions to continue:
Your business is:</t>
  </si>
  <si>
    <t>- Organized as a Corporation, General Partnership or Sole Proprietorship</t>
  </si>
  <si>
    <t>- Owned by 3 or fewer individuals and not owned (in whole or part) by another business</t>
  </si>
  <si>
    <t>- Authorized to open a bank account with CWB on behalf of your business</t>
  </si>
  <si>
    <t>You must have the authority to open an account. Depending on the type of business, this means you are:
- a Director (of a Corporation)
- a Partner (in a General Partnership), or
- the Proprietor (of a Sole Proprietorship)</t>
  </si>
  <si>
    <t>- Registered/operating in Canada (except Quebec), so is a tax resident of Canada and operating within the jurisdiction (province) in which it is registered</t>
  </si>
  <si>
    <t>- Not operating in an industry prohibited by CWB (Online Gambling Providers or Transfer Agents, Unlicensed marijuana products or retailers, Virtual Currency Exchange Dealers or ATM Operators (such as Bitcoin), Money Service Businesses)</t>
  </si>
  <si>
    <t>- Not a Registered Charity and does not solicit donations from the public</t>
  </si>
  <si>
    <t>Yes, my business meets all of the above criteria.</t>
  </si>
  <si>
    <r>
      <t xml:space="preserve">Please review the list above and confirm that you meet all of the conditions by checking this box.  For more information, please contact CWB at </t>
    </r>
    <r>
      <rPr>
        <sz val="11"/>
        <color rgb="FFFF0000"/>
        <rFont val="Calibri"/>
        <family val="2"/>
        <scheme val="minor"/>
      </rPr>
      <t>1 (877) 441-2249</t>
    </r>
    <r>
      <rPr>
        <sz val="11"/>
        <color theme="1"/>
        <rFont val="Calibri"/>
        <family val="2"/>
        <scheme val="minor"/>
      </rPr>
      <t>.</t>
    </r>
  </si>
  <si>
    <t>Contact phone# to be confirmed</t>
  </si>
  <si>
    <t>To be added</t>
  </si>
  <si>
    <r>
      <t xml:space="preserve">Please review the list above and confirm that your business meets all of the conditions by checking this box.  For more information, please contact CWB at </t>
    </r>
    <r>
      <rPr>
        <sz val="11"/>
        <color rgb="FFFF0000"/>
        <rFont val="Calibri"/>
        <family val="2"/>
        <scheme val="minor"/>
      </rPr>
      <t>1 (877) 441-2249</t>
    </r>
    <r>
      <rPr>
        <sz val="11"/>
        <color theme="1"/>
        <rFont val="Calibri"/>
        <family val="2"/>
        <scheme val="minor"/>
      </rPr>
      <t>.</t>
    </r>
  </si>
  <si>
    <t>On click, navigate to "xxx" page (CWBSB-xx)</t>
  </si>
  <si>
    <t>Inline help text TBC</t>
  </si>
  <si>
    <t>Text/contact phone# to be confirmed: should we navigate to 1a if not checked? If not, how is message displayed?</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</si>
  <si>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</si>
  <si>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</si>
  <si>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</si>
  <si>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</si>
  <si>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</si>
  <si>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</si>
  <si>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</si>
  <si>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</si>
  <si>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</si>
  <si>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</si>
  <si>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</si>
  <si>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</si>
  <si>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</si>
  <si>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</si>
  <si>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</si>
  <si>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</si>
  <si>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</si>
  <si>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</si>
  <si>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 [Verbiage] Search and retrieve information about my business from Canadian and provincial registries</t>
  </si>
  <si>
    <t>- [Verbiage] Access my business' accounting software, for purposes of retrieving, analyzing and storing information about my business. This may include financial statements, financial and transactional data on an ongoing basis.</t>
  </si>
  <si>
    <t>Show on "Next", only if CWBSB-17 4.3, 4.4 and/or 4.5 is checked</t>
  </si>
  <si>
    <t xml:space="preserve">[Verbiage] To help us complete your application and provide you with the best banking advice in future, we can connect to your business' accounting software. If you would like to take advantage of this feature, we need you to agree that </t>
  </si>
  <si>
    <t>CWBSB-16</t>
  </si>
  <si>
    <t>On click, apply the following conditional logic:
A) If mobile verification has not yet taken place, navigate to "Verify Mobile" page (CWBSB-16)
B) If mobile verification was previously completed, navigate to "Screening Questions" page (CWBSB-17)</t>
  </si>
  <si>
    <t>Pending confirmation of previous page (Existing Customer Check, or Qualifying Questions)</t>
  </si>
  <si>
    <t>Please verify your mobile device</t>
  </si>
  <si>
    <t>Resend Token</t>
  </si>
  <si>
    <t>On click, navigate to "Screening Questions" page (CWBSB-17)</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</si>
  <si>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</si>
  <si>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</si>
  <si>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</si>
  <si>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</si>
  <si>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</si>
  <si>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</si>
  <si>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</si>
  <si>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</si>
  <si>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</si>
  <si>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</si>
  <si>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</si>
  <si>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</si>
  <si>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</si>
  <si>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</si>
  <si>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</si>
  <si>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</si>
  <si>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t>
  </si>
  <si>
    <t>On click, navigate back to "App - Birthday, SIN &amp; Occupation" page CWBSB-40</t>
  </si>
  <si>
    <t>Text/verbiage updates for SB CWBSB-90</t>
  </si>
  <si>
    <t>On click, navigate to one of the following pages, based on the user's radio button selection:
A) "App - Flinks" page (CWBSB-42)
B) "Manual IDV" (CWBSB-xx)</t>
  </si>
  <si>
    <t>CWBSB-42</t>
  </si>
  <si>
    <t>On Click...
Navigate back to the "App-Alternate IDV" page (CWBSB-xx)</t>
  </si>
  <si>
    <t>On click, navigate to "Authorized Signers" page (CWBSB-43)</t>
  </si>
  <si>
    <t>CWBSB-48</t>
  </si>
  <si>
    <r>
      <t xml:space="preserve">For assistance, please call CWB Business Services at </t>
    </r>
    <r>
      <rPr>
        <sz val="11"/>
        <color rgb="FFFF0000"/>
        <rFont val="Calibri"/>
        <family val="2"/>
        <scheme val="minor"/>
      </rPr>
      <t>1 (866) 843-3917</t>
    </r>
    <r>
      <rPr>
        <sz val="11"/>
        <color theme="1"/>
        <rFont val="Calibri"/>
        <family val="2"/>
        <scheme val="minor"/>
      </rPr>
      <t xml:space="preserve"> or email </t>
    </r>
    <r>
      <rPr>
        <u/>
        <sz val="11"/>
        <color rgb="FFFF0000"/>
        <rFont val="Calibri"/>
        <family val="2"/>
        <scheme val="minor"/>
      </rPr>
      <t>Help@CWBank.com</t>
    </r>
    <r>
      <rPr>
        <sz val="11"/>
        <color theme="1"/>
        <rFont val="Calibri"/>
        <family val="2"/>
        <scheme val="minor"/>
      </rPr>
      <t>, and we will be happy to help you complete your application.</t>
    </r>
  </si>
  <si>
    <t>Text/verbiage updates for SB CWBSB-92</t>
  </si>
  <si>
    <r>
      <t xml:space="preserve">Please check your email for some next steps, contact a </t>
    </r>
    <r>
      <rPr>
        <sz val="11"/>
        <color rgb="FFFF0000"/>
        <rFont val="Calibri"/>
        <family val="2"/>
        <scheme val="minor"/>
      </rPr>
      <t>CWB Business</t>
    </r>
    <r>
      <rPr>
        <sz val="11"/>
        <color theme="1"/>
        <rFont val="Calibri"/>
        <family val="2"/>
        <scheme val="minor"/>
      </rPr>
      <t xml:space="preserve"> team member at </t>
    </r>
    <r>
      <rPr>
        <sz val="11"/>
        <color rgb="FFFF0000"/>
        <rFont val="Calibri"/>
        <family val="2"/>
        <scheme val="minor"/>
      </rPr>
      <t>1</t>
    </r>
    <r>
      <rPr>
        <sz val="11"/>
        <color theme="1"/>
        <rFont val="Calibri"/>
        <family val="2"/>
        <scheme val="minor"/>
      </rPr>
      <t xml:space="preserve"> </t>
    </r>
    <r>
      <rPr>
        <sz val="11"/>
        <color rgb="FFFF0000"/>
        <rFont val="Calibri"/>
        <family val="2"/>
        <scheme val="minor"/>
      </rPr>
      <t>(866) 843-3917 or email Help@CWBank.com</t>
    </r>
    <r>
      <rPr>
        <sz val="11"/>
        <color theme="1"/>
        <rFont val="Calibri"/>
        <family val="2"/>
        <scheme val="minor"/>
      </rPr>
      <t>.</t>
    </r>
  </si>
  <si>
    <t>CWBSB-49</t>
  </si>
  <si>
    <t>Text/verbiage updates for SB CWBSB-93</t>
  </si>
  <si>
    <t>Text/verbiage updates for SB CWBSB-94</t>
  </si>
  <si>
    <t>CWBSB-50</t>
  </si>
  <si>
    <t>Review verbiage</t>
  </si>
  <si>
    <t>1.0 WIP</t>
  </si>
  <si>
    <t>Updated Story references in resusable pages from Motive/personal, incl. second stories for text/verbiage updates; tabs coloured green for pages that are ready for dev.</t>
  </si>
  <si>
    <r>
      <t xml:space="preserve">This application has already been submitted.
For assistance, please e-mail CWB at </t>
    </r>
    <r>
      <rPr>
        <u/>
        <sz val="11"/>
        <color rgb="FFFF0000"/>
        <rFont val="Calibri"/>
        <family val="2"/>
        <scheme val="minor"/>
      </rPr>
      <t>Help@CWBank.com</t>
    </r>
    <r>
      <rPr>
        <sz val="11"/>
        <color theme="1"/>
        <rFont val="Calibri"/>
        <family val="2"/>
        <scheme val="minor"/>
      </rPr>
      <t xml:space="preserve">, or call </t>
    </r>
    <r>
      <rPr>
        <sz val="11"/>
        <color rgb="FFFF0000"/>
        <rFont val="Calibri"/>
        <family val="2"/>
        <scheme val="minor"/>
      </rPr>
      <t>1 (866) 843-3917</t>
    </r>
    <r>
      <rPr>
        <sz val="11"/>
        <color theme="1"/>
        <rFont val="Calibri"/>
        <family val="2"/>
        <scheme val="minor"/>
      </rPr>
      <t>.
Your reference number is:</t>
    </r>
  </si>
  <si>
    <t>Text/verbiage updates for SB CWBSB-95</t>
  </si>
  <si>
    <t>CWBSB-57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</si>
</sst>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sz val="11"/>
      <color rgb="FFFF0000"/>
      <name val="Calibri"/>
      <family val="2"/>
      <scheme val="minor"/>
    </font>
    <font>
      <u/>
      <sz val="11"/>
      <color rgb="FFFF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
    <xf numFmtId="0" fontId="0" fillId="0" borderId="0"/>
  </cellStyleXfs>
  <cellXfs count="10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0" fillId="5" borderId="0" xfId="0" applyFill="1" applyAlignment="1">
      <alignment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Fill="1" applyAlignment="1">
      <alignment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424">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Archive\Small%20Business%20DCO%20Primary%20Applicant%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zoomScaleNormal="100" workbookViewId="0">
      <selection activeCell="A10" sqref="A10"/>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314</v>
      </c>
      <c r="B1" s="2"/>
      <c r="C1" s="2"/>
      <c r="D1" s="2"/>
      <c r="E1" s="2"/>
      <c r="F1" s="3"/>
      <c r="G1" s="2"/>
      <c r="H1" s="3"/>
      <c r="I1" s="3"/>
      <c r="J1" s="3"/>
      <c r="K1" s="2"/>
      <c r="L1" s="2"/>
      <c r="M1" s="2"/>
      <c r="N1" s="2"/>
      <c r="O1" s="2"/>
    </row>
    <row r="2" spans="1:15" s="1" customFormat="1" ht="18.5" x14ac:dyDescent="0.35">
      <c r="A2" s="1" t="s">
        <v>1</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2</v>
      </c>
      <c r="B5" s="8" t="s">
        <v>3</v>
      </c>
      <c r="C5" s="9" t="s">
        <v>4</v>
      </c>
      <c r="D5" s="8" t="s">
        <v>5</v>
      </c>
      <c r="E5" s="10" t="s">
        <v>6</v>
      </c>
    </row>
    <row r="6" spans="1:15" s="4" customFormat="1" x14ac:dyDescent="0.35">
      <c r="A6" s="12" t="s">
        <v>292</v>
      </c>
      <c r="B6" s="13">
        <v>44027</v>
      </c>
      <c r="C6" s="14" t="s">
        <v>293</v>
      </c>
      <c r="D6" s="24" t="s">
        <v>294</v>
      </c>
      <c r="E6" s="27"/>
    </row>
    <row r="7" spans="1:15" s="4" customFormat="1" ht="17.149999999999999" customHeight="1" x14ac:dyDescent="0.35">
      <c r="A7" s="79" t="s">
        <v>292</v>
      </c>
      <c r="B7" s="80">
        <v>44028</v>
      </c>
      <c r="C7" s="81" t="s">
        <v>315</v>
      </c>
      <c r="D7" s="82" t="s">
        <v>316</v>
      </c>
      <c r="E7" s="83"/>
    </row>
    <row r="8" spans="1:15" s="4" customFormat="1" ht="17.5" customHeight="1" x14ac:dyDescent="0.35">
      <c r="A8" s="15" t="s">
        <v>359</v>
      </c>
      <c r="B8" s="16">
        <v>44032</v>
      </c>
      <c r="C8" s="17" t="s">
        <v>381</v>
      </c>
      <c r="D8" s="28" t="s">
        <v>294</v>
      </c>
      <c r="E8" s="18"/>
    </row>
    <row r="9" spans="1:15" s="4" customFormat="1" ht="40" customHeight="1" x14ac:dyDescent="0.35">
      <c r="A9" s="15" t="s">
        <v>458</v>
      </c>
      <c r="B9" s="16">
        <v>44036</v>
      </c>
      <c r="C9" s="17" t="s">
        <v>459</v>
      </c>
      <c r="D9" s="25" t="s">
        <v>294</v>
      </c>
      <c r="E9" s="48"/>
    </row>
    <row r="10" spans="1:15" s="4" customFormat="1" x14ac:dyDescent="0.35">
      <c r="A10" s="15"/>
      <c r="B10" s="16"/>
      <c r="C10" s="17"/>
      <c r="D10" s="25"/>
      <c r="E10" s="48"/>
    </row>
    <row r="11" spans="1:15" s="4" customFormat="1" x14ac:dyDescent="0.35">
      <c r="A11" s="15"/>
      <c r="B11" s="16"/>
      <c r="C11" s="19"/>
      <c r="D11" s="25"/>
      <c r="E11" s="48"/>
    </row>
    <row r="12" spans="1:15" s="4" customFormat="1" x14ac:dyDescent="0.35">
      <c r="A12" s="57"/>
      <c r="B12" s="58"/>
      <c r="C12" s="59"/>
      <c r="D12" s="60"/>
      <c r="E12" s="76"/>
    </row>
    <row r="13" spans="1:15" s="4" customFormat="1" ht="17.149999999999999" customHeight="1" x14ac:dyDescent="0.35">
      <c r="A13" s="57"/>
      <c r="B13" s="58"/>
      <c r="C13" s="59"/>
      <c r="D13" s="60"/>
      <c r="E13" s="76"/>
    </row>
    <row r="14" spans="1:15" s="4" customFormat="1" x14ac:dyDescent="0.35">
      <c r="A14" s="57"/>
      <c r="B14" s="58"/>
      <c r="C14" s="59"/>
      <c r="D14" s="60"/>
      <c r="E14" s="76"/>
    </row>
    <row r="15" spans="1:15" s="4" customFormat="1" x14ac:dyDescent="0.35">
      <c r="A15" s="57"/>
      <c r="B15" s="58"/>
      <c r="C15" s="59"/>
      <c r="D15" s="60"/>
      <c r="E15" s="61"/>
    </row>
    <row r="16" spans="1:15" ht="15" thickBot="1" x14ac:dyDescent="0.4">
      <c r="A16" s="20"/>
      <c r="B16" s="21"/>
      <c r="C16" s="22"/>
      <c r="D16" s="26"/>
      <c r="E16" s="23"/>
    </row>
  </sheetData>
  <conditionalFormatting sqref="H1:I2">
    <cfRule type="cellIs" dxfId="423" priority="10" operator="equal">
      <formula>"Not Applicable"</formula>
    </cfRule>
    <cfRule type="cellIs" dxfId="422" priority="11" operator="equal">
      <formula>"4 - Future Initiative (out of scope)"</formula>
    </cfRule>
    <cfRule type="cellIs" dxfId="421" priority="12" operator="equal">
      <formula>"3 - Desirable (Nice To Have)"</formula>
    </cfRule>
    <cfRule type="cellIs" dxfId="420" priority="13" operator="equal">
      <formula>"2 - Recommended (Best Practice)"</formula>
    </cfRule>
    <cfRule type="cellIs" dxfId="419" priority="14" operator="equal">
      <formula>"1 - Mandatory (Must Have)"</formula>
    </cfRule>
  </conditionalFormatting>
  <conditionalFormatting sqref="F1:F2">
    <cfRule type="cellIs" dxfId="418" priority="8" operator="equal">
      <formula>"Non-functional"</formula>
    </cfRule>
    <cfRule type="cellIs" dxfId="417"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3" sqref="A3"/>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9" customFormat="1" x14ac:dyDescent="0.35">
      <c r="A4" s="29" t="s">
        <v>28</v>
      </c>
      <c r="B4" s="29" t="s">
        <v>39</v>
      </c>
    </row>
    <row r="5" spans="1:15" x14ac:dyDescent="0.35">
      <c r="A5" t="s">
        <v>43</v>
      </c>
      <c r="B5" t="s">
        <v>42</v>
      </c>
    </row>
    <row r="6" spans="1:15" x14ac:dyDescent="0.35">
      <c r="A6" t="s">
        <v>30</v>
      </c>
      <c r="B6" t="s">
        <v>40</v>
      </c>
    </row>
    <row r="7" spans="1:15" x14ac:dyDescent="0.35">
      <c r="A7" t="s">
        <v>64</v>
      </c>
      <c r="B7" t="s">
        <v>41</v>
      </c>
    </row>
    <row r="8" spans="1:15" x14ac:dyDescent="0.35">
      <c r="A8" t="s">
        <v>254</v>
      </c>
      <c r="B8" t="s">
        <v>38</v>
      </c>
    </row>
    <row r="9" spans="1:15" x14ac:dyDescent="0.35">
      <c r="A9" t="s">
        <v>95</v>
      </c>
      <c r="B9" t="s">
        <v>46</v>
      </c>
    </row>
    <row r="10" spans="1:15" x14ac:dyDescent="0.35">
      <c r="A10" t="s">
        <v>35</v>
      </c>
    </row>
    <row r="11" spans="1:15" x14ac:dyDescent="0.35">
      <c r="A11" t="s">
        <v>219</v>
      </c>
    </row>
    <row r="12" spans="1:15" x14ac:dyDescent="0.35">
      <c r="A12" t="s">
        <v>234</v>
      </c>
    </row>
    <row r="13" spans="1:15" x14ac:dyDescent="0.35">
      <c r="A13" t="s">
        <v>192</v>
      </c>
    </row>
    <row r="14" spans="1:15" x14ac:dyDescent="0.35">
      <c r="A14" t="s">
        <v>142</v>
      </c>
    </row>
    <row r="15" spans="1:15" x14ac:dyDescent="0.35">
      <c r="A15" t="s">
        <v>49</v>
      </c>
    </row>
    <row r="16" spans="1:15" x14ac:dyDescent="0.35">
      <c r="A16" t="s">
        <v>32</v>
      </c>
    </row>
    <row r="17" spans="1:1" x14ac:dyDescent="0.35">
      <c r="A17" t="s">
        <v>31</v>
      </c>
    </row>
    <row r="18" spans="1:1" x14ac:dyDescent="0.35">
      <c r="A18" t="s">
        <v>143</v>
      </c>
    </row>
    <row r="19" spans="1:1" x14ac:dyDescent="0.35">
      <c r="A19" t="s">
        <v>29</v>
      </c>
    </row>
    <row r="20" spans="1:1" x14ac:dyDescent="0.35">
      <c r="A20" t="s">
        <v>115</v>
      </c>
    </row>
    <row r="21" spans="1:1" x14ac:dyDescent="0.35">
      <c r="A21" t="s">
        <v>34</v>
      </c>
    </row>
    <row r="22" spans="1:1" x14ac:dyDescent="0.35">
      <c r="A22" t="s">
        <v>36</v>
      </c>
    </row>
    <row r="23" spans="1:1" x14ac:dyDescent="0.35">
      <c r="A23" t="s">
        <v>33</v>
      </c>
    </row>
    <row r="24" spans="1:1" x14ac:dyDescent="0.35">
      <c r="A24" t="s">
        <v>80</v>
      </c>
    </row>
    <row r="25" spans="1:1" x14ac:dyDescent="0.35">
      <c r="A25" t="s">
        <v>227</v>
      </c>
    </row>
  </sheetData>
  <sortState ref="A5:A15">
    <sortCondition ref="A16"/>
  </sortState>
  <conditionalFormatting sqref="H1:I2">
    <cfRule type="cellIs" dxfId="416" priority="3" operator="equal">
      <formula>"Not Applicable"</formula>
    </cfRule>
    <cfRule type="cellIs" dxfId="415" priority="4" operator="equal">
      <formula>"4 - Future Initiative (out of scope)"</formula>
    </cfRule>
    <cfRule type="cellIs" dxfId="414" priority="5" operator="equal">
      <formula>"3 - Desirable (Nice To Have)"</formula>
    </cfRule>
    <cfRule type="cellIs" dxfId="413" priority="6" operator="equal">
      <formula>"2 - Recommended (Best Practice)"</formula>
    </cfRule>
    <cfRule type="cellIs" dxfId="412" priority="7" operator="equal">
      <formula>"1 - Mandatory (Must Have)"</formula>
    </cfRule>
  </conditionalFormatting>
  <conditionalFormatting sqref="F1:F2">
    <cfRule type="cellIs" dxfId="411" priority="1" operator="equal">
      <formula>"Non-functional"</formula>
    </cfRule>
    <cfRule type="cellIs" dxfId="410"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67</v>
      </c>
      <c r="C1" s="96"/>
      <c r="D1" s="31"/>
    </row>
    <row r="2" spans="1:16" s="63" customFormat="1" ht="18.5" x14ac:dyDescent="0.35">
      <c r="A2" s="62" t="s">
        <v>8</v>
      </c>
      <c r="B2" s="97">
        <v>1</v>
      </c>
      <c r="C2" s="97"/>
      <c r="D2" s="64"/>
    </row>
    <row r="3" spans="1:16" s="63" customFormat="1" ht="18.5" x14ac:dyDescent="0.35">
      <c r="A3" s="62" t="s">
        <v>45</v>
      </c>
      <c r="B3" s="97" t="s">
        <v>398</v>
      </c>
      <c r="C3" s="97"/>
      <c r="D3" s="64"/>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CONCATENATE($B$2, ".", A7)</f>
        <v>1.1</v>
      </c>
      <c r="C7" s="50" t="s">
        <v>46</v>
      </c>
      <c r="D7" s="41" t="s">
        <v>321</v>
      </c>
      <c r="E7" s="41" t="s">
        <v>29</v>
      </c>
      <c r="F7" s="41" t="s">
        <v>37</v>
      </c>
      <c r="G7" s="41" t="s">
        <v>37</v>
      </c>
      <c r="H7" s="41" t="s">
        <v>37</v>
      </c>
      <c r="I7" s="41" t="s">
        <v>10</v>
      </c>
      <c r="J7" s="42" t="s">
        <v>37</v>
      </c>
      <c r="K7" s="42" t="s">
        <v>37</v>
      </c>
      <c r="L7" s="42" t="s">
        <v>37</v>
      </c>
      <c r="M7" s="42" t="s">
        <v>37</v>
      </c>
      <c r="N7" s="42" t="s">
        <v>37</v>
      </c>
      <c r="O7" s="42" t="s">
        <v>37</v>
      </c>
      <c r="P7" s="41" t="s">
        <v>300</v>
      </c>
    </row>
    <row r="8" spans="1:16" x14ac:dyDescent="0.35">
      <c r="A8" s="41">
        <v>2</v>
      </c>
      <c r="B8" s="41" t="str">
        <f t="shared" ref="B8:B25" si="0">CONCATENATE($B$2, ".", A8)</f>
        <v>1.2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84.75" customHeight="1" x14ac:dyDescent="0.35">
      <c r="A9" s="41">
        <v>3</v>
      </c>
      <c r="B9" s="41" t="str">
        <f t="shared" si="0"/>
        <v>1.3</v>
      </c>
      <c r="C9" s="50" t="s">
        <v>46</v>
      </c>
      <c r="D9" s="41" t="s">
        <v>298</v>
      </c>
      <c r="E9" s="41" t="s">
        <v>34</v>
      </c>
      <c r="F9" s="41" t="s">
        <v>37</v>
      </c>
      <c r="G9" s="41" t="s">
        <v>37</v>
      </c>
      <c r="H9" s="41" t="s">
        <v>37</v>
      </c>
      <c r="I9" s="41" t="s">
        <v>10</v>
      </c>
      <c r="J9" s="42" t="s">
        <v>37</v>
      </c>
      <c r="K9" s="42" t="s">
        <v>37</v>
      </c>
      <c r="L9" s="42" t="s">
        <v>37</v>
      </c>
      <c r="M9" s="42" t="s">
        <v>37</v>
      </c>
      <c r="N9" s="42" t="s">
        <v>37</v>
      </c>
      <c r="O9" s="42" t="s">
        <v>37</v>
      </c>
      <c r="P9" s="41" t="s">
        <v>300</v>
      </c>
    </row>
    <row r="10" spans="1:16" ht="46" customHeight="1" x14ac:dyDescent="0.35">
      <c r="A10" s="41">
        <v>4</v>
      </c>
      <c r="B10" s="41" t="str">
        <f t="shared" si="0"/>
        <v>1.4</v>
      </c>
      <c r="C10" s="50" t="s">
        <v>40</v>
      </c>
      <c r="D10" s="49" t="s">
        <v>287</v>
      </c>
      <c r="E10" s="41" t="s">
        <v>34</v>
      </c>
      <c r="F10" s="41" t="s">
        <v>37</v>
      </c>
      <c r="G10" s="41" t="s">
        <v>139</v>
      </c>
      <c r="H10" s="41" t="s">
        <v>37</v>
      </c>
      <c r="I10" s="41" t="s">
        <v>10</v>
      </c>
      <c r="J10" s="42" t="s">
        <v>37</v>
      </c>
      <c r="K10" s="42" t="s">
        <v>37</v>
      </c>
      <c r="L10" s="42" t="s">
        <v>37</v>
      </c>
      <c r="M10" s="42" t="s">
        <v>37</v>
      </c>
      <c r="N10" s="42" t="s">
        <v>37</v>
      </c>
      <c r="O10" s="42" t="s">
        <v>37</v>
      </c>
    </row>
    <row r="11" spans="1:16" ht="43.5" x14ac:dyDescent="0.35">
      <c r="A11" s="41">
        <v>5</v>
      </c>
      <c r="B11" s="41" t="str">
        <f t="shared" si="0"/>
        <v>1.5</v>
      </c>
      <c r="C11" s="50" t="s">
        <v>46</v>
      </c>
      <c r="D11" s="49" t="s">
        <v>288</v>
      </c>
      <c r="E11" s="41" t="s">
        <v>34</v>
      </c>
      <c r="F11" s="41" t="s">
        <v>37</v>
      </c>
      <c r="G11" s="41" t="s">
        <v>136</v>
      </c>
      <c r="H11" s="41" t="s">
        <v>37</v>
      </c>
      <c r="I11" s="41" t="s">
        <v>10</v>
      </c>
      <c r="J11" s="42" t="s">
        <v>37</v>
      </c>
      <c r="K11" s="42" t="s">
        <v>37</v>
      </c>
      <c r="L11" s="42" t="s">
        <v>37</v>
      </c>
      <c r="M11" s="42" t="s">
        <v>37</v>
      </c>
      <c r="N11" s="42" t="s">
        <v>37</v>
      </c>
      <c r="O11" s="42" t="s">
        <v>37</v>
      </c>
      <c r="P11" s="41" t="s">
        <v>299</v>
      </c>
    </row>
    <row r="12" spans="1:16" ht="29" x14ac:dyDescent="0.35">
      <c r="A12" s="41">
        <v>6</v>
      </c>
      <c r="B12" s="41" t="str">
        <f t="shared" si="0"/>
        <v>1.6</v>
      </c>
      <c r="C12" s="50" t="s">
        <v>40</v>
      </c>
      <c r="D12" s="49" t="s">
        <v>289</v>
      </c>
      <c r="E12" s="41" t="s">
        <v>34</v>
      </c>
      <c r="F12" s="41" t="s">
        <v>37</v>
      </c>
      <c r="G12" s="41" t="s">
        <v>137</v>
      </c>
      <c r="H12" s="41" t="s">
        <v>37</v>
      </c>
      <c r="I12" s="41" t="s">
        <v>10</v>
      </c>
      <c r="J12" s="42" t="s">
        <v>37</v>
      </c>
      <c r="K12" s="42" t="s">
        <v>37</v>
      </c>
      <c r="L12" s="42" t="s">
        <v>37</v>
      </c>
      <c r="M12" s="42" t="s">
        <v>37</v>
      </c>
      <c r="N12" s="42" t="s">
        <v>37</v>
      </c>
      <c r="O12" s="42" t="s">
        <v>37</v>
      </c>
    </row>
    <row r="13" spans="1:16" ht="51" customHeight="1" x14ac:dyDescent="0.35">
      <c r="A13" s="41">
        <v>7</v>
      </c>
      <c r="B13" s="41" t="str">
        <f t="shared" si="0"/>
        <v>1.7</v>
      </c>
      <c r="C13" s="50" t="s">
        <v>46</v>
      </c>
      <c r="D13" s="49" t="s">
        <v>290</v>
      </c>
      <c r="E13" s="41" t="s">
        <v>34</v>
      </c>
      <c r="F13" s="41" t="s">
        <v>37</v>
      </c>
      <c r="G13" s="41" t="s">
        <v>138</v>
      </c>
      <c r="H13" s="41" t="s">
        <v>37</v>
      </c>
      <c r="I13" s="41" t="s">
        <v>10</v>
      </c>
      <c r="J13" s="42" t="s">
        <v>37</v>
      </c>
      <c r="K13" s="42" t="s">
        <v>37</v>
      </c>
      <c r="L13" s="42" t="s">
        <v>37</v>
      </c>
      <c r="M13" s="42" t="s">
        <v>37</v>
      </c>
      <c r="N13" s="42" t="s">
        <v>37</v>
      </c>
      <c r="O13" s="42" t="s">
        <v>37</v>
      </c>
      <c r="P13" s="41" t="s">
        <v>299</v>
      </c>
    </row>
    <row r="14" spans="1:16" ht="65" customHeight="1" x14ac:dyDescent="0.35">
      <c r="A14" s="41">
        <v>8</v>
      </c>
      <c r="B14" s="41" t="str">
        <f t="shared" si="0"/>
        <v>1.8</v>
      </c>
      <c r="C14" s="50" t="s">
        <v>40</v>
      </c>
      <c r="D14" s="49" t="s">
        <v>291</v>
      </c>
      <c r="E14" s="41" t="s">
        <v>34</v>
      </c>
      <c r="F14" s="41" t="s">
        <v>37</v>
      </c>
      <c r="G14" s="41" t="s">
        <v>297</v>
      </c>
      <c r="H14" s="43" t="s">
        <v>37</v>
      </c>
      <c r="I14" s="41" t="s">
        <v>10</v>
      </c>
      <c r="J14" s="41" t="s">
        <v>37</v>
      </c>
      <c r="K14" s="41" t="s">
        <v>37</v>
      </c>
      <c r="L14" s="41" t="s">
        <v>37</v>
      </c>
      <c r="M14" s="41" t="s">
        <v>37</v>
      </c>
      <c r="N14" s="41" t="s">
        <v>37</v>
      </c>
      <c r="O14" s="42" t="s">
        <v>37</v>
      </c>
    </row>
    <row r="15" spans="1:16" ht="135.5" customHeight="1" x14ac:dyDescent="0.35">
      <c r="A15" s="41">
        <v>9</v>
      </c>
      <c r="B15" s="41" t="str">
        <f t="shared" ref="B15:B23" si="1">CONCATENATE($B$2, ".", A15)</f>
        <v>1.9</v>
      </c>
      <c r="C15" s="50" t="s">
        <v>42</v>
      </c>
      <c r="D15" s="49" t="s">
        <v>385</v>
      </c>
      <c r="E15" s="41" t="s">
        <v>34</v>
      </c>
      <c r="F15" s="41" t="s">
        <v>37</v>
      </c>
      <c r="G15" s="92" t="s">
        <v>386</v>
      </c>
      <c r="H15" s="43" t="s">
        <v>37</v>
      </c>
      <c r="I15" s="41" t="s">
        <v>10</v>
      </c>
      <c r="J15" s="41" t="s">
        <v>37</v>
      </c>
      <c r="K15" s="41" t="s">
        <v>37</v>
      </c>
      <c r="L15" s="41" t="s">
        <v>37</v>
      </c>
      <c r="M15" s="41" t="s">
        <v>37</v>
      </c>
      <c r="N15" s="41" t="s">
        <v>37</v>
      </c>
      <c r="O15" s="42" t="s">
        <v>37</v>
      </c>
      <c r="P15" s="41" t="s">
        <v>396</v>
      </c>
    </row>
    <row r="16" spans="1:16" ht="129.5" customHeight="1" x14ac:dyDescent="0.35">
      <c r="A16" s="41">
        <v>10</v>
      </c>
      <c r="B16" s="41" t="str">
        <f t="shared" si="1"/>
        <v>1.10</v>
      </c>
      <c r="C16" s="50" t="s">
        <v>40</v>
      </c>
      <c r="D16" s="41" t="s">
        <v>135</v>
      </c>
      <c r="E16" s="41" t="s">
        <v>30</v>
      </c>
      <c r="F16" s="41" t="s">
        <v>65</v>
      </c>
      <c r="G16" s="41" t="s">
        <v>37</v>
      </c>
      <c r="H16" s="41" t="s">
        <v>37</v>
      </c>
      <c r="I16" s="41" t="s">
        <v>10</v>
      </c>
      <c r="J16" s="42" t="s">
        <v>109</v>
      </c>
      <c r="K16" s="42" t="s">
        <v>55</v>
      </c>
      <c r="L16" s="42" t="s">
        <v>391</v>
      </c>
      <c r="M16" s="42" t="s">
        <v>37</v>
      </c>
      <c r="N16" s="42" t="s">
        <v>37</v>
      </c>
      <c r="O16" s="42" t="s">
        <v>37</v>
      </c>
      <c r="P16" s="41" t="s">
        <v>392</v>
      </c>
    </row>
    <row r="17" spans="1:16" ht="66.5" customHeight="1" x14ac:dyDescent="0.35">
      <c r="A17" s="41">
        <v>11</v>
      </c>
      <c r="B17" s="41" t="str">
        <f t="shared" si="1"/>
        <v>1.11</v>
      </c>
      <c r="C17" s="50" t="s">
        <v>42</v>
      </c>
      <c r="D17" s="41" t="s">
        <v>382</v>
      </c>
      <c r="E17" s="41" t="s">
        <v>34</v>
      </c>
      <c r="F17" s="41" t="s">
        <v>37</v>
      </c>
      <c r="G17" s="41" t="s">
        <v>37</v>
      </c>
      <c r="H17" s="41" t="s">
        <v>37</v>
      </c>
      <c r="I17" s="41" t="s">
        <v>10</v>
      </c>
      <c r="J17" s="42" t="s">
        <v>37</v>
      </c>
      <c r="K17" s="42" t="s">
        <v>37</v>
      </c>
      <c r="L17" s="42" t="s">
        <v>37</v>
      </c>
      <c r="M17" s="42" t="s">
        <v>37</v>
      </c>
      <c r="N17" s="42" t="s">
        <v>37</v>
      </c>
      <c r="O17" s="42" t="s">
        <v>37</v>
      </c>
      <c r="P17" s="41" t="s">
        <v>300</v>
      </c>
    </row>
    <row r="18" spans="1:16" ht="41.5" customHeight="1" x14ac:dyDescent="0.35">
      <c r="A18" s="41">
        <v>12</v>
      </c>
      <c r="B18" s="41" t="str">
        <f t="shared" si="1"/>
        <v>1.12</v>
      </c>
      <c r="C18" s="50" t="s">
        <v>42</v>
      </c>
      <c r="D18" s="49" t="s">
        <v>383</v>
      </c>
      <c r="E18" s="41" t="s">
        <v>34</v>
      </c>
      <c r="F18" s="41" t="s">
        <v>37</v>
      </c>
      <c r="G18" s="41" t="s">
        <v>393</v>
      </c>
      <c r="H18" s="41" t="s">
        <v>37</v>
      </c>
      <c r="I18" s="41" t="s">
        <v>10</v>
      </c>
      <c r="J18" s="42" t="s">
        <v>37</v>
      </c>
      <c r="K18" s="42" t="s">
        <v>37</v>
      </c>
      <c r="L18" s="42" t="s">
        <v>37</v>
      </c>
      <c r="M18" s="42" t="s">
        <v>37</v>
      </c>
      <c r="N18" s="42" t="s">
        <v>37</v>
      </c>
      <c r="O18" s="42" t="s">
        <v>37</v>
      </c>
      <c r="P18" s="41" t="s">
        <v>396</v>
      </c>
    </row>
    <row r="19" spans="1:16" ht="41" customHeight="1" x14ac:dyDescent="0.35">
      <c r="A19" s="41">
        <v>13</v>
      </c>
      <c r="B19" s="41" t="str">
        <f t="shared" si="1"/>
        <v>1.13</v>
      </c>
      <c r="C19" s="50" t="s">
        <v>42</v>
      </c>
      <c r="D19" s="49" t="s">
        <v>384</v>
      </c>
      <c r="E19" s="41" t="s">
        <v>34</v>
      </c>
      <c r="F19" s="41" t="s">
        <v>37</v>
      </c>
      <c r="G19" s="41" t="s">
        <v>393</v>
      </c>
      <c r="H19" s="41" t="s">
        <v>37</v>
      </c>
      <c r="I19" s="41" t="s">
        <v>10</v>
      </c>
      <c r="J19" s="42" t="s">
        <v>37</v>
      </c>
      <c r="K19" s="42" t="s">
        <v>37</v>
      </c>
      <c r="L19" s="42" t="s">
        <v>37</v>
      </c>
      <c r="M19" s="42" t="s">
        <v>37</v>
      </c>
      <c r="N19" s="42" t="s">
        <v>37</v>
      </c>
      <c r="O19" s="42" t="s">
        <v>37</v>
      </c>
      <c r="P19" s="41" t="s">
        <v>396</v>
      </c>
    </row>
    <row r="20" spans="1:16" ht="58.5" customHeight="1" x14ac:dyDescent="0.35">
      <c r="A20" s="41">
        <v>14</v>
      </c>
      <c r="B20" s="41" t="str">
        <f t="shared" si="1"/>
        <v>1.14</v>
      </c>
      <c r="C20" s="50" t="s">
        <v>42</v>
      </c>
      <c r="D20" s="49" t="s">
        <v>387</v>
      </c>
      <c r="E20" s="41" t="s">
        <v>34</v>
      </c>
      <c r="F20" s="41" t="s">
        <v>37</v>
      </c>
      <c r="G20" s="41" t="s">
        <v>393</v>
      </c>
      <c r="H20" s="41" t="s">
        <v>37</v>
      </c>
      <c r="I20" s="41" t="s">
        <v>10</v>
      </c>
      <c r="J20" s="42" t="s">
        <v>37</v>
      </c>
      <c r="K20" s="42" t="s">
        <v>37</v>
      </c>
      <c r="L20" s="42" t="s">
        <v>37</v>
      </c>
      <c r="M20" s="42" t="s">
        <v>37</v>
      </c>
      <c r="N20" s="42" t="s">
        <v>37</v>
      </c>
      <c r="O20" s="42" t="s">
        <v>37</v>
      </c>
      <c r="P20" s="41" t="s">
        <v>396</v>
      </c>
    </row>
    <row r="21" spans="1:16" ht="42" customHeight="1" x14ac:dyDescent="0.35">
      <c r="A21" s="41">
        <v>15</v>
      </c>
      <c r="B21" s="41" t="str">
        <f t="shared" si="1"/>
        <v>1.15</v>
      </c>
      <c r="C21" s="50" t="s">
        <v>42</v>
      </c>
      <c r="D21" s="49" t="s">
        <v>389</v>
      </c>
      <c r="E21" s="41" t="s">
        <v>34</v>
      </c>
      <c r="F21" s="41" t="s">
        <v>37</v>
      </c>
      <c r="G21" s="41" t="s">
        <v>393</v>
      </c>
      <c r="H21" s="41" t="s">
        <v>37</v>
      </c>
      <c r="I21" s="41" t="s">
        <v>10</v>
      </c>
      <c r="J21" s="42" t="s">
        <v>37</v>
      </c>
      <c r="K21" s="42" t="s">
        <v>37</v>
      </c>
      <c r="L21" s="42" t="s">
        <v>37</v>
      </c>
      <c r="M21" s="42" t="s">
        <v>37</v>
      </c>
      <c r="N21" s="42" t="s">
        <v>37</v>
      </c>
      <c r="O21" s="42" t="s">
        <v>37</v>
      </c>
      <c r="P21" s="41" t="s">
        <v>396</v>
      </c>
    </row>
    <row r="22" spans="1:16" ht="84.75" customHeight="1" x14ac:dyDescent="0.35">
      <c r="A22" s="41">
        <v>16</v>
      </c>
      <c r="B22" s="41" t="str">
        <f t="shared" si="1"/>
        <v>1.16</v>
      </c>
      <c r="C22" s="50" t="s">
        <v>42</v>
      </c>
      <c r="D22" s="49" t="s">
        <v>388</v>
      </c>
      <c r="E22" s="41" t="s">
        <v>34</v>
      </c>
      <c r="F22" s="41" t="s">
        <v>37</v>
      </c>
      <c r="G22" s="41" t="s">
        <v>393</v>
      </c>
      <c r="H22" s="41" t="s">
        <v>37</v>
      </c>
      <c r="I22" s="41" t="s">
        <v>10</v>
      </c>
      <c r="J22" s="42" t="s">
        <v>37</v>
      </c>
      <c r="K22" s="42" t="s">
        <v>37</v>
      </c>
      <c r="L22" s="42" t="s">
        <v>37</v>
      </c>
      <c r="M22" s="42" t="s">
        <v>37</v>
      </c>
      <c r="N22" s="42" t="s">
        <v>37</v>
      </c>
      <c r="O22" s="42" t="s">
        <v>37</v>
      </c>
      <c r="P22" s="41" t="s">
        <v>396</v>
      </c>
    </row>
    <row r="23" spans="1:16" ht="128" customHeight="1" x14ac:dyDescent="0.35">
      <c r="A23" s="41">
        <v>17</v>
      </c>
      <c r="B23" s="41" t="str">
        <f t="shared" si="1"/>
        <v>1.17</v>
      </c>
      <c r="C23" s="50" t="s">
        <v>42</v>
      </c>
      <c r="D23" s="41" t="s">
        <v>390</v>
      </c>
      <c r="E23" s="41" t="s">
        <v>30</v>
      </c>
      <c r="F23" s="41" t="s">
        <v>65</v>
      </c>
      <c r="G23" s="41" t="s">
        <v>37</v>
      </c>
      <c r="H23" s="41" t="s">
        <v>37</v>
      </c>
      <c r="I23" s="41" t="s">
        <v>10</v>
      </c>
      <c r="J23" s="42" t="s">
        <v>109</v>
      </c>
      <c r="K23" s="42" t="s">
        <v>55</v>
      </c>
      <c r="L23" s="42" t="s">
        <v>394</v>
      </c>
      <c r="M23" s="42" t="s">
        <v>37</v>
      </c>
      <c r="N23" s="42" t="s">
        <v>37</v>
      </c>
      <c r="O23" s="42" t="s">
        <v>37</v>
      </c>
      <c r="P23" s="41" t="s">
        <v>397</v>
      </c>
    </row>
    <row r="24" spans="1:16" ht="29" x14ac:dyDescent="0.35">
      <c r="A24" s="41">
        <v>18</v>
      </c>
      <c r="B24" s="41" t="str">
        <f t="shared" si="0"/>
        <v>1.18</v>
      </c>
      <c r="C24" s="50" t="s">
        <v>46</v>
      </c>
      <c r="D24" s="41" t="s">
        <v>61</v>
      </c>
      <c r="E24" s="41" t="s">
        <v>43</v>
      </c>
      <c r="F24" s="41" t="s">
        <v>37</v>
      </c>
      <c r="G24" s="41" t="s">
        <v>37</v>
      </c>
      <c r="H24" s="41" t="s">
        <v>37</v>
      </c>
      <c r="I24" s="41" t="s">
        <v>10</v>
      </c>
      <c r="J24" s="41" t="s">
        <v>37</v>
      </c>
      <c r="K24" s="41" t="s">
        <v>37</v>
      </c>
      <c r="L24" s="41" t="s">
        <v>37</v>
      </c>
      <c r="M24" s="41" t="s">
        <v>37</v>
      </c>
      <c r="N24" s="41" t="s">
        <v>37</v>
      </c>
      <c r="O24" s="41" t="s">
        <v>395</v>
      </c>
    </row>
    <row r="25" spans="1:16" ht="29" x14ac:dyDescent="0.35">
      <c r="A25" s="41">
        <v>19</v>
      </c>
      <c r="B25" s="41" t="str">
        <f t="shared" si="0"/>
        <v>1.19</v>
      </c>
      <c r="C25" s="50" t="s">
        <v>46</v>
      </c>
      <c r="D25" s="41" t="s">
        <v>60</v>
      </c>
      <c r="E25" s="41" t="s">
        <v>43</v>
      </c>
      <c r="F25" s="41" t="s">
        <v>37</v>
      </c>
      <c r="G25" s="41" t="s">
        <v>37</v>
      </c>
      <c r="H25" s="41" t="s">
        <v>37</v>
      </c>
      <c r="I25" s="41" t="s">
        <v>10</v>
      </c>
      <c r="J25" s="41" t="s">
        <v>37</v>
      </c>
      <c r="K25" s="41" t="s">
        <v>37</v>
      </c>
      <c r="L25" s="41" t="s">
        <v>37</v>
      </c>
      <c r="M25" s="41" t="s">
        <v>37</v>
      </c>
      <c r="N25" s="41" t="s">
        <v>37</v>
      </c>
      <c r="O25" s="41" t="s">
        <v>395</v>
      </c>
    </row>
  </sheetData>
  <mergeCells count="4">
    <mergeCell ref="B1:C1"/>
    <mergeCell ref="B2:C2"/>
    <mergeCell ref="B3:C3"/>
    <mergeCell ref="B4:C4"/>
  </mergeCells>
  <conditionalFormatting sqref="C8:C15 C24:C1048576">
    <cfRule type="cellIs" dxfId="409" priority="64" operator="equal">
      <formula>"WIP (see comments)"</formula>
    </cfRule>
    <cfRule type="cellIs" dxfId="408" priority="65" operator="equal">
      <formula>"Removed"</formula>
    </cfRule>
    <cfRule type="cellIs" dxfId="407" priority="66" operator="equal">
      <formula>"Updated"</formula>
    </cfRule>
    <cfRule type="cellIs" dxfId="406" priority="67" operator="equal">
      <formula>"New"</formula>
    </cfRule>
  </conditionalFormatting>
  <conditionalFormatting sqref="C7:C15">
    <cfRule type="cellIs" dxfId="405" priority="56" operator="equal">
      <formula>"WIP (see comments)"</formula>
    </cfRule>
    <cfRule type="cellIs" dxfId="404" priority="57" operator="equal">
      <formula>"Removed"</formula>
    </cfRule>
    <cfRule type="cellIs" dxfId="403" priority="58" operator="equal">
      <formula>"Updated"</formula>
    </cfRule>
    <cfRule type="cellIs" dxfId="402" priority="59" operator="equal">
      <formula>"New"</formula>
    </cfRule>
  </conditionalFormatting>
  <conditionalFormatting sqref="A26:XFD1048576 P14:XFD15 D16:XFD16 C14:C15 E1:XFD1 A5:XFD13 A24 A1:B4 D2:XFD4 B24:XFD25">
    <cfRule type="cellIs" dxfId="401" priority="51" operator="equal">
      <formula>"n/a"</formula>
    </cfRule>
  </conditionalFormatting>
  <conditionalFormatting sqref="A25 A14:B16 B17:B23">
    <cfRule type="cellIs" dxfId="400" priority="50" operator="equal">
      <formula>"n/a"</formula>
    </cfRule>
  </conditionalFormatting>
  <conditionalFormatting sqref="C16">
    <cfRule type="cellIs" dxfId="399" priority="28" operator="equal">
      <formula>"WIP (see comments)"</formula>
    </cfRule>
    <cfRule type="cellIs" dxfId="398" priority="29" operator="equal">
      <formula>"Removed"</formula>
    </cfRule>
    <cfRule type="cellIs" dxfId="397" priority="30" operator="equal">
      <formula>"Updated"</formula>
    </cfRule>
    <cfRule type="cellIs" dxfId="396" priority="31" operator="equal">
      <formula>"New"</formula>
    </cfRule>
  </conditionalFormatting>
  <conditionalFormatting sqref="D14:O15">
    <cfRule type="cellIs" dxfId="395" priority="45" operator="equal">
      <formula>"n/a"</formula>
    </cfRule>
  </conditionalFormatting>
  <conditionalFormatting sqref="C16">
    <cfRule type="cellIs" dxfId="394" priority="32" operator="equal">
      <formula>"WIP (see comments)"</formula>
    </cfRule>
    <cfRule type="cellIs" dxfId="393" priority="33" operator="equal">
      <formula>"Removed"</formula>
    </cfRule>
    <cfRule type="cellIs" dxfId="392" priority="34" operator="equal">
      <formula>"Updated"</formula>
    </cfRule>
    <cfRule type="cellIs" dxfId="391" priority="35" operator="equal">
      <formula>"New"</formula>
    </cfRule>
  </conditionalFormatting>
  <conditionalFormatting sqref="C16">
    <cfRule type="cellIs" dxfId="390" priority="27" operator="equal">
      <formula>"n/a"</formula>
    </cfRule>
  </conditionalFormatting>
  <conditionalFormatting sqref="D1">
    <cfRule type="cellIs" dxfId="389" priority="26" operator="equal">
      <formula>"n/a"</formula>
    </cfRule>
  </conditionalFormatting>
  <conditionalFormatting sqref="C17:C22">
    <cfRule type="cellIs" dxfId="388" priority="22" operator="equal">
      <formula>"WIP (see comments)"</formula>
    </cfRule>
    <cfRule type="cellIs" dxfId="387" priority="23" operator="equal">
      <formula>"Removed"</formula>
    </cfRule>
    <cfRule type="cellIs" dxfId="386" priority="24" operator="equal">
      <formula>"Updated"</formula>
    </cfRule>
    <cfRule type="cellIs" dxfId="385" priority="25" operator="equal">
      <formula>"New"</formula>
    </cfRule>
  </conditionalFormatting>
  <conditionalFormatting sqref="C17:C22">
    <cfRule type="cellIs" dxfId="384" priority="18" operator="equal">
      <formula>"WIP (see comments)"</formula>
    </cfRule>
    <cfRule type="cellIs" dxfId="383" priority="19" operator="equal">
      <formula>"Removed"</formula>
    </cfRule>
    <cfRule type="cellIs" dxfId="382" priority="20" operator="equal">
      <formula>"Updated"</formula>
    </cfRule>
    <cfRule type="cellIs" dxfId="381" priority="21" operator="equal">
      <formula>"New"</formula>
    </cfRule>
  </conditionalFormatting>
  <conditionalFormatting sqref="A17:A22 C17:XFD17 C18:O22 Q18:XFD22">
    <cfRule type="cellIs" dxfId="380" priority="17" operator="equal">
      <formula>"n/a"</formula>
    </cfRule>
  </conditionalFormatting>
  <conditionalFormatting sqref="D23:XFD23">
    <cfRule type="cellIs" dxfId="379" priority="16" operator="equal">
      <formula>"n/a"</formula>
    </cfRule>
  </conditionalFormatting>
  <conditionalFormatting sqref="A23">
    <cfRule type="cellIs" dxfId="378" priority="15" operator="equal">
      <formula>"n/a"</formula>
    </cfRule>
  </conditionalFormatting>
  <conditionalFormatting sqref="C23">
    <cfRule type="cellIs" dxfId="377" priority="7" operator="equal">
      <formula>"WIP (see comments)"</formula>
    </cfRule>
    <cfRule type="cellIs" dxfId="376" priority="8" operator="equal">
      <formula>"Removed"</formula>
    </cfRule>
    <cfRule type="cellIs" dxfId="375" priority="9" operator="equal">
      <formula>"Updated"</formula>
    </cfRule>
    <cfRule type="cellIs" dxfId="374" priority="10" operator="equal">
      <formula>"New"</formula>
    </cfRule>
  </conditionalFormatting>
  <conditionalFormatting sqref="C23">
    <cfRule type="cellIs" dxfId="373" priority="11" operator="equal">
      <formula>"WIP (see comments)"</formula>
    </cfRule>
    <cfRule type="cellIs" dxfId="372" priority="12" operator="equal">
      <formula>"Removed"</formula>
    </cfRule>
    <cfRule type="cellIs" dxfId="371" priority="13" operator="equal">
      <formula>"Updated"</formula>
    </cfRule>
    <cfRule type="cellIs" dxfId="370" priority="14" operator="equal">
      <formula>"New"</formula>
    </cfRule>
  </conditionalFormatting>
  <conditionalFormatting sqref="C23">
    <cfRule type="cellIs" dxfId="369" priority="6" operator="equal">
      <formula>"n/a"</formula>
    </cfRule>
  </conditionalFormatting>
  <conditionalFormatting sqref="P18">
    <cfRule type="cellIs" dxfId="368" priority="5" operator="equal">
      <formula>"n/a"</formula>
    </cfRule>
  </conditionalFormatting>
  <conditionalFormatting sqref="P19">
    <cfRule type="cellIs" dxfId="367" priority="4" operator="equal">
      <formula>"n/a"</formula>
    </cfRule>
  </conditionalFormatting>
  <conditionalFormatting sqref="P20">
    <cfRule type="cellIs" dxfId="366" priority="3" operator="equal">
      <formula>"n/a"</formula>
    </cfRule>
  </conditionalFormatting>
  <conditionalFormatting sqref="P21">
    <cfRule type="cellIs" dxfId="365" priority="2" operator="equal">
      <formula>"n/a"</formula>
    </cfRule>
  </conditionalFormatting>
  <conditionalFormatting sqref="P22">
    <cfRule type="cellIs" dxfId="36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2" t="s">
        <v>7</v>
      </c>
      <c r="B1" s="96" t="s">
        <v>353</v>
      </c>
      <c r="C1" s="96"/>
      <c r="D1" s="31"/>
      <c r="E1" s="63"/>
      <c r="F1" s="63"/>
      <c r="G1" s="63"/>
      <c r="H1" s="63"/>
      <c r="I1" s="63"/>
      <c r="J1" s="63"/>
      <c r="K1" s="63"/>
      <c r="L1" s="63"/>
      <c r="M1" s="63"/>
      <c r="N1" s="63"/>
      <c r="O1" s="63"/>
      <c r="P1" s="63"/>
    </row>
    <row r="2" spans="1:16" ht="18.5" x14ac:dyDescent="0.35">
      <c r="A2" s="62" t="s">
        <v>8</v>
      </c>
      <c r="B2" s="97" t="s">
        <v>354</v>
      </c>
      <c r="C2" s="97"/>
      <c r="D2" s="87"/>
      <c r="E2" s="63"/>
      <c r="F2" s="63"/>
      <c r="G2" s="63"/>
      <c r="H2" s="63"/>
      <c r="I2" s="63"/>
      <c r="J2" s="63"/>
      <c r="K2" s="63"/>
      <c r="L2" s="63"/>
      <c r="M2" s="63"/>
      <c r="N2" s="63"/>
      <c r="O2" s="63"/>
      <c r="P2" s="63"/>
    </row>
    <row r="3" spans="1:16" ht="18.5" x14ac:dyDescent="0.35">
      <c r="A3" s="62" t="s">
        <v>45</v>
      </c>
      <c r="B3" s="97" t="s">
        <v>355</v>
      </c>
      <c r="C3" s="97"/>
      <c r="D3" s="87"/>
      <c r="E3" s="63"/>
      <c r="F3" s="63"/>
      <c r="G3" s="63"/>
      <c r="H3" s="63"/>
      <c r="I3" s="63"/>
      <c r="J3" s="63"/>
      <c r="K3" s="63"/>
      <c r="L3" s="63"/>
      <c r="M3" s="63"/>
      <c r="N3" s="63"/>
      <c r="O3" s="63"/>
      <c r="P3" s="63"/>
    </row>
    <row r="4" spans="1:16" ht="18.5" x14ac:dyDescent="0.35">
      <c r="A4" s="62" t="s">
        <v>9</v>
      </c>
      <c r="B4" s="97" t="s">
        <v>48</v>
      </c>
      <c r="C4" s="97"/>
      <c r="D4" s="63"/>
      <c r="E4" s="63"/>
      <c r="F4" s="63"/>
      <c r="G4" s="63"/>
      <c r="H4" s="63"/>
      <c r="I4" s="63"/>
      <c r="J4" s="63"/>
      <c r="K4" s="63"/>
      <c r="L4" s="63"/>
      <c r="M4" s="63"/>
      <c r="N4" s="63"/>
      <c r="O4" s="63"/>
      <c r="P4" s="63"/>
    </row>
    <row r="5" spans="1:16" x14ac:dyDescent="0.35">
      <c r="A5" s="66"/>
      <c r="B5" s="66"/>
      <c r="C5" s="67"/>
      <c r="D5" s="66"/>
      <c r="E5" s="66"/>
      <c r="F5" s="66"/>
      <c r="G5" s="66"/>
      <c r="H5" s="66"/>
      <c r="I5" s="66"/>
      <c r="J5" s="66"/>
      <c r="K5" s="66"/>
      <c r="L5" s="66"/>
      <c r="M5" s="66"/>
      <c r="N5" s="66"/>
      <c r="O5" s="66"/>
      <c r="P5" s="66"/>
    </row>
    <row r="6" spans="1:16" ht="22.5" customHeight="1"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58" customHeight="1" x14ac:dyDescent="0.35">
      <c r="A7" s="41">
        <v>1</v>
      </c>
      <c r="B7" s="41" t="str">
        <f>CONCATENATE($B$2, ".", A7)</f>
        <v>1A.1</v>
      </c>
      <c r="C7" s="50" t="s">
        <v>46</v>
      </c>
      <c r="D7" s="41"/>
      <c r="E7" s="41"/>
      <c r="F7" s="41" t="s">
        <v>37</v>
      </c>
      <c r="G7" s="41" t="s">
        <v>37</v>
      </c>
      <c r="H7" s="41" t="s">
        <v>37</v>
      </c>
      <c r="I7" s="41" t="s">
        <v>10</v>
      </c>
      <c r="J7" s="42" t="s">
        <v>37</v>
      </c>
      <c r="K7" s="42" t="s">
        <v>37</v>
      </c>
      <c r="L7" s="42" t="s">
        <v>37</v>
      </c>
      <c r="M7" s="42" t="s">
        <v>37</v>
      </c>
      <c r="N7" s="42" t="s">
        <v>37</v>
      </c>
      <c r="O7" s="42" t="s">
        <v>37</v>
      </c>
      <c r="P7" s="41" t="s">
        <v>300</v>
      </c>
    </row>
    <row r="8" spans="1:16" ht="29" customHeight="1" x14ac:dyDescent="0.35">
      <c r="A8" s="41">
        <v>2</v>
      </c>
      <c r="B8" s="41" t="str">
        <f t="shared" ref="B8:B9" si="0">CONCATENATE($B$2, ".", A8)</f>
        <v>1A.2</v>
      </c>
      <c r="C8" s="50"/>
      <c r="D8" s="41"/>
      <c r="E8" s="41"/>
      <c r="F8" s="41" t="s">
        <v>37</v>
      </c>
      <c r="G8" s="41" t="s">
        <v>37</v>
      </c>
      <c r="H8" s="41" t="s">
        <v>37</v>
      </c>
      <c r="I8" s="41" t="s">
        <v>10</v>
      </c>
      <c r="J8" s="42" t="s">
        <v>37</v>
      </c>
      <c r="K8" s="42" t="s">
        <v>37</v>
      </c>
      <c r="L8" s="42" t="s">
        <v>37</v>
      </c>
      <c r="M8" s="42" t="s">
        <v>37</v>
      </c>
      <c r="N8" s="42" t="s">
        <v>37</v>
      </c>
      <c r="O8" s="42" t="s">
        <v>37</v>
      </c>
      <c r="P8" s="41"/>
    </row>
    <row r="9" spans="1:16" ht="246.5" customHeight="1" x14ac:dyDescent="0.35">
      <c r="A9" s="41">
        <v>3</v>
      </c>
      <c r="B9" s="41" t="str">
        <f t="shared" si="0"/>
        <v>1A.3</v>
      </c>
      <c r="C9" s="50"/>
      <c r="D9" s="41"/>
      <c r="E9" s="41"/>
      <c r="F9" s="41" t="s">
        <v>37</v>
      </c>
      <c r="G9" s="41" t="s">
        <v>37</v>
      </c>
      <c r="H9" s="41" t="s">
        <v>37</v>
      </c>
      <c r="I9" s="41" t="s">
        <v>10</v>
      </c>
      <c r="J9" s="42" t="s">
        <v>37</v>
      </c>
      <c r="K9" s="42" t="s">
        <v>37</v>
      </c>
      <c r="L9" s="42" t="s">
        <v>37</v>
      </c>
      <c r="M9" s="42" t="s">
        <v>37</v>
      </c>
      <c r="N9" s="42" t="s">
        <v>37</v>
      </c>
      <c r="O9" s="42" t="s">
        <v>37</v>
      </c>
      <c r="P9" s="41"/>
    </row>
  </sheetData>
  <mergeCells count="4">
    <mergeCell ref="B4:C4"/>
    <mergeCell ref="B1:C1"/>
    <mergeCell ref="B2:C2"/>
    <mergeCell ref="B3:C3"/>
  </mergeCells>
  <conditionalFormatting sqref="C8:C9">
    <cfRule type="cellIs" dxfId="363" priority="7" operator="equal">
      <formula>"WIP (see comments)"</formula>
    </cfRule>
    <cfRule type="cellIs" dxfId="362" priority="8" operator="equal">
      <formula>"Removed"</formula>
    </cfRule>
    <cfRule type="cellIs" dxfId="361" priority="9" operator="equal">
      <formula>"Updated"</formula>
    </cfRule>
    <cfRule type="cellIs" dxfId="360" priority="10" operator="equal">
      <formula>"New"</formula>
    </cfRule>
  </conditionalFormatting>
  <conditionalFormatting sqref="C7:C9">
    <cfRule type="cellIs" dxfId="359" priority="3" operator="equal">
      <formula>"WIP (see comments)"</formula>
    </cfRule>
    <cfRule type="cellIs" dxfId="358" priority="4" operator="equal">
      <formula>"Removed"</formula>
    </cfRule>
    <cfRule type="cellIs" dxfId="357" priority="5" operator="equal">
      <formula>"Updated"</formula>
    </cfRule>
    <cfRule type="cellIs" dxfId="356" priority="6" operator="equal">
      <formula>"New"</formula>
    </cfRule>
  </conditionalFormatting>
  <conditionalFormatting sqref="E1:P1 A5:P9 A1:B4 D2:P4">
    <cfRule type="cellIs" dxfId="355" priority="2" operator="equal">
      <formula>"n/a"</formula>
    </cfRule>
  </conditionalFormatting>
  <conditionalFormatting sqref="D1">
    <cfRule type="cellIs" dxfId="354"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C7:C9</xm:sqref>
        </x14:dataValidation>
        <x14:dataValidation type="list" allowBlank="1" showInputMessage="1" showErrorMessage="1">
          <x14:formula1>
            <xm:f>'List Values'!$A$5:$A$26</xm:f>
          </x14:formula1>
          <xm:sqref>E7:E9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4"/>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360</v>
      </c>
      <c r="C1" s="34"/>
      <c r="D1" s="31"/>
    </row>
    <row r="2" spans="1:16" s="32" customFormat="1" ht="18.5" x14ac:dyDescent="0.35">
      <c r="A2" s="30" t="s">
        <v>8</v>
      </c>
      <c r="B2" s="88">
        <v>2</v>
      </c>
      <c r="C2" s="37"/>
      <c r="D2" s="88" t="s">
        <v>361</v>
      </c>
    </row>
    <row r="3" spans="1:16" s="32" customFormat="1" ht="18.5" x14ac:dyDescent="0.35">
      <c r="A3" s="30" t="s">
        <v>45</v>
      </c>
      <c r="B3" s="88" t="s">
        <v>295</v>
      </c>
      <c r="C3" s="37"/>
      <c r="D3" s="88"/>
    </row>
    <row r="4" spans="1:16" s="32" customFormat="1" ht="18.5" x14ac:dyDescent="0.35">
      <c r="A4" s="30" t="s">
        <v>9</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2.1</v>
      </c>
      <c r="C7" s="36" t="s">
        <v>46</v>
      </c>
      <c r="D7" s="41" t="s">
        <v>362</v>
      </c>
      <c r="E7" s="6" t="s">
        <v>29</v>
      </c>
      <c r="F7" s="6" t="s">
        <v>37</v>
      </c>
      <c r="G7" s="6" t="s">
        <v>37</v>
      </c>
      <c r="H7" s="6" t="s">
        <v>37</v>
      </c>
      <c r="I7" s="41" t="s">
        <v>10</v>
      </c>
      <c r="J7" s="5" t="s">
        <v>37</v>
      </c>
      <c r="K7" s="5" t="s">
        <v>37</v>
      </c>
      <c r="L7" s="5" t="s">
        <v>37</v>
      </c>
      <c r="M7" s="5" t="s">
        <v>37</v>
      </c>
      <c r="N7" s="5" t="s">
        <v>37</v>
      </c>
      <c r="O7" s="5" t="s">
        <v>37</v>
      </c>
      <c r="P7" s="6" t="s">
        <v>300</v>
      </c>
    </row>
    <row r="8" spans="1:16" x14ac:dyDescent="0.35">
      <c r="A8" s="6">
        <v>2</v>
      </c>
      <c r="B8" s="6" t="str">
        <f t="shared" si="0"/>
        <v>2.2</v>
      </c>
      <c r="C8" s="36" t="s">
        <v>40</v>
      </c>
      <c r="D8" s="41" t="s">
        <v>37</v>
      </c>
      <c r="E8" s="41" t="s">
        <v>50</v>
      </c>
      <c r="F8" s="6" t="s">
        <v>37</v>
      </c>
      <c r="G8" s="6" t="s">
        <v>37</v>
      </c>
      <c r="H8" s="6" t="s">
        <v>37</v>
      </c>
      <c r="I8" s="41" t="s">
        <v>10</v>
      </c>
      <c r="J8" s="5" t="s">
        <v>37</v>
      </c>
      <c r="K8" s="5" t="s">
        <v>37</v>
      </c>
      <c r="L8" s="5" t="s">
        <v>37</v>
      </c>
      <c r="M8" s="5" t="s">
        <v>37</v>
      </c>
      <c r="N8" s="5" t="s">
        <v>37</v>
      </c>
      <c r="O8" s="5" t="s">
        <v>37</v>
      </c>
    </row>
    <row r="9" spans="1:16" ht="43.5" x14ac:dyDescent="0.35">
      <c r="A9" s="6">
        <v>3</v>
      </c>
      <c r="B9" s="6" t="str">
        <f t="shared" si="0"/>
        <v>2.3</v>
      </c>
      <c r="C9" s="36" t="s">
        <v>46</v>
      </c>
      <c r="D9" s="41" t="s">
        <v>363</v>
      </c>
      <c r="E9" s="41" t="s">
        <v>32</v>
      </c>
      <c r="F9" s="6" t="s">
        <v>364</v>
      </c>
      <c r="G9" s="6" t="s">
        <v>37</v>
      </c>
      <c r="H9" s="6" t="s">
        <v>37</v>
      </c>
      <c r="I9" s="41" t="s">
        <v>10</v>
      </c>
      <c r="J9" s="5" t="s">
        <v>68</v>
      </c>
      <c r="K9" s="5" t="s">
        <v>55</v>
      </c>
      <c r="L9" s="5" t="s">
        <v>37</v>
      </c>
      <c r="M9" s="5" t="s">
        <v>37</v>
      </c>
      <c r="N9" s="5" t="s">
        <v>37</v>
      </c>
      <c r="O9" s="5" t="s">
        <v>37</v>
      </c>
      <c r="P9" s="6" t="s">
        <v>365</v>
      </c>
    </row>
    <row r="10" spans="1:16" ht="83.25" customHeight="1" x14ac:dyDescent="0.35">
      <c r="A10" s="6">
        <v>4</v>
      </c>
      <c r="B10" s="6" t="str">
        <f t="shared" si="0"/>
        <v>2.4</v>
      </c>
      <c r="C10" s="36" t="s">
        <v>46</v>
      </c>
      <c r="D10" s="41" t="s">
        <v>366</v>
      </c>
      <c r="E10" s="41" t="s">
        <v>34</v>
      </c>
      <c r="F10" s="6" t="s">
        <v>37</v>
      </c>
      <c r="G10" s="6" t="s">
        <v>37</v>
      </c>
      <c r="H10" s="6" t="s">
        <v>37</v>
      </c>
      <c r="I10" s="6" t="s">
        <v>367</v>
      </c>
      <c r="J10" s="5" t="s">
        <v>37</v>
      </c>
      <c r="K10" s="5" t="s">
        <v>37</v>
      </c>
      <c r="L10" s="5" t="s">
        <v>37</v>
      </c>
      <c r="M10" s="5" t="s">
        <v>37</v>
      </c>
      <c r="N10" s="5" t="s">
        <v>37</v>
      </c>
      <c r="O10" s="5" t="s">
        <v>368</v>
      </c>
      <c r="P10" s="6" t="s">
        <v>369</v>
      </c>
    </row>
    <row r="11" spans="1:16" ht="29" x14ac:dyDescent="0.35">
      <c r="A11" s="6">
        <v>5</v>
      </c>
      <c r="B11" s="6" t="str">
        <f>CONCATENATE($B$2, ".", A11)</f>
        <v>2.5</v>
      </c>
      <c r="C11" s="36" t="s">
        <v>46</v>
      </c>
      <c r="D11" s="41" t="s">
        <v>61</v>
      </c>
      <c r="E11" s="6" t="s">
        <v>43</v>
      </c>
      <c r="F11" s="6" t="s">
        <v>37</v>
      </c>
      <c r="G11" s="6" t="s">
        <v>37</v>
      </c>
      <c r="H11" s="6" t="s">
        <v>37</v>
      </c>
      <c r="I11" s="6" t="s">
        <v>370</v>
      </c>
      <c r="J11" s="6" t="s">
        <v>37</v>
      </c>
      <c r="K11" s="6" t="s">
        <v>37</v>
      </c>
      <c r="L11" s="6" t="s">
        <v>37</v>
      </c>
      <c r="M11" s="6" t="s">
        <v>37</v>
      </c>
      <c r="N11" s="6" t="s">
        <v>37</v>
      </c>
      <c r="O11" s="6" t="s">
        <v>371</v>
      </c>
      <c r="P11" s="6" t="s">
        <v>372</v>
      </c>
    </row>
    <row r="12" spans="1:16" ht="29" x14ac:dyDescent="0.35">
      <c r="A12" s="6">
        <v>6</v>
      </c>
      <c r="B12" s="6" t="str">
        <f t="shared" si="0"/>
        <v>2.6</v>
      </c>
      <c r="C12" s="36" t="s">
        <v>46</v>
      </c>
      <c r="D12" s="41" t="s">
        <v>60</v>
      </c>
      <c r="E12" s="6" t="s">
        <v>43</v>
      </c>
      <c r="F12" s="6" t="s">
        <v>37</v>
      </c>
      <c r="G12" s="6" t="s">
        <v>37</v>
      </c>
      <c r="H12" s="6" t="s">
        <v>37</v>
      </c>
      <c r="I12" s="6" t="s">
        <v>10</v>
      </c>
      <c r="J12" s="6" t="s">
        <v>37</v>
      </c>
      <c r="K12" s="6" t="s">
        <v>37</v>
      </c>
      <c r="L12" s="6" t="s">
        <v>37</v>
      </c>
      <c r="M12" s="6" t="s">
        <v>37</v>
      </c>
      <c r="N12" s="6" t="s">
        <v>37</v>
      </c>
      <c r="O12" s="6" t="s">
        <v>373</v>
      </c>
      <c r="P12" s="6" t="s">
        <v>372</v>
      </c>
    </row>
    <row r="13" spans="1:16" ht="91.5" customHeight="1" x14ac:dyDescent="0.35">
      <c r="A13" s="6">
        <v>7</v>
      </c>
      <c r="B13" s="6" t="str">
        <f t="shared" si="0"/>
        <v>2.7</v>
      </c>
      <c r="C13" s="36" t="s">
        <v>46</v>
      </c>
      <c r="D13" s="41" t="s">
        <v>374</v>
      </c>
      <c r="E13" s="6" t="s">
        <v>43</v>
      </c>
      <c r="F13" s="6" t="s">
        <v>37</v>
      </c>
      <c r="G13" s="6" t="s">
        <v>37</v>
      </c>
      <c r="H13" s="6" t="s">
        <v>37</v>
      </c>
      <c r="I13" s="6" t="s">
        <v>375</v>
      </c>
      <c r="J13" s="6" t="s">
        <v>37</v>
      </c>
      <c r="K13" s="6" t="s">
        <v>37</v>
      </c>
      <c r="L13" s="6" t="s">
        <v>37</v>
      </c>
      <c r="M13" s="6" t="s">
        <v>37</v>
      </c>
      <c r="N13" s="6" t="s">
        <v>37</v>
      </c>
      <c r="O13" s="6" t="s">
        <v>376</v>
      </c>
      <c r="P13" s="6" t="s">
        <v>377</v>
      </c>
    </row>
    <row r="14" spans="1:16" ht="91.5" customHeight="1" x14ac:dyDescent="0.35">
      <c r="A14" s="6">
        <v>8</v>
      </c>
      <c r="B14" s="6" t="str">
        <f t="shared" si="0"/>
        <v>2.8</v>
      </c>
      <c r="C14" s="36" t="s">
        <v>46</v>
      </c>
      <c r="D14" s="41" t="s">
        <v>378</v>
      </c>
      <c r="E14" s="6" t="s">
        <v>43</v>
      </c>
      <c r="F14" s="6" t="s">
        <v>37</v>
      </c>
      <c r="G14" s="6" t="s">
        <v>37</v>
      </c>
      <c r="H14" s="6" t="s">
        <v>37</v>
      </c>
      <c r="I14" s="6" t="s">
        <v>379</v>
      </c>
      <c r="J14" s="6" t="s">
        <v>37</v>
      </c>
      <c r="K14" s="6" t="s">
        <v>37</v>
      </c>
      <c r="L14" s="6" t="s">
        <v>37</v>
      </c>
      <c r="M14" s="6" t="s">
        <v>37</v>
      </c>
      <c r="N14" s="6" t="s">
        <v>37</v>
      </c>
      <c r="O14" s="6" t="s">
        <v>380</v>
      </c>
      <c r="P14" s="6" t="s">
        <v>377</v>
      </c>
    </row>
  </sheetData>
  <conditionalFormatting sqref="C7:C1048576">
    <cfRule type="cellIs" dxfId="353" priority="2" operator="equal">
      <formula>"WIP (see comments)"</formula>
    </cfRule>
    <cfRule type="cellIs" dxfId="352" priority="3" operator="equal">
      <formula>"Removed"</formula>
    </cfRule>
    <cfRule type="cellIs" dxfId="351" priority="4" operator="equal">
      <formula>"Updated"</formula>
    </cfRule>
    <cfRule type="cellIs" dxfId="350" priority="5" operator="equal">
      <formula>"New"</formula>
    </cfRule>
  </conditionalFormatting>
  <conditionalFormatting sqref="A1:XFD1048576">
    <cfRule type="cellIs" dxfId="349"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tabSelected="1"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47</v>
      </c>
      <c r="C1" s="96"/>
      <c r="D1" s="31"/>
    </row>
    <row r="2" spans="1:16" s="63" customFormat="1" ht="18.5" x14ac:dyDescent="0.35">
      <c r="A2" s="62" t="s">
        <v>8</v>
      </c>
      <c r="B2" s="96">
        <v>2</v>
      </c>
      <c r="C2" s="96"/>
      <c r="D2" s="64"/>
    </row>
    <row r="3" spans="1:16" s="63" customFormat="1" ht="18.5" x14ac:dyDescent="0.35">
      <c r="A3" s="62" t="s">
        <v>45</v>
      </c>
      <c r="B3" s="96" t="s">
        <v>399</v>
      </c>
      <c r="C3" s="96"/>
      <c r="D3" s="64" t="s">
        <v>428</v>
      </c>
    </row>
    <row r="4" spans="1:16" s="63" customFormat="1" ht="18.5" x14ac:dyDescent="0.35">
      <c r="A4" s="62" t="s">
        <v>9</v>
      </c>
      <c r="B4" s="96" t="s">
        <v>48</v>
      </c>
      <c r="C4" s="96"/>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41">
        <v>1</v>
      </c>
      <c r="B7" s="41" t="str">
        <f t="shared" ref="B7:B14" si="0">CONCATENATE($B$2, ".", A7)</f>
        <v>2.1</v>
      </c>
      <c r="C7" s="50" t="s">
        <v>40</v>
      </c>
      <c r="D7" s="41" t="s">
        <v>320</v>
      </c>
      <c r="E7" s="41" t="s">
        <v>29</v>
      </c>
      <c r="F7" s="41" t="s">
        <v>37</v>
      </c>
      <c r="G7" s="41" t="s">
        <v>37</v>
      </c>
      <c r="H7" s="41" t="s">
        <v>37</v>
      </c>
      <c r="I7" s="41" t="s">
        <v>10</v>
      </c>
      <c r="J7" s="42" t="s">
        <v>37</v>
      </c>
      <c r="K7" s="42" t="s">
        <v>37</v>
      </c>
      <c r="L7" s="42" t="s">
        <v>37</v>
      </c>
      <c r="M7" s="42" t="s">
        <v>37</v>
      </c>
      <c r="N7" s="42" t="s">
        <v>37</v>
      </c>
      <c r="O7" s="42" t="s">
        <v>37</v>
      </c>
    </row>
    <row r="8" spans="1:16" x14ac:dyDescent="0.35">
      <c r="A8" s="41">
        <v>2</v>
      </c>
      <c r="B8" s="41" t="str">
        <f t="shared" si="0"/>
        <v>2.2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56.25" customHeight="1" x14ac:dyDescent="0.35">
      <c r="A9" s="41">
        <v>3</v>
      </c>
      <c r="B9" s="41" t="str">
        <f t="shared" si="0"/>
        <v>2.3</v>
      </c>
      <c r="C9" s="50" t="s">
        <v>40</v>
      </c>
      <c r="D9" s="41" t="s">
        <v>240</v>
      </c>
      <c r="E9" s="41" t="s">
        <v>115</v>
      </c>
      <c r="F9" s="41" t="s">
        <v>37</v>
      </c>
      <c r="G9" s="41" t="s">
        <v>37</v>
      </c>
      <c r="H9" s="41" t="s">
        <v>37</v>
      </c>
      <c r="I9" s="41" t="s">
        <v>10</v>
      </c>
      <c r="J9" s="42" t="s">
        <v>37</v>
      </c>
      <c r="K9" s="42" t="s">
        <v>37</v>
      </c>
      <c r="L9" s="42" t="s">
        <v>37</v>
      </c>
      <c r="M9" s="42" t="s">
        <v>37</v>
      </c>
      <c r="N9" s="42" t="s">
        <v>37</v>
      </c>
      <c r="O9" s="42" t="s">
        <v>108</v>
      </c>
    </row>
    <row r="10" spans="1:16" ht="120.75" customHeight="1" x14ac:dyDescent="0.35">
      <c r="A10" s="41">
        <v>4</v>
      </c>
      <c r="B10" s="41" t="str">
        <f t="shared" si="0"/>
        <v>2.4</v>
      </c>
      <c r="C10" s="50" t="s">
        <v>40</v>
      </c>
      <c r="D10" s="41" t="s">
        <v>51</v>
      </c>
      <c r="E10" s="41" t="s">
        <v>33</v>
      </c>
      <c r="F10" s="41" t="s">
        <v>53</v>
      </c>
      <c r="G10" s="41" t="s">
        <v>244</v>
      </c>
      <c r="H10" s="41" t="s">
        <v>54</v>
      </c>
      <c r="I10" s="41" t="s">
        <v>10</v>
      </c>
      <c r="J10" s="42" t="s">
        <v>37</v>
      </c>
      <c r="K10" s="42" t="s">
        <v>55</v>
      </c>
      <c r="L10" s="42" t="s">
        <v>58</v>
      </c>
      <c r="M10" s="42" t="s">
        <v>116</v>
      </c>
      <c r="N10" s="42" t="s">
        <v>58</v>
      </c>
      <c r="O10" s="42" t="s">
        <v>37</v>
      </c>
    </row>
    <row r="11" spans="1:16" ht="149.25" customHeight="1" x14ac:dyDescent="0.35">
      <c r="A11" s="41">
        <v>5</v>
      </c>
      <c r="B11" s="41" t="str">
        <f t="shared" si="0"/>
        <v>2.5</v>
      </c>
      <c r="C11" s="50" t="s">
        <v>40</v>
      </c>
      <c r="D11" s="41" t="s">
        <v>117</v>
      </c>
      <c r="E11" s="41" t="s">
        <v>33</v>
      </c>
      <c r="F11" s="41" t="s">
        <v>52</v>
      </c>
      <c r="G11" s="41" t="s">
        <v>118</v>
      </c>
      <c r="H11" s="41" t="s">
        <v>56</v>
      </c>
      <c r="I11" s="41" t="s">
        <v>10</v>
      </c>
      <c r="J11" s="42" t="s">
        <v>37</v>
      </c>
      <c r="K11" s="41" t="s">
        <v>55</v>
      </c>
      <c r="L11" s="41" t="s">
        <v>59</v>
      </c>
      <c r="M11" s="41" t="s">
        <v>57</v>
      </c>
      <c r="N11" s="41" t="s">
        <v>59</v>
      </c>
      <c r="O11" s="42" t="s">
        <v>37</v>
      </c>
    </row>
    <row r="12" spans="1:16" ht="149.25" customHeight="1" x14ac:dyDescent="0.35">
      <c r="A12" s="41">
        <v>6</v>
      </c>
      <c r="B12" s="41" t="str">
        <f t="shared" si="0"/>
        <v>2.6</v>
      </c>
      <c r="C12" s="50" t="s">
        <v>40</v>
      </c>
      <c r="D12" s="41" t="s">
        <v>37</v>
      </c>
      <c r="E12" s="41" t="s">
        <v>234</v>
      </c>
      <c r="F12" s="41" t="s">
        <v>37</v>
      </c>
      <c r="G12" s="41" t="s">
        <v>37</v>
      </c>
      <c r="H12" s="41" t="s">
        <v>37</v>
      </c>
      <c r="I12" s="41" t="s">
        <v>235</v>
      </c>
      <c r="J12" s="42" t="s">
        <v>37</v>
      </c>
      <c r="K12" s="41" t="s">
        <v>55</v>
      </c>
      <c r="L12" s="41" t="s">
        <v>236</v>
      </c>
      <c r="M12" s="41" t="s">
        <v>37</v>
      </c>
      <c r="N12" s="41" t="s">
        <v>237</v>
      </c>
      <c r="O12" s="42"/>
    </row>
    <row r="13" spans="1:16" ht="105" customHeight="1" x14ac:dyDescent="0.35">
      <c r="A13" s="41">
        <v>7</v>
      </c>
      <c r="B13" s="41" t="str">
        <f>CONCATENATE($B$2, ".", A13)</f>
        <v>2.7</v>
      </c>
      <c r="C13" s="50" t="s">
        <v>38</v>
      </c>
      <c r="D13" s="41" t="s">
        <v>61</v>
      </c>
      <c r="E13" s="41" t="s">
        <v>43</v>
      </c>
      <c r="F13" s="41" t="s">
        <v>37</v>
      </c>
      <c r="G13" s="41" t="s">
        <v>37</v>
      </c>
      <c r="H13" s="41" t="s">
        <v>37</v>
      </c>
      <c r="I13" s="41" t="s">
        <v>259</v>
      </c>
      <c r="J13" s="41" t="s">
        <v>37</v>
      </c>
      <c r="K13" s="41" t="s">
        <v>37</v>
      </c>
      <c r="L13" s="41" t="s">
        <v>37</v>
      </c>
      <c r="M13" s="41" t="s">
        <v>37</v>
      </c>
      <c r="N13" s="41" t="s">
        <v>37</v>
      </c>
      <c r="O13" s="41" t="s">
        <v>421</v>
      </c>
    </row>
    <row r="14" spans="1:16" ht="29" x14ac:dyDescent="0.35">
      <c r="A14" s="41">
        <v>8</v>
      </c>
      <c r="B14" s="41" t="str">
        <f t="shared" si="0"/>
        <v>2.8</v>
      </c>
      <c r="C14" s="50" t="s">
        <v>46</v>
      </c>
      <c r="D14" s="41" t="s">
        <v>60</v>
      </c>
      <c r="E14" s="41" t="s">
        <v>43</v>
      </c>
      <c r="F14" s="41" t="s">
        <v>37</v>
      </c>
      <c r="G14" s="41" t="s">
        <v>37</v>
      </c>
      <c r="H14" s="41" t="s">
        <v>37</v>
      </c>
      <c r="I14" s="41" t="s">
        <v>10</v>
      </c>
      <c r="J14" s="41" t="s">
        <v>37</v>
      </c>
      <c r="K14" s="41" t="s">
        <v>37</v>
      </c>
      <c r="L14" s="41" t="s">
        <v>37</v>
      </c>
      <c r="M14" s="41" t="s">
        <v>37</v>
      </c>
      <c r="N14" s="41" t="s">
        <v>37</v>
      </c>
      <c r="O14" s="41" t="s">
        <v>395</v>
      </c>
      <c r="P14" s="41" t="s">
        <v>422</v>
      </c>
    </row>
  </sheetData>
  <mergeCells count="4">
    <mergeCell ref="B1:C1"/>
    <mergeCell ref="B2:C2"/>
    <mergeCell ref="B3:C3"/>
    <mergeCell ref="B4:C4"/>
  </mergeCells>
  <conditionalFormatting sqref="C7:C1048576">
    <cfRule type="cellIs" dxfId="348" priority="18" operator="equal">
      <formula>"WIP (see comments)"</formula>
    </cfRule>
    <cfRule type="cellIs" dxfId="347" priority="19" operator="equal">
      <formula>"Removed"</formula>
    </cfRule>
    <cfRule type="cellIs" dxfId="346" priority="20" operator="equal">
      <formula>"Updated"</formula>
    </cfRule>
    <cfRule type="cellIs" dxfId="345" priority="21" operator="equal">
      <formula>"New"</formula>
    </cfRule>
  </conditionalFormatting>
  <conditionalFormatting sqref="A5:XFD9 Q10:XFD10 A12:XFD1048576 A11:N11 P11:XFD11 A1:B1 E1:XFD1 C8:C14 A2:A4 D2:XFD4">
    <cfRule type="cellIs" dxfId="344" priority="9" operator="equal">
      <formula>"n/a"</formula>
    </cfRule>
  </conditionalFormatting>
  <conditionalFormatting sqref="A10:B10 D10:P10">
    <cfRule type="cellIs" dxfId="343" priority="4" operator="equal">
      <formula>"n/a"</formula>
    </cfRule>
  </conditionalFormatting>
  <conditionalFormatting sqref="O11">
    <cfRule type="cellIs" dxfId="342" priority="3" operator="equal">
      <formula>"n/a"</formula>
    </cfRule>
  </conditionalFormatting>
  <conditionalFormatting sqref="D1">
    <cfRule type="cellIs" dxfId="341" priority="2" operator="equal">
      <formula>"n/a"</formula>
    </cfRule>
  </conditionalFormatting>
  <conditionalFormatting sqref="B2:B4">
    <cfRule type="cellIs" dxfId="340"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C12" sqref="C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344</v>
      </c>
      <c r="C1" s="98"/>
      <c r="D1" s="31"/>
    </row>
    <row r="2" spans="1:16" s="32" customFormat="1" ht="18.5" x14ac:dyDescent="0.35">
      <c r="A2" s="30" t="s">
        <v>8</v>
      </c>
      <c r="B2" s="99">
        <v>3</v>
      </c>
      <c r="C2" s="99"/>
      <c r="D2" s="38"/>
    </row>
    <row r="3" spans="1:16" s="32" customFormat="1" ht="18.5" x14ac:dyDescent="0.35">
      <c r="A3" s="30" t="s">
        <v>45</v>
      </c>
      <c r="B3" s="99" t="s">
        <v>420</v>
      </c>
      <c r="C3" s="99"/>
      <c r="D3" s="89" t="s">
        <v>429</v>
      </c>
    </row>
    <row r="4" spans="1:16" s="32" customFormat="1" ht="18.5" x14ac:dyDescent="0.35">
      <c r="A4" s="30" t="s">
        <v>9</v>
      </c>
      <c r="B4" s="99" t="s">
        <v>285</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2" si="0">CONCATENATE($B$2, ".", A7)</f>
        <v>3.1</v>
      </c>
      <c r="C7" s="50" t="s">
        <v>40</v>
      </c>
      <c r="D7" s="42" t="s">
        <v>423</v>
      </c>
      <c r="E7" s="42" t="s">
        <v>143</v>
      </c>
      <c r="F7" s="5" t="s">
        <v>37</v>
      </c>
      <c r="G7" s="5" t="s">
        <v>37</v>
      </c>
      <c r="H7" s="90" t="s">
        <v>37</v>
      </c>
      <c r="I7" s="42" t="s">
        <v>10</v>
      </c>
      <c r="J7" s="5" t="s">
        <v>37</v>
      </c>
      <c r="K7" s="5" t="s">
        <v>37</v>
      </c>
      <c r="L7" s="5" t="s">
        <v>37</v>
      </c>
      <c r="M7" s="5" t="s">
        <v>37</v>
      </c>
      <c r="N7" s="5" t="s">
        <v>37</v>
      </c>
      <c r="O7" s="5"/>
    </row>
    <row r="8" spans="1:16" ht="91" customHeight="1" x14ac:dyDescent="0.35">
      <c r="A8" s="6">
        <v>2</v>
      </c>
      <c r="B8" s="6" t="str">
        <f t="shared" si="0"/>
        <v>3.2</v>
      </c>
      <c r="C8" s="50" t="s">
        <v>40</v>
      </c>
      <c r="D8" s="47" t="s">
        <v>427</v>
      </c>
      <c r="E8" s="42" t="s">
        <v>34</v>
      </c>
      <c r="F8" s="5" t="s">
        <v>37</v>
      </c>
      <c r="G8" s="5" t="s">
        <v>37</v>
      </c>
      <c r="H8" s="90" t="s">
        <v>37</v>
      </c>
      <c r="I8" s="42" t="s">
        <v>10</v>
      </c>
      <c r="J8" s="5" t="s">
        <v>37</v>
      </c>
      <c r="K8" s="5" t="s">
        <v>37</v>
      </c>
      <c r="L8" s="5" t="s">
        <v>37</v>
      </c>
      <c r="M8" s="5" t="s">
        <v>37</v>
      </c>
      <c r="N8" s="5" t="s">
        <v>37</v>
      </c>
      <c r="O8" s="5"/>
    </row>
    <row r="9" spans="1:16" ht="13" customHeight="1" x14ac:dyDescent="0.35">
      <c r="A9" s="6">
        <v>3</v>
      </c>
      <c r="B9" s="6" t="str">
        <f t="shared" si="0"/>
        <v>3.3</v>
      </c>
      <c r="C9" s="50" t="s">
        <v>40</v>
      </c>
      <c r="D9" s="5" t="s">
        <v>214</v>
      </c>
      <c r="E9" s="42" t="s">
        <v>33</v>
      </c>
      <c r="F9" s="5" t="s">
        <v>37</v>
      </c>
      <c r="G9" s="5" t="s">
        <v>37</v>
      </c>
      <c r="H9" s="90" t="s">
        <v>37</v>
      </c>
      <c r="I9" s="42" t="s">
        <v>10</v>
      </c>
      <c r="J9" s="5" t="s">
        <v>37</v>
      </c>
      <c r="K9" s="5" t="s">
        <v>37</v>
      </c>
      <c r="L9" s="5" t="s">
        <v>37</v>
      </c>
      <c r="M9" s="5" t="s">
        <v>37</v>
      </c>
      <c r="N9" s="5" t="s">
        <v>37</v>
      </c>
      <c r="O9" s="5"/>
    </row>
    <row r="10" spans="1:16" ht="71.5" customHeight="1" x14ac:dyDescent="0.35">
      <c r="A10" s="6">
        <v>4</v>
      </c>
      <c r="B10" s="6" t="str">
        <f t="shared" si="0"/>
        <v>3.4</v>
      </c>
      <c r="C10" s="50" t="s">
        <v>40</v>
      </c>
      <c r="D10" s="5" t="s">
        <v>424</v>
      </c>
      <c r="E10" s="5" t="s">
        <v>43</v>
      </c>
      <c r="F10" s="5" t="s">
        <v>37</v>
      </c>
      <c r="G10" s="5" t="s">
        <v>37</v>
      </c>
      <c r="H10" s="90" t="s">
        <v>37</v>
      </c>
      <c r="I10" s="42" t="s">
        <v>10</v>
      </c>
      <c r="J10" s="5" t="s">
        <v>37</v>
      </c>
      <c r="K10" s="5" t="s">
        <v>37</v>
      </c>
      <c r="L10" s="5" t="s">
        <v>37</v>
      </c>
      <c r="M10" s="5" t="s">
        <v>37</v>
      </c>
      <c r="N10" s="5" t="s">
        <v>37</v>
      </c>
      <c r="O10" s="42" t="s">
        <v>218</v>
      </c>
    </row>
    <row r="11" spans="1:16" ht="29" x14ac:dyDescent="0.35">
      <c r="A11" s="6">
        <v>5</v>
      </c>
      <c r="B11" s="6" t="str">
        <f t="shared" si="0"/>
        <v>3.5</v>
      </c>
      <c r="C11" s="50" t="s">
        <v>38</v>
      </c>
      <c r="D11" s="5" t="s">
        <v>215</v>
      </c>
      <c r="E11" s="5" t="s">
        <v>43</v>
      </c>
      <c r="F11" s="5" t="s">
        <v>37</v>
      </c>
      <c r="G11" s="5" t="s">
        <v>37</v>
      </c>
      <c r="H11" s="90" t="s">
        <v>37</v>
      </c>
      <c r="I11" s="42" t="s">
        <v>10</v>
      </c>
      <c r="J11" s="5" t="s">
        <v>37</v>
      </c>
      <c r="K11" s="5" t="s">
        <v>37</v>
      </c>
      <c r="L11" s="5" t="s">
        <v>37</v>
      </c>
      <c r="M11" s="5" t="s">
        <v>37</v>
      </c>
      <c r="N11" s="5" t="s">
        <v>37</v>
      </c>
      <c r="O11" s="41" t="s">
        <v>425</v>
      </c>
    </row>
    <row r="12" spans="1:16" x14ac:dyDescent="0.35">
      <c r="A12" s="6">
        <v>6</v>
      </c>
      <c r="B12" s="6" t="str">
        <f t="shared" si="0"/>
        <v>3.6</v>
      </c>
      <c r="C12" s="50" t="s">
        <v>38</v>
      </c>
      <c r="D12" s="41" t="s">
        <v>60</v>
      </c>
      <c r="E12" s="41" t="s">
        <v>43</v>
      </c>
      <c r="F12" s="41" t="s">
        <v>37</v>
      </c>
      <c r="G12" s="41" t="s">
        <v>37</v>
      </c>
      <c r="H12" s="50" t="s">
        <v>37</v>
      </c>
      <c r="I12" s="41" t="s">
        <v>10</v>
      </c>
      <c r="J12" s="41" t="s">
        <v>37</v>
      </c>
      <c r="K12" s="41" t="s">
        <v>37</v>
      </c>
      <c r="L12" s="41" t="s">
        <v>37</v>
      </c>
      <c r="M12" s="41" t="s">
        <v>37</v>
      </c>
      <c r="N12" s="41" t="s">
        <v>37</v>
      </c>
      <c r="O12" s="41" t="s">
        <v>426</v>
      </c>
    </row>
  </sheetData>
  <mergeCells count="4">
    <mergeCell ref="B1:C1"/>
    <mergeCell ref="B2:C2"/>
    <mergeCell ref="B3:C3"/>
    <mergeCell ref="B4:C4"/>
  </mergeCells>
  <conditionalFormatting sqref="C13:C1048576">
    <cfRule type="cellIs" dxfId="339" priority="15" operator="equal">
      <formula>"WIP (see comments)"</formula>
    </cfRule>
    <cfRule type="cellIs" dxfId="338" priority="16" operator="equal">
      <formula>"Removed"</formula>
    </cfRule>
    <cfRule type="cellIs" dxfId="337" priority="17" operator="equal">
      <formula>"Updated"</formula>
    </cfRule>
    <cfRule type="cellIs" dxfId="336" priority="18" operator="equal">
      <formula>"New"</formula>
    </cfRule>
  </conditionalFormatting>
  <conditionalFormatting sqref="A1:B4 D1:XFD2 A5:XFD6 A13:XFD1048576 P7:XFD12 A7:B12 D4:XFD4 E3:XFD3">
    <cfRule type="cellIs" dxfId="335" priority="14" operator="equal">
      <formula>"n/a"</formula>
    </cfRule>
  </conditionalFormatting>
  <conditionalFormatting sqref="C7:C12">
    <cfRule type="cellIs" dxfId="334" priority="10" operator="equal">
      <formula>"WIP (see comments)"</formula>
    </cfRule>
    <cfRule type="cellIs" dxfId="333" priority="11" operator="equal">
      <formula>"Removed"</formula>
    </cfRule>
    <cfRule type="cellIs" dxfId="332" priority="12" operator="equal">
      <formula>"Updated"</formula>
    </cfRule>
    <cfRule type="cellIs" dxfId="331" priority="13" operator="equal">
      <formula>"New"</formula>
    </cfRule>
  </conditionalFormatting>
  <conditionalFormatting sqref="C7:C12">
    <cfRule type="cellIs" dxfId="330" priority="9" operator="equal">
      <formula>"n/a"</formula>
    </cfRule>
  </conditionalFormatting>
  <conditionalFormatting sqref="D8:D9">
    <cfRule type="cellIs" dxfId="329" priority="8" operator="equal">
      <formula>"-"</formula>
    </cfRule>
  </conditionalFormatting>
  <conditionalFormatting sqref="D8:O9">
    <cfRule type="cellIs" dxfId="328" priority="7" operator="equal">
      <formula>"n/a"</formula>
    </cfRule>
  </conditionalFormatting>
  <conditionalFormatting sqref="D7:O7">
    <cfRule type="cellIs" dxfId="327" priority="6" operator="equal">
      <formula>"n/a"</formula>
    </cfRule>
  </conditionalFormatting>
  <conditionalFormatting sqref="D11:N11">
    <cfRule type="cellIs" dxfId="326" priority="5" operator="equal">
      <formula>"n/a"</formula>
    </cfRule>
  </conditionalFormatting>
  <conditionalFormatting sqref="D10:O10">
    <cfRule type="cellIs" dxfId="325" priority="4" operator="equal">
      <formula>"n/a"</formula>
    </cfRule>
  </conditionalFormatting>
  <conditionalFormatting sqref="D12:O12">
    <cfRule type="cellIs" dxfId="324" priority="3" operator="equal">
      <formula>"n/a"</formula>
    </cfRule>
  </conditionalFormatting>
  <conditionalFormatting sqref="O11">
    <cfRule type="cellIs" dxfId="323" priority="2" operator="equal">
      <formula>"n/a"</formula>
    </cfRule>
  </conditionalFormatting>
  <conditionalFormatting sqref="D3">
    <cfRule type="cellIs" dxfId="322" priority="1" operator="equal">
      <formula>"n/a"</formula>
    </cfRule>
  </conditionalFormatting>
  <dataValidations count="1">
    <dataValidation type="list" allowBlank="1" showInputMessage="1" showErrorMessage="1" sqref="E10 E12">
      <formula1>$A$5:$A$26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Values'!$A$5:$A$26</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'C:\Users\hicksi\Documents\Small Business DCO\Field Specs\Archive\[Small Business DCO Primary Applicant Field Spec v0.1 WIP.xlsx]List Values'!#REF!</xm:f>
          </x14:formula1>
          <xm:sqref>E7:E9 E11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A14" sqref="A1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317</v>
      </c>
      <c r="C1" s="98"/>
      <c r="D1" s="31"/>
    </row>
    <row r="2" spans="1:16" s="32" customFormat="1" ht="18.5" x14ac:dyDescent="0.35">
      <c r="A2" s="30" t="s">
        <v>8</v>
      </c>
      <c r="B2" s="99">
        <v>4</v>
      </c>
      <c r="C2" s="99"/>
      <c r="D2" s="38"/>
    </row>
    <row r="3" spans="1:16" s="32" customFormat="1" ht="18.5" x14ac:dyDescent="0.35">
      <c r="A3" s="30" t="s">
        <v>45</v>
      </c>
      <c r="B3" s="99" t="s">
        <v>408</v>
      </c>
      <c r="C3" s="99"/>
      <c r="D3" s="38"/>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4" si="0">CONCATENATE($B$2, ".", A7)</f>
        <v>4.1</v>
      </c>
      <c r="C7" s="50" t="s">
        <v>42</v>
      </c>
      <c r="D7" s="41" t="s">
        <v>400</v>
      </c>
      <c r="E7" s="41" t="s">
        <v>34</v>
      </c>
      <c r="F7" s="41" t="s">
        <v>37</v>
      </c>
      <c r="G7" s="41" t="s">
        <v>37</v>
      </c>
      <c r="H7" s="41" t="s">
        <v>37</v>
      </c>
      <c r="I7" s="41" t="s">
        <v>10</v>
      </c>
      <c r="J7" s="42" t="s">
        <v>37</v>
      </c>
      <c r="K7" s="42" t="s">
        <v>37</v>
      </c>
      <c r="L7" s="42" t="s">
        <v>37</v>
      </c>
      <c r="M7" s="42" t="s">
        <v>37</v>
      </c>
      <c r="N7" s="42" t="s">
        <v>37</v>
      </c>
      <c r="O7" s="42" t="s">
        <v>37</v>
      </c>
      <c r="P7" s="41" t="s">
        <v>300</v>
      </c>
    </row>
    <row r="8" spans="1:16" ht="72.5" x14ac:dyDescent="0.35">
      <c r="A8" s="6">
        <v>2</v>
      </c>
      <c r="B8" s="6" t="str">
        <f t="shared" si="0"/>
        <v>4.2</v>
      </c>
      <c r="C8" s="50" t="s">
        <v>42</v>
      </c>
      <c r="D8" s="41" t="s">
        <v>401</v>
      </c>
      <c r="E8" s="41" t="s">
        <v>34</v>
      </c>
      <c r="F8" s="41" t="s">
        <v>37</v>
      </c>
      <c r="G8" s="41" t="s">
        <v>37</v>
      </c>
      <c r="H8" s="41" t="s">
        <v>37</v>
      </c>
      <c r="I8" s="41" t="s">
        <v>10</v>
      </c>
      <c r="J8" s="42" t="s">
        <v>37</v>
      </c>
      <c r="K8" s="42" t="s">
        <v>37</v>
      </c>
      <c r="L8" s="42" t="s">
        <v>37</v>
      </c>
      <c r="M8" s="42" t="s">
        <v>37</v>
      </c>
      <c r="N8" s="42" t="s">
        <v>37</v>
      </c>
      <c r="O8" s="42" t="s">
        <v>37</v>
      </c>
      <c r="P8" s="41" t="s">
        <v>300</v>
      </c>
    </row>
    <row r="9" spans="1:16" ht="43.5" x14ac:dyDescent="0.35">
      <c r="A9" s="6">
        <v>3</v>
      </c>
      <c r="B9" s="6" t="str">
        <f t="shared" si="0"/>
        <v>4.3</v>
      </c>
      <c r="C9" s="50" t="s">
        <v>42</v>
      </c>
      <c r="D9" s="49" t="s">
        <v>402</v>
      </c>
      <c r="E9" s="41" t="s">
        <v>30</v>
      </c>
      <c r="F9" s="41" t="s">
        <v>65</v>
      </c>
      <c r="G9" s="41" t="s">
        <v>393</v>
      </c>
      <c r="H9" s="41" t="s">
        <v>37</v>
      </c>
      <c r="I9" s="41" t="s">
        <v>10</v>
      </c>
      <c r="J9" s="42" t="s">
        <v>109</v>
      </c>
      <c r="K9" s="42" t="s">
        <v>91</v>
      </c>
      <c r="L9" s="42"/>
      <c r="M9" s="42" t="s">
        <v>37</v>
      </c>
      <c r="N9" s="42" t="s">
        <v>37</v>
      </c>
      <c r="O9" s="42" t="s">
        <v>37</v>
      </c>
      <c r="P9" s="41" t="s">
        <v>396</v>
      </c>
    </row>
    <row r="10" spans="1:16" ht="29" x14ac:dyDescent="0.35">
      <c r="A10" s="6">
        <v>4</v>
      </c>
      <c r="B10" s="6" t="str">
        <f t="shared" si="0"/>
        <v>4.4</v>
      </c>
      <c r="C10" s="50" t="s">
        <v>42</v>
      </c>
      <c r="D10" s="55" t="s">
        <v>403</v>
      </c>
      <c r="E10" s="41" t="s">
        <v>30</v>
      </c>
      <c r="F10" s="41" t="s">
        <v>65</v>
      </c>
      <c r="G10" s="41" t="s">
        <v>393</v>
      </c>
      <c r="H10" s="41" t="s">
        <v>37</v>
      </c>
      <c r="I10" s="41" t="s">
        <v>10</v>
      </c>
      <c r="J10" s="42" t="s">
        <v>109</v>
      </c>
      <c r="K10" s="42" t="s">
        <v>91</v>
      </c>
      <c r="L10" s="42"/>
      <c r="M10" s="42" t="s">
        <v>37</v>
      </c>
      <c r="N10" s="42" t="s">
        <v>37</v>
      </c>
      <c r="O10" s="42" t="s">
        <v>37</v>
      </c>
      <c r="P10" s="41" t="s">
        <v>396</v>
      </c>
    </row>
    <row r="11" spans="1:16" ht="72.5" x14ac:dyDescent="0.35">
      <c r="A11" s="6">
        <v>5</v>
      </c>
      <c r="B11" s="6" t="str">
        <f>CONCATENATE($B$2, ".", A11)</f>
        <v>4.5</v>
      </c>
      <c r="C11" s="50" t="s">
        <v>42</v>
      </c>
      <c r="D11" s="49" t="s">
        <v>407</v>
      </c>
      <c r="E11" s="41" t="s">
        <v>30</v>
      </c>
      <c r="F11" s="41" t="s">
        <v>65</v>
      </c>
      <c r="G11" s="41" t="s">
        <v>393</v>
      </c>
      <c r="H11" s="41" t="s">
        <v>37</v>
      </c>
      <c r="I11" s="41" t="s">
        <v>10</v>
      </c>
      <c r="J11" s="42" t="s">
        <v>109</v>
      </c>
      <c r="K11" s="42" t="s">
        <v>91</v>
      </c>
      <c r="L11" s="42"/>
      <c r="M11" s="42" t="s">
        <v>37</v>
      </c>
      <c r="N11" s="42" t="s">
        <v>37</v>
      </c>
      <c r="O11" s="42" t="s">
        <v>37</v>
      </c>
      <c r="P11" s="41" t="s">
        <v>396</v>
      </c>
    </row>
    <row r="12" spans="1:16" ht="29" x14ac:dyDescent="0.35">
      <c r="A12" s="6">
        <v>6</v>
      </c>
      <c r="B12" s="6" t="str">
        <f t="shared" si="0"/>
        <v>4.6</v>
      </c>
      <c r="C12" s="50" t="s">
        <v>42</v>
      </c>
      <c r="D12" s="49" t="s">
        <v>404</v>
      </c>
      <c r="E12" s="41" t="s">
        <v>30</v>
      </c>
      <c r="F12" s="41" t="s">
        <v>65</v>
      </c>
      <c r="G12" s="41" t="s">
        <v>393</v>
      </c>
      <c r="H12" s="41" t="s">
        <v>37</v>
      </c>
      <c r="I12" s="41" t="s">
        <v>10</v>
      </c>
      <c r="J12" s="42" t="s">
        <v>109</v>
      </c>
      <c r="K12" s="42" t="s">
        <v>91</v>
      </c>
      <c r="L12" s="42"/>
      <c r="M12" s="42" t="s">
        <v>37</v>
      </c>
      <c r="N12" s="42" t="s">
        <v>37</v>
      </c>
      <c r="O12" s="42" t="s">
        <v>405</v>
      </c>
      <c r="P12" s="41" t="s">
        <v>396</v>
      </c>
    </row>
    <row r="13" spans="1:16" ht="73.5" customHeight="1" x14ac:dyDescent="0.35">
      <c r="A13" s="6">
        <v>7</v>
      </c>
      <c r="B13" s="6" t="str">
        <f t="shared" si="0"/>
        <v>4.7</v>
      </c>
      <c r="C13" s="50" t="s">
        <v>42</v>
      </c>
      <c r="D13" s="41" t="s">
        <v>61</v>
      </c>
      <c r="E13" s="41" t="s">
        <v>43</v>
      </c>
      <c r="F13" s="41" t="s">
        <v>37</v>
      </c>
      <c r="G13" s="41" t="s">
        <v>37</v>
      </c>
      <c r="H13" s="41" t="s">
        <v>37</v>
      </c>
      <c r="I13" s="41" t="s">
        <v>10</v>
      </c>
      <c r="J13" s="41" t="s">
        <v>37</v>
      </c>
      <c r="K13" s="41" t="s">
        <v>37</v>
      </c>
      <c r="L13" s="41" t="s">
        <v>37</v>
      </c>
      <c r="M13" s="41" t="s">
        <v>37</v>
      </c>
      <c r="N13" s="41" t="s">
        <v>37</v>
      </c>
      <c r="O13" s="41" t="s">
        <v>406</v>
      </c>
      <c r="P13" s="41"/>
    </row>
    <row r="14" spans="1:16" ht="54" customHeight="1" x14ac:dyDescent="0.35">
      <c r="A14" s="6">
        <v>8</v>
      </c>
      <c r="B14" s="6" t="str">
        <f t="shared" si="0"/>
        <v>4.8</v>
      </c>
      <c r="C14" s="50" t="s">
        <v>42</v>
      </c>
      <c r="D14" s="41" t="s">
        <v>60</v>
      </c>
      <c r="E14" s="41" t="s">
        <v>43</v>
      </c>
      <c r="F14" s="41" t="s">
        <v>37</v>
      </c>
      <c r="G14" s="41" t="s">
        <v>37</v>
      </c>
      <c r="H14" s="41" t="s">
        <v>37</v>
      </c>
      <c r="I14" s="41" t="s">
        <v>10</v>
      </c>
      <c r="J14" s="41" t="s">
        <v>37</v>
      </c>
      <c r="K14" s="41" t="s">
        <v>37</v>
      </c>
      <c r="L14" s="41" t="s">
        <v>37</v>
      </c>
      <c r="M14" s="41" t="s">
        <v>37</v>
      </c>
      <c r="N14" s="41" t="s">
        <v>37</v>
      </c>
      <c r="O14" s="41" t="s">
        <v>395</v>
      </c>
      <c r="P14" s="41"/>
    </row>
    <row r="16" spans="1:16" ht="246.5" x14ac:dyDescent="0.35">
      <c r="D16" s="41" t="s">
        <v>347</v>
      </c>
    </row>
  </sheetData>
  <mergeCells count="4">
    <mergeCell ref="B1:C1"/>
    <mergeCell ref="B2:C2"/>
    <mergeCell ref="B3:C3"/>
    <mergeCell ref="B4:C4"/>
  </mergeCells>
  <conditionalFormatting sqref="C15:C1048576">
    <cfRule type="cellIs" dxfId="321" priority="34" operator="equal">
      <formula>"WIP (see comments)"</formula>
    </cfRule>
    <cfRule type="cellIs" dxfId="320" priority="35" operator="equal">
      <formula>"Removed"</formula>
    </cfRule>
    <cfRule type="cellIs" dxfId="319" priority="36" operator="equal">
      <formula>"Updated"</formula>
    </cfRule>
    <cfRule type="cellIs" dxfId="318" priority="37" operator="equal">
      <formula>"New"</formula>
    </cfRule>
  </conditionalFormatting>
  <conditionalFormatting sqref="A5:XFD6 A1:B4 D1:XFD4 A7:B14 D7:D8 D11 A15:XFD1048576 Q7:XFD14">
    <cfRule type="cellIs" dxfId="317" priority="33" operator="equal">
      <formula>"n/a"</formula>
    </cfRule>
  </conditionalFormatting>
  <conditionalFormatting sqref="E7:P8">
    <cfRule type="cellIs" dxfId="316" priority="17" operator="equal">
      <formula>"n/a"</formula>
    </cfRule>
  </conditionalFormatting>
  <conditionalFormatting sqref="D9">
    <cfRule type="cellIs" dxfId="315" priority="16" operator="equal">
      <formula>"n/a"</formula>
    </cfRule>
  </conditionalFormatting>
  <conditionalFormatting sqref="P9:P12">
    <cfRule type="cellIs" dxfId="314" priority="15" operator="equal">
      <formula>"n/a"</formula>
    </cfRule>
  </conditionalFormatting>
  <conditionalFormatting sqref="D12:F12 H12:O12">
    <cfRule type="cellIs" dxfId="313" priority="14" operator="equal">
      <formula>"n/a"</formula>
    </cfRule>
  </conditionalFormatting>
  <conditionalFormatting sqref="G12">
    <cfRule type="cellIs" dxfId="312" priority="13" operator="equal">
      <formula>"n/a"</formula>
    </cfRule>
  </conditionalFormatting>
  <conditionalFormatting sqref="E9:F9 H9:O9">
    <cfRule type="cellIs" dxfId="311" priority="12" operator="equal">
      <formula>"n/a"</formula>
    </cfRule>
  </conditionalFormatting>
  <conditionalFormatting sqref="G9">
    <cfRule type="cellIs" dxfId="310" priority="11" operator="equal">
      <formula>"n/a"</formula>
    </cfRule>
  </conditionalFormatting>
  <conditionalFormatting sqref="E10:F10 H10:O10">
    <cfRule type="cellIs" dxfId="309" priority="10" operator="equal">
      <formula>"n/a"</formula>
    </cfRule>
  </conditionalFormatting>
  <conditionalFormatting sqref="G10">
    <cfRule type="cellIs" dxfId="308" priority="9" operator="equal">
      <formula>"n/a"</formula>
    </cfRule>
  </conditionalFormatting>
  <conditionalFormatting sqref="E11:F11 H11:O11">
    <cfRule type="cellIs" dxfId="307" priority="8" operator="equal">
      <formula>"n/a"</formula>
    </cfRule>
  </conditionalFormatting>
  <conditionalFormatting sqref="G11">
    <cfRule type="cellIs" dxfId="306" priority="7" operator="equal">
      <formula>"n/a"</formula>
    </cfRule>
  </conditionalFormatting>
  <conditionalFormatting sqref="D13:P14">
    <cfRule type="cellIs" dxfId="305" priority="6" operator="equal">
      <formula>"n/a"</formula>
    </cfRule>
  </conditionalFormatting>
  <conditionalFormatting sqref="C7:C14">
    <cfRule type="cellIs" dxfId="304" priority="2" operator="equal">
      <formula>"WIP (see comments)"</formula>
    </cfRule>
    <cfRule type="cellIs" dxfId="303" priority="3" operator="equal">
      <formula>"Removed"</formula>
    </cfRule>
    <cfRule type="cellIs" dxfId="302" priority="4" operator="equal">
      <formula>"Updated"</formula>
    </cfRule>
    <cfRule type="cellIs" dxfId="301" priority="5" operator="equal">
      <formula>"New"</formula>
    </cfRule>
  </conditionalFormatting>
  <conditionalFormatting sqref="C7:C14">
    <cfRule type="cellIs" dxfId="300"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Values'!$A$5:$A$26</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357</v>
      </c>
      <c r="C1" s="98"/>
      <c r="D1" s="31"/>
    </row>
    <row r="2" spans="1:16" s="32" customFormat="1" ht="18.5" x14ac:dyDescent="0.35">
      <c r="A2" s="30" t="s">
        <v>8</v>
      </c>
      <c r="B2" s="99" t="s">
        <v>356</v>
      </c>
      <c r="C2" s="99"/>
      <c r="D2" s="88"/>
    </row>
    <row r="3" spans="1:16" s="32" customFormat="1" ht="18.5" x14ac:dyDescent="0.35">
      <c r="A3" s="30" t="s">
        <v>45</v>
      </c>
      <c r="B3" s="99" t="s">
        <v>358</v>
      </c>
      <c r="C3" s="99"/>
      <c r="D3" s="88"/>
    </row>
    <row r="4" spans="1:16" s="32" customFormat="1" ht="18.5" x14ac:dyDescent="0.35">
      <c r="A4" s="30" t="s">
        <v>9</v>
      </c>
      <c r="B4" s="32" t="s">
        <v>418</v>
      </c>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4a.1</v>
      </c>
      <c r="C7" s="50" t="s">
        <v>42</v>
      </c>
      <c r="D7" s="41" t="s">
        <v>409</v>
      </c>
      <c r="E7" s="41" t="s">
        <v>34</v>
      </c>
      <c r="F7" s="41" t="s">
        <v>37</v>
      </c>
      <c r="G7" s="41" t="s">
        <v>37</v>
      </c>
      <c r="H7" s="50" t="s">
        <v>37</v>
      </c>
      <c r="I7" s="41" t="s">
        <v>10</v>
      </c>
      <c r="J7" s="42" t="s">
        <v>37</v>
      </c>
      <c r="K7" s="42" t="s">
        <v>37</v>
      </c>
      <c r="L7" s="42" t="s">
        <v>37</v>
      </c>
      <c r="M7" s="42" t="s">
        <v>37</v>
      </c>
      <c r="N7" s="42" t="s">
        <v>37</v>
      </c>
      <c r="O7" s="42"/>
      <c r="P7" s="41"/>
    </row>
    <row r="8" spans="1:16" x14ac:dyDescent="0.35">
      <c r="A8" s="6">
        <v>2</v>
      </c>
      <c r="B8" s="6" t="str">
        <f t="shared" si="0"/>
        <v>4a.2</v>
      </c>
      <c r="C8" s="50" t="s">
        <v>42</v>
      </c>
      <c r="D8" s="41" t="s">
        <v>410</v>
      </c>
      <c r="E8" s="41" t="s">
        <v>34</v>
      </c>
      <c r="F8" s="41" t="s">
        <v>37</v>
      </c>
      <c r="G8" s="41" t="s">
        <v>393</v>
      </c>
      <c r="H8" s="50" t="s">
        <v>37</v>
      </c>
      <c r="I8" s="41" t="s">
        <v>10</v>
      </c>
      <c r="J8" s="42" t="s">
        <v>37</v>
      </c>
      <c r="K8" s="42" t="s">
        <v>37</v>
      </c>
      <c r="L8" s="42" t="s">
        <v>37</v>
      </c>
      <c r="M8" s="42" t="s">
        <v>37</v>
      </c>
      <c r="N8" s="42" t="s">
        <v>37</v>
      </c>
      <c r="O8" s="5"/>
    </row>
    <row r="9" spans="1:16" x14ac:dyDescent="0.35">
      <c r="A9" s="6">
        <v>3</v>
      </c>
      <c r="B9" s="6" t="str">
        <f t="shared" si="0"/>
        <v>4a.3</v>
      </c>
      <c r="C9" s="50" t="s">
        <v>42</v>
      </c>
      <c r="D9" s="41" t="s">
        <v>411</v>
      </c>
      <c r="E9" s="41" t="s">
        <v>34</v>
      </c>
      <c r="F9" s="41" t="s">
        <v>37</v>
      </c>
      <c r="G9" s="41" t="s">
        <v>393</v>
      </c>
      <c r="H9" s="50" t="s">
        <v>37</v>
      </c>
      <c r="I9" s="41" t="s">
        <v>10</v>
      </c>
      <c r="J9" s="42" t="s">
        <v>37</v>
      </c>
      <c r="K9" s="42" t="s">
        <v>37</v>
      </c>
      <c r="L9" s="42" t="s">
        <v>37</v>
      </c>
      <c r="M9" s="42" t="s">
        <v>37</v>
      </c>
      <c r="N9" s="42" t="s">
        <v>37</v>
      </c>
      <c r="O9" s="5"/>
    </row>
    <row r="10" spans="1:16" x14ac:dyDescent="0.35">
      <c r="A10" s="6">
        <v>4</v>
      </c>
      <c r="B10" s="6" t="str">
        <f t="shared" si="0"/>
        <v>4a.4</v>
      </c>
      <c r="C10" s="50" t="s">
        <v>42</v>
      </c>
      <c r="D10" s="41" t="s">
        <v>412</v>
      </c>
      <c r="E10" s="41" t="s">
        <v>34</v>
      </c>
      <c r="F10" s="41" t="s">
        <v>37</v>
      </c>
      <c r="G10" s="41" t="s">
        <v>393</v>
      </c>
      <c r="H10" s="50" t="s">
        <v>37</v>
      </c>
      <c r="I10" s="41" t="s">
        <v>10</v>
      </c>
      <c r="J10" s="42" t="s">
        <v>37</v>
      </c>
      <c r="K10" s="42" t="s">
        <v>37</v>
      </c>
      <c r="L10" s="42" t="s">
        <v>37</v>
      </c>
      <c r="M10" s="42" t="s">
        <v>37</v>
      </c>
      <c r="N10" s="42" t="s">
        <v>37</v>
      </c>
      <c r="O10" s="5"/>
    </row>
    <row r="11" spans="1:16" x14ac:dyDescent="0.35">
      <c r="A11" s="6">
        <v>5</v>
      </c>
      <c r="B11" s="6" t="str">
        <f>CONCATENATE($B$2, ".", A11)</f>
        <v>4a.5</v>
      </c>
      <c r="C11" s="50" t="s">
        <v>42</v>
      </c>
      <c r="D11" s="41" t="s">
        <v>413</v>
      </c>
      <c r="E11" s="41" t="s">
        <v>34</v>
      </c>
      <c r="F11" s="41" t="s">
        <v>37</v>
      </c>
      <c r="G11" s="41" t="s">
        <v>393</v>
      </c>
      <c r="H11" s="50" t="s">
        <v>37</v>
      </c>
      <c r="I11" s="41" t="s">
        <v>10</v>
      </c>
      <c r="J11" s="42" t="s">
        <v>37</v>
      </c>
      <c r="K11" s="42" t="s">
        <v>37</v>
      </c>
      <c r="L11" s="42" t="s">
        <v>37</v>
      </c>
      <c r="M11" s="42" t="s">
        <v>37</v>
      </c>
      <c r="N11" s="42" t="s">
        <v>37</v>
      </c>
    </row>
    <row r="12" spans="1:16" x14ac:dyDescent="0.35">
      <c r="A12" s="6">
        <v>6</v>
      </c>
      <c r="B12" s="6" t="str">
        <f t="shared" si="0"/>
        <v>4a.6</v>
      </c>
      <c r="C12" s="50" t="s">
        <v>42</v>
      </c>
      <c r="D12" s="41" t="s">
        <v>414</v>
      </c>
      <c r="E12" s="41" t="s">
        <v>34</v>
      </c>
      <c r="F12" s="41" t="s">
        <v>37</v>
      </c>
      <c r="G12" s="41" t="s">
        <v>393</v>
      </c>
      <c r="H12" s="50" t="s">
        <v>37</v>
      </c>
      <c r="I12" s="41" t="s">
        <v>10</v>
      </c>
      <c r="J12" s="42" t="s">
        <v>37</v>
      </c>
      <c r="K12" s="42" t="s">
        <v>37</v>
      </c>
      <c r="L12" s="42" t="s">
        <v>37</v>
      </c>
      <c r="M12" s="42" t="s">
        <v>37</v>
      </c>
      <c r="N12" s="42" t="s">
        <v>37</v>
      </c>
    </row>
    <row r="13" spans="1:16" ht="91.5" customHeight="1" x14ac:dyDescent="0.35">
      <c r="A13" s="6">
        <v>7</v>
      </c>
      <c r="B13" s="6" t="str">
        <f t="shared" si="0"/>
        <v>4a.7</v>
      </c>
      <c r="C13" s="50" t="s">
        <v>46</v>
      </c>
      <c r="D13" s="41"/>
    </row>
    <row r="14" spans="1:16" ht="91.5" customHeight="1" x14ac:dyDescent="0.35">
      <c r="A14" s="6">
        <v>8</v>
      </c>
      <c r="B14" s="6" t="str">
        <f t="shared" si="0"/>
        <v>4a.8</v>
      </c>
      <c r="C14" s="50" t="s">
        <v>46</v>
      </c>
      <c r="D14" s="41"/>
    </row>
  </sheetData>
  <mergeCells count="3">
    <mergeCell ref="B1:C1"/>
    <mergeCell ref="B2:C2"/>
    <mergeCell ref="B3:C3"/>
  </mergeCells>
  <conditionalFormatting sqref="C15:C1048576">
    <cfRule type="cellIs" dxfId="299" priority="13" operator="equal">
      <formula>"WIP (see comments)"</formula>
    </cfRule>
    <cfRule type="cellIs" dxfId="298" priority="14" operator="equal">
      <formula>"Removed"</formula>
    </cfRule>
    <cfRule type="cellIs" dxfId="297" priority="15" operator="equal">
      <formula>"Updated"</formula>
    </cfRule>
    <cfRule type="cellIs" dxfId="296" priority="16" operator="equal">
      <formula>"New"</formula>
    </cfRule>
  </conditionalFormatting>
  <conditionalFormatting sqref="A5:XFD6 A1:B4 D1:XFD4 A15:XFD1048576 A7:B14 D13:XFD14 Q7:XFD7 D7:D12 O8:XFD12">
    <cfRule type="cellIs" dxfId="295" priority="12" operator="equal">
      <formula>"n/a"</formula>
    </cfRule>
  </conditionalFormatting>
  <conditionalFormatting sqref="E7:P7 E8:N12">
    <cfRule type="cellIs" dxfId="294" priority="6" operator="equal">
      <formula>"n/a"</formula>
    </cfRule>
  </conditionalFormatting>
  <conditionalFormatting sqref="C7:C14">
    <cfRule type="cellIs" dxfId="293" priority="2" operator="equal">
      <formula>"WIP (see comments)"</formula>
    </cfRule>
    <cfRule type="cellIs" dxfId="292" priority="3" operator="equal">
      <formula>"Removed"</formula>
    </cfRule>
    <cfRule type="cellIs" dxfId="291" priority="4" operator="equal">
      <formula>"Updated"</formula>
    </cfRule>
    <cfRule type="cellIs" dxfId="290" priority="5" operator="equal">
      <formula>"New"</formula>
    </cfRule>
  </conditionalFormatting>
  <conditionalFormatting sqref="C7:C14">
    <cfRule type="cellIs" dxfId="289"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Values'!$A$5:$A$26</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pane xSplit="4" ySplit="6" topLeftCell="E7" activePane="bottomRight" state="frozen"/>
      <selection pane="topRight" activeCell="E1" sqref="E1"/>
      <selection pane="bottomLeft" activeCell="A7" sqref="A7"/>
      <selection pane="bottomRight" activeCell="D15" sqref="D1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318</v>
      </c>
      <c r="C1" s="98"/>
      <c r="D1" s="31"/>
      <c r="H1" s="37"/>
    </row>
    <row r="2" spans="1:16" s="32" customFormat="1" ht="18.5" x14ac:dyDescent="0.35">
      <c r="A2" s="30" t="s">
        <v>8</v>
      </c>
      <c r="B2" s="38">
        <v>5</v>
      </c>
      <c r="C2" s="37"/>
      <c r="D2" s="38"/>
      <c r="H2" s="37"/>
    </row>
    <row r="3" spans="1:16" s="32" customFormat="1" ht="18.5" x14ac:dyDescent="0.35">
      <c r="A3" s="30" t="s">
        <v>45</v>
      </c>
      <c r="B3" s="38" t="s">
        <v>295</v>
      </c>
      <c r="C3" s="37"/>
      <c r="D3" s="38"/>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8" si="0">CONCATENATE($B$2, ".", A7)</f>
        <v>5.1</v>
      </c>
      <c r="C7" s="50" t="s">
        <v>42</v>
      </c>
      <c r="D7" s="41" t="s">
        <v>319</v>
      </c>
      <c r="E7" s="41" t="s">
        <v>29</v>
      </c>
      <c r="F7" s="41" t="s">
        <v>37</v>
      </c>
      <c r="G7" s="41" t="s">
        <v>37</v>
      </c>
      <c r="H7" s="50" t="s">
        <v>37</v>
      </c>
      <c r="I7" s="41" t="s">
        <v>10</v>
      </c>
      <c r="J7" s="42" t="s">
        <v>37</v>
      </c>
      <c r="K7" s="42" t="s">
        <v>37</v>
      </c>
      <c r="L7" s="42" t="s">
        <v>37</v>
      </c>
      <c r="M7" s="42" t="s">
        <v>37</v>
      </c>
      <c r="N7" s="42" t="s">
        <v>37</v>
      </c>
      <c r="O7" s="42" t="s">
        <v>37</v>
      </c>
      <c r="P7" s="41" t="s">
        <v>300</v>
      </c>
    </row>
    <row r="8" spans="1:16" s="41" customFormat="1" x14ac:dyDescent="0.35">
      <c r="A8" s="41">
        <v>2</v>
      </c>
      <c r="B8" s="41" t="str">
        <f t="shared" si="0"/>
        <v>5.2</v>
      </c>
      <c r="C8" s="50" t="s">
        <v>42</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3.5" x14ac:dyDescent="0.35">
      <c r="A9" s="41">
        <v>3</v>
      </c>
      <c r="B9" s="41" t="str">
        <f>CONCATENATE($B$2, ".", A9)</f>
        <v>5.3</v>
      </c>
      <c r="C9" s="50" t="s">
        <v>42</v>
      </c>
      <c r="D9" s="41" t="s">
        <v>415</v>
      </c>
      <c r="E9" s="41" t="s">
        <v>30</v>
      </c>
      <c r="F9" s="41" t="s">
        <v>65</v>
      </c>
      <c r="G9" s="41" t="s">
        <v>37</v>
      </c>
      <c r="H9" s="50" t="s">
        <v>37</v>
      </c>
      <c r="I9" s="41" t="s">
        <v>10</v>
      </c>
      <c r="J9" s="42" t="s">
        <v>109</v>
      </c>
      <c r="K9" s="42" t="s">
        <v>55</v>
      </c>
      <c r="L9" s="42" t="s">
        <v>110</v>
      </c>
      <c r="M9" s="42" t="s">
        <v>37</v>
      </c>
      <c r="N9" s="42" t="s">
        <v>37</v>
      </c>
      <c r="O9" s="42" t="s">
        <v>111</v>
      </c>
    </row>
    <row r="10" spans="1:16" s="41" customFormat="1" ht="29" x14ac:dyDescent="0.35">
      <c r="A10" s="41">
        <v>4</v>
      </c>
      <c r="B10" s="41" t="str">
        <f t="shared" ref="B10:B12" si="1">CONCATENATE($B$2, ".", A10)</f>
        <v>5.4</v>
      </c>
      <c r="C10" s="50" t="s">
        <v>42</v>
      </c>
      <c r="D10" s="49" t="s">
        <v>181</v>
      </c>
      <c r="E10" s="41" t="s">
        <v>34</v>
      </c>
      <c r="F10" s="41" t="s">
        <v>37</v>
      </c>
      <c r="G10" s="41" t="s">
        <v>184</v>
      </c>
      <c r="H10" s="50" t="s">
        <v>37</v>
      </c>
      <c r="I10" s="41" t="s">
        <v>10</v>
      </c>
      <c r="J10" s="42" t="s">
        <v>37</v>
      </c>
      <c r="K10" s="42" t="s">
        <v>37</v>
      </c>
      <c r="L10" s="42" t="s">
        <v>37</v>
      </c>
      <c r="M10" s="42" t="s">
        <v>37</v>
      </c>
      <c r="N10" s="42" t="s">
        <v>37</v>
      </c>
      <c r="O10" s="42"/>
    </row>
    <row r="11" spans="1:16" s="41" customFormat="1" ht="43.5" x14ac:dyDescent="0.35">
      <c r="A11" s="41">
        <v>5</v>
      </c>
      <c r="B11" s="41" t="str">
        <f t="shared" si="1"/>
        <v>5.5</v>
      </c>
      <c r="C11" s="50" t="s">
        <v>42</v>
      </c>
      <c r="D11" s="49" t="s">
        <v>182</v>
      </c>
      <c r="E11" s="41" t="s">
        <v>34</v>
      </c>
      <c r="F11" s="41" t="s">
        <v>37</v>
      </c>
      <c r="G11" s="41" t="s">
        <v>185</v>
      </c>
      <c r="H11" s="50" t="s">
        <v>37</v>
      </c>
      <c r="I11" s="41" t="s">
        <v>10</v>
      </c>
      <c r="J11" s="42" t="s">
        <v>37</v>
      </c>
      <c r="K11" s="42" t="s">
        <v>37</v>
      </c>
      <c r="L11" s="42" t="s">
        <v>37</v>
      </c>
      <c r="M11" s="42" t="s">
        <v>37</v>
      </c>
      <c r="N11" s="42" t="s">
        <v>37</v>
      </c>
      <c r="O11" s="42"/>
    </row>
    <row r="12" spans="1:16" s="41" customFormat="1" ht="43.5" x14ac:dyDescent="0.35">
      <c r="A12" s="41">
        <v>6</v>
      </c>
      <c r="B12" s="41" t="str">
        <f t="shared" si="1"/>
        <v>5.6</v>
      </c>
      <c r="C12" s="50" t="s">
        <v>42</v>
      </c>
      <c r="D12" s="49" t="s">
        <v>183</v>
      </c>
      <c r="E12" s="41" t="s">
        <v>34</v>
      </c>
      <c r="F12" s="41" t="s">
        <v>37</v>
      </c>
      <c r="G12" s="41" t="s">
        <v>186</v>
      </c>
      <c r="H12" s="50" t="s">
        <v>37</v>
      </c>
      <c r="I12" s="41" t="s">
        <v>10</v>
      </c>
      <c r="J12" s="42" t="s">
        <v>37</v>
      </c>
      <c r="K12" s="42" t="s">
        <v>37</v>
      </c>
      <c r="L12" s="42" t="s">
        <v>37</v>
      </c>
      <c r="M12" s="42" t="s">
        <v>37</v>
      </c>
      <c r="N12" s="42" t="s">
        <v>37</v>
      </c>
      <c r="O12" s="42"/>
    </row>
    <row r="13" spans="1:16" s="41" customFormat="1" ht="29" x14ac:dyDescent="0.35">
      <c r="A13" s="41">
        <v>7</v>
      </c>
      <c r="B13" s="41" t="str">
        <f t="shared" ref="B13" si="2">CONCATENATE($B$2, ".", A13)</f>
        <v>5.7</v>
      </c>
      <c r="C13" s="50" t="s">
        <v>42</v>
      </c>
      <c r="D13" s="49" t="s">
        <v>416</v>
      </c>
      <c r="E13" s="41" t="s">
        <v>34</v>
      </c>
      <c r="F13" s="41" t="s">
        <v>37</v>
      </c>
      <c r="G13" s="41" t="s">
        <v>393</v>
      </c>
      <c r="H13" s="50" t="s">
        <v>37</v>
      </c>
      <c r="I13" s="41" t="s">
        <v>10</v>
      </c>
      <c r="J13" s="42" t="s">
        <v>37</v>
      </c>
      <c r="K13" s="42" t="s">
        <v>37</v>
      </c>
      <c r="L13" s="42" t="s">
        <v>37</v>
      </c>
      <c r="M13" s="42" t="s">
        <v>37</v>
      </c>
      <c r="N13" s="42" t="s">
        <v>37</v>
      </c>
      <c r="O13" s="42"/>
    </row>
    <row r="14" spans="1:16" s="41" customFormat="1" ht="72.5" x14ac:dyDescent="0.35">
      <c r="A14" s="41">
        <v>8</v>
      </c>
      <c r="B14" s="41" t="str">
        <f t="shared" ref="B14" si="3">CONCATENATE($B$2, ".", A14)</f>
        <v>5.8</v>
      </c>
      <c r="C14" s="50" t="s">
        <v>42</v>
      </c>
      <c r="D14" s="49" t="s">
        <v>419</v>
      </c>
      <c r="E14" s="41" t="s">
        <v>34</v>
      </c>
      <c r="F14" s="41" t="s">
        <v>37</v>
      </c>
      <c r="G14" s="41" t="s">
        <v>393</v>
      </c>
      <c r="H14" s="50" t="s">
        <v>37</v>
      </c>
      <c r="I14" s="41" t="s">
        <v>10</v>
      </c>
      <c r="J14" s="42" t="s">
        <v>37</v>
      </c>
      <c r="K14" s="42" t="s">
        <v>37</v>
      </c>
      <c r="L14" s="42" t="s">
        <v>37</v>
      </c>
      <c r="M14" s="42" t="s">
        <v>37</v>
      </c>
      <c r="N14" s="42" t="s">
        <v>37</v>
      </c>
      <c r="O14" s="42"/>
    </row>
    <row r="15" spans="1:16" s="41" customFormat="1" ht="72.5" x14ac:dyDescent="0.35">
      <c r="A15" s="41">
        <v>9</v>
      </c>
      <c r="B15" s="41" t="str">
        <f t="shared" ref="B15:B18" si="4">CONCATENATE($B$2, ".", A15)</f>
        <v>5.9</v>
      </c>
      <c r="C15" s="50" t="s">
        <v>42</v>
      </c>
      <c r="D15" s="49" t="s">
        <v>417</v>
      </c>
      <c r="E15" s="41" t="s">
        <v>34</v>
      </c>
      <c r="F15" s="41" t="s">
        <v>37</v>
      </c>
      <c r="G15" s="41" t="s">
        <v>393</v>
      </c>
      <c r="H15" s="50" t="s">
        <v>37</v>
      </c>
      <c r="I15" s="41" t="s">
        <v>10</v>
      </c>
      <c r="J15" s="42" t="s">
        <v>37</v>
      </c>
      <c r="K15" s="42" t="s">
        <v>37</v>
      </c>
      <c r="L15" s="42" t="s">
        <v>37</v>
      </c>
      <c r="M15" s="42" t="s">
        <v>37</v>
      </c>
      <c r="N15" s="42" t="s">
        <v>37</v>
      </c>
      <c r="O15" s="42"/>
    </row>
    <row r="16" spans="1:16" s="41" customFormat="1" ht="54" customHeight="1" x14ac:dyDescent="0.35">
      <c r="A16" s="41">
        <v>10</v>
      </c>
      <c r="B16" s="41" t="str">
        <f t="shared" si="4"/>
        <v>5.10</v>
      </c>
      <c r="C16" s="50" t="s">
        <v>42</v>
      </c>
      <c r="D16" s="41" t="s">
        <v>249</v>
      </c>
      <c r="E16" s="41" t="s">
        <v>115</v>
      </c>
      <c r="F16" s="41" t="s">
        <v>37</v>
      </c>
      <c r="G16" s="41" t="s">
        <v>37</v>
      </c>
      <c r="H16" s="50" t="s">
        <v>37</v>
      </c>
      <c r="I16" s="41" t="s">
        <v>10</v>
      </c>
      <c r="J16" s="42" t="s">
        <v>37</v>
      </c>
      <c r="K16" s="42" t="s">
        <v>37</v>
      </c>
      <c r="L16" s="42" t="s">
        <v>37</v>
      </c>
      <c r="M16" s="42" t="s">
        <v>37</v>
      </c>
      <c r="N16" s="42" t="s">
        <v>37</v>
      </c>
      <c r="O16" s="42" t="s">
        <v>108</v>
      </c>
    </row>
    <row r="17" spans="1:15" s="41" customFormat="1" ht="29" x14ac:dyDescent="0.35">
      <c r="A17" s="41">
        <v>11</v>
      </c>
      <c r="B17" s="41" t="str">
        <f t="shared" si="4"/>
        <v>5.11</v>
      </c>
      <c r="C17" s="50" t="s">
        <v>46</v>
      </c>
      <c r="D17" s="41" t="s">
        <v>61</v>
      </c>
      <c r="E17" s="41" t="s">
        <v>43</v>
      </c>
      <c r="F17" s="41" t="s">
        <v>37</v>
      </c>
      <c r="G17" s="41" t="s">
        <v>37</v>
      </c>
      <c r="H17" s="50" t="s">
        <v>37</v>
      </c>
      <c r="I17" s="41" t="s">
        <v>10</v>
      </c>
      <c r="J17" s="41" t="s">
        <v>37</v>
      </c>
      <c r="K17" s="41" t="s">
        <v>37</v>
      </c>
      <c r="L17" s="41" t="s">
        <v>37</v>
      </c>
      <c r="M17" s="41" t="s">
        <v>37</v>
      </c>
      <c r="N17" s="41" t="s">
        <v>37</v>
      </c>
      <c r="O17" s="41" t="s">
        <v>187</v>
      </c>
    </row>
    <row r="18" spans="1:15" s="41" customFormat="1" ht="29" x14ac:dyDescent="0.35">
      <c r="A18" s="41">
        <v>12</v>
      </c>
      <c r="B18" s="41" t="str">
        <f t="shared" si="4"/>
        <v>5.12</v>
      </c>
      <c r="C18" s="50" t="s">
        <v>46</v>
      </c>
      <c r="D18" s="41" t="s">
        <v>60</v>
      </c>
      <c r="E18" s="41" t="s">
        <v>43</v>
      </c>
      <c r="F18" s="41" t="s">
        <v>37</v>
      </c>
      <c r="G18" s="41" t="s">
        <v>37</v>
      </c>
      <c r="H18" s="50" t="s">
        <v>37</v>
      </c>
      <c r="I18" s="41" t="s">
        <v>10</v>
      </c>
      <c r="J18" s="41" t="s">
        <v>37</v>
      </c>
      <c r="K18" s="41" t="s">
        <v>37</v>
      </c>
      <c r="L18" s="41" t="s">
        <v>37</v>
      </c>
      <c r="M18" s="41" t="s">
        <v>37</v>
      </c>
      <c r="N18" s="41" t="s">
        <v>37</v>
      </c>
      <c r="O18" s="41" t="s">
        <v>278</v>
      </c>
    </row>
    <row r="19" spans="1:15" x14ac:dyDescent="0.35">
      <c r="I19" s="41"/>
      <c r="J19" s="5"/>
      <c r="K19" s="5"/>
      <c r="L19" s="42"/>
      <c r="M19" s="42"/>
      <c r="N19" s="42"/>
      <c r="O19" s="42"/>
    </row>
    <row r="20" spans="1:15" x14ac:dyDescent="0.35">
      <c r="D20" s="6" t="s">
        <v>74</v>
      </c>
      <c r="I20" s="41"/>
      <c r="J20" s="5"/>
      <c r="K20" s="5"/>
      <c r="L20" s="42"/>
      <c r="M20" s="42"/>
      <c r="N20" s="42"/>
      <c r="O20" s="42"/>
    </row>
    <row r="21" spans="1:15" x14ac:dyDescent="0.35">
      <c r="I21" s="41"/>
      <c r="J21" s="5"/>
      <c r="K21" s="5"/>
      <c r="L21" s="42"/>
      <c r="M21" s="42"/>
      <c r="N21" s="42"/>
      <c r="O21" s="42"/>
    </row>
    <row r="22" spans="1:15" x14ac:dyDescent="0.35">
      <c r="I22" s="41"/>
      <c r="J22" s="5"/>
      <c r="K22" s="5"/>
      <c r="L22" s="42"/>
      <c r="M22" s="42"/>
      <c r="N22" s="42"/>
      <c r="O22" s="42"/>
    </row>
    <row r="23" spans="1:15" x14ac:dyDescent="0.35">
      <c r="I23" s="41"/>
      <c r="J23" s="5"/>
      <c r="K23" s="5"/>
      <c r="L23" s="42"/>
      <c r="M23" s="42"/>
      <c r="N23" s="42"/>
      <c r="O23" s="42"/>
    </row>
    <row r="24" spans="1:15" x14ac:dyDescent="0.35">
      <c r="I24" s="41"/>
      <c r="J24" s="5"/>
      <c r="K24" s="5"/>
      <c r="L24" s="42"/>
      <c r="M24" s="42"/>
      <c r="N24" s="42"/>
      <c r="O24" s="42"/>
    </row>
    <row r="25" spans="1:15" x14ac:dyDescent="0.35">
      <c r="I25" s="41"/>
      <c r="J25" s="5"/>
      <c r="K25" s="5"/>
      <c r="L25" s="42"/>
      <c r="M25" s="42"/>
      <c r="N25" s="42"/>
      <c r="O25" s="42"/>
    </row>
    <row r="26" spans="1:15" x14ac:dyDescent="0.35">
      <c r="I26" s="41"/>
      <c r="J26" s="5"/>
      <c r="K26" s="5"/>
      <c r="L26" s="42"/>
      <c r="M26" s="42"/>
      <c r="N26" s="42"/>
      <c r="O26" s="42"/>
    </row>
  </sheetData>
  <autoFilter ref="A6:P18"/>
  <mergeCells count="2">
    <mergeCell ref="B1:C1"/>
    <mergeCell ref="B4:C4"/>
  </mergeCells>
  <conditionalFormatting sqref="C19:C1048576">
    <cfRule type="cellIs" dxfId="288" priority="16" operator="equal">
      <formula>"WIP (see comments)"</formula>
    </cfRule>
    <cfRule type="cellIs" dxfId="287" priority="17" operator="equal">
      <formula>"Removed"</formula>
    </cfRule>
    <cfRule type="cellIs" dxfId="286" priority="18" operator="equal">
      <formula>"Updated"</formula>
    </cfRule>
    <cfRule type="cellIs" dxfId="285" priority="19" operator="equal">
      <formula>"New"</formula>
    </cfRule>
  </conditionalFormatting>
  <conditionalFormatting sqref="A2:XFD3 A4 D4:XFD4 A1:B1 E1:XFD1 A5:XFD6 A19:XFD1048576 A7:B18 D7:XFD18">
    <cfRule type="cellIs" dxfId="284" priority="11" operator="equal">
      <formula>"n/a"</formula>
    </cfRule>
  </conditionalFormatting>
  <conditionalFormatting sqref="B4">
    <cfRule type="cellIs" dxfId="283" priority="10" operator="equal">
      <formula>"n/a"</formula>
    </cfRule>
  </conditionalFormatting>
  <conditionalFormatting sqref="C7:C18">
    <cfRule type="cellIs" dxfId="282" priority="2" operator="equal">
      <formula>"WIP (see comments)"</formula>
    </cfRule>
    <cfRule type="cellIs" dxfId="281" priority="3" operator="equal">
      <formula>"Removed"</formula>
    </cfRule>
    <cfRule type="cellIs" dxfId="280" priority="4" operator="equal">
      <formula>"Updated"</formula>
    </cfRule>
    <cfRule type="cellIs" dxfId="279" priority="5" operator="equal">
      <formula>"New"</formula>
    </cfRule>
  </conditionalFormatting>
  <conditionalFormatting sqref="C7:C18">
    <cfRule type="cellIs" dxfId="278" priority="1" operator="equal">
      <formula>"n/a"</formula>
    </cfRule>
  </conditionalFormatting>
  <dataValidations count="1">
    <dataValidation type="list" allowBlank="1" showInputMessage="1" showErrorMessage="1" sqref="C19:C1048576">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pane ySplit="6" topLeftCell="A7" activePane="bottomLeft" state="frozen"/>
      <selection pane="bottomLeft" activeCell="C7" sqref="C7:C1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322</v>
      </c>
      <c r="C1" s="98"/>
      <c r="D1" s="31"/>
    </row>
    <row r="2" spans="1:16" s="32" customFormat="1" ht="18.5" x14ac:dyDescent="0.35">
      <c r="A2" s="30" t="s">
        <v>8</v>
      </c>
      <c r="B2" s="38">
        <v>6</v>
      </c>
      <c r="C2" s="37"/>
      <c r="D2" s="38"/>
    </row>
    <row r="3" spans="1:16" s="32" customFormat="1" ht="18.5" x14ac:dyDescent="0.35">
      <c r="A3" s="30" t="s">
        <v>45</v>
      </c>
      <c r="B3" s="38" t="s">
        <v>295</v>
      </c>
      <c r="C3" s="37"/>
      <c r="D3" s="38"/>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ht="29" x14ac:dyDescent="0.35">
      <c r="A7" s="51">
        <v>1</v>
      </c>
      <c r="B7" s="51" t="str">
        <f>CONCATENATE($B$2, ".", A7)</f>
        <v>6.1</v>
      </c>
      <c r="C7" s="78" t="s">
        <v>46</v>
      </c>
      <c r="D7" s="53" t="s">
        <v>323</v>
      </c>
      <c r="E7" s="51" t="s">
        <v>29</v>
      </c>
      <c r="F7" s="51" t="s">
        <v>37</v>
      </c>
      <c r="G7" s="51" t="s">
        <v>37</v>
      </c>
      <c r="H7" s="51" t="s">
        <v>37</v>
      </c>
      <c r="I7" s="53" t="s">
        <v>10</v>
      </c>
      <c r="J7" s="51" t="s">
        <v>37</v>
      </c>
      <c r="K7" s="51" t="s">
        <v>37</v>
      </c>
      <c r="L7" s="51" t="s">
        <v>37</v>
      </c>
      <c r="M7" s="51" t="s">
        <v>37</v>
      </c>
      <c r="N7" s="51" t="s">
        <v>37</v>
      </c>
      <c r="O7" s="51" t="s">
        <v>37</v>
      </c>
    </row>
    <row r="8" spans="1:16" s="51" customFormat="1" ht="29" x14ac:dyDescent="0.35">
      <c r="A8" s="51">
        <v>2</v>
      </c>
      <c r="B8" s="51" t="str">
        <f t="shared" ref="B8:B11" si="0">CONCATENATE($B$2, ".", A8)</f>
        <v>6.2</v>
      </c>
      <c r="C8" s="78" t="s">
        <v>46</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35">
      <c r="A9" s="51">
        <v>3</v>
      </c>
      <c r="B9" s="51" t="str">
        <f t="shared" si="0"/>
        <v>6.3</v>
      </c>
      <c r="C9" s="78" t="s">
        <v>46</v>
      </c>
      <c r="D9" s="53" t="s">
        <v>324</v>
      </c>
      <c r="E9" s="53" t="s">
        <v>34</v>
      </c>
      <c r="F9" s="51" t="s">
        <v>37</v>
      </c>
      <c r="G9" s="51" t="s">
        <v>37</v>
      </c>
      <c r="H9" s="51" t="s">
        <v>37</v>
      </c>
      <c r="I9" s="53" t="s">
        <v>10</v>
      </c>
      <c r="J9" s="51" t="s">
        <v>37</v>
      </c>
      <c r="K9" s="51" t="s">
        <v>37</v>
      </c>
      <c r="L9" s="51" t="s">
        <v>37</v>
      </c>
      <c r="M9" s="51" t="s">
        <v>37</v>
      </c>
      <c r="N9" s="51" t="s">
        <v>37</v>
      </c>
      <c r="O9" s="51" t="s">
        <v>37</v>
      </c>
    </row>
    <row r="10" spans="1:16" ht="99" customHeight="1" x14ac:dyDescent="0.35">
      <c r="A10" s="6">
        <v>4</v>
      </c>
      <c r="B10" s="51" t="str">
        <f t="shared" si="0"/>
        <v>6.4</v>
      </c>
      <c r="C10" s="78" t="s">
        <v>46</v>
      </c>
      <c r="D10" s="6" t="s">
        <v>37</v>
      </c>
      <c r="E10" s="6" t="s">
        <v>192</v>
      </c>
      <c r="F10" s="51" t="s">
        <v>37</v>
      </c>
      <c r="G10" s="51" t="s">
        <v>37</v>
      </c>
      <c r="H10" s="51" t="s">
        <v>37</v>
      </c>
      <c r="I10" s="53" t="s">
        <v>10</v>
      </c>
      <c r="J10" s="51" t="s">
        <v>37</v>
      </c>
      <c r="K10" s="100" t="s">
        <v>195</v>
      </c>
      <c r="L10" s="101" t="s">
        <v>196</v>
      </c>
      <c r="M10" s="51" t="s">
        <v>37</v>
      </c>
      <c r="N10" s="51" t="s">
        <v>37</v>
      </c>
      <c r="O10" s="42" t="s">
        <v>197</v>
      </c>
    </row>
    <row r="11" spans="1:16" ht="57.75" customHeight="1" x14ac:dyDescent="0.35">
      <c r="A11" s="6">
        <v>5</v>
      </c>
      <c r="B11" s="6" t="str">
        <f t="shared" si="0"/>
        <v>6.5</v>
      </c>
      <c r="C11" s="78" t="s">
        <v>46</v>
      </c>
      <c r="D11" s="6" t="s">
        <v>193</v>
      </c>
      <c r="E11" s="6" t="s">
        <v>30</v>
      </c>
      <c r="F11" s="6" t="s">
        <v>65</v>
      </c>
      <c r="G11" s="51" t="s">
        <v>37</v>
      </c>
      <c r="H11" s="51" t="s">
        <v>37</v>
      </c>
      <c r="I11" s="53" t="s">
        <v>10</v>
      </c>
      <c r="J11" s="5" t="s">
        <v>194</v>
      </c>
      <c r="K11" s="100"/>
      <c r="L11" s="101"/>
      <c r="M11" s="51" t="s">
        <v>37</v>
      </c>
      <c r="N11" s="51" t="s">
        <v>37</v>
      </c>
      <c r="O11" s="42" t="s">
        <v>198</v>
      </c>
    </row>
    <row r="12" spans="1:16" ht="29" x14ac:dyDescent="0.35">
      <c r="A12" s="6">
        <v>6</v>
      </c>
      <c r="B12" s="6" t="str">
        <f>CONCATENATE($B$2, ".", A12)</f>
        <v>6.6</v>
      </c>
      <c r="C12" s="78" t="s">
        <v>46</v>
      </c>
      <c r="D12" s="6" t="s">
        <v>61</v>
      </c>
      <c r="E12" s="6" t="s">
        <v>43</v>
      </c>
      <c r="F12" s="6" t="s">
        <v>37</v>
      </c>
      <c r="G12" s="6" t="s">
        <v>37</v>
      </c>
      <c r="H12" s="6" t="s">
        <v>37</v>
      </c>
      <c r="I12" s="6" t="s">
        <v>10</v>
      </c>
      <c r="J12" s="6" t="s">
        <v>37</v>
      </c>
      <c r="K12" s="6" t="s">
        <v>37</v>
      </c>
      <c r="L12" s="6" t="s">
        <v>37</v>
      </c>
      <c r="M12" s="6" t="s">
        <v>37</v>
      </c>
      <c r="N12" s="6" t="s">
        <v>37</v>
      </c>
      <c r="O12" s="6" t="s">
        <v>93</v>
      </c>
    </row>
    <row r="13" spans="1:16" ht="29" x14ac:dyDescent="0.35">
      <c r="A13" s="6">
        <v>7</v>
      </c>
      <c r="B13" s="6" t="str">
        <f t="shared" ref="B13" si="1">CONCATENATE($B$2, ".", A13)</f>
        <v>6.7</v>
      </c>
      <c r="C13" s="78" t="s">
        <v>46</v>
      </c>
      <c r="D13" s="6" t="s">
        <v>60</v>
      </c>
      <c r="E13" s="6" t="s">
        <v>43</v>
      </c>
      <c r="F13" s="6" t="s">
        <v>37</v>
      </c>
      <c r="G13" s="6" t="s">
        <v>37</v>
      </c>
      <c r="H13" s="6" t="s">
        <v>37</v>
      </c>
      <c r="I13" s="6" t="s">
        <v>10</v>
      </c>
      <c r="J13" s="6" t="s">
        <v>37</v>
      </c>
      <c r="K13" s="6" t="s">
        <v>37</v>
      </c>
      <c r="L13" s="6" t="s">
        <v>37</v>
      </c>
      <c r="M13" s="6" t="s">
        <v>37</v>
      </c>
      <c r="N13" s="6" t="s">
        <v>37</v>
      </c>
      <c r="O13" s="6" t="s">
        <v>66</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mergeCells count="4">
    <mergeCell ref="K10:K11"/>
    <mergeCell ref="L10:L11"/>
    <mergeCell ref="B1:C1"/>
    <mergeCell ref="B4:C4"/>
  </mergeCells>
  <conditionalFormatting sqref="C7:C1048576">
    <cfRule type="cellIs" dxfId="277" priority="17" operator="equal">
      <formula>"WIP (see comments)"</formula>
    </cfRule>
    <cfRule type="cellIs" dxfId="276" priority="18" operator="equal">
      <formula>"Removed"</formula>
    </cfRule>
    <cfRule type="cellIs" dxfId="275" priority="19" operator="equal">
      <formula>"Updated"</formula>
    </cfRule>
    <cfRule type="cellIs" dxfId="274" priority="20" operator="equal">
      <formula>"New"</formula>
    </cfRule>
  </conditionalFormatting>
  <conditionalFormatting sqref="A2:XFD3 A14:XFD1048576 M11:XFD11 D11:J11 A8:B11 D8:XFD10 A1:B1 D1:XFD1 A5:XFD7 A4:B4 D4:XFD4 A12:A13 C8:C13">
    <cfRule type="cellIs" dxfId="273" priority="12" operator="equal">
      <formula>"n/a"</formula>
    </cfRule>
  </conditionalFormatting>
  <conditionalFormatting sqref="B12:B13 D12:XFD13">
    <cfRule type="cellIs" dxfId="272" priority="1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ySplit="6" topLeftCell="A7" activePane="bottomLeft" state="frozen"/>
      <selection pane="bottomLeft" activeCell="A10" sqref="A10"/>
    </sheetView>
  </sheetViews>
  <sheetFormatPr defaultColWidth="9.1796875" defaultRowHeight="14.5" x14ac:dyDescent="0.35"/>
  <cols>
    <col min="1" max="1" width="14.7265625" style="5" customWidth="1"/>
    <col min="2" max="2" width="12.54296875" style="5" customWidth="1"/>
    <col min="3" max="3" width="18.54296875"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98" t="s">
        <v>326</v>
      </c>
      <c r="C1" s="98"/>
      <c r="D1" s="31"/>
      <c r="H1" s="37"/>
    </row>
    <row r="2" spans="1:16" s="32" customFormat="1" ht="18.5" x14ac:dyDescent="0.35">
      <c r="A2" s="30" t="s">
        <v>8</v>
      </c>
      <c r="B2" s="38">
        <v>7</v>
      </c>
      <c r="C2" s="37"/>
      <c r="D2" s="38"/>
      <c r="H2" s="37"/>
    </row>
    <row r="3" spans="1:16" s="32" customFormat="1" ht="18.5" x14ac:dyDescent="0.35">
      <c r="A3" s="30" t="s">
        <v>45</v>
      </c>
      <c r="B3" s="38" t="s">
        <v>295</v>
      </c>
      <c r="C3" s="37"/>
      <c r="D3" s="38" t="s">
        <v>74</v>
      </c>
      <c r="H3" s="37"/>
    </row>
    <row r="4" spans="1:16" s="32" customFormat="1" ht="18.5" x14ac:dyDescent="0.35">
      <c r="A4" s="30" t="s">
        <v>9</v>
      </c>
      <c r="B4" s="99" t="s">
        <v>10</v>
      </c>
      <c r="C4" s="99"/>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9" si="0">CONCATENATE($B$2, ".", A7)</f>
        <v>7.1</v>
      </c>
      <c r="C7" s="71" t="s">
        <v>46</v>
      </c>
      <c r="D7" s="42" t="s">
        <v>325</v>
      </c>
      <c r="E7" s="42" t="s">
        <v>143</v>
      </c>
      <c r="F7" s="5" t="s">
        <v>37</v>
      </c>
      <c r="G7" s="5" t="s">
        <v>37</v>
      </c>
      <c r="H7" s="71" t="s">
        <v>37</v>
      </c>
      <c r="I7" s="42" t="s">
        <v>10</v>
      </c>
      <c r="J7" s="5" t="s">
        <v>37</v>
      </c>
      <c r="K7" s="5" t="s">
        <v>37</v>
      </c>
      <c r="L7" s="5" t="s">
        <v>37</v>
      </c>
      <c r="M7" s="5" t="s">
        <v>37</v>
      </c>
      <c r="N7" s="5" t="s">
        <v>37</v>
      </c>
    </row>
    <row r="8" spans="1:16" x14ac:dyDescent="0.35">
      <c r="A8" s="5">
        <v>2</v>
      </c>
      <c r="B8" s="5" t="str">
        <f t="shared" si="0"/>
        <v>7.2</v>
      </c>
      <c r="C8" s="77" t="s">
        <v>46</v>
      </c>
      <c r="D8" s="5" t="s">
        <v>215</v>
      </c>
      <c r="E8" s="5" t="s">
        <v>43</v>
      </c>
      <c r="F8" s="5" t="s">
        <v>37</v>
      </c>
      <c r="G8" s="5" t="s">
        <v>37</v>
      </c>
      <c r="H8" s="71" t="s">
        <v>37</v>
      </c>
      <c r="I8" s="42" t="s">
        <v>10</v>
      </c>
      <c r="J8" s="5" t="s">
        <v>37</v>
      </c>
      <c r="K8" s="5" t="s">
        <v>37</v>
      </c>
      <c r="L8" s="5" t="s">
        <v>37</v>
      </c>
      <c r="M8" s="5" t="s">
        <v>37</v>
      </c>
      <c r="N8" s="5" t="s">
        <v>37</v>
      </c>
      <c r="O8" s="41" t="s">
        <v>62</v>
      </c>
    </row>
    <row r="9" spans="1:16" s="41" customFormat="1" x14ac:dyDescent="0.35">
      <c r="A9" s="41">
        <v>3</v>
      </c>
      <c r="B9" s="41" t="str">
        <f t="shared" si="0"/>
        <v>7.3</v>
      </c>
      <c r="C9" s="77" t="s">
        <v>46</v>
      </c>
      <c r="D9" s="41" t="s">
        <v>60</v>
      </c>
      <c r="E9" s="41" t="s">
        <v>43</v>
      </c>
      <c r="F9" s="41" t="s">
        <v>37</v>
      </c>
      <c r="G9" s="41" t="s">
        <v>37</v>
      </c>
      <c r="H9" s="50" t="s">
        <v>37</v>
      </c>
      <c r="I9" s="41" t="s">
        <v>10</v>
      </c>
      <c r="J9" s="41" t="s">
        <v>37</v>
      </c>
      <c r="K9" s="41" t="s">
        <v>37</v>
      </c>
      <c r="L9" s="41" t="s">
        <v>37</v>
      </c>
      <c r="M9" s="41" t="s">
        <v>37</v>
      </c>
      <c r="N9" s="41" t="s">
        <v>37</v>
      </c>
      <c r="O9" s="41" t="s">
        <v>44</v>
      </c>
    </row>
  </sheetData>
  <autoFilter ref="A6:P6"/>
  <mergeCells count="2">
    <mergeCell ref="B1:C1"/>
    <mergeCell ref="B4:C4"/>
  </mergeCells>
  <conditionalFormatting sqref="C7:C1048576">
    <cfRule type="cellIs" dxfId="271" priority="22" operator="equal">
      <formula>"WIP (see comments)"</formula>
    </cfRule>
    <cfRule type="cellIs" dxfId="270" priority="23" operator="equal">
      <formula>"Removed"</formula>
    </cfRule>
    <cfRule type="cellIs" dxfId="269" priority="24" operator="equal">
      <formula>"Updated"</formula>
    </cfRule>
    <cfRule type="cellIs" dxfId="268" priority="25" operator="equal">
      <formula>"New"</formula>
    </cfRule>
  </conditionalFormatting>
  <conditionalFormatting sqref="A2:XFD3 A10:XFD1048576 A1:B1 E1:XFD1 C8:C9 A5:XFD6 A4:B4 D4:XFD4">
    <cfRule type="cellIs" dxfId="267" priority="21" operator="equal">
      <formula>"n/a"</formula>
    </cfRule>
  </conditionalFormatting>
  <conditionalFormatting sqref="A7:XFD7">
    <cfRule type="cellIs" dxfId="266" priority="14" operator="equal">
      <formula>"n/a"</formula>
    </cfRule>
  </conditionalFormatting>
  <conditionalFormatting sqref="A8:B8 D8:N8 P8:XFD8">
    <cfRule type="cellIs" dxfId="265" priority="13" operator="equal">
      <formula>"n/a"</formula>
    </cfRule>
  </conditionalFormatting>
  <conditionalFormatting sqref="A9:B9 D9:XFD9">
    <cfRule type="cellIs" dxfId="264" priority="3" operator="equal">
      <formula>"n/a"</formula>
    </cfRule>
  </conditionalFormatting>
  <conditionalFormatting sqref="O8">
    <cfRule type="cellIs" dxfId="263" priority="2" operator="equal">
      <formula>"n/a"</formula>
    </cfRule>
  </conditionalFormatting>
  <conditionalFormatting sqref="D1">
    <cfRule type="cellIs" dxfId="262" priority="1" operator="equal">
      <formula>"n/a"</formula>
    </cfRule>
  </conditionalFormatting>
  <dataValidations count="2">
    <dataValidation type="list" allowBlank="1" showInputMessage="1" showErrorMessage="1" sqref="C10:C1048576">
      <formula1>$B$5:$B$9</formula1>
    </dataValidation>
    <dataValidation type="list" allowBlank="1" showInputMessage="1" showErrorMessage="1" sqref="E9:E1048576">
      <formula1>$A$5:$A$23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 E8</xm:sqref>
        </x14:dataValidation>
        <x14:dataValidation type="list" allowBlank="1" showInputMessage="1" showErrorMessage="1">
          <x14:formula1>
            <xm:f>'List Values'!$B$5:$B$12</xm:f>
          </x14:formula1>
          <xm:sqref>C7:C9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D17" sqref="D1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348</v>
      </c>
      <c r="C1" s="96"/>
      <c r="D1" s="31"/>
    </row>
    <row r="2" spans="1:16" s="63" customFormat="1" ht="18.5" x14ac:dyDescent="0.35">
      <c r="A2" s="62" t="s">
        <v>8</v>
      </c>
      <c r="B2" s="64">
        <v>8</v>
      </c>
      <c r="C2" s="65"/>
      <c r="D2" s="64"/>
    </row>
    <row r="3" spans="1:16" s="63" customFormat="1" ht="18.5" x14ac:dyDescent="0.35">
      <c r="A3" s="62" t="s">
        <v>45</v>
      </c>
      <c r="B3" s="64" t="s">
        <v>295</v>
      </c>
      <c r="C3" s="65"/>
      <c r="D3" s="64"/>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8.1</v>
      </c>
      <c r="C7" s="50" t="s">
        <v>46</v>
      </c>
      <c r="D7" s="41" t="s">
        <v>327</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8.2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43.5" x14ac:dyDescent="0.35">
      <c r="A9" s="41">
        <v>3</v>
      </c>
      <c r="B9" s="41" t="str">
        <f t="shared" si="0"/>
        <v>8.3</v>
      </c>
      <c r="C9" s="50" t="s">
        <v>46</v>
      </c>
      <c r="D9" s="85" t="s">
        <v>349</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7</v>
      </c>
      <c r="B10" s="41" t="str">
        <f>CONCATENATE($B$2, ".", A10)</f>
        <v>8.7</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8</v>
      </c>
      <c r="B11" s="41" t="str">
        <f t="shared" si="0"/>
        <v>8.8</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1:C1"/>
    <mergeCell ref="B4:C4"/>
  </mergeCells>
  <conditionalFormatting sqref="C8:C1048576">
    <cfRule type="cellIs" dxfId="261" priority="27" operator="equal">
      <formula>"WIP (see comments)"</formula>
    </cfRule>
    <cfRule type="cellIs" dxfId="260" priority="28" operator="equal">
      <formula>"Removed"</formula>
    </cfRule>
    <cfRule type="cellIs" dxfId="259" priority="29" operator="equal">
      <formula>"Updated"</formula>
    </cfRule>
    <cfRule type="cellIs" dxfId="258" priority="30" operator="equal">
      <formula>"New"</formula>
    </cfRule>
  </conditionalFormatting>
  <conditionalFormatting sqref="C7:C11">
    <cfRule type="cellIs" dxfId="257" priority="19" operator="equal">
      <formula>"WIP (see comments)"</formula>
    </cfRule>
    <cfRule type="cellIs" dxfId="256" priority="20" operator="equal">
      <formula>"Removed"</formula>
    </cfRule>
    <cfRule type="cellIs" dxfId="255" priority="21" operator="equal">
      <formula>"Updated"</formula>
    </cfRule>
    <cfRule type="cellIs" dxfId="254" priority="22" operator="equal">
      <formula>"New"</formula>
    </cfRule>
  </conditionalFormatting>
  <conditionalFormatting sqref="A1:B1 E1:XFD1 A2:XFD3 A4:B4 D4:XFD4 A5:XFD1048576">
    <cfRule type="cellIs" dxfId="253" priority="14" operator="equal">
      <formula>"n/a"</formula>
    </cfRule>
  </conditionalFormatting>
  <conditionalFormatting sqref="D1">
    <cfRule type="cellIs" dxfId="25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9" sqref="B9"/>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328</v>
      </c>
      <c r="C1" s="96"/>
      <c r="D1" s="96"/>
    </row>
    <row r="2" spans="1:16" s="63" customFormat="1" ht="18.5" x14ac:dyDescent="0.35">
      <c r="A2" s="62" t="s">
        <v>8</v>
      </c>
      <c r="B2" s="64">
        <v>9</v>
      </c>
      <c r="C2" s="65"/>
      <c r="D2" s="64"/>
    </row>
    <row r="3" spans="1:16" s="63" customFormat="1" ht="18.5" x14ac:dyDescent="0.35">
      <c r="A3" s="62" t="s">
        <v>45</v>
      </c>
      <c r="B3" s="64" t="s">
        <v>295</v>
      </c>
      <c r="C3" s="65"/>
      <c r="D3" s="64"/>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9.1</v>
      </c>
      <c r="C7" s="50" t="s">
        <v>46</v>
      </c>
      <c r="D7" s="41" t="s">
        <v>327</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9.2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72.5" x14ac:dyDescent="0.35">
      <c r="A9" s="41">
        <v>3</v>
      </c>
      <c r="B9" s="41" t="str">
        <f t="shared" si="0"/>
        <v>9.3</v>
      </c>
      <c r="C9" s="50" t="s">
        <v>46</v>
      </c>
      <c r="D9" s="85" t="s">
        <v>329</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4</v>
      </c>
      <c r="B10" s="41" t="str">
        <f>CONCATENATE($B$2, ".", A10)</f>
        <v>9.4</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5</v>
      </c>
      <c r="B11" s="41" t="str">
        <f t="shared" si="0"/>
        <v>9.5</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4:C4"/>
    <mergeCell ref="B1:D1"/>
  </mergeCells>
  <conditionalFormatting sqref="C8:C1048576">
    <cfRule type="cellIs" dxfId="251" priority="7" operator="equal">
      <formula>"WIP (see comments)"</formula>
    </cfRule>
    <cfRule type="cellIs" dxfId="250" priority="8" operator="equal">
      <formula>"Removed"</formula>
    </cfRule>
    <cfRule type="cellIs" dxfId="249" priority="9" operator="equal">
      <formula>"Updated"</formula>
    </cfRule>
    <cfRule type="cellIs" dxfId="248" priority="10" operator="equal">
      <formula>"New"</formula>
    </cfRule>
  </conditionalFormatting>
  <conditionalFormatting sqref="C7:C11">
    <cfRule type="cellIs" dxfId="247" priority="3" operator="equal">
      <formula>"WIP (see comments)"</formula>
    </cfRule>
    <cfRule type="cellIs" dxfId="246" priority="4" operator="equal">
      <formula>"Removed"</formula>
    </cfRule>
    <cfRule type="cellIs" dxfId="245" priority="5" operator="equal">
      <formula>"Updated"</formula>
    </cfRule>
    <cfRule type="cellIs" dxfId="244" priority="6" operator="equal">
      <formula>"New"</formula>
    </cfRule>
  </conditionalFormatting>
  <conditionalFormatting sqref="A1:B1 E1:XFD1 A2:XFD3 A4:B4 D4:XFD4 A5:XFD1048576">
    <cfRule type="cellIs" dxfId="243"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332</v>
      </c>
      <c r="C1" s="98"/>
      <c r="D1" s="98"/>
    </row>
    <row r="2" spans="1:16" s="32" customFormat="1" ht="18.5" x14ac:dyDescent="0.35">
      <c r="A2" s="30" t="s">
        <v>8</v>
      </c>
      <c r="B2" s="38">
        <v>10</v>
      </c>
      <c r="C2" s="37"/>
      <c r="D2" s="38"/>
    </row>
    <row r="3" spans="1:16" s="32" customFormat="1" ht="18.5" x14ac:dyDescent="0.35">
      <c r="A3" s="30" t="s">
        <v>45</v>
      </c>
      <c r="B3" s="38" t="s">
        <v>430</v>
      </c>
      <c r="C3" s="37"/>
      <c r="D3" s="89" t="s">
        <v>436</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10.1</v>
      </c>
      <c r="C7" s="52" t="s">
        <v>40</v>
      </c>
      <c r="D7" s="53" t="s">
        <v>323</v>
      </c>
      <c r="E7" s="51" t="s">
        <v>29</v>
      </c>
      <c r="F7" s="51" t="s">
        <v>37</v>
      </c>
      <c r="G7" s="51" t="s">
        <v>37</v>
      </c>
      <c r="H7" s="51" t="s">
        <v>37</v>
      </c>
      <c r="I7" s="53" t="s">
        <v>10</v>
      </c>
      <c r="J7" s="51" t="s">
        <v>37</v>
      </c>
      <c r="K7" s="51" t="s">
        <v>37</v>
      </c>
      <c r="L7" s="51" t="s">
        <v>37</v>
      </c>
      <c r="M7" s="51" t="s">
        <v>37</v>
      </c>
      <c r="N7" s="51" t="s">
        <v>37</v>
      </c>
      <c r="O7" s="51" t="s">
        <v>37</v>
      </c>
    </row>
    <row r="8" spans="1:16" s="51" customFormat="1" x14ac:dyDescent="0.35">
      <c r="A8" s="51">
        <v>2</v>
      </c>
      <c r="B8" s="51" t="str">
        <f t="shared" ref="B8:B13" si="0">CONCATENATE($B$2, ".", A8)</f>
        <v>10.2</v>
      </c>
      <c r="C8" s="91" t="s">
        <v>40</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35">
      <c r="A9" s="51">
        <v>3</v>
      </c>
      <c r="B9" s="51" t="str">
        <f t="shared" si="0"/>
        <v>10.3</v>
      </c>
      <c r="C9" s="91" t="s">
        <v>40</v>
      </c>
      <c r="D9" s="53" t="s">
        <v>268</v>
      </c>
      <c r="E9" s="53" t="s">
        <v>34</v>
      </c>
      <c r="F9" s="51" t="s">
        <v>37</v>
      </c>
      <c r="G9" s="51" t="s">
        <v>37</v>
      </c>
      <c r="H9" s="51" t="s">
        <v>37</v>
      </c>
      <c r="I9" s="53" t="s">
        <v>10</v>
      </c>
      <c r="J9" s="51" t="s">
        <v>37</v>
      </c>
      <c r="K9" s="51" t="s">
        <v>37</v>
      </c>
      <c r="L9" s="51" t="s">
        <v>37</v>
      </c>
      <c r="M9" s="51" t="s">
        <v>37</v>
      </c>
      <c r="N9" s="51" t="s">
        <v>37</v>
      </c>
      <c r="O9" s="51" t="s">
        <v>37</v>
      </c>
    </row>
    <row r="10" spans="1:16" ht="99" customHeight="1" x14ac:dyDescent="0.35">
      <c r="A10" s="6">
        <v>4</v>
      </c>
      <c r="B10" s="51" t="str">
        <f t="shared" si="0"/>
        <v>10.4</v>
      </c>
      <c r="C10" s="91" t="s">
        <v>40</v>
      </c>
      <c r="D10" s="6" t="s">
        <v>37</v>
      </c>
      <c r="E10" s="6" t="s">
        <v>192</v>
      </c>
      <c r="F10" s="51" t="s">
        <v>37</v>
      </c>
      <c r="G10" s="51" t="s">
        <v>37</v>
      </c>
      <c r="H10" s="51" t="s">
        <v>37</v>
      </c>
      <c r="I10" s="53" t="s">
        <v>10</v>
      </c>
      <c r="J10" s="51" t="s">
        <v>37</v>
      </c>
      <c r="K10" s="100" t="s">
        <v>195</v>
      </c>
      <c r="L10" s="101" t="s">
        <v>196</v>
      </c>
      <c r="M10" s="51" t="s">
        <v>37</v>
      </c>
      <c r="N10" s="51" t="s">
        <v>37</v>
      </c>
      <c r="O10" s="42" t="s">
        <v>197</v>
      </c>
    </row>
    <row r="11" spans="1:16" ht="57.75" customHeight="1" x14ac:dyDescent="0.35">
      <c r="A11" s="6">
        <v>5</v>
      </c>
      <c r="B11" s="6" t="str">
        <f t="shared" si="0"/>
        <v>10.5</v>
      </c>
      <c r="C11" s="91" t="s">
        <v>40</v>
      </c>
      <c r="D11" s="6" t="s">
        <v>193</v>
      </c>
      <c r="E11" s="6" t="s">
        <v>30</v>
      </c>
      <c r="F11" s="6" t="s">
        <v>65</v>
      </c>
      <c r="G11" s="51" t="s">
        <v>37</v>
      </c>
      <c r="H11" s="51" t="s">
        <v>37</v>
      </c>
      <c r="I11" s="53" t="s">
        <v>10</v>
      </c>
      <c r="J11" s="5" t="s">
        <v>194</v>
      </c>
      <c r="K11" s="100"/>
      <c r="L11" s="101"/>
      <c r="M11" s="51" t="s">
        <v>37</v>
      </c>
      <c r="N11" s="51" t="s">
        <v>37</v>
      </c>
      <c r="O11" s="42" t="s">
        <v>198</v>
      </c>
    </row>
    <row r="12" spans="1:16" ht="57.75" customHeight="1" x14ac:dyDescent="0.35">
      <c r="A12" s="6">
        <v>6</v>
      </c>
      <c r="B12" s="6" t="str">
        <f t="shared" si="0"/>
        <v>10.6</v>
      </c>
      <c r="C12" s="91" t="s">
        <v>40</v>
      </c>
      <c r="D12" s="6" t="s">
        <v>238</v>
      </c>
      <c r="E12" s="6" t="s">
        <v>34</v>
      </c>
      <c r="F12" s="6" t="s">
        <v>37</v>
      </c>
      <c r="G12" s="51" t="s">
        <v>37</v>
      </c>
      <c r="H12" s="51" t="s">
        <v>37</v>
      </c>
      <c r="I12" s="53" t="s">
        <v>10</v>
      </c>
      <c r="J12" s="5" t="s">
        <v>37</v>
      </c>
      <c r="K12" s="5" t="s">
        <v>37</v>
      </c>
      <c r="L12" s="5" t="s">
        <v>37</v>
      </c>
      <c r="M12" s="5" t="s">
        <v>37</v>
      </c>
      <c r="N12" s="5" t="s">
        <v>37</v>
      </c>
      <c r="O12" s="5" t="s">
        <v>37</v>
      </c>
    </row>
    <row r="13" spans="1:16" ht="57.75" customHeight="1" x14ac:dyDescent="0.35">
      <c r="A13" s="6">
        <v>7</v>
      </c>
      <c r="B13" s="6" t="str">
        <f t="shared" si="0"/>
        <v>10.7</v>
      </c>
      <c r="C13" s="91" t="s">
        <v>40</v>
      </c>
      <c r="D13" s="6" t="s">
        <v>267</v>
      </c>
      <c r="E13" s="6" t="s">
        <v>142</v>
      </c>
      <c r="F13" s="6" t="s">
        <v>37</v>
      </c>
      <c r="G13" s="51" t="s">
        <v>37</v>
      </c>
      <c r="H13" s="51" t="s">
        <v>37</v>
      </c>
      <c r="I13" s="53" t="s">
        <v>10</v>
      </c>
      <c r="J13" s="5" t="s">
        <v>37</v>
      </c>
      <c r="K13" s="5" t="s">
        <v>37</v>
      </c>
      <c r="L13" s="5" t="s">
        <v>37</v>
      </c>
      <c r="M13" s="5" t="s">
        <v>37</v>
      </c>
      <c r="N13" s="5" t="s">
        <v>37</v>
      </c>
      <c r="O13" s="5" t="s">
        <v>37</v>
      </c>
    </row>
    <row r="14" spans="1:16" ht="29" x14ac:dyDescent="0.35">
      <c r="A14" s="6">
        <v>8</v>
      </c>
      <c r="B14" s="6" t="str">
        <f>CONCATENATE($B$2, ".", A14)</f>
        <v>10.8</v>
      </c>
      <c r="C14" s="91" t="s">
        <v>40</v>
      </c>
      <c r="D14" s="6" t="s">
        <v>61</v>
      </c>
      <c r="E14" s="6" t="s">
        <v>43</v>
      </c>
      <c r="F14" s="6" t="s">
        <v>37</v>
      </c>
      <c r="G14" s="6" t="s">
        <v>37</v>
      </c>
      <c r="H14" s="6" t="s">
        <v>37</v>
      </c>
      <c r="I14" s="6" t="s">
        <v>10</v>
      </c>
      <c r="J14" s="6" t="s">
        <v>37</v>
      </c>
      <c r="K14" s="6" t="s">
        <v>37</v>
      </c>
      <c r="L14" s="6" t="s">
        <v>37</v>
      </c>
      <c r="M14" s="6" t="s">
        <v>37</v>
      </c>
      <c r="N14" s="6" t="s">
        <v>37</v>
      </c>
      <c r="O14" s="6" t="s">
        <v>435</v>
      </c>
    </row>
    <row r="15" spans="1:16" ht="29" x14ac:dyDescent="0.35">
      <c r="A15" s="6">
        <v>9</v>
      </c>
      <c r="B15" s="6" t="str">
        <f t="shared" ref="B15" si="1">CONCATENATE($B$2, ".", A15)</f>
        <v>10.9</v>
      </c>
      <c r="C15" s="91" t="s">
        <v>40</v>
      </c>
      <c r="D15" s="6" t="s">
        <v>60</v>
      </c>
      <c r="E15" s="6" t="s">
        <v>43</v>
      </c>
      <c r="F15" s="6" t="s">
        <v>37</v>
      </c>
      <c r="G15" s="6" t="s">
        <v>37</v>
      </c>
      <c r="H15" s="6" t="s">
        <v>37</v>
      </c>
      <c r="I15" s="6" t="s">
        <v>10</v>
      </c>
      <c r="J15" s="6" t="s">
        <v>37</v>
      </c>
      <c r="K15" s="6" t="s">
        <v>37</v>
      </c>
      <c r="L15" s="6" t="s">
        <v>37</v>
      </c>
      <c r="M15" s="6" t="s">
        <v>37</v>
      </c>
      <c r="N15" s="6" t="s">
        <v>37</v>
      </c>
      <c r="O15" s="6" t="s">
        <v>432</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242" priority="48" operator="equal">
      <formula>"WIP (see comments)"</formula>
    </cfRule>
    <cfRule type="cellIs" dxfId="241" priority="49" operator="equal">
      <formula>"Removed"</formula>
    </cfRule>
    <cfRule type="cellIs" dxfId="240" priority="50" operator="equal">
      <formula>"Updated"</formula>
    </cfRule>
    <cfRule type="cellIs" dxfId="239" priority="51" operator="equal">
      <formula>"New"</formula>
    </cfRule>
  </conditionalFormatting>
  <conditionalFormatting sqref="C7:C15">
    <cfRule type="cellIs" dxfId="238" priority="32" operator="equal">
      <formula>"WIP (see comments)"</formula>
    </cfRule>
    <cfRule type="cellIs" dxfId="237" priority="33" operator="equal">
      <formula>"Removed"</formula>
    </cfRule>
    <cfRule type="cellIs" dxfId="236" priority="34" operator="equal">
      <formula>"Updated"</formula>
    </cfRule>
    <cfRule type="cellIs" dxfId="235" priority="35" operator="equal">
      <formula>"New"</formula>
    </cfRule>
  </conditionalFormatting>
  <conditionalFormatting sqref="A2:XFD2 A16:XFD1048576 M11:XFD11 D11:J11 A8:B13 D8:XFD10 P12:XFD13 A1:B1 E1:XFD1 A5:XFD7 A4:B4 D4:XFD4 C8:C15 A3:C3 E3:XFD3">
    <cfRule type="cellIs" dxfId="234" priority="30" operator="equal">
      <formula>"n/a"</formula>
    </cfRule>
  </conditionalFormatting>
  <conditionalFormatting sqref="A14:B15 D14:XFD15">
    <cfRule type="cellIs" dxfId="233" priority="16" operator="equal">
      <formula>"n/a"</formula>
    </cfRule>
  </conditionalFormatting>
  <conditionalFormatting sqref="J13:K13 J12 D12:I13">
    <cfRule type="cellIs" dxfId="232" priority="11" operator="equal">
      <formula>"n/a"</formula>
    </cfRule>
  </conditionalFormatting>
  <conditionalFormatting sqref="K12">
    <cfRule type="cellIs" dxfId="231" priority="10" operator="equal">
      <formula>"n/a"</formula>
    </cfRule>
  </conditionalFormatting>
  <conditionalFormatting sqref="L13">
    <cfRule type="cellIs" dxfId="230" priority="9" operator="equal">
      <formula>"n/a"</formula>
    </cfRule>
  </conditionalFormatting>
  <conditionalFormatting sqref="L12">
    <cfRule type="cellIs" dxfId="229" priority="8" operator="equal">
      <formula>"n/a"</formula>
    </cfRule>
  </conditionalFormatting>
  <conditionalFormatting sqref="M13">
    <cfRule type="cellIs" dxfId="228" priority="7" operator="equal">
      <formula>"n/a"</formula>
    </cfRule>
  </conditionalFormatting>
  <conditionalFormatting sqref="M12">
    <cfRule type="cellIs" dxfId="227" priority="6" operator="equal">
      <formula>"n/a"</formula>
    </cfRule>
  </conditionalFormatting>
  <conditionalFormatting sqref="N13">
    <cfRule type="cellIs" dxfId="226" priority="5" operator="equal">
      <formula>"n/a"</formula>
    </cfRule>
  </conditionalFormatting>
  <conditionalFormatting sqref="N12">
    <cfRule type="cellIs" dxfId="225" priority="4" operator="equal">
      <formula>"n/a"</formula>
    </cfRule>
  </conditionalFormatting>
  <conditionalFormatting sqref="O13">
    <cfRule type="cellIs" dxfId="224" priority="3" operator="equal">
      <formula>"n/a"</formula>
    </cfRule>
  </conditionalFormatting>
  <conditionalFormatting sqref="O12">
    <cfRule type="cellIs" dxfId="223" priority="2" operator="equal">
      <formula>"n/a"</formula>
    </cfRule>
  </conditionalFormatting>
  <conditionalFormatting sqref="D3">
    <cfRule type="cellIs" dxfId="22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28" activePane="bottomRight" state="frozen"/>
      <selection pane="topRight" activeCell="E1" sqref="E1"/>
      <selection pane="bottomLeft" activeCell="A7" sqref="A7"/>
      <selection pane="bottomRight" activeCell="C28" sqref="C2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331</v>
      </c>
      <c r="C1" s="98"/>
      <c r="D1" s="31"/>
    </row>
    <row r="2" spans="1:16" s="32" customFormat="1" ht="18.5" x14ac:dyDescent="0.35">
      <c r="A2" s="30" t="s">
        <v>8</v>
      </c>
      <c r="B2" s="38">
        <v>11</v>
      </c>
      <c r="C2" s="37"/>
      <c r="D2" s="38"/>
    </row>
    <row r="3" spans="1:16" s="32" customFormat="1" ht="18.5" x14ac:dyDescent="0.35">
      <c r="A3" s="30" t="s">
        <v>45</v>
      </c>
      <c r="B3" s="38" t="s">
        <v>431</v>
      </c>
      <c r="C3" s="37"/>
      <c r="D3" s="89" t="s">
        <v>437</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6" si="0">CONCATENATE($B$2, ".", A7)</f>
        <v>11.1</v>
      </c>
      <c r="C7" s="91" t="s">
        <v>40</v>
      </c>
      <c r="D7" s="41" t="s">
        <v>330</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11.2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3.5" x14ac:dyDescent="0.35">
      <c r="A9" s="41">
        <v>3</v>
      </c>
      <c r="B9" s="41" t="str">
        <f t="shared" si="0"/>
        <v>11.3</v>
      </c>
      <c r="C9" s="91" t="s">
        <v>40</v>
      </c>
      <c r="D9" s="41" t="s">
        <v>119</v>
      </c>
      <c r="E9" s="41" t="s">
        <v>33</v>
      </c>
      <c r="F9" s="41" t="s">
        <v>53</v>
      </c>
      <c r="G9" s="41" t="s">
        <v>37</v>
      </c>
      <c r="H9" s="43">
        <v>50</v>
      </c>
      <c r="I9" s="41" t="s">
        <v>10</v>
      </c>
      <c r="J9" s="42" t="s">
        <v>69</v>
      </c>
      <c r="K9" s="42" t="s">
        <v>55</v>
      </c>
      <c r="L9" s="42" t="s">
        <v>71</v>
      </c>
      <c r="M9" s="42" t="s">
        <v>37</v>
      </c>
      <c r="N9" s="42" t="s">
        <v>37</v>
      </c>
      <c r="O9" s="42" t="s">
        <v>73</v>
      </c>
    </row>
    <row r="10" spans="1:16" s="41" customFormat="1" ht="43.5" x14ac:dyDescent="0.35">
      <c r="A10" s="41">
        <v>4</v>
      </c>
      <c r="B10" s="41" t="str">
        <f t="shared" si="0"/>
        <v>11.4</v>
      </c>
      <c r="C10" s="91" t="s">
        <v>40</v>
      </c>
      <c r="D10" s="41" t="s">
        <v>120</v>
      </c>
      <c r="E10" s="41" t="s">
        <v>33</v>
      </c>
      <c r="F10" s="41" t="s">
        <v>53</v>
      </c>
      <c r="G10" s="41" t="s">
        <v>37</v>
      </c>
      <c r="H10" s="43">
        <v>50</v>
      </c>
      <c r="I10" s="41" t="s">
        <v>10</v>
      </c>
      <c r="J10" s="42" t="s">
        <v>70</v>
      </c>
      <c r="K10" s="42" t="s">
        <v>55</v>
      </c>
      <c r="L10" s="42" t="s">
        <v>72</v>
      </c>
      <c r="M10" s="42" t="s">
        <v>37</v>
      </c>
      <c r="N10" s="42" t="s">
        <v>37</v>
      </c>
      <c r="O10" s="42" t="s">
        <v>73</v>
      </c>
    </row>
    <row r="11" spans="1:16" s="41" customFormat="1" ht="128.25" customHeight="1" x14ac:dyDescent="0.35">
      <c r="A11" s="41">
        <v>5</v>
      </c>
      <c r="B11" s="41" t="str">
        <f t="shared" si="0"/>
        <v>11.5</v>
      </c>
      <c r="C11" s="91" t="s">
        <v>40</v>
      </c>
      <c r="D11" s="41" t="s">
        <v>121</v>
      </c>
      <c r="E11" s="41" t="s">
        <v>80</v>
      </c>
      <c r="F11" s="41" t="s">
        <v>53</v>
      </c>
      <c r="G11" s="41" t="s">
        <v>37</v>
      </c>
      <c r="H11" s="43">
        <v>35</v>
      </c>
      <c r="I11" s="41" t="s">
        <v>10</v>
      </c>
      <c r="J11" s="42" t="s">
        <v>75</v>
      </c>
      <c r="K11" s="42" t="s">
        <v>84</v>
      </c>
      <c r="L11" s="42" t="s">
        <v>81</v>
      </c>
      <c r="M11" s="42" t="s">
        <v>37</v>
      </c>
      <c r="N11" s="42" t="s">
        <v>258</v>
      </c>
      <c r="O11" s="42" t="s">
        <v>245</v>
      </c>
    </row>
    <row r="12" spans="1:16" s="41" customFormat="1" ht="58" x14ac:dyDescent="0.35">
      <c r="A12" s="41">
        <v>6</v>
      </c>
      <c r="B12" s="41" t="str">
        <f t="shared" si="0"/>
        <v>11.6</v>
      </c>
      <c r="C12" s="91" t="s">
        <v>40</v>
      </c>
      <c r="D12" s="41" t="s">
        <v>82</v>
      </c>
      <c r="E12" s="41" t="s">
        <v>33</v>
      </c>
      <c r="F12" s="41" t="s">
        <v>53</v>
      </c>
      <c r="G12" s="41" t="s">
        <v>37</v>
      </c>
      <c r="H12" s="43">
        <v>10</v>
      </c>
      <c r="I12" s="41" t="s">
        <v>269</v>
      </c>
      <c r="J12" s="42" t="s">
        <v>124</v>
      </c>
      <c r="K12" s="42" t="s">
        <v>83</v>
      </c>
      <c r="L12" s="42" t="s">
        <v>128</v>
      </c>
      <c r="M12" s="42" t="s">
        <v>37</v>
      </c>
      <c r="N12" s="42" t="s">
        <v>37</v>
      </c>
      <c r="O12" s="42"/>
    </row>
    <row r="13" spans="1:16" s="41" customFormat="1" ht="58" x14ac:dyDescent="0.35">
      <c r="A13" s="41">
        <v>7</v>
      </c>
      <c r="B13" s="41" t="str">
        <f t="shared" si="0"/>
        <v>11.7</v>
      </c>
      <c r="C13" s="91" t="s">
        <v>40</v>
      </c>
      <c r="D13" s="41" t="s">
        <v>132</v>
      </c>
      <c r="E13" s="41" t="s">
        <v>33</v>
      </c>
      <c r="F13" s="41" t="s">
        <v>53</v>
      </c>
      <c r="G13" s="41" t="s">
        <v>37</v>
      </c>
      <c r="H13" s="43">
        <v>35</v>
      </c>
      <c r="I13" s="41" t="s">
        <v>269</v>
      </c>
      <c r="J13" s="42" t="s">
        <v>124</v>
      </c>
      <c r="K13" s="42" t="s">
        <v>83</v>
      </c>
      <c r="L13" s="42" t="s">
        <v>129</v>
      </c>
      <c r="M13" s="42" t="s">
        <v>37</v>
      </c>
      <c r="N13" s="42" t="s">
        <v>37</v>
      </c>
      <c r="O13" s="42"/>
    </row>
    <row r="14" spans="1:16" s="41" customFormat="1" ht="29" x14ac:dyDescent="0.35">
      <c r="A14" s="41">
        <v>8</v>
      </c>
      <c r="B14" s="41" t="str">
        <f t="shared" si="0"/>
        <v>11.8</v>
      </c>
      <c r="C14" s="91" t="s">
        <v>40</v>
      </c>
      <c r="D14" s="41" t="s">
        <v>76</v>
      </c>
      <c r="E14" s="41" t="s">
        <v>33</v>
      </c>
      <c r="F14" s="41" t="s">
        <v>53</v>
      </c>
      <c r="G14" s="41" t="s">
        <v>37</v>
      </c>
      <c r="H14" s="43">
        <v>10</v>
      </c>
      <c r="I14" s="41" t="s">
        <v>269</v>
      </c>
      <c r="J14" s="42" t="s">
        <v>124</v>
      </c>
      <c r="K14" s="42" t="s">
        <v>85</v>
      </c>
      <c r="L14" s="42" t="s">
        <v>37</v>
      </c>
      <c r="M14" s="42" t="s">
        <v>37</v>
      </c>
      <c r="N14" s="42" t="s">
        <v>37</v>
      </c>
      <c r="O14" s="42"/>
    </row>
    <row r="15" spans="1:16" s="41" customFormat="1" ht="58" x14ac:dyDescent="0.35">
      <c r="A15" s="41">
        <v>9</v>
      </c>
      <c r="B15" s="41" t="str">
        <f t="shared" si="0"/>
        <v>11.9</v>
      </c>
      <c r="C15" s="91" t="s">
        <v>40</v>
      </c>
      <c r="D15" s="41" t="s">
        <v>77</v>
      </c>
      <c r="E15" s="41" t="s">
        <v>33</v>
      </c>
      <c r="F15" s="41" t="s">
        <v>53</v>
      </c>
      <c r="G15" s="41" t="s">
        <v>37</v>
      </c>
      <c r="H15" s="43">
        <v>20</v>
      </c>
      <c r="I15" s="41" t="s">
        <v>269</v>
      </c>
      <c r="J15" s="42" t="s">
        <v>124</v>
      </c>
      <c r="K15" s="42" t="s">
        <v>83</v>
      </c>
      <c r="L15" s="42" t="s">
        <v>125</v>
      </c>
      <c r="M15" s="42" t="s">
        <v>37</v>
      </c>
      <c r="N15" s="42" t="s">
        <v>37</v>
      </c>
      <c r="O15" s="42"/>
    </row>
    <row r="16" spans="1:16" s="41" customFormat="1" ht="96.75" customHeight="1" x14ac:dyDescent="0.35">
      <c r="A16" s="41">
        <v>10</v>
      </c>
      <c r="B16" s="41" t="str">
        <f t="shared" si="0"/>
        <v>11.10</v>
      </c>
      <c r="C16" s="91" t="s">
        <v>40</v>
      </c>
      <c r="D16" s="41" t="s">
        <v>78</v>
      </c>
      <c r="E16" s="41" t="s">
        <v>35</v>
      </c>
      <c r="F16" s="41" t="s">
        <v>53</v>
      </c>
      <c r="G16" s="41" t="s">
        <v>37</v>
      </c>
      <c r="H16" s="43">
        <v>15</v>
      </c>
      <c r="I16" s="41" t="s">
        <v>269</v>
      </c>
      <c r="J16" s="42" t="s">
        <v>124</v>
      </c>
      <c r="K16" s="42" t="s">
        <v>83</v>
      </c>
      <c r="L16" s="42" t="s">
        <v>130</v>
      </c>
      <c r="M16" s="42" t="s">
        <v>86</v>
      </c>
      <c r="N16" s="42" t="s">
        <v>133</v>
      </c>
      <c r="O16" s="42"/>
    </row>
    <row r="17" spans="1:15" s="41" customFormat="1" ht="58" x14ac:dyDescent="0.35">
      <c r="A17" s="41">
        <v>11</v>
      </c>
      <c r="B17" s="41" t="str">
        <f>CONCATENATE($B$2, ".", A17)</f>
        <v>11.11</v>
      </c>
      <c r="C17" s="91" t="s">
        <v>40</v>
      </c>
      <c r="D17" s="41" t="s">
        <v>79</v>
      </c>
      <c r="E17" s="41" t="s">
        <v>33</v>
      </c>
      <c r="F17" s="41" t="s">
        <v>53</v>
      </c>
      <c r="G17" s="41" t="s">
        <v>37</v>
      </c>
      <c r="H17" s="43">
        <v>7</v>
      </c>
      <c r="I17" s="41" t="s">
        <v>269</v>
      </c>
      <c r="J17" s="42" t="s">
        <v>124</v>
      </c>
      <c r="K17" s="42" t="s">
        <v>83</v>
      </c>
      <c r="L17" s="42" t="s">
        <v>131</v>
      </c>
      <c r="M17" s="42" t="s">
        <v>37</v>
      </c>
      <c r="N17" s="42" t="s">
        <v>37</v>
      </c>
      <c r="O17" s="42"/>
    </row>
    <row r="18" spans="1:15" s="41" customFormat="1" ht="66" customHeight="1" x14ac:dyDescent="0.35">
      <c r="A18" s="41">
        <v>12</v>
      </c>
      <c r="B18" s="41" t="str">
        <f t="shared" ref="B18:B24" si="1">CONCATENATE($B$2, ".", A18)</f>
        <v>11.12</v>
      </c>
      <c r="C18" s="91" t="s">
        <v>40</v>
      </c>
      <c r="D18" s="41" t="s">
        <v>87</v>
      </c>
      <c r="E18" s="41" t="s">
        <v>32</v>
      </c>
      <c r="F18" s="41" t="s">
        <v>63</v>
      </c>
      <c r="G18" s="41" t="s">
        <v>37</v>
      </c>
      <c r="H18" s="41" t="s">
        <v>37</v>
      </c>
      <c r="I18" s="41" t="s">
        <v>10</v>
      </c>
      <c r="J18" s="42" t="s">
        <v>68</v>
      </c>
      <c r="K18" s="42" t="s">
        <v>55</v>
      </c>
      <c r="L18" s="42" t="s">
        <v>88</v>
      </c>
      <c r="M18" s="42" t="s">
        <v>37</v>
      </c>
      <c r="N18" s="42" t="s">
        <v>37</v>
      </c>
      <c r="O18" s="42" t="s">
        <v>37</v>
      </c>
    </row>
    <row r="19" spans="1:15" s="41" customFormat="1" ht="81.75" customHeight="1" x14ac:dyDescent="0.35">
      <c r="A19" s="41">
        <v>13</v>
      </c>
      <c r="B19" s="41" t="str">
        <f t="shared" si="1"/>
        <v>11.13</v>
      </c>
      <c r="C19" s="91" t="s">
        <v>40</v>
      </c>
      <c r="D19" s="41" t="s">
        <v>122</v>
      </c>
      <c r="E19" s="41" t="s">
        <v>80</v>
      </c>
      <c r="F19" s="41" t="s">
        <v>53</v>
      </c>
      <c r="G19" s="41" t="s">
        <v>37</v>
      </c>
      <c r="H19" s="43">
        <v>35</v>
      </c>
      <c r="I19" s="41" t="s">
        <v>270</v>
      </c>
      <c r="J19" s="42" t="s">
        <v>124</v>
      </c>
      <c r="K19" s="42" t="s">
        <v>271</v>
      </c>
      <c r="L19" s="42" t="s">
        <v>89</v>
      </c>
      <c r="M19" s="42" t="s">
        <v>37</v>
      </c>
      <c r="N19" s="42" t="s">
        <v>37</v>
      </c>
      <c r="O19" s="42" t="s">
        <v>246</v>
      </c>
    </row>
    <row r="20" spans="1:15" s="41" customFormat="1" ht="49.5" customHeight="1" x14ac:dyDescent="0.35">
      <c r="A20" s="41">
        <v>14</v>
      </c>
      <c r="B20" s="41" t="str">
        <f t="shared" si="1"/>
        <v>11.14</v>
      </c>
      <c r="C20" s="91" t="s">
        <v>40</v>
      </c>
      <c r="D20" s="41" t="s">
        <v>82</v>
      </c>
      <c r="E20" s="41" t="s">
        <v>33</v>
      </c>
      <c r="F20" s="41" t="s">
        <v>53</v>
      </c>
      <c r="G20" s="41" t="s">
        <v>37</v>
      </c>
      <c r="H20" s="43">
        <v>10</v>
      </c>
      <c r="I20" s="41" t="s">
        <v>272</v>
      </c>
      <c r="J20" s="42" t="s">
        <v>124</v>
      </c>
      <c r="K20" s="42" t="s">
        <v>85</v>
      </c>
      <c r="L20" s="42" t="s">
        <v>37</v>
      </c>
      <c r="M20" s="42" t="s">
        <v>37</v>
      </c>
      <c r="N20" s="42" t="s">
        <v>37</v>
      </c>
      <c r="O20" s="42"/>
    </row>
    <row r="21" spans="1:15" s="41" customFormat="1" ht="54" customHeight="1" x14ac:dyDescent="0.35">
      <c r="A21" s="41">
        <v>15</v>
      </c>
      <c r="B21" s="41" t="str">
        <f t="shared" si="1"/>
        <v>11.15</v>
      </c>
      <c r="C21" s="91" t="s">
        <v>40</v>
      </c>
      <c r="D21" s="41" t="s">
        <v>132</v>
      </c>
      <c r="E21" s="41" t="s">
        <v>33</v>
      </c>
      <c r="F21" s="41" t="s">
        <v>53</v>
      </c>
      <c r="G21" s="41" t="s">
        <v>37</v>
      </c>
      <c r="H21" s="43">
        <v>35</v>
      </c>
      <c r="I21" s="41" t="s">
        <v>272</v>
      </c>
      <c r="J21" s="42" t="s">
        <v>124</v>
      </c>
      <c r="K21" s="42" t="s">
        <v>83</v>
      </c>
      <c r="L21" s="42" t="s">
        <v>129</v>
      </c>
      <c r="M21" s="42" t="s">
        <v>37</v>
      </c>
      <c r="N21" s="42" t="s">
        <v>37</v>
      </c>
      <c r="O21" s="42"/>
    </row>
    <row r="22" spans="1:15" s="41" customFormat="1" ht="54" customHeight="1" x14ac:dyDescent="0.35">
      <c r="A22" s="41">
        <v>16</v>
      </c>
      <c r="B22" s="41" t="str">
        <f t="shared" si="1"/>
        <v>11.16</v>
      </c>
      <c r="C22" s="91" t="s">
        <v>40</v>
      </c>
      <c r="D22" s="41" t="s">
        <v>76</v>
      </c>
      <c r="E22" s="41" t="s">
        <v>33</v>
      </c>
      <c r="F22" s="41" t="s">
        <v>53</v>
      </c>
      <c r="G22" s="41" t="s">
        <v>37</v>
      </c>
      <c r="H22" s="43">
        <v>10</v>
      </c>
      <c r="I22" s="41" t="s">
        <v>272</v>
      </c>
      <c r="J22" s="42" t="s">
        <v>124</v>
      </c>
      <c r="K22" s="42" t="s">
        <v>85</v>
      </c>
      <c r="L22" s="42" t="s">
        <v>37</v>
      </c>
      <c r="M22" s="42" t="s">
        <v>37</v>
      </c>
      <c r="N22" s="42" t="s">
        <v>37</v>
      </c>
      <c r="O22" s="42"/>
    </row>
    <row r="23" spans="1:15" s="41" customFormat="1" ht="50.25" customHeight="1" x14ac:dyDescent="0.35">
      <c r="A23" s="41">
        <v>17</v>
      </c>
      <c r="B23" s="41" t="str">
        <f t="shared" si="1"/>
        <v>11.17</v>
      </c>
      <c r="C23" s="91" t="s">
        <v>40</v>
      </c>
      <c r="D23" s="41" t="s">
        <v>77</v>
      </c>
      <c r="E23" s="41" t="s">
        <v>33</v>
      </c>
      <c r="F23" s="41" t="s">
        <v>53</v>
      </c>
      <c r="G23" s="41" t="s">
        <v>37</v>
      </c>
      <c r="H23" s="43">
        <v>20</v>
      </c>
      <c r="I23" s="41" t="s">
        <v>272</v>
      </c>
      <c r="J23" s="42" t="s">
        <v>124</v>
      </c>
      <c r="K23" s="42" t="s">
        <v>83</v>
      </c>
      <c r="L23" s="42" t="s">
        <v>125</v>
      </c>
      <c r="M23" s="42" t="s">
        <v>37</v>
      </c>
      <c r="N23" s="42" t="s">
        <v>37</v>
      </c>
      <c r="O23" s="42"/>
    </row>
    <row r="24" spans="1:15" s="41" customFormat="1" ht="72.5" x14ac:dyDescent="0.35">
      <c r="A24" s="41">
        <v>18</v>
      </c>
      <c r="B24" s="41" t="str">
        <f t="shared" si="1"/>
        <v>11.18</v>
      </c>
      <c r="C24" s="91" t="s">
        <v>40</v>
      </c>
      <c r="D24" s="41" t="s">
        <v>78</v>
      </c>
      <c r="E24" s="41" t="s">
        <v>35</v>
      </c>
      <c r="F24" s="41" t="s">
        <v>53</v>
      </c>
      <c r="G24" s="41" t="s">
        <v>37</v>
      </c>
      <c r="H24" s="43">
        <v>15</v>
      </c>
      <c r="I24" s="41" t="s">
        <v>272</v>
      </c>
      <c r="J24" s="42" t="s">
        <v>124</v>
      </c>
      <c r="K24" s="42" t="s">
        <v>83</v>
      </c>
      <c r="L24" s="42" t="s">
        <v>130</v>
      </c>
      <c r="M24" s="42" t="s">
        <v>179</v>
      </c>
      <c r="N24" s="42"/>
      <c r="O24" s="42"/>
    </row>
    <row r="25" spans="1:15" s="41" customFormat="1" ht="58" x14ac:dyDescent="0.35">
      <c r="A25" s="41">
        <v>19</v>
      </c>
      <c r="B25" s="41" t="str">
        <f>CONCATENATE($B$2, ".", A25)</f>
        <v>11.19</v>
      </c>
      <c r="C25" s="91" t="s">
        <v>40</v>
      </c>
      <c r="D25" s="41" t="s">
        <v>79</v>
      </c>
      <c r="E25" s="41" t="s">
        <v>33</v>
      </c>
      <c r="F25" s="41" t="s">
        <v>53</v>
      </c>
      <c r="G25" s="41" t="s">
        <v>37</v>
      </c>
      <c r="H25" s="43">
        <v>7</v>
      </c>
      <c r="I25" s="41" t="s">
        <v>272</v>
      </c>
      <c r="J25" s="42" t="s">
        <v>124</v>
      </c>
      <c r="K25" s="42" t="s">
        <v>83</v>
      </c>
      <c r="L25" s="42" t="s">
        <v>131</v>
      </c>
      <c r="M25" s="42" t="s">
        <v>37</v>
      </c>
      <c r="N25" s="42" t="s">
        <v>37</v>
      </c>
      <c r="O25" s="42"/>
    </row>
    <row r="26" spans="1:15" s="41" customFormat="1" ht="58" x14ac:dyDescent="0.35">
      <c r="A26" s="41">
        <v>20</v>
      </c>
      <c r="B26" s="41" t="str">
        <f t="shared" ref="B26:B32" si="2">CONCATENATE($B$2, ".", A26)</f>
        <v>11.20</v>
      </c>
      <c r="C26" s="91" t="s">
        <v>40</v>
      </c>
      <c r="D26" s="41" t="s">
        <v>220</v>
      </c>
      <c r="E26" s="41" t="s">
        <v>32</v>
      </c>
      <c r="F26" s="41" t="s">
        <v>63</v>
      </c>
      <c r="G26" s="41" t="s">
        <v>37</v>
      </c>
      <c r="H26" s="41" t="s">
        <v>37</v>
      </c>
      <c r="I26" s="41" t="s">
        <v>10</v>
      </c>
      <c r="J26" s="42" t="s">
        <v>68</v>
      </c>
      <c r="K26" s="42" t="s">
        <v>55</v>
      </c>
      <c r="L26" s="42" t="s">
        <v>123</v>
      </c>
      <c r="M26" s="42" t="s">
        <v>37</v>
      </c>
      <c r="N26" s="42" t="s">
        <v>37</v>
      </c>
      <c r="O26" s="42" t="s">
        <v>37</v>
      </c>
    </row>
    <row r="27" spans="1:15" s="41" customFormat="1" ht="81.75" customHeight="1" x14ac:dyDescent="0.35">
      <c r="A27" s="41">
        <v>21</v>
      </c>
      <c r="B27" s="41" t="str">
        <f t="shared" si="2"/>
        <v>11.21</v>
      </c>
      <c r="C27" s="91" t="s">
        <v>40</v>
      </c>
      <c r="D27" s="41" t="s">
        <v>90</v>
      </c>
      <c r="E27" s="41" t="s">
        <v>80</v>
      </c>
      <c r="F27" s="41" t="s">
        <v>53</v>
      </c>
      <c r="G27" s="41" t="s">
        <v>37</v>
      </c>
      <c r="H27" s="43">
        <v>35</v>
      </c>
      <c r="I27" s="41" t="s">
        <v>273</v>
      </c>
      <c r="J27" s="42" t="s">
        <v>124</v>
      </c>
      <c r="K27" s="42" t="s">
        <v>274</v>
      </c>
      <c r="L27" s="42" t="s">
        <v>92</v>
      </c>
      <c r="M27" s="42" t="s">
        <v>37</v>
      </c>
      <c r="N27" s="42" t="s">
        <v>37</v>
      </c>
      <c r="O27" s="42" t="s">
        <v>247</v>
      </c>
    </row>
    <row r="28" spans="1:15" s="41" customFormat="1" ht="49.5" customHeight="1" x14ac:dyDescent="0.35">
      <c r="A28" s="41">
        <v>22</v>
      </c>
      <c r="B28" s="41" t="str">
        <f t="shared" si="2"/>
        <v>11.22</v>
      </c>
      <c r="C28" s="91" t="s">
        <v>40</v>
      </c>
      <c r="D28" s="41" t="s">
        <v>82</v>
      </c>
      <c r="E28" s="41" t="s">
        <v>33</v>
      </c>
      <c r="F28" s="41" t="s">
        <v>53</v>
      </c>
      <c r="G28" s="41" t="s">
        <v>37</v>
      </c>
      <c r="H28" s="43">
        <v>10</v>
      </c>
      <c r="I28" s="41" t="s">
        <v>275</v>
      </c>
      <c r="J28" s="42" t="s">
        <v>124</v>
      </c>
      <c r="K28" s="43" t="s">
        <v>91</v>
      </c>
      <c r="L28" s="43" t="s">
        <v>37</v>
      </c>
      <c r="M28" s="42" t="s">
        <v>37</v>
      </c>
      <c r="N28" s="42" t="s">
        <v>37</v>
      </c>
      <c r="O28" s="42"/>
    </row>
    <row r="29" spans="1:15" s="41" customFormat="1" ht="58" x14ac:dyDescent="0.35">
      <c r="A29" s="41">
        <v>23</v>
      </c>
      <c r="B29" s="41" t="str">
        <f t="shared" si="2"/>
        <v>11.23</v>
      </c>
      <c r="C29" s="91" t="s">
        <v>40</v>
      </c>
      <c r="D29" s="41" t="s">
        <v>134</v>
      </c>
      <c r="E29" s="41" t="s">
        <v>33</v>
      </c>
      <c r="F29" s="41" t="s">
        <v>53</v>
      </c>
      <c r="G29" s="41" t="s">
        <v>37</v>
      </c>
      <c r="H29" s="43">
        <v>35</v>
      </c>
      <c r="I29" s="41" t="s">
        <v>275</v>
      </c>
      <c r="J29" s="42" t="s">
        <v>124</v>
      </c>
      <c r="K29" s="42" t="s">
        <v>83</v>
      </c>
      <c r="L29" s="42" t="s">
        <v>126</v>
      </c>
      <c r="M29" s="42" t="s">
        <v>37</v>
      </c>
      <c r="N29" s="42" t="s">
        <v>37</v>
      </c>
      <c r="O29" s="42"/>
    </row>
    <row r="30" spans="1:15" s="41" customFormat="1" ht="54" customHeight="1" x14ac:dyDescent="0.35">
      <c r="A30" s="41">
        <v>24</v>
      </c>
      <c r="B30" s="41" t="str">
        <f t="shared" si="2"/>
        <v>11.24</v>
      </c>
      <c r="C30" s="91" t="s">
        <v>40</v>
      </c>
      <c r="D30" s="41" t="s">
        <v>76</v>
      </c>
      <c r="E30" s="41" t="s">
        <v>33</v>
      </c>
      <c r="F30" s="41" t="s">
        <v>53</v>
      </c>
      <c r="G30" s="41" t="s">
        <v>37</v>
      </c>
      <c r="H30" s="43">
        <v>10</v>
      </c>
      <c r="I30" s="41" t="s">
        <v>275</v>
      </c>
      <c r="J30" s="42" t="s">
        <v>124</v>
      </c>
      <c r="K30" s="42" t="s">
        <v>85</v>
      </c>
      <c r="L30" s="42" t="s">
        <v>37</v>
      </c>
      <c r="M30" s="42" t="s">
        <v>37</v>
      </c>
      <c r="N30" s="42" t="s">
        <v>37</v>
      </c>
      <c r="O30" s="42"/>
    </row>
    <row r="31" spans="1:15" s="41" customFormat="1" ht="50.25" customHeight="1" x14ac:dyDescent="0.35">
      <c r="A31" s="41">
        <v>25</v>
      </c>
      <c r="B31" s="41" t="str">
        <f t="shared" si="2"/>
        <v>11.25</v>
      </c>
      <c r="C31" s="91" t="s">
        <v>40</v>
      </c>
      <c r="D31" s="41" t="s">
        <v>77</v>
      </c>
      <c r="E31" s="41" t="s">
        <v>33</v>
      </c>
      <c r="F31" s="41" t="s">
        <v>53</v>
      </c>
      <c r="G31" s="41" t="s">
        <v>37</v>
      </c>
      <c r="H31" s="43">
        <v>20</v>
      </c>
      <c r="I31" s="41" t="s">
        <v>275</v>
      </c>
      <c r="J31" s="42" t="s">
        <v>124</v>
      </c>
      <c r="K31" s="42" t="s">
        <v>83</v>
      </c>
      <c r="L31" s="42" t="s">
        <v>125</v>
      </c>
      <c r="M31" s="42" t="s">
        <v>37</v>
      </c>
      <c r="N31" s="42" t="s">
        <v>37</v>
      </c>
      <c r="O31" s="42"/>
    </row>
    <row r="32" spans="1:15" s="41" customFormat="1" ht="72.5" x14ac:dyDescent="0.35">
      <c r="A32" s="41">
        <v>26</v>
      </c>
      <c r="B32" s="41" t="str">
        <f t="shared" si="2"/>
        <v>11.26</v>
      </c>
      <c r="C32" s="91" t="s">
        <v>40</v>
      </c>
      <c r="D32" s="41" t="s">
        <v>78</v>
      </c>
      <c r="E32" s="41" t="s">
        <v>35</v>
      </c>
      <c r="F32" s="41" t="s">
        <v>53</v>
      </c>
      <c r="G32" s="41" t="s">
        <v>37</v>
      </c>
      <c r="H32" s="43">
        <v>15</v>
      </c>
      <c r="I32" s="41" t="s">
        <v>275</v>
      </c>
      <c r="J32" s="42" t="s">
        <v>124</v>
      </c>
      <c r="K32" s="42" t="s">
        <v>83</v>
      </c>
      <c r="L32" s="42" t="s">
        <v>127</v>
      </c>
      <c r="M32" s="42" t="s">
        <v>180</v>
      </c>
      <c r="N32" s="42" t="s">
        <v>37</v>
      </c>
      <c r="O32" s="42"/>
    </row>
    <row r="33" spans="1:15" s="41" customFormat="1" ht="58" x14ac:dyDescent="0.35">
      <c r="A33" s="41">
        <v>27</v>
      </c>
      <c r="B33" s="41" t="str">
        <f>CONCATENATE($B$2, ".", A33)</f>
        <v>11.27</v>
      </c>
      <c r="C33" s="91" t="s">
        <v>40</v>
      </c>
      <c r="D33" s="41" t="s">
        <v>79</v>
      </c>
      <c r="E33" s="41" t="s">
        <v>33</v>
      </c>
      <c r="F33" s="41" t="s">
        <v>53</v>
      </c>
      <c r="G33" s="41" t="s">
        <v>37</v>
      </c>
      <c r="H33" s="43">
        <v>7</v>
      </c>
      <c r="I33" s="41" t="s">
        <v>275</v>
      </c>
      <c r="J33" s="42" t="s">
        <v>124</v>
      </c>
      <c r="K33" s="42" t="s">
        <v>83</v>
      </c>
      <c r="L33" s="42" t="s">
        <v>131</v>
      </c>
      <c r="M33" s="42"/>
      <c r="N33" s="42"/>
      <c r="O33" s="42"/>
    </row>
    <row r="34" spans="1:15" ht="29" x14ac:dyDescent="0.35">
      <c r="A34" s="41">
        <v>28</v>
      </c>
      <c r="B34" s="41" t="str">
        <f t="shared" ref="B34:B35" si="3">CONCATENATE($B$2, ".", A34)</f>
        <v>11.28</v>
      </c>
      <c r="C34" s="91" t="s">
        <v>40</v>
      </c>
      <c r="D34" s="6" t="s">
        <v>61</v>
      </c>
      <c r="E34" s="6" t="s">
        <v>43</v>
      </c>
      <c r="F34" s="6" t="s">
        <v>37</v>
      </c>
      <c r="G34" s="6" t="s">
        <v>37</v>
      </c>
      <c r="H34" s="6" t="s">
        <v>37</v>
      </c>
      <c r="I34" s="6" t="s">
        <v>10</v>
      </c>
      <c r="J34" s="6" t="s">
        <v>37</v>
      </c>
      <c r="K34" s="6" t="s">
        <v>37</v>
      </c>
      <c r="L34" s="6" t="s">
        <v>37</v>
      </c>
      <c r="M34" s="6" t="s">
        <v>37</v>
      </c>
      <c r="N34" s="6" t="s">
        <v>37</v>
      </c>
      <c r="O34" s="6" t="s">
        <v>434</v>
      </c>
    </row>
    <row r="35" spans="1:15" x14ac:dyDescent="0.35">
      <c r="A35" s="41">
        <v>29</v>
      </c>
      <c r="B35" s="41" t="str">
        <f t="shared" si="3"/>
        <v>11.29</v>
      </c>
      <c r="C35" s="91" t="s">
        <v>40</v>
      </c>
      <c r="D35" s="6" t="s">
        <v>60</v>
      </c>
      <c r="E35" s="6" t="s">
        <v>43</v>
      </c>
      <c r="F35" s="6" t="s">
        <v>37</v>
      </c>
      <c r="G35" s="6" t="s">
        <v>37</v>
      </c>
      <c r="H35" s="6" t="s">
        <v>37</v>
      </c>
      <c r="I35" s="6" t="s">
        <v>10</v>
      </c>
      <c r="J35" s="6" t="s">
        <v>37</v>
      </c>
      <c r="K35" s="6" t="s">
        <v>37</v>
      </c>
      <c r="L35" s="6" t="s">
        <v>37</v>
      </c>
      <c r="M35" s="6" t="s">
        <v>37</v>
      </c>
      <c r="N35" s="6" t="s">
        <v>37</v>
      </c>
      <c r="O35" s="6" t="s">
        <v>433</v>
      </c>
    </row>
  </sheetData>
  <mergeCells count="2">
    <mergeCell ref="B1:C1"/>
    <mergeCell ref="B4:C4"/>
  </mergeCells>
  <conditionalFormatting sqref="C36:C1048576">
    <cfRule type="cellIs" dxfId="221" priority="47" operator="equal">
      <formula>"WIP (see comments)"</formula>
    </cfRule>
    <cfRule type="cellIs" dxfId="220" priority="48" operator="equal">
      <formula>"Removed"</formula>
    </cfRule>
    <cfRule type="cellIs" dxfId="219" priority="49" operator="equal">
      <formula>"Updated"</formula>
    </cfRule>
    <cfRule type="cellIs" dxfId="218" priority="50" operator="equal">
      <formula>"New"</formula>
    </cfRule>
  </conditionalFormatting>
  <conditionalFormatting sqref="D11:XFD33 B11:B35">
    <cfRule type="cellIs" dxfId="217" priority="22" operator="equal">
      <formula>"n/a"</formula>
    </cfRule>
  </conditionalFormatting>
  <conditionalFormatting sqref="C7:C35">
    <cfRule type="cellIs" dxfId="216" priority="8" operator="equal">
      <formula>"WIP (see comments)"</formula>
    </cfRule>
    <cfRule type="cellIs" dxfId="215" priority="9" operator="equal">
      <formula>"Removed"</formula>
    </cfRule>
    <cfRule type="cellIs" dxfId="214" priority="10" operator="equal">
      <formula>"Updated"</formula>
    </cfRule>
    <cfRule type="cellIs" dxfId="213" priority="11" operator="equal">
      <formula>"New"</formula>
    </cfRule>
  </conditionalFormatting>
  <conditionalFormatting sqref="C7:C35">
    <cfRule type="cellIs" dxfId="212" priority="7" operator="equal">
      <formula>"n/a"</formula>
    </cfRule>
  </conditionalFormatting>
  <conditionalFormatting sqref="D34:O35">
    <cfRule type="cellIs" dxfId="211" priority="2" operator="equal">
      <formula>"n/a"</formula>
    </cfRule>
  </conditionalFormatting>
  <conditionalFormatting sqref="D3">
    <cfRule type="cellIs" dxfId="210" priority="1" operator="equal">
      <formula>"n/a"</formula>
    </cfRule>
  </conditionalFormatting>
  <dataValidations count="1">
    <dataValidation type="list" allowBlank="1" showInputMessage="1" showErrorMessage="1" sqref="C36:C1048576">
      <formula1>$B$5:$B$11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Values'!$A$5:$A$26</xm:f>
          </x14:formula1>
          <xm:sqref>E7:E33 E36:E1048576</xm:sqref>
        </x14:dataValidation>
        <x14:dataValidation type="list" allowBlank="1" showInputMessage="1" showErrorMessage="1">
          <x14:formula1>
            <xm:f>'List Values'!$B$5:$B$11</xm:f>
          </x14:formula1>
          <xm:sqref>C7:C35</xm:sqref>
        </x14:dataValidation>
        <x14:dataValidation type="list" allowBlank="1" showInputMessage="1" showErrorMessage="1">
          <x14:formula1>
            <xm:f>'C:\Users\hicksi\Documents\Small Business DCO\Field Specs\Archive\[Small Business DCO Primary Applicant Field Spec v0.1 WIP.xlsx]List Values'!#REF!</xm:f>
          </x14:formula1>
          <xm:sqref>E34:E35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333</v>
      </c>
      <c r="C1" s="98"/>
      <c r="D1" s="98"/>
    </row>
    <row r="2" spans="1:16" s="32" customFormat="1" ht="18.5" x14ac:dyDescent="0.35">
      <c r="A2" s="30" t="s">
        <v>8</v>
      </c>
      <c r="B2" s="38">
        <v>12</v>
      </c>
      <c r="C2" s="37"/>
      <c r="D2" s="38"/>
    </row>
    <row r="3" spans="1:16" s="32" customFormat="1" ht="18.5" x14ac:dyDescent="0.35">
      <c r="A3" s="30" t="s">
        <v>45</v>
      </c>
      <c r="B3" s="38" t="s">
        <v>438</v>
      </c>
      <c r="C3" s="37"/>
      <c r="D3" s="89" t="s">
        <v>439</v>
      </c>
      <c r="E3" s="32" t="s">
        <v>74</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3" si="0">CONCATENATE($B$2, ".", A7)</f>
        <v>12.1</v>
      </c>
      <c r="C7" s="91" t="s">
        <v>40</v>
      </c>
      <c r="D7" s="41" t="s">
        <v>156</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12.2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80.25" customHeight="1" x14ac:dyDescent="0.35">
      <c r="A9" s="41">
        <v>3</v>
      </c>
      <c r="B9" s="41" t="str">
        <f t="shared" si="0"/>
        <v>12.3</v>
      </c>
      <c r="C9" s="91" t="s">
        <v>40</v>
      </c>
      <c r="D9" s="41" t="s">
        <v>188</v>
      </c>
      <c r="E9" s="41" t="s">
        <v>95</v>
      </c>
      <c r="F9" s="41" t="s">
        <v>96</v>
      </c>
      <c r="G9" s="41" t="s">
        <v>170</v>
      </c>
      <c r="H9" s="41" t="s">
        <v>37</v>
      </c>
      <c r="I9" s="41" t="s">
        <v>10</v>
      </c>
      <c r="J9" s="42" t="s">
        <v>98</v>
      </c>
      <c r="K9" s="42" t="s">
        <v>55</v>
      </c>
      <c r="L9" s="42" t="s">
        <v>163</v>
      </c>
      <c r="M9" s="42" t="s">
        <v>99</v>
      </c>
      <c r="N9" s="42" t="s">
        <v>100</v>
      </c>
      <c r="O9" s="42" t="s">
        <v>101</v>
      </c>
    </row>
    <row r="10" spans="1:16" s="41" customFormat="1" ht="102.75" customHeight="1" x14ac:dyDescent="0.35">
      <c r="A10" s="41">
        <v>4</v>
      </c>
      <c r="B10" s="41" t="str">
        <f t="shared" si="0"/>
        <v>12.4</v>
      </c>
      <c r="C10" s="91" t="s">
        <v>40</v>
      </c>
      <c r="D10" s="41" t="s">
        <v>94</v>
      </c>
      <c r="E10" s="41" t="s">
        <v>33</v>
      </c>
      <c r="F10" s="41" t="s">
        <v>97</v>
      </c>
      <c r="G10" s="41" t="s">
        <v>169</v>
      </c>
      <c r="H10" s="43">
        <v>9</v>
      </c>
      <c r="I10" s="41" t="s">
        <v>10</v>
      </c>
      <c r="J10" s="42" t="s">
        <v>37</v>
      </c>
      <c r="K10" s="42" t="s">
        <v>91</v>
      </c>
      <c r="L10" s="41" t="s">
        <v>37</v>
      </c>
      <c r="M10" s="42" t="s">
        <v>171</v>
      </c>
      <c r="N10" s="42" t="s">
        <v>239</v>
      </c>
      <c r="O10" s="42" t="s">
        <v>37</v>
      </c>
    </row>
    <row r="11" spans="1:16" s="41" customFormat="1" ht="114" customHeight="1" x14ac:dyDescent="0.35">
      <c r="A11" s="41">
        <v>5</v>
      </c>
      <c r="B11" s="41" t="str">
        <f t="shared" si="0"/>
        <v>12.5</v>
      </c>
      <c r="C11" s="91" t="s">
        <v>40</v>
      </c>
      <c r="D11" s="41" t="s">
        <v>105</v>
      </c>
      <c r="E11" s="41" t="s">
        <v>80</v>
      </c>
      <c r="F11" s="41" t="s">
        <v>53</v>
      </c>
      <c r="G11" s="41" t="s">
        <v>191</v>
      </c>
      <c r="H11" s="50">
        <v>200</v>
      </c>
      <c r="I11" s="41" t="s">
        <v>10</v>
      </c>
      <c r="J11" s="42" t="s">
        <v>103</v>
      </c>
      <c r="K11" s="42" t="s">
        <v>55</v>
      </c>
      <c r="L11" s="42" t="s">
        <v>106</v>
      </c>
      <c r="M11" s="42" t="s">
        <v>107</v>
      </c>
      <c r="N11" s="42" t="s">
        <v>37</v>
      </c>
      <c r="O11" s="42" t="s">
        <v>190</v>
      </c>
    </row>
    <row r="12" spans="1:16" s="41" customFormat="1" ht="29" x14ac:dyDescent="0.35">
      <c r="A12" s="41">
        <v>6</v>
      </c>
      <c r="B12" s="41" t="str">
        <f>CONCATENATE($B$2, ".", A12)</f>
        <v>12.6</v>
      </c>
      <c r="C12" s="91" t="s">
        <v>40</v>
      </c>
      <c r="D12" s="41" t="s">
        <v>61</v>
      </c>
      <c r="E12" s="41" t="s">
        <v>43</v>
      </c>
      <c r="F12" s="41" t="s">
        <v>37</v>
      </c>
      <c r="G12" s="41" t="s">
        <v>37</v>
      </c>
      <c r="H12" s="41" t="s">
        <v>37</v>
      </c>
      <c r="I12" s="41" t="s">
        <v>10</v>
      </c>
      <c r="J12" s="41" t="s">
        <v>37</v>
      </c>
      <c r="K12" s="41" t="s">
        <v>37</v>
      </c>
      <c r="L12" s="41" t="s">
        <v>37</v>
      </c>
      <c r="M12" s="41" t="s">
        <v>37</v>
      </c>
      <c r="N12" s="41" t="s">
        <v>37</v>
      </c>
      <c r="O12" s="41" t="s">
        <v>440</v>
      </c>
    </row>
    <row r="13" spans="1:16" s="41" customFormat="1" ht="29" x14ac:dyDescent="0.35">
      <c r="A13" s="41">
        <v>7</v>
      </c>
      <c r="B13" s="41" t="str">
        <f t="shared" si="0"/>
        <v>12.7</v>
      </c>
      <c r="C13" s="91" t="s">
        <v>40</v>
      </c>
      <c r="D13" s="41" t="s">
        <v>60</v>
      </c>
      <c r="E13" s="41" t="s">
        <v>43</v>
      </c>
      <c r="F13" s="41" t="s">
        <v>37</v>
      </c>
      <c r="G13" s="41" t="s">
        <v>37</v>
      </c>
      <c r="H13" s="41" t="s">
        <v>37</v>
      </c>
      <c r="I13" s="41" t="s">
        <v>10</v>
      </c>
      <c r="J13" s="41" t="s">
        <v>37</v>
      </c>
      <c r="K13" s="41" t="s">
        <v>37</v>
      </c>
      <c r="L13" s="41" t="s">
        <v>37</v>
      </c>
      <c r="M13" s="41" t="s">
        <v>37</v>
      </c>
      <c r="N13" s="41" t="s">
        <v>37</v>
      </c>
      <c r="O13" s="41" t="s">
        <v>435</v>
      </c>
    </row>
    <row r="14" spans="1:16" x14ac:dyDescent="0.35">
      <c r="I14" s="41"/>
      <c r="J14" s="5"/>
      <c r="K14" s="5"/>
      <c r="L14" s="42"/>
      <c r="M14" s="42"/>
      <c r="N14" s="42"/>
      <c r="O14" s="42"/>
    </row>
    <row r="15" spans="1:16" x14ac:dyDescent="0.35">
      <c r="D15" s="6" t="s">
        <v>74</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209" priority="21" operator="equal">
      <formula>"WIP (see comments)"</formula>
    </cfRule>
    <cfRule type="cellIs" dxfId="208" priority="22" operator="equal">
      <formula>"Removed"</formula>
    </cfRule>
    <cfRule type="cellIs" dxfId="207" priority="23" operator="equal">
      <formula>"Updated"</formula>
    </cfRule>
    <cfRule type="cellIs" dxfId="206" priority="24" operator="equal">
      <formula>"New"</formula>
    </cfRule>
  </conditionalFormatting>
  <conditionalFormatting sqref="B4">
    <cfRule type="cellIs" dxfId="205" priority="8" operator="equal">
      <formula>"n/a"</formula>
    </cfRule>
  </conditionalFormatting>
  <conditionalFormatting sqref="D11:O11">
    <cfRule type="cellIs" dxfId="204" priority="7" operator="equal">
      <formula>"n/a"</formula>
    </cfRule>
  </conditionalFormatting>
  <conditionalFormatting sqref="D3">
    <cfRule type="cellIs" dxfId="203" priority="6" operator="equal">
      <formula>"n/a"</formula>
    </cfRule>
  </conditionalFormatting>
  <conditionalFormatting sqref="C7:C13">
    <cfRule type="cellIs" dxfId="202" priority="2" operator="equal">
      <formula>"WIP (see comments)"</formula>
    </cfRule>
    <cfRule type="cellIs" dxfId="201" priority="3" operator="equal">
      <formula>"Removed"</formula>
    </cfRule>
    <cfRule type="cellIs" dxfId="200" priority="4" operator="equal">
      <formula>"Updated"</formula>
    </cfRule>
    <cfRule type="cellIs" dxfId="199" priority="5" operator="equal">
      <formula>"New"</formula>
    </cfRule>
  </conditionalFormatting>
  <conditionalFormatting sqref="C7:C13">
    <cfRule type="cellIs" dxfId="198"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334</v>
      </c>
      <c r="C1" s="34"/>
      <c r="D1" s="31"/>
      <c r="H1" s="37"/>
    </row>
    <row r="2" spans="1:16" s="32" customFormat="1" ht="18.5" x14ac:dyDescent="0.35">
      <c r="A2" s="30" t="s">
        <v>8</v>
      </c>
      <c r="B2" s="38">
        <v>13</v>
      </c>
      <c r="C2" s="37"/>
      <c r="D2" s="38"/>
      <c r="H2" s="37"/>
    </row>
    <row r="3" spans="1:16" s="32" customFormat="1" ht="18.5" x14ac:dyDescent="0.35">
      <c r="A3" s="30" t="s">
        <v>45</v>
      </c>
      <c r="B3" s="38" t="s">
        <v>441</v>
      </c>
      <c r="C3" s="37"/>
      <c r="D3" s="89" t="s">
        <v>444</v>
      </c>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15" si="0">CONCATENATE($B$2, ".", A7)</f>
        <v>13.1</v>
      </c>
      <c r="C7" s="91" t="s">
        <v>40</v>
      </c>
      <c r="D7" s="41" t="s">
        <v>279</v>
      </c>
      <c r="E7" s="41" t="s">
        <v>29</v>
      </c>
      <c r="F7" s="41" t="s">
        <v>37</v>
      </c>
      <c r="G7" s="41" t="s">
        <v>37</v>
      </c>
      <c r="H7" s="50" t="s">
        <v>37</v>
      </c>
      <c r="I7" s="41" t="s">
        <v>10</v>
      </c>
      <c r="J7" s="42" t="s">
        <v>37</v>
      </c>
      <c r="K7" s="42" t="s">
        <v>37</v>
      </c>
      <c r="L7" s="42" t="s">
        <v>37</v>
      </c>
      <c r="M7" s="42" t="s">
        <v>37</v>
      </c>
      <c r="N7" s="42" t="s">
        <v>37</v>
      </c>
      <c r="O7" s="42" t="s">
        <v>37</v>
      </c>
    </row>
    <row r="8" spans="1:16" s="41" customFormat="1" x14ac:dyDescent="0.35">
      <c r="A8" s="41">
        <v>2</v>
      </c>
      <c r="B8" s="41" t="str">
        <f t="shared" si="0"/>
        <v>13.2</v>
      </c>
      <c r="C8" s="91" t="s">
        <v>40</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3.5" x14ac:dyDescent="0.35">
      <c r="A9" s="41">
        <v>3</v>
      </c>
      <c r="B9" s="41" t="str">
        <f>CONCATENATE($B$2, ".", A9)</f>
        <v>13.3</v>
      </c>
      <c r="C9" s="91" t="s">
        <v>40</v>
      </c>
      <c r="D9" s="41" t="s">
        <v>415</v>
      </c>
      <c r="E9" s="41" t="s">
        <v>30</v>
      </c>
      <c r="F9" s="41" t="s">
        <v>65</v>
      </c>
      <c r="G9" s="41" t="s">
        <v>37</v>
      </c>
      <c r="H9" s="50" t="s">
        <v>37</v>
      </c>
      <c r="I9" s="41" t="s">
        <v>10</v>
      </c>
      <c r="J9" s="42" t="s">
        <v>109</v>
      </c>
      <c r="K9" s="42" t="s">
        <v>55</v>
      </c>
      <c r="L9" s="42" t="s">
        <v>110</v>
      </c>
      <c r="M9" s="42" t="s">
        <v>37</v>
      </c>
      <c r="N9" s="42" t="s">
        <v>37</v>
      </c>
      <c r="O9" s="42" t="s">
        <v>111</v>
      </c>
    </row>
    <row r="10" spans="1:16" s="41" customFormat="1" ht="29" x14ac:dyDescent="0.35">
      <c r="A10" s="41">
        <v>4</v>
      </c>
      <c r="B10" s="41" t="str">
        <f t="shared" ref="B10:B12" si="1">CONCATENATE($B$2, ".", A10)</f>
        <v>13.4</v>
      </c>
      <c r="C10" s="91" t="s">
        <v>40</v>
      </c>
      <c r="D10" s="49" t="s">
        <v>181</v>
      </c>
      <c r="E10" s="41" t="s">
        <v>34</v>
      </c>
      <c r="F10" s="41" t="s">
        <v>37</v>
      </c>
      <c r="G10" s="41" t="s">
        <v>184</v>
      </c>
      <c r="H10" s="50" t="s">
        <v>37</v>
      </c>
      <c r="I10" s="41" t="s">
        <v>10</v>
      </c>
      <c r="J10" s="42" t="s">
        <v>37</v>
      </c>
      <c r="K10" s="42" t="s">
        <v>37</v>
      </c>
      <c r="L10" s="42" t="s">
        <v>37</v>
      </c>
      <c r="M10" s="42" t="s">
        <v>37</v>
      </c>
      <c r="N10" s="42" t="s">
        <v>37</v>
      </c>
      <c r="O10" s="42"/>
    </row>
    <row r="11" spans="1:16" s="41" customFormat="1" ht="43.5" x14ac:dyDescent="0.35">
      <c r="A11" s="41">
        <v>5</v>
      </c>
      <c r="B11" s="41" t="str">
        <f t="shared" si="1"/>
        <v>13.5</v>
      </c>
      <c r="C11" s="91" t="s">
        <v>40</v>
      </c>
      <c r="D11" s="49" t="s">
        <v>182</v>
      </c>
      <c r="E11" s="41" t="s">
        <v>34</v>
      </c>
      <c r="F11" s="41" t="s">
        <v>37</v>
      </c>
      <c r="G11" s="41" t="s">
        <v>185</v>
      </c>
      <c r="H11" s="50" t="s">
        <v>37</v>
      </c>
      <c r="I11" s="41" t="s">
        <v>10</v>
      </c>
      <c r="J11" s="42" t="s">
        <v>37</v>
      </c>
      <c r="K11" s="42" t="s">
        <v>37</v>
      </c>
      <c r="L11" s="42" t="s">
        <v>37</v>
      </c>
      <c r="M11" s="42" t="s">
        <v>37</v>
      </c>
      <c r="N11" s="42" t="s">
        <v>37</v>
      </c>
      <c r="O11" s="42"/>
    </row>
    <row r="12" spans="1:16" s="41" customFormat="1" ht="43.5" x14ac:dyDescent="0.35">
      <c r="A12" s="41">
        <v>6</v>
      </c>
      <c r="B12" s="41" t="str">
        <f t="shared" si="1"/>
        <v>13.6</v>
      </c>
      <c r="C12" s="91" t="s">
        <v>40</v>
      </c>
      <c r="D12" s="49" t="s">
        <v>183</v>
      </c>
      <c r="E12" s="41" t="s">
        <v>34</v>
      </c>
      <c r="F12" s="41" t="s">
        <v>37</v>
      </c>
      <c r="G12" s="41" t="s">
        <v>186</v>
      </c>
      <c r="H12" s="50" t="s">
        <v>37</v>
      </c>
      <c r="I12" s="41" t="s">
        <v>10</v>
      </c>
      <c r="J12" s="42" t="s">
        <v>37</v>
      </c>
      <c r="K12" s="42" t="s">
        <v>37</v>
      </c>
      <c r="L12" s="42" t="s">
        <v>37</v>
      </c>
      <c r="M12" s="42" t="s">
        <v>37</v>
      </c>
      <c r="N12" s="42" t="s">
        <v>37</v>
      </c>
      <c r="O12" s="42"/>
    </row>
    <row r="13" spans="1:16" s="41" customFormat="1" ht="54" customHeight="1" x14ac:dyDescent="0.35">
      <c r="A13" s="41">
        <v>7</v>
      </c>
      <c r="B13" s="41" t="str">
        <f t="shared" si="0"/>
        <v>13.7</v>
      </c>
      <c r="C13" s="91" t="s">
        <v>40</v>
      </c>
      <c r="D13" s="41" t="s">
        <v>249</v>
      </c>
      <c r="E13" s="41" t="s">
        <v>115</v>
      </c>
      <c r="F13" s="41" t="s">
        <v>37</v>
      </c>
      <c r="G13" s="41" t="s">
        <v>37</v>
      </c>
      <c r="H13" s="50" t="s">
        <v>37</v>
      </c>
      <c r="I13" s="41" t="s">
        <v>10</v>
      </c>
      <c r="J13" s="42" t="s">
        <v>37</v>
      </c>
      <c r="K13" s="42" t="s">
        <v>37</v>
      </c>
      <c r="L13" s="42" t="s">
        <v>37</v>
      </c>
      <c r="M13" s="42" t="s">
        <v>37</v>
      </c>
      <c r="N13" s="42" t="s">
        <v>37</v>
      </c>
      <c r="O13" s="42" t="s">
        <v>108</v>
      </c>
    </row>
    <row r="14" spans="1:16" s="41" customFormat="1" x14ac:dyDescent="0.35">
      <c r="A14" s="41">
        <v>8</v>
      </c>
      <c r="B14" s="41" t="str">
        <f>CONCATENATE($B$2, ".", A14)</f>
        <v>13.8</v>
      </c>
      <c r="C14" s="91" t="s">
        <v>40</v>
      </c>
      <c r="D14" s="41" t="s">
        <v>61</v>
      </c>
      <c r="E14" s="41" t="s">
        <v>43</v>
      </c>
      <c r="F14" s="41" t="s">
        <v>37</v>
      </c>
      <c r="G14" s="41" t="s">
        <v>37</v>
      </c>
      <c r="H14" s="50" t="s">
        <v>37</v>
      </c>
      <c r="I14" s="41" t="s">
        <v>10</v>
      </c>
      <c r="J14" s="41" t="s">
        <v>37</v>
      </c>
      <c r="K14" s="41" t="s">
        <v>37</v>
      </c>
      <c r="L14" s="41" t="s">
        <v>37</v>
      </c>
      <c r="M14" s="41" t="s">
        <v>37</v>
      </c>
      <c r="N14" s="41" t="s">
        <v>37</v>
      </c>
      <c r="O14" s="41" t="s">
        <v>187</v>
      </c>
    </row>
    <row r="15" spans="1:16" s="41" customFormat="1" ht="29" x14ac:dyDescent="0.35">
      <c r="A15" s="41">
        <v>9</v>
      </c>
      <c r="B15" s="41" t="str">
        <f t="shared" si="0"/>
        <v>13.9</v>
      </c>
      <c r="C15" s="91" t="s">
        <v>38</v>
      </c>
      <c r="D15" s="41" t="s">
        <v>60</v>
      </c>
      <c r="E15" s="41" t="s">
        <v>43</v>
      </c>
      <c r="F15" s="41" t="s">
        <v>37</v>
      </c>
      <c r="G15" s="41" t="s">
        <v>37</v>
      </c>
      <c r="H15" s="50" t="s">
        <v>37</v>
      </c>
      <c r="I15" s="41" t="s">
        <v>10</v>
      </c>
      <c r="J15" s="41" t="s">
        <v>37</v>
      </c>
      <c r="K15" s="41" t="s">
        <v>37</v>
      </c>
      <c r="L15" s="41" t="s">
        <v>37</v>
      </c>
      <c r="M15" s="41" t="s">
        <v>37</v>
      </c>
      <c r="N15" s="41" t="s">
        <v>37</v>
      </c>
      <c r="O15" s="41" t="s">
        <v>443</v>
      </c>
    </row>
    <row r="16" spans="1:16" x14ac:dyDescent="0.35">
      <c r="C16" s="91"/>
      <c r="I16" s="41"/>
      <c r="J16" s="5"/>
      <c r="K16" s="5"/>
      <c r="L16" s="42"/>
      <c r="M16" s="42"/>
      <c r="N16" s="42"/>
      <c r="O16" s="42"/>
    </row>
    <row r="17" spans="4:15" x14ac:dyDescent="0.35">
      <c r="D17" s="6" t="s">
        <v>74</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197" priority="29" operator="equal">
      <formula>"WIP (see comments)"</formula>
    </cfRule>
    <cfRule type="cellIs" dxfId="196" priority="30" operator="equal">
      <formula>"Removed"</formula>
    </cfRule>
    <cfRule type="cellIs" dxfId="195" priority="31" operator="equal">
      <formula>"Updated"</formula>
    </cfRule>
    <cfRule type="cellIs" dxfId="194" priority="32" operator="equal">
      <formula>"New"</formula>
    </cfRule>
  </conditionalFormatting>
  <conditionalFormatting sqref="A2:XFD2 A4 C4:XFD4 A1:C1 E1:XFD1 A5:XFD6 A3:C3 E3:XFD3 A17:XFD1048576 A7:B16 D7:XFD16">
    <cfRule type="cellIs" dxfId="193" priority="12" operator="equal">
      <formula>"n/a"</formula>
    </cfRule>
  </conditionalFormatting>
  <conditionalFormatting sqref="B4">
    <cfRule type="cellIs" dxfId="192" priority="11" operator="equal">
      <formula>"n/a"</formula>
    </cfRule>
  </conditionalFormatting>
  <conditionalFormatting sqref="D3">
    <cfRule type="cellIs" dxfId="191" priority="6" operator="equal">
      <formula>"n/a"</formula>
    </cfRule>
  </conditionalFormatting>
  <conditionalFormatting sqref="C7:C16">
    <cfRule type="cellIs" dxfId="190" priority="2" operator="equal">
      <formula>"WIP (see comments)"</formula>
    </cfRule>
    <cfRule type="cellIs" dxfId="189" priority="3" operator="equal">
      <formula>"Removed"</formula>
    </cfRule>
    <cfRule type="cellIs" dxfId="188" priority="4" operator="equal">
      <formula>"Updated"</formula>
    </cfRule>
    <cfRule type="cellIs" dxfId="187" priority="5" operator="equal">
      <formula>"New"</formula>
    </cfRule>
  </conditionalFormatting>
  <conditionalFormatting sqref="C7:C16">
    <cfRule type="cellIs" dxfId="186"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J7" activePane="bottomRight" state="frozen"/>
      <selection pane="topRight" activeCell="E1" sqref="E1"/>
      <selection pane="bottomLeft" activeCell="A7" sqref="A7"/>
      <selection pane="bottomRight" activeCell="D13" sqref="D13"/>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335</v>
      </c>
      <c r="C1" s="34"/>
      <c r="D1" s="31"/>
    </row>
    <row r="2" spans="1:16" s="32" customFormat="1" ht="18.5" x14ac:dyDescent="0.35">
      <c r="A2" s="30" t="s">
        <v>8</v>
      </c>
      <c r="B2" s="38">
        <v>14</v>
      </c>
      <c r="C2" s="37"/>
      <c r="D2" s="38"/>
    </row>
    <row r="3" spans="1:16" s="32" customFormat="1" ht="18.5" x14ac:dyDescent="0.35">
      <c r="A3" s="30" t="s">
        <v>45</v>
      </c>
      <c r="B3" s="38" t="s">
        <v>295</v>
      </c>
      <c r="C3" s="37"/>
      <c r="D3" s="93" t="s">
        <v>442</v>
      </c>
    </row>
    <row r="4" spans="1:16" s="32" customFormat="1" ht="18.5" x14ac:dyDescent="0.35">
      <c r="A4" s="30" t="s">
        <v>9</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3" si="0">CONCATENATE($B$2, ".", A7)</f>
        <v>14.1</v>
      </c>
      <c r="C7" s="36" t="s">
        <v>40</v>
      </c>
      <c r="D7" s="41" t="s">
        <v>252</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14.2</v>
      </c>
      <c r="C8" s="36" t="s">
        <v>40</v>
      </c>
      <c r="D8" s="41" t="s">
        <v>37</v>
      </c>
      <c r="E8" s="41" t="s">
        <v>50</v>
      </c>
      <c r="F8" s="6" t="s">
        <v>37</v>
      </c>
      <c r="G8" s="6" t="s">
        <v>37</v>
      </c>
      <c r="H8" s="36" t="s">
        <v>37</v>
      </c>
      <c r="I8" s="41" t="s">
        <v>10</v>
      </c>
      <c r="J8" s="5" t="s">
        <v>37</v>
      </c>
      <c r="K8" s="5" t="s">
        <v>37</v>
      </c>
      <c r="L8" s="5" t="s">
        <v>37</v>
      </c>
      <c r="M8" s="5" t="s">
        <v>37</v>
      </c>
      <c r="N8" s="5" t="s">
        <v>37</v>
      </c>
      <c r="O8" s="5" t="s">
        <v>37</v>
      </c>
    </row>
    <row r="9" spans="1:16" ht="58" x14ac:dyDescent="0.35">
      <c r="A9" s="6">
        <v>3</v>
      </c>
      <c r="B9" s="6" t="str">
        <f t="shared" si="0"/>
        <v>14.3</v>
      </c>
      <c r="C9" s="36" t="s">
        <v>40</v>
      </c>
      <c r="D9" s="41" t="s">
        <v>253</v>
      </c>
      <c r="E9" s="41" t="s">
        <v>34</v>
      </c>
      <c r="F9" s="6" t="s">
        <v>37</v>
      </c>
      <c r="G9" s="6" t="s">
        <v>37</v>
      </c>
      <c r="H9" s="36" t="s">
        <v>37</v>
      </c>
      <c r="I9" s="41" t="s">
        <v>10</v>
      </c>
      <c r="J9" s="5" t="s">
        <v>37</v>
      </c>
      <c r="K9" s="5" t="s">
        <v>37</v>
      </c>
      <c r="L9" s="5" t="s">
        <v>37</v>
      </c>
      <c r="M9" s="5" t="s">
        <v>37</v>
      </c>
      <c r="N9" s="5" t="s">
        <v>37</v>
      </c>
      <c r="O9" s="5" t="s">
        <v>37</v>
      </c>
    </row>
    <row r="10" spans="1:16" ht="29" x14ac:dyDescent="0.35">
      <c r="A10" s="6">
        <v>4</v>
      </c>
      <c r="B10" s="6" t="str">
        <f t="shared" si="0"/>
        <v>14.4</v>
      </c>
      <c r="C10" s="36" t="s">
        <v>40</v>
      </c>
      <c r="D10" s="6" t="s">
        <v>241</v>
      </c>
      <c r="E10" s="103" t="s">
        <v>32</v>
      </c>
      <c r="F10" s="6" t="s">
        <v>65</v>
      </c>
      <c r="G10" s="6" t="s">
        <v>37</v>
      </c>
      <c r="H10" s="36" t="s">
        <v>37</v>
      </c>
      <c r="I10" s="41" t="s">
        <v>10</v>
      </c>
      <c r="J10" s="5" t="s">
        <v>194</v>
      </c>
      <c r="K10" s="100" t="s">
        <v>195</v>
      </c>
      <c r="L10" s="102" t="s">
        <v>242</v>
      </c>
      <c r="M10" s="5" t="s">
        <v>37</v>
      </c>
      <c r="N10" s="5" t="s">
        <v>37</v>
      </c>
      <c r="O10" s="104" t="s">
        <v>243</v>
      </c>
    </row>
    <row r="11" spans="1:16" ht="40.5" customHeight="1" x14ac:dyDescent="0.35">
      <c r="A11" s="6">
        <v>6</v>
      </c>
      <c r="B11" s="6" t="str">
        <f t="shared" si="0"/>
        <v>14.6</v>
      </c>
      <c r="C11" s="36" t="s">
        <v>40</v>
      </c>
      <c r="D11" s="6" t="s">
        <v>302</v>
      </c>
      <c r="E11" s="103"/>
      <c r="F11" s="6" t="s">
        <v>65</v>
      </c>
      <c r="G11" s="51" t="s">
        <v>37</v>
      </c>
      <c r="H11" s="73" t="s">
        <v>37</v>
      </c>
      <c r="I11" s="53" t="s">
        <v>10</v>
      </c>
      <c r="J11" s="5" t="s">
        <v>194</v>
      </c>
      <c r="K11" s="100"/>
      <c r="L11" s="102"/>
      <c r="M11" s="5" t="s">
        <v>37</v>
      </c>
      <c r="N11" s="5" t="s">
        <v>37</v>
      </c>
      <c r="O11" s="104"/>
    </row>
    <row r="12" spans="1:16" ht="231.75" customHeight="1" x14ac:dyDescent="0.35">
      <c r="A12" s="6">
        <v>7</v>
      </c>
      <c r="B12" s="6" t="str">
        <f t="shared" si="0"/>
        <v>14.7</v>
      </c>
      <c r="C12" s="36" t="s">
        <v>40</v>
      </c>
      <c r="D12" s="36" t="s">
        <v>303</v>
      </c>
      <c r="E12" s="41" t="s">
        <v>254</v>
      </c>
      <c r="F12" s="6" t="s">
        <v>37</v>
      </c>
      <c r="G12" s="6" t="s">
        <v>37</v>
      </c>
      <c r="H12" s="73" t="s">
        <v>37</v>
      </c>
      <c r="I12" s="53" t="s">
        <v>283</v>
      </c>
      <c r="J12" s="5" t="s">
        <v>37</v>
      </c>
      <c r="K12" s="5" t="s">
        <v>37</v>
      </c>
      <c r="L12" s="5" t="s">
        <v>37</v>
      </c>
      <c r="M12" s="5" t="s">
        <v>37</v>
      </c>
      <c r="N12" s="5" t="s">
        <v>37</v>
      </c>
      <c r="O12" s="5" t="s">
        <v>284</v>
      </c>
    </row>
    <row r="13" spans="1:16" ht="81.75" customHeight="1" x14ac:dyDescent="0.35">
      <c r="A13" s="6">
        <v>8</v>
      </c>
      <c r="B13" s="6" t="str">
        <f t="shared" si="0"/>
        <v>14.8</v>
      </c>
      <c r="C13" s="36" t="s">
        <v>38</v>
      </c>
      <c r="D13" s="41" t="s">
        <v>61</v>
      </c>
      <c r="E13" s="41" t="s">
        <v>43</v>
      </c>
      <c r="F13" s="41" t="s">
        <v>37</v>
      </c>
      <c r="G13" s="41" t="s">
        <v>37</v>
      </c>
      <c r="H13" s="50" t="s">
        <v>37</v>
      </c>
      <c r="I13" s="41" t="s">
        <v>10</v>
      </c>
      <c r="J13" s="41" t="s">
        <v>37</v>
      </c>
      <c r="K13" s="41" t="s">
        <v>37</v>
      </c>
      <c r="L13" s="41" t="s">
        <v>37</v>
      </c>
      <c r="M13" s="41" t="s">
        <v>37</v>
      </c>
      <c r="N13" s="41" t="s">
        <v>37</v>
      </c>
      <c r="O13" s="41" t="s">
        <v>445</v>
      </c>
      <c r="P13" s="6" t="s">
        <v>301</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185" priority="29" operator="equal">
      <formula>"WIP (see comments)"</formula>
    </cfRule>
    <cfRule type="cellIs" dxfId="184" priority="30" operator="equal">
      <formula>"Removed"</formula>
    </cfRule>
    <cfRule type="cellIs" dxfId="183" priority="31" operator="equal">
      <formula>"Updated"</formula>
    </cfRule>
    <cfRule type="cellIs" dxfId="182" priority="32" operator="equal">
      <formula>"New"</formula>
    </cfRule>
  </conditionalFormatting>
  <conditionalFormatting sqref="D10:E10 G10:I10 M10:O10 A10:C12 M11:N11 C11:C13 A7:O9">
    <cfRule type="cellIs" dxfId="181" priority="20" operator="equal">
      <formula>"n/a"</formula>
    </cfRule>
  </conditionalFormatting>
  <conditionalFormatting sqref="D11:D12 F11:J12">
    <cfRule type="cellIs" dxfId="180" priority="19" operator="equal">
      <formula>"n/a"</formula>
    </cfRule>
  </conditionalFormatting>
  <conditionalFormatting sqref="K10:L10">
    <cfRule type="cellIs" dxfId="179" priority="18" operator="equal">
      <formula>"n/a"</formula>
    </cfRule>
  </conditionalFormatting>
  <conditionalFormatting sqref="A13:B13">
    <cfRule type="cellIs" dxfId="178" priority="12" operator="equal">
      <formula>"n/a"</formula>
    </cfRule>
  </conditionalFormatting>
  <conditionalFormatting sqref="D13:N13">
    <cfRule type="cellIs" dxfId="177" priority="11" operator="equal">
      <formula>"n/a"</formula>
    </cfRule>
  </conditionalFormatting>
  <conditionalFormatting sqref="F10">
    <cfRule type="cellIs" dxfId="176" priority="9" operator="equal">
      <formula>"n/a"</formula>
    </cfRule>
  </conditionalFormatting>
  <conditionalFormatting sqref="J10">
    <cfRule type="cellIs" dxfId="175" priority="8" operator="equal">
      <formula>"n/a"</formula>
    </cfRule>
  </conditionalFormatting>
  <conditionalFormatting sqref="E12">
    <cfRule type="cellIs" dxfId="174" priority="7" operator="equal">
      <formula>"n/a"</formula>
    </cfRule>
  </conditionalFormatting>
  <conditionalFormatting sqref="K12">
    <cfRule type="cellIs" dxfId="173" priority="6" operator="equal">
      <formula>"n/a"</formula>
    </cfRule>
  </conditionalFormatting>
  <conditionalFormatting sqref="L12">
    <cfRule type="cellIs" dxfId="172" priority="5" operator="equal">
      <formula>"n/a"</formula>
    </cfRule>
  </conditionalFormatting>
  <conditionalFormatting sqref="M12">
    <cfRule type="cellIs" dxfId="171" priority="4" operator="equal">
      <formula>"n/a"</formula>
    </cfRule>
  </conditionalFormatting>
  <conditionalFormatting sqref="N12">
    <cfRule type="cellIs" dxfId="170" priority="3" operator="equal">
      <formula>"n/a"</formula>
    </cfRule>
  </conditionalFormatting>
  <conditionalFormatting sqref="O12">
    <cfRule type="cellIs" dxfId="169" priority="2" operator="equal">
      <formula>"n/a"</formula>
    </cfRule>
  </conditionalFormatting>
  <conditionalFormatting sqref="D3">
    <cfRule type="cellIs" dxfId="16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Values'!$A$5:$A$26</xm:f>
          </x14:formula1>
          <xm:sqref>E7:E10 E12:E1048576</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8"/>
  <sheetViews>
    <sheetView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336</v>
      </c>
      <c r="C1" s="34"/>
      <c r="D1" s="31"/>
    </row>
    <row r="2" spans="1:16" s="32" customFormat="1" ht="18.5" x14ac:dyDescent="0.35">
      <c r="A2" s="30" t="s">
        <v>8</v>
      </c>
      <c r="B2" s="38">
        <v>15</v>
      </c>
      <c r="C2" s="37"/>
      <c r="D2" s="38"/>
    </row>
    <row r="3" spans="1:16" s="32" customFormat="1" ht="18.5" x14ac:dyDescent="0.35">
      <c r="A3" s="30" t="s">
        <v>45</v>
      </c>
      <c r="B3" s="38" t="s">
        <v>446</v>
      </c>
      <c r="C3" s="37"/>
      <c r="D3" s="38"/>
    </row>
    <row r="4" spans="1:16" s="32" customFormat="1" ht="18.5" x14ac:dyDescent="0.35">
      <c r="A4" s="30" t="s">
        <v>9</v>
      </c>
      <c r="B4" s="32" t="s">
        <v>200</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1" si="0">CONCATENATE($B$2, ".", A7)</f>
        <v>15.1</v>
      </c>
      <c r="C7" s="36" t="s">
        <v>40</v>
      </c>
      <c r="D7" s="41" t="s">
        <v>157</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15.2</v>
      </c>
      <c r="C8" s="36" t="s">
        <v>40</v>
      </c>
      <c r="D8" s="41" t="s">
        <v>37</v>
      </c>
      <c r="E8" s="41" t="s">
        <v>50</v>
      </c>
      <c r="F8" s="6" t="s">
        <v>37</v>
      </c>
      <c r="G8" s="6" t="s">
        <v>37</v>
      </c>
      <c r="H8" s="36" t="s">
        <v>37</v>
      </c>
      <c r="I8" s="41" t="s">
        <v>10</v>
      </c>
      <c r="J8" s="5" t="s">
        <v>37</v>
      </c>
      <c r="K8" s="5" t="s">
        <v>37</v>
      </c>
      <c r="L8" s="5" t="s">
        <v>37</v>
      </c>
      <c r="M8" s="5" t="s">
        <v>37</v>
      </c>
      <c r="N8" s="5" t="s">
        <v>37</v>
      </c>
      <c r="O8" s="5" t="s">
        <v>37</v>
      </c>
    </row>
    <row r="9" spans="1:16" ht="105.75" customHeight="1" x14ac:dyDescent="0.35">
      <c r="A9" s="6">
        <v>3</v>
      </c>
      <c r="B9" s="6" t="str">
        <f t="shared" si="0"/>
        <v>15.3</v>
      </c>
      <c r="C9" s="36" t="s">
        <v>40</v>
      </c>
      <c r="D9" s="6" t="s">
        <v>37</v>
      </c>
      <c r="E9" s="6" t="s">
        <v>219</v>
      </c>
      <c r="F9" s="6" t="s">
        <v>37</v>
      </c>
      <c r="G9" s="6" t="s">
        <v>37</v>
      </c>
      <c r="H9" s="36" t="s">
        <v>37</v>
      </c>
      <c r="I9" s="41" t="s">
        <v>10</v>
      </c>
      <c r="J9" s="5" t="s">
        <v>37</v>
      </c>
      <c r="K9" s="5" t="s">
        <v>195</v>
      </c>
      <c r="L9" s="53" t="s">
        <v>37</v>
      </c>
      <c r="M9" s="5" t="s">
        <v>37</v>
      </c>
      <c r="N9" s="5" t="s">
        <v>37</v>
      </c>
      <c r="O9" s="42" t="s">
        <v>248</v>
      </c>
    </row>
    <row r="10" spans="1:16" ht="105.75" customHeight="1" x14ac:dyDescent="0.35">
      <c r="A10" s="6">
        <v>4</v>
      </c>
      <c r="B10" s="6" t="str">
        <f t="shared" si="0"/>
        <v>15.4</v>
      </c>
      <c r="C10" s="36" t="s">
        <v>38</v>
      </c>
      <c r="D10" s="6" t="s">
        <v>60</v>
      </c>
      <c r="E10" s="6" t="s">
        <v>43</v>
      </c>
      <c r="F10" s="6" t="s">
        <v>37</v>
      </c>
      <c r="G10" s="6" t="s">
        <v>37</v>
      </c>
      <c r="H10" s="36" t="s">
        <v>37</v>
      </c>
      <c r="I10" s="41" t="s">
        <v>281</v>
      </c>
      <c r="J10" s="5" t="s">
        <v>37</v>
      </c>
      <c r="K10" s="5" t="s">
        <v>37</v>
      </c>
      <c r="L10" s="53" t="s">
        <v>37</v>
      </c>
      <c r="M10" s="5" t="s">
        <v>37</v>
      </c>
      <c r="N10" s="5" t="s">
        <v>37</v>
      </c>
      <c r="O10" s="42" t="s">
        <v>447</v>
      </c>
    </row>
    <row r="11" spans="1:16" ht="29" x14ac:dyDescent="0.35">
      <c r="A11" s="6">
        <v>5</v>
      </c>
      <c r="B11" s="6" t="str">
        <f t="shared" si="0"/>
        <v>15.5</v>
      </c>
      <c r="C11" s="36" t="s">
        <v>38</v>
      </c>
      <c r="D11" s="41" t="s">
        <v>61</v>
      </c>
      <c r="E11" s="41" t="s">
        <v>43</v>
      </c>
      <c r="F11" s="41" t="s">
        <v>37</v>
      </c>
      <c r="G11" s="41" t="s">
        <v>37</v>
      </c>
      <c r="H11" s="50" t="s">
        <v>37</v>
      </c>
      <c r="I11" s="41" t="s">
        <v>10</v>
      </c>
      <c r="J11" s="41" t="s">
        <v>37</v>
      </c>
      <c r="K11" s="41" t="s">
        <v>37</v>
      </c>
      <c r="L11" s="41" t="s">
        <v>37</v>
      </c>
      <c r="M11" s="41" t="s">
        <v>37</v>
      </c>
      <c r="N11" s="41" t="s">
        <v>37</v>
      </c>
      <c r="O11" s="41" t="s">
        <v>448</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167" priority="15" operator="equal">
      <formula>"WIP (see comments)"</formula>
    </cfRule>
    <cfRule type="cellIs" dxfId="166" priority="16" operator="equal">
      <formula>"Removed"</formula>
    </cfRule>
    <cfRule type="cellIs" dxfId="165" priority="17" operator="equal">
      <formula>"Updated"</formula>
    </cfRule>
    <cfRule type="cellIs" dxfId="164" priority="18" operator="equal">
      <formula>"New"</formula>
    </cfRule>
  </conditionalFormatting>
  <conditionalFormatting sqref="C7:C10">
    <cfRule type="cellIs" dxfId="163" priority="11" operator="equal">
      <formula>"WIP (see comments)"</formula>
    </cfRule>
    <cfRule type="cellIs" dxfId="162" priority="12" operator="equal">
      <formula>"Removed"</formula>
    </cfRule>
    <cfRule type="cellIs" dxfId="161" priority="13" operator="equal">
      <formula>"Updated"</formula>
    </cfRule>
    <cfRule type="cellIs" dxfId="160" priority="14" operator="equal">
      <formula>"New"</formula>
    </cfRule>
  </conditionalFormatting>
  <conditionalFormatting sqref="A1:XFD8 A12:XFD1048576 P9:XFD10 M9:N10 A9:J9 C10:J10 A10:B11">
    <cfRule type="cellIs" dxfId="159" priority="10" operator="equal">
      <formula>"n/a"</formula>
    </cfRule>
  </conditionalFormatting>
  <conditionalFormatting sqref="K9:L10">
    <cfRule type="cellIs" dxfId="158" priority="8" operator="equal">
      <formula>"n/a"</formula>
    </cfRule>
  </conditionalFormatting>
  <conditionalFormatting sqref="O9:O10">
    <cfRule type="cellIs" dxfId="157" priority="7" operator="equal">
      <formula>"n/a"</formula>
    </cfRule>
  </conditionalFormatting>
  <conditionalFormatting sqref="C11">
    <cfRule type="cellIs" dxfId="156" priority="3" operator="equal">
      <formula>"WIP (see comments)"</formula>
    </cfRule>
    <cfRule type="cellIs" dxfId="155" priority="4" operator="equal">
      <formula>"Removed"</formula>
    </cfRule>
    <cfRule type="cellIs" dxfId="154" priority="5" operator="equal">
      <formula>"Updated"</formula>
    </cfRule>
    <cfRule type="cellIs" dxfId="153" priority="6" operator="equal">
      <formula>"New"</formula>
    </cfRule>
  </conditionalFormatting>
  <conditionalFormatting sqref="P11:XFD11 C11">
    <cfRule type="cellIs" dxfId="152" priority="2" operator="equal">
      <formula>"n/a"</formula>
    </cfRule>
  </conditionalFormatting>
  <conditionalFormatting sqref="D11:N11">
    <cfRule type="cellIs" dxfId="15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7" activePane="bottomLeft" state="frozen"/>
      <selection pane="bottomLeft" activeCell="B1" sqref="B1"/>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337</v>
      </c>
      <c r="C1" s="34"/>
      <c r="D1" s="31"/>
    </row>
    <row r="2" spans="1:16" s="32" customFormat="1" ht="18.5" x14ac:dyDescent="0.35">
      <c r="A2" s="30" t="s">
        <v>8</v>
      </c>
      <c r="B2" s="38">
        <v>16</v>
      </c>
      <c r="C2" s="37"/>
      <c r="D2" s="38"/>
    </row>
    <row r="3" spans="1:16" s="32" customFormat="1" ht="18.5" x14ac:dyDescent="0.35">
      <c r="A3" s="30" t="s">
        <v>45</v>
      </c>
      <c r="B3" s="38" t="s">
        <v>295</v>
      </c>
      <c r="C3" s="37"/>
      <c r="D3" s="38"/>
    </row>
    <row r="4" spans="1:16" s="32" customFormat="1" ht="18.5" x14ac:dyDescent="0.35">
      <c r="A4" s="30" t="s">
        <v>9</v>
      </c>
      <c r="B4" s="32" t="s">
        <v>296</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5">
        <v>1</v>
      </c>
      <c r="B7" s="5" t="str">
        <f>CONCATENATE($B$2, ".", A7)</f>
        <v>16.1</v>
      </c>
      <c r="C7" s="72" t="s">
        <v>260</v>
      </c>
      <c r="D7" s="5" t="s">
        <v>37</v>
      </c>
      <c r="E7" s="42" t="s">
        <v>142</v>
      </c>
      <c r="F7" s="5" t="s">
        <v>37</v>
      </c>
      <c r="G7" s="5" t="s">
        <v>37</v>
      </c>
      <c r="H7" s="72" t="s">
        <v>37</v>
      </c>
      <c r="I7" s="42" t="s">
        <v>10</v>
      </c>
      <c r="J7" s="5" t="s">
        <v>37</v>
      </c>
      <c r="K7" s="5" t="s">
        <v>37</v>
      </c>
      <c r="L7" s="5" t="s">
        <v>37</v>
      </c>
      <c r="M7" s="5" t="s">
        <v>37</v>
      </c>
      <c r="N7" s="5" t="s">
        <v>37</v>
      </c>
      <c r="O7" s="42" t="s">
        <v>257</v>
      </c>
      <c r="P7" s="5"/>
    </row>
    <row r="8" spans="1:16" x14ac:dyDescent="0.35">
      <c r="A8" s="5">
        <v>2</v>
      </c>
      <c r="B8" s="5" t="str">
        <f t="shared" ref="B8" si="0">CONCATENATE($B$2, ".", A8)</f>
        <v>16.2</v>
      </c>
      <c r="C8" s="74" t="s">
        <v>260</v>
      </c>
      <c r="D8" s="42" t="s">
        <v>255</v>
      </c>
      <c r="E8" s="42" t="s">
        <v>143</v>
      </c>
      <c r="F8" s="5" t="s">
        <v>37</v>
      </c>
      <c r="G8" s="5" t="s">
        <v>37</v>
      </c>
      <c r="H8" s="72" t="s">
        <v>37</v>
      </c>
      <c r="I8" s="42" t="s">
        <v>10</v>
      </c>
      <c r="J8" s="5" t="s">
        <v>37</v>
      </c>
      <c r="K8" s="5" t="s">
        <v>37</v>
      </c>
      <c r="L8" s="5" t="s">
        <v>37</v>
      </c>
      <c r="M8" s="5" t="s">
        <v>37</v>
      </c>
      <c r="N8" s="5" t="s">
        <v>37</v>
      </c>
      <c r="O8" s="5"/>
      <c r="P8" s="5"/>
    </row>
    <row r="9" spans="1:16" ht="231" customHeight="1" x14ac:dyDescent="0.35">
      <c r="A9" s="6">
        <v>3</v>
      </c>
      <c r="B9" s="6" t="str">
        <f t="shared" ref="B9" si="1">CONCATENATE($B$2, ".", A9)</f>
        <v>16.3</v>
      </c>
      <c r="C9" s="74" t="s">
        <v>46</v>
      </c>
      <c r="D9" s="41" t="s">
        <v>256</v>
      </c>
      <c r="E9" s="41" t="s">
        <v>115</v>
      </c>
      <c r="F9" s="6" t="s">
        <v>37</v>
      </c>
      <c r="G9" s="6" t="s">
        <v>37</v>
      </c>
      <c r="H9" s="36" t="s">
        <v>37</v>
      </c>
      <c r="I9" s="41" t="s">
        <v>10</v>
      </c>
      <c r="J9" s="5" t="s">
        <v>37</v>
      </c>
      <c r="K9" s="5" t="s">
        <v>37</v>
      </c>
      <c r="L9" s="5" t="s">
        <v>37</v>
      </c>
      <c r="M9" s="5" t="s">
        <v>37</v>
      </c>
      <c r="N9" s="5" t="s">
        <v>37</v>
      </c>
      <c r="O9" s="5" t="s">
        <v>178</v>
      </c>
      <c r="P9" s="6" t="s">
        <v>304</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150" priority="21" operator="equal">
      <formula>"WIP (see comments)"</formula>
    </cfRule>
    <cfRule type="cellIs" dxfId="149" priority="22" operator="equal">
      <formula>"Removed"</formula>
    </cfRule>
    <cfRule type="cellIs" dxfId="148" priority="23" operator="equal">
      <formula>"Updated"</formula>
    </cfRule>
    <cfRule type="cellIs" dxfId="147" priority="24" operator="equal">
      <formula>"New"</formula>
    </cfRule>
  </conditionalFormatting>
  <conditionalFormatting sqref="A9:O9">
    <cfRule type="cellIs" dxfId="146" priority="20" operator="equal">
      <formula>"n/a"</formula>
    </cfRule>
  </conditionalFormatting>
  <conditionalFormatting sqref="A8:P8 E7:O7 A7:C7 C8:C9">
    <cfRule type="cellIs" dxfId="145" priority="4" operator="equal">
      <formula>"n/a"</formula>
    </cfRule>
  </conditionalFormatting>
  <conditionalFormatting sqref="P7">
    <cfRule type="cellIs" dxfId="144" priority="3" operator="equal">
      <formula>"n/a"</formula>
    </cfRule>
  </conditionalFormatting>
  <conditionalFormatting sqref="D7">
    <cfRule type="cellIs" dxfId="143" priority="2" operator="equal">
      <formula>"-"</formula>
    </cfRule>
  </conditionalFormatting>
  <conditionalFormatting sqref="D7">
    <cfRule type="cellIs" dxfId="1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O16" sqref="D7:O16"/>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350</v>
      </c>
      <c r="C1" s="34"/>
      <c r="D1" s="31"/>
      <c r="H1" s="37"/>
    </row>
    <row r="2" spans="1:16" s="32" customFormat="1" ht="18.5" x14ac:dyDescent="0.35">
      <c r="A2" s="30" t="s">
        <v>8</v>
      </c>
      <c r="B2" s="86">
        <v>17</v>
      </c>
      <c r="C2" s="37"/>
      <c r="D2" s="86"/>
      <c r="H2" s="37"/>
    </row>
    <row r="3" spans="1:16" s="32" customFormat="1" ht="18.5" x14ac:dyDescent="0.35">
      <c r="A3" s="30" t="s">
        <v>45</v>
      </c>
      <c r="B3" s="86" t="s">
        <v>295</v>
      </c>
      <c r="C3" s="37"/>
      <c r="D3" s="86"/>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6" si="0">CONCATENATE($B$2, ".", A7)</f>
        <v>17.1</v>
      </c>
      <c r="C7" s="36" t="s">
        <v>46</v>
      </c>
      <c r="D7" s="41"/>
      <c r="I7" s="41"/>
      <c r="J7" s="5"/>
      <c r="K7" s="5"/>
      <c r="L7" s="5"/>
      <c r="M7" s="5"/>
      <c r="N7" s="5"/>
      <c r="O7" s="5"/>
      <c r="P7" s="6" t="s">
        <v>307</v>
      </c>
    </row>
    <row r="8" spans="1:16" ht="29" x14ac:dyDescent="0.35">
      <c r="A8" s="6">
        <v>2</v>
      </c>
      <c r="B8" s="6" t="str">
        <f t="shared" si="0"/>
        <v>17.2</v>
      </c>
      <c r="C8" s="36" t="s">
        <v>46</v>
      </c>
      <c r="D8" s="41"/>
      <c r="E8" s="41"/>
      <c r="I8" s="41"/>
      <c r="J8" s="5"/>
      <c r="K8" s="5"/>
      <c r="L8" s="5"/>
      <c r="M8" s="5"/>
      <c r="N8" s="5"/>
      <c r="O8" s="5"/>
    </row>
    <row r="9" spans="1:16" ht="29" x14ac:dyDescent="0.35">
      <c r="A9" s="6">
        <v>3</v>
      </c>
      <c r="B9" s="6" t="str">
        <f t="shared" si="0"/>
        <v>17.3</v>
      </c>
      <c r="C9" s="36" t="s">
        <v>46</v>
      </c>
      <c r="D9" s="41"/>
      <c r="E9" s="41"/>
      <c r="I9" s="41"/>
      <c r="J9" s="5"/>
      <c r="K9" s="5"/>
      <c r="L9" s="42"/>
      <c r="M9" s="5"/>
      <c r="N9" s="5"/>
      <c r="O9" s="5"/>
    </row>
    <row r="10" spans="1:16" ht="29" x14ac:dyDescent="0.35">
      <c r="A10" s="6">
        <v>4</v>
      </c>
      <c r="B10" s="6" t="str">
        <f t="shared" si="0"/>
        <v>17.4</v>
      </c>
      <c r="C10" s="36" t="s">
        <v>46</v>
      </c>
      <c r="D10" s="55"/>
      <c r="O10" s="42"/>
      <c r="P10" s="6" t="s">
        <v>309</v>
      </c>
    </row>
    <row r="11" spans="1:16" ht="191.25" customHeight="1" x14ac:dyDescent="0.35">
      <c r="A11" s="6">
        <v>5</v>
      </c>
      <c r="B11" s="6" t="str">
        <f t="shared" si="0"/>
        <v>17.5</v>
      </c>
      <c r="C11" s="36" t="s">
        <v>46</v>
      </c>
      <c r="D11" s="55"/>
      <c r="G11" s="41"/>
      <c r="O11" s="42"/>
    </row>
    <row r="12" spans="1:16" ht="214.5" customHeight="1" x14ac:dyDescent="0.35">
      <c r="A12" s="6">
        <v>6</v>
      </c>
      <c r="B12" s="6" t="str">
        <f t="shared" si="0"/>
        <v>17.6</v>
      </c>
      <c r="C12" s="36" t="s">
        <v>46</v>
      </c>
      <c r="D12" s="55"/>
      <c r="G12" s="41"/>
      <c r="O12" s="42"/>
    </row>
    <row r="13" spans="1:16" ht="195.75" customHeight="1" x14ac:dyDescent="0.35">
      <c r="A13" s="6">
        <v>7</v>
      </c>
      <c r="B13" s="6" t="str">
        <f t="shared" si="0"/>
        <v>17.7</v>
      </c>
      <c r="C13" s="36" t="s">
        <v>46</v>
      </c>
      <c r="D13" s="55"/>
      <c r="G13" s="41"/>
      <c r="O13" s="42"/>
    </row>
    <row r="14" spans="1:16" ht="87" customHeight="1" x14ac:dyDescent="0.35">
      <c r="A14" s="6">
        <v>8</v>
      </c>
      <c r="B14" s="6" t="str">
        <f t="shared" si="0"/>
        <v>17.8</v>
      </c>
      <c r="C14" s="36" t="s">
        <v>46</v>
      </c>
      <c r="D14" s="49"/>
      <c r="O14" s="42"/>
    </row>
    <row r="15" spans="1:16" ht="29" x14ac:dyDescent="0.35">
      <c r="A15" s="6">
        <v>9</v>
      </c>
      <c r="B15" s="6" t="str">
        <f t="shared" si="0"/>
        <v>17.9</v>
      </c>
      <c r="C15" s="36" t="s">
        <v>46</v>
      </c>
      <c r="O15" s="42"/>
    </row>
    <row r="16" spans="1:16" ht="29" x14ac:dyDescent="0.35">
      <c r="A16" s="6">
        <v>10</v>
      </c>
      <c r="B16" s="6" t="str">
        <f t="shared" si="0"/>
        <v>17.10</v>
      </c>
      <c r="C16" s="36" t="s">
        <v>46</v>
      </c>
      <c r="D16" s="41"/>
      <c r="E16" s="41"/>
      <c r="F16" s="41"/>
      <c r="G16" s="41"/>
      <c r="H16" s="50"/>
      <c r="I16" s="41"/>
      <c r="J16" s="41"/>
      <c r="K16" s="41"/>
      <c r="L16" s="41"/>
      <c r="M16" s="41"/>
      <c r="N16" s="41"/>
      <c r="O16" s="41"/>
    </row>
  </sheetData>
  <autoFilter ref="A6:P6"/>
  <conditionalFormatting sqref="C17:C1048576">
    <cfRule type="cellIs" dxfId="141" priority="7" operator="equal">
      <formula>"WIP (see comments)"</formula>
    </cfRule>
    <cfRule type="cellIs" dxfId="140" priority="8" operator="equal">
      <formula>"Removed"</formula>
    </cfRule>
    <cfRule type="cellIs" dxfId="139" priority="9" operator="equal">
      <formula>"Updated"</formula>
    </cfRule>
    <cfRule type="cellIs" dxfId="138" priority="10" operator="equal">
      <formula>"New"</formula>
    </cfRule>
  </conditionalFormatting>
  <conditionalFormatting sqref="C7:C16">
    <cfRule type="cellIs" dxfId="137" priority="3" operator="equal">
      <formula>"WIP (see comments)"</formula>
    </cfRule>
    <cfRule type="cellIs" dxfId="136" priority="4" operator="equal">
      <formula>"Removed"</formula>
    </cfRule>
    <cfRule type="cellIs" dxfId="135" priority="5" operator="equal">
      <formula>"Updated"</formula>
    </cfRule>
    <cfRule type="cellIs" dxfId="134" priority="6" operator="equal">
      <formula>"New"</formula>
    </cfRule>
  </conditionalFormatting>
  <conditionalFormatting sqref="P16:XFD16 A7:XFD7 D8:XFD15 A8:C16">
    <cfRule type="cellIs" dxfId="133" priority="2" operator="equal">
      <formula>"n/a"</formula>
    </cfRule>
  </conditionalFormatting>
  <conditionalFormatting sqref="D16:N16">
    <cfRule type="cellIs" dxfId="13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14" activePane="bottomLeft" state="frozen"/>
      <selection pane="bottomLeft" activeCell="B2" sqref="B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351</v>
      </c>
      <c r="C1" s="98"/>
      <c r="D1" s="98"/>
      <c r="H1" s="37"/>
    </row>
    <row r="2" spans="1:16" s="32" customFormat="1" ht="18.5" x14ac:dyDescent="0.35">
      <c r="A2" s="30" t="s">
        <v>8</v>
      </c>
      <c r="B2" s="38">
        <v>18</v>
      </c>
      <c r="C2" s="37"/>
      <c r="D2" s="38"/>
      <c r="H2" s="37"/>
    </row>
    <row r="3" spans="1:16" s="32" customFormat="1" ht="18.5" x14ac:dyDescent="0.35">
      <c r="A3" s="30" t="s">
        <v>45</v>
      </c>
      <c r="B3" s="38" t="s">
        <v>295</v>
      </c>
      <c r="C3" s="37"/>
      <c r="D3" s="38"/>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6" si="0">CONCATENATE($B$2, ".", A7)</f>
        <v>18.1</v>
      </c>
      <c r="C7" s="36" t="s">
        <v>46</v>
      </c>
      <c r="D7" s="41" t="s">
        <v>282</v>
      </c>
      <c r="E7" s="6" t="s">
        <v>29</v>
      </c>
      <c r="F7" s="6" t="s">
        <v>37</v>
      </c>
      <c r="G7" s="6" t="s">
        <v>37</v>
      </c>
      <c r="H7" s="36" t="s">
        <v>37</v>
      </c>
      <c r="I7" s="41" t="s">
        <v>10</v>
      </c>
      <c r="J7" s="5" t="s">
        <v>37</v>
      </c>
      <c r="K7" s="5" t="s">
        <v>37</v>
      </c>
      <c r="L7" s="5" t="s">
        <v>37</v>
      </c>
      <c r="M7" s="5" t="s">
        <v>37</v>
      </c>
      <c r="N7" s="5" t="s">
        <v>37</v>
      </c>
      <c r="O7" s="5" t="s">
        <v>37</v>
      </c>
      <c r="P7" s="6" t="s">
        <v>307</v>
      </c>
    </row>
    <row r="8" spans="1:16" ht="29" x14ac:dyDescent="0.35">
      <c r="A8" s="6">
        <v>2</v>
      </c>
      <c r="B8" s="6" t="str">
        <f t="shared" si="0"/>
        <v>18.2</v>
      </c>
      <c r="C8" s="36" t="s">
        <v>46</v>
      </c>
      <c r="D8" s="41" t="s">
        <v>37</v>
      </c>
      <c r="E8" s="41" t="s">
        <v>50</v>
      </c>
      <c r="F8" s="6" t="s">
        <v>37</v>
      </c>
      <c r="G8" s="6" t="s">
        <v>37</v>
      </c>
      <c r="H8" s="36" t="s">
        <v>37</v>
      </c>
      <c r="I8" s="41" t="s">
        <v>10</v>
      </c>
      <c r="J8" s="5" t="s">
        <v>37</v>
      </c>
      <c r="K8" s="5" t="s">
        <v>37</v>
      </c>
      <c r="L8" s="5" t="s">
        <v>37</v>
      </c>
      <c r="M8" s="5" t="s">
        <v>37</v>
      </c>
      <c r="N8" s="5" t="s">
        <v>37</v>
      </c>
      <c r="O8" s="5" t="s">
        <v>37</v>
      </c>
    </row>
    <row r="9" spans="1:16" ht="43.5" x14ac:dyDescent="0.35">
      <c r="A9" s="6">
        <v>3</v>
      </c>
      <c r="B9" s="6" t="str">
        <f t="shared" si="0"/>
        <v>18.3</v>
      </c>
      <c r="C9" s="36" t="s">
        <v>46</v>
      </c>
      <c r="D9" s="41" t="s">
        <v>201</v>
      </c>
      <c r="E9" s="41" t="s">
        <v>30</v>
      </c>
      <c r="F9" s="6" t="s">
        <v>65</v>
      </c>
      <c r="G9" s="6" t="s">
        <v>37</v>
      </c>
      <c r="H9" s="36" t="s">
        <v>37</v>
      </c>
      <c r="I9" s="41" t="s">
        <v>10</v>
      </c>
      <c r="J9" s="5" t="s">
        <v>109</v>
      </c>
      <c r="K9" s="5" t="s">
        <v>55</v>
      </c>
      <c r="L9" s="42" t="s">
        <v>110</v>
      </c>
      <c r="M9" s="5" t="s">
        <v>37</v>
      </c>
      <c r="N9" s="5" t="s">
        <v>37</v>
      </c>
      <c r="O9" s="5" t="s">
        <v>37</v>
      </c>
    </row>
    <row r="10" spans="1:16" ht="29" x14ac:dyDescent="0.35">
      <c r="A10" s="6">
        <v>4</v>
      </c>
      <c r="B10" s="6" t="str">
        <f t="shared" si="0"/>
        <v>18.4</v>
      </c>
      <c r="C10" s="36" t="s">
        <v>46</v>
      </c>
      <c r="D10" s="55" t="s">
        <v>305</v>
      </c>
      <c r="E10" s="6" t="s">
        <v>115</v>
      </c>
      <c r="F10" s="6" t="s">
        <v>37</v>
      </c>
      <c r="G10" s="6" t="s">
        <v>37</v>
      </c>
      <c r="H10" s="36" t="s">
        <v>37</v>
      </c>
      <c r="I10" s="6" t="s">
        <v>10</v>
      </c>
      <c r="J10" s="6" t="s">
        <v>37</v>
      </c>
      <c r="K10" s="6" t="s">
        <v>37</v>
      </c>
      <c r="L10" s="6" t="s">
        <v>37</v>
      </c>
      <c r="M10" s="6" t="s">
        <v>37</v>
      </c>
      <c r="N10" s="6" t="s">
        <v>37</v>
      </c>
      <c r="O10" s="42" t="s">
        <v>308</v>
      </c>
      <c r="P10" s="6" t="s">
        <v>309</v>
      </c>
    </row>
    <row r="11" spans="1:16" ht="191.25" customHeight="1" x14ac:dyDescent="0.35">
      <c r="A11" s="6">
        <v>5</v>
      </c>
      <c r="B11" s="6" t="str">
        <f t="shared" si="0"/>
        <v>18.5</v>
      </c>
      <c r="C11" s="36" t="s">
        <v>46</v>
      </c>
      <c r="D11" s="55" t="s">
        <v>202</v>
      </c>
      <c r="E11" s="6" t="s">
        <v>34</v>
      </c>
      <c r="F11" s="6" t="s">
        <v>37</v>
      </c>
      <c r="G11" s="41" t="s">
        <v>203</v>
      </c>
      <c r="H11" s="36" t="s">
        <v>37</v>
      </c>
      <c r="I11" s="6" t="s">
        <v>10</v>
      </c>
      <c r="J11" s="6" t="s">
        <v>37</v>
      </c>
      <c r="K11" s="6" t="s">
        <v>37</v>
      </c>
      <c r="L11" s="6" t="s">
        <v>37</v>
      </c>
      <c r="M11" s="6" t="s">
        <v>37</v>
      </c>
      <c r="N11" s="6" t="s">
        <v>37</v>
      </c>
      <c r="O11" s="42" t="s">
        <v>37</v>
      </c>
    </row>
    <row r="12" spans="1:16" ht="214.5" customHeight="1" x14ac:dyDescent="0.35">
      <c r="A12" s="6">
        <v>6</v>
      </c>
      <c r="B12" s="6" t="str">
        <f t="shared" si="0"/>
        <v>18.6</v>
      </c>
      <c r="C12" s="36" t="s">
        <v>46</v>
      </c>
      <c r="D12" s="55" t="s">
        <v>204</v>
      </c>
      <c r="E12" s="6" t="s">
        <v>34</v>
      </c>
      <c r="F12" s="6" t="s">
        <v>37</v>
      </c>
      <c r="G12" s="41" t="s">
        <v>203</v>
      </c>
      <c r="H12" s="36" t="s">
        <v>37</v>
      </c>
      <c r="I12" s="6" t="s">
        <v>10</v>
      </c>
      <c r="J12" s="6" t="s">
        <v>37</v>
      </c>
      <c r="K12" s="6" t="s">
        <v>37</v>
      </c>
      <c r="L12" s="6" t="s">
        <v>37</v>
      </c>
      <c r="M12" s="6" t="s">
        <v>37</v>
      </c>
      <c r="N12" s="6" t="s">
        <v>37</v>
      </c>
      <c r="O12" s="42" t="s">
        <v>37</v>
      </c>
    </row>
    <row r="13" spans="1:16" ht="195.75" customHeight="1" x14ac:dyDescent="0.35">
      <c r="A13" s="6">
        <v>7</v>
      </c>
      <c r="B13" s="6" t="str">
        <f t="shared" si="0"/>
        <v>18.7</v>
      </c>
      <c r="C13" s="36" t="s">
        <v>46</v>
      </c>
      <c r="D13" s="55" t="s">
        <v>205</v>
      </c>
      <c r="E13" s="6" t="s">
        <v>34</v>
      </c>
      <c r="F13" s="6" t="s">
        <v>37</v>
      </c>
      <c r="G13" s="41" t="s">
        <v>203</v>
      </c>
      <c r="H13" s="36" t="s">
        <v>37</v>
      </c>
      <c r="I13" s="6" t="s">
        <v>10</v>
      </c>
      <c r="J13" s="6" t="s">
        <v>37</v>
      </c>
      <c r="K13" s="6" t="s">
        <v>37</v>
      </c>
      <c r="L13" s="6" t="s">
        <v>37</v>
      </c>
      <c r="M13" s="6" t="s">
        <v>37</v>
      </c>
      <c r="N13" s="6" t="s">
        <v>37</v>
      </c>
      <c r="O13" s="42" t="s">
        <v>37</v>
      </c>
    </row>
    <row r="14" spans="1:16" ht="87" customHeight="1" x14ac:dyDescent="0.35">
      <c r="A14" s="6">
        <v>8</v>
      </c>
      <c r="B14" s="6" t="str">
        <f t="shared" si="0"/>
        <v>18.8</v>
      </c>
      <c r="C14" s="36" t="s">
        <v>46</v>
      </c>
      <c r="D14" s="49" t="s">
        <v>206</v>
      </c>
      <c r="E14" s="6" t="s">
        <v>34</v>
      </c>
      <c r="F14" s="6" t="s">
        <v>37</v>
      </c>
      <c r="G14" s="6" t="s">
        <v>297</v>
      </c>
      <c r="H14" s="36" t="s">
        <v>37</v>
      </c>
      <c r="I14" s="6" t="s">
        <v>10</v>
      </c>
      <c r="J14" s="6" t="s">
        <v>37</v>
      </c>
      <c r="K14" s="6" t="s">
        <v>37</v>
      </c>
      <c r="L14" s="6" t="s">
        <v>37</v>
      </c>
      <c r="M14" s="6" t="s">
        <v>37</v>
      </c>
      <c r="N14" s="6" t="s">
        <v>37</v>
      </c>
      <c r="O14" s="42" t="s">
        <v>37</v>
      </c>
    </row>
    <row r="15" spans="1:16" ht="87" x14ac:dyDescent="0.35">
      <c r="A15" s="6">
        <v>9</v>
      </c>
      <c r="B15" s="6" t="str">
        <f t="shared" si="0"/>
        <v>18.9</v>
      </c>
      <c r="C15" s="36" t="s">
        <v>46</v>
      </c>
      <c r="D15" s="6" t="s">
        <v>306</v>
      </c>
      <c r="E15" s="6" t="s">
        <v>34</v>
      </c>
      <c r="F15" s="6" t="s">
        <v>37</v>
      </c>
      <c r="G15" s="6" t="s">
        <v>37</v>
      </c>
      <c r="H15" s="36" t="s">
        <v>37</v>
      </c>
      <c r="I15" s="6" t="s">
        <v>10</v>
      </c>
      <c r="J15" s="6" t="s">
        <v>37</v>
      </c>
      <c r="K15" s="6" t="s">
        <v>37</v>
      </c>
      <c r="L15" s="6" t="s">
        <v>37</v>
      </c>
      <c r="M15" s="6" t="s">
        <v>37</v>
      </c>
      <c r="N15" s="6" t="s">
        <v>37</v>
      </c>
      <c r="O15" s="42" t="s">
        <v>37</v>
      </c>
    </row>
    <row r="16" spans="1:16" ht="29" x14ac:dyDescent="0.35">
      <c r="A16" s="6">
        <v>10</v>
      </c>
      <c r="B16" s="6" t="str">
        <f t="shared" si="0"/>
        <v>18.10</v>
      </c>
      <c r="C16" s="36" t="s">
        <v>46</v>
      </c>
      <c r="D16" s="41" t="s">
        <v>61</v>
      </c>
      <c r="E16" s="41" t="s">
        <v>43</v>
      </c>
      <c r="F16" s="41" t="s">
        <v>37</v>
      </c>
      <c r="G16" s="41" t="s">
        <v>37</v>
      </c>
      <c r="H16" s="50" t="s">
        <v>37</v>
      </c>
      <c r="I16" s="41" t="s">
        <v>10</v>
      </c>
      <c r="J16" s="41" t="s">
        <v>37</v>
      </c>
      <c r="K16" s="41" t="s">
        <v>37</v>
      </c>
      <c r="L16" s="41" t="s">
        <v>37</v>
      </c>
      <c r="M16" s="41" t="s">
        <v>37</v>
      </c>
      <c r="N16" s="41" t="s">
        <v>37</v>
      </c>
      <c r="O16" s="41" t="s">
        <v>280</v>
      </c>
    </row>
  </sheetData>
  <autoFilter ref="A6:P6"/>
  <mergeCells count="1">
    <mergeCell ref="B1:D1"/>
  </mergeCells>
  <conditionalFormatting sqref="C17:C1048576">
    <cfRule type="cellIs" dxfId="131" priority="23" operator="equal">
      <formula>"WIP (see comments)"</formula>
    </cfRule>
    <cfRule type="cellIs" dxfId="130" priority="24" operator="equal">
      <formula>"Removed"</formula>
    </cfRule>
    <cfRule type="cellIs" dxfId="129" priority="25" operator="equal">
      <formula>"Updated"</formula>
    </cfRule>
    <cfRule type="cellIs" dxfId="128" priority="26" operator="equal">
      <formula>"New"</formula>
    </cfRule>
  </conditionalFormatting>
  <conditionalFormatting sqref="C7:C16">
    <cfRule type="cellIs" dxfId="127" priority="3" operator="equal">
      <formula>"WIP (see comments)"</formula>
    </cfRule>
    <cfRule type="cellIs" dxfId="126" priority="4" operator="equal">
      <formula>"Removed"</formula>
    </cfRule>
    <cfRule type="cellIs" dxfId="125" priority="5" operator="equal">
      <formula>"Updated"</formula>
    </cfRule>
    <cfRule type="cellIs" dxfId="124" priority="6" operator="equal">
      <formula>"New"</formula>
    </cfRule>
  </conditionalFormatting>
  <conditionalFormatting sqref="P16:XFD16 A7:XFD7 D8:XFD15 A8:C16">
    <cfRule type="cellIs" dxfId="123" priority="2" operator="equal">
      <formula>"n/a"</formula>
    </cfRule>
  </conditionalFormatting>
  <conditionalFormatting sqref="D16:N16">
    <cfRule type="cellIs" dxfId="12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11"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112</v>
      </c>
      <c r="C1" s="98"/>
      <c r="D1" s="31"/>
      <c r="H1" s="37"/>
    </row>
    <row r="2" spans="1:16" s="32" customFormat="1" ht="18.5" x14ac:dyDescent="0.35">
      <c r="A2" s="30" t="s">
        <v>8</v>
      </c>
      <c r="B2" s="38">
        <v>19</v>
      </c>
      <c r="C2" s="37"/>
      <c r="D2" s="38"/>
      <c r="H2" s="37"/>
    </row>
    <row r="3" spans="1:16" s="32" customFormat="1" ht="18.5" x14ac:dyDescent="0.35">
      <c r="A3" s="30" t="s">
        <v>45</v>
      </c>
      <c r="B3" s="38" t="s">
        <v>295</v>
      </c>
      <c r="C3" s="37"/>
      <c r="D3" s="38"/>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1" si="0">CONCATENATE($B$2, ".", A7)</f>
        <v>19.1</v>
      </c>
      <c r="C7" s="36" t="s">
        <v>46</v>
      </c>
      <c r="D7" s="6" t="s">
        <v>276</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19.2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19.3</v>
      </c>
      <c r="C9" s="36" t="s">
        <v>46</v>
      </c>
      <c r="D9" s="6" t="s">
        <v>164</v>
      </c>
      <c r="E9" s="6" t="s">
        <v>35</v>
      </c>
      <c r="F9" s="6" t="s">
        <v>250</v>
      </c>
      <c r="G9" s="6" t="s">
        <v>251</v>
      </c>
      <c r="H9" s="36" t="s">
        <v>37</v>
      </c>
      <c r="I9" s="6" t="s">
        <v>10</v>
      </c>
      <c r="J9" s="6" t="s">
        <v>103</v>
      </c>
      <c r="K9" s="6" t="s">
        <v>55</v>
      </c>
      <c r="L9" s="6" t="s">
        <v>102</v>
      </c>
      <c r="M9" s="6" t="s">
        <v>37</v>
      </c>
      <c r="N9" s="6" t="s">
        <v>37</v>
      </c>
      <c r="O9" s="6" t="s">
        <v>37</v>
      </c>
    </row>
    <row r="10" spans="1:16" ht="185.25" customHeight="1" x14ac:dyDescent="0.35">
      <c r="A10" s="6">
        <v>4</v>
      </c>
      <c r="B10" s="6" t="str">
        <f t="shared" si="0"/>
        <v>19.4</v>
      </c>
      <c r="C10" s="36" t="s">
        <v>46</v>
      </c>
      <c r="D10" s="6" t="s">
        <v>165</v>
      </c>
      <c r="E10" s="6" t="s">
        <v>33</v>
      </c>
      <c r="F10" s="6" t="s">
        <v>53</v>
      </c>
      <c r="G10" s="6" t="s">
        <v>37</v>
      </c>
      <c r="H10" s="36">
        <v>30</v>
      </c>
      <c r="I10" s="6" t="s">
        <v>189</v>
      </c>
      <c r="J10" s="6" t="s">
        <v>103</v>
      </c>
      <c r="K10" s="6" t="s">
        <v>55</v>
      </c>
      <c r="L10" s="6" t="s">
        <v>166</v>
      </c>
      <c r="M10" s="6" t="s">
        <v>37</v>
      </c>
      <c r="N10" s="6" t="s">
        <v>37</v>
      </c>
      <c r="O10" s="6" t="s">
        <v>104</v>
      </c>
    </row>
    <row r="11" spans="1:16" ht="119.25" customHeight="1" x14ac:dyDescent="0.35">
      <c r="A11" s="6">
        <v>5</v>
      </c>
      <c r="B11" s="6" t="str">
        <f t="shared" si="0"/>
        <v>19.5</v>
      </c>
      <c r="C11" s="36" t="s">
        <v>46</v>
      </c>
      <c r="D11" s="6" t="s">
        <v>167</v>
      </c>
      <c r="E11" s="6" t="s">
        <v>32</v>
      </c>
      <c r="F11" s="6" t="s">
        <v>63</v>
      </c>
      <c r="G11" s="6" t="s">
        <v>168</v>
      </c>
      <c r="H11" s="36" t="s">
        <v>37</v>
      </c>
      <c r="I11" s="6" t="s">
        <v>113</v>
      </c>
      <c r="J11" s="6" t="s">
        <v>114</v>
      </c>
      <c r="K11" s="6" t="s">
        <v>55</v>
      </c>
      <c r="L11" s="6" t="s">
        <v>37</v>
      </c>
      <c r="M11" s="6" t="s">
        <v>37</v>
      </c>
      <c r="N11" s="6" t="s">
        <v>37</v>
      </c>
    </row>
    <row r="12" spans="1:16" ht="29" x14ac:dyDescent="0.35">
      <c r="A12" s="6">
        <v>6</v>
      </c>
      <c r="B12" s="6" t="str">
        <f>CONCATENATE($B$2, ".", A12)</f>
        <v>19.6</v>
      </c>
      <c r="C12" s="36" t="s">
        <v>46</v>
      </c>
      <c r="D12" s="6" t="s">
        <v>61</v>
      </c>
      <c r="E12" s="6" t="s">
        <v>43</v>
      </c>
      <c r="F12" s="6" t="s">
        <v>37</v>
      </c>
      <c r="G12" s="6" t="s">
        <v>37</v>
      </c>
      <c r="H12" s="36" t="s">
        <v>37</v>
      </c>
      <c r="I12" s="6" t="s">
        <v>10</v>
      </c>
      <c r="J12" s="6" t="s">
        <v>37</v>
      </c>
      <c r="K12" s="6" t="s">
        <v>37</v>
      </c>
      <c r="L12" s="6" t="s">
        <v>37</v>
      </c>
      <c r="M12" s="6" t="s">
        <v>37</v>
      </c>
      <c r="N12" s="6" t="s">
        <v>37</v>
      </c>
      <c r="O12" s="6" t="s">
        <v>277</v>
      </c>
      <c r="P12" s="6" t="s">
        <v>301</v>
      </c>
    </row>
    <row r="13" spans="1:16" ht="87" x14ac:dyDescent="0.35">
      <c r="A13" s="6">
        <v>7</v>
      </c>
      <c r="B13" s="6" t="str">
        <f t="shared" ref="B13" si="1">CONCATENATE($B$2, ".", A13)</f>
        <v>19.7</v>
      </c>
      <c r="C13" s="36" t="s">
        <v>46</v>
      </c>
      <c r="D13" s="6" t="s">
        <v>60</v>
      </c>
      <c r="E13" s="6" t="s">
        <v>43</v>
      </c>
      <c r="F13" s="6" t="s">
        <v>37</v>
      </c>
      <c r="G13" s="6" t="s">
        <v>37</v>
      </c>
      <c r="H13" s="36" t="s">
        <v>37</v>
      </c>
      <c r="I13" s="6" t="s">
        <v>10</v>
      </c>
      <c r="J13" s="6" t="s">
        <v>37</v>
      </c>
      <c r="K13" s="6" t="s">
        <v>37</v>
      </c>
      <c r="L13" s="6" t="s">
        <v>37</v>
      </c>
      <c r="M13" s="6" t="s">
        <v>37</v>
      </c>
      <c r="N13" s="6" t="s">
        <v>37</v>
      </c>
      <c r="O13" s="6" t="s">
        <v>286</v>
      </c>
      <c r="P13" s="6" t="s">
        <v>301</v>
      </c>
    </row>
    <row r="15" spans="1:16" x14ac:dyDescent="0.35">
      <c r="D15" s="6" t="s">
        <v>74</v>
      </c>
    </row>
  </sheetData>
  <autoFilter ref="A6:P13"/>
  <mergeCells count="2">
    <mergeCell ref="B1:C1"/>
    <mergeCell ref="B4:C4"/>
  </mergeCells>
  <conditionalFormatting sqref="C14:C1048576">
    <cfRule type="cellIs" dxfId="121" priority="7" operator="equal">
      <formula>"WIP (see comments)"</formula>
    </cfRule>
    <cfRule type="cellIs" dxfId="120" priority="8" operator="equal">
      <formula>"Removed"</formula>
    </cfRule>
    <cfRule type="cellIs" dxfId="119" priority="9" operator="equal">
      <formula>"Updated"</formula>
    </cfRule>
    <cfRule type="cellIs" dxfId="118" priority="10" operator="equal">
      <formula>"New"</formula>
    </cfRule>
  </conditionalFormatting>
  <conditionalFormatting sqref="A9:B10 D9:XFD10">
    <cfRule type="cellIs" dxfId="117" priority="6" operator="equal">
      <formula>"n/a"</formula>
    </cfRule>
  </conditionalFormatting>
  <conditionalFormatting sqref="C7:C13">
    <cfRule type="cellIs" dxfId="116" priority="2" operator="equal">
      <formula>"WIP (see comments)"</formula>
    </cfRule>
    <cfRule type="cellIs" dxfId="115" priority="3" operator="equal">
      <formula>"Removed"</formula>
    </cfRule>
    <cfRule type="cellIs" dxfId="114" priority="4" operator="equal">
      <formula>"Updated"</formula>
    </cfRule>
    <cfRule type="cellIs" dxfId="113" priority="5" operator="equal">
      <formula>"New"</formula>
    </cfRule>
  </conditionalFormatting>
  <conditionalFormatting sqref="C7:C13">
    <cfRule type="cellIs" dxfId="11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338</v>
      </c>
      <c r="C1" s="98"/>
      <c r="D1" s="31"/>
      <c r="H1" s="37"/>
    </row>
    <row r="2" spans="1:16" s="32" customFormat="1" ht="18.5" x14ac:dyDescent="0.35">
      <c r="A2" s="30" t="s">
        <v>8</v>
      </c>
      <c r="B2" s="38">
        <v>20</v>
      </c>
      <c r="C2" s="37"/>
      <c r="D2" s="38"/>
      <c r="H2" s="37"/>
    </row>
    <row r="3" spans="1:16" s="32" customFormat="1" ht="18.5" x14ac:dyDescent="0.35">
      <c r="A3" s="30" t="s">
        <v>45</v>
      </c>
      <c r="B3" s="38" t="s">
        <v>295</v>
      </c>
      <c r="C3" s="37"/>
      <c r="D3" s="38"/>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9" si="0">CONCATENATE($B$2, ".", A7)</f>
        <v>20.1</v>
      </c>
      <c r="C7" s="36" t="s">
        <v>46</v>
      </c>
      <c r="D7" s="6" t="s">
        <v>276</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20.2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20.3</v>
      </c>
      <c r="C9" s="36" t="s">
        <v>46</v>
      </c>
      <c r="D9" s="6" t="s">
        <v>339</v>
      </c>
      <c r="E9" s="6" t="s">
        <v>37</v>
      </c>
      <c r="F9" s="6" t="s">
        <v>37</v>
      </c>
      <c r="G9" s="6" t="s">
        <v>37</v>
      </c>
      <c r="H9" s="6" t="s">
        <v>37</v>
      </c>
      <c r="I9" s="6" t="s">
        <v>37</v>
      </c>
      <c r="J9" s="6" t="s">
        <v>37</v>
      </c>
      <c r="K9" s="6" t="s">
        <v>37</v>
      </c>
      <c r="L9" s="6" t="s">
        <v>37</v>
      </c>
      <c r="M9" s="6" t="s">
        <v>37</v>
      </c>
      <c r="N9" s="6" t="s">
        <v>37</v>
      </c>
      <c r="O9" s="6" t="s">
        <v>37</v>
      </c>
      <c r="P9" s="6" t="s">
        <v>37</v>
      </c>
    </row>
    <row r="10" spans="1:16" ht="29" x14ac:dyDescent="0.35">
      <c r="A10" s="6">
        <v>4</v>
      </c>
      <c r="B10" s="6" t="str">
        <f>CONCATENATE($B$2, ".", A10)</f>
        <v>20.4</v>
      </c>
      <c r="C10" s="36" t="s">
        <v>46</v>
      </c>
      <c r="D10" s="6" t="s">
        <v>61</v>
      </c>
      <c r="E10" s="6" t="s">
        <v>43</v>
      </c>
      <c r="F10" s="6" t="s">
        <v>37</v>
      </c>
      <c r="G10" s="6" t="s">
        <v>37</v>
      </c>
      <c r="H10" s="36" t="s">
        <v>37</v>
      </c>
      <c r="I10" s="6" t="s">
        <v>10</v>
      </c>
      <c r="J10" s="6" t="s">
        <v>37</v>
      </c>
      <c r="K10" s="6" t="s">
        <v>37</v>
      </c>
      <c r="L10" s="6" t="s">
        <v>37</v>
      </c>
      <c r="M10" s="6" t="s">
        <v>37</v>
      </c>
      <c r="N10" s="6" t="s">
        <v>37</v>
      </c>
      <c r="O10" s="6" t="s">
        <v>277</v>
      </c>
      <c r="P10" s="6" t="s">
        <v>301</v>
      </c>
    </row>
    <row r="11" spans="1:16" ht="87" x14ac:dyDescent="0.35">
      <c r="A11" s="6">
        <v>5</v>
      </c>
      <c r="B11" s="6" t="str">
        <f t="shared" ref="B11" si="1">CONCATENATE($B$2, ".", A11)</f>
        <v>20.5</v>
      </c>
      <c r="C11" s="36" t="s">
        <v>46</v>
      </c>
      <c r="D11" s="6" t="s">
        <v>60</v>
      </c>
      <c r="E11" s="6" t="s">
        <v>43</v>
      </c>
      <c r="F11" s="6" t="s">
        <v>37</v>
      </c>
      <c r="G11" s="6" t="s">
        <v>37</v>
      </c>
      <c r="H11" s="36" t="s">
        <v>37</v>
      </c>
      <c r="I11" s="6" t="s">
        <v>10</v>
      </c>
      <c r="J11" s="6" t="s">
        <v>37</v>
      </c>
      <c r="K11" s="6" t="s">
        <v>37</v>
      </c>
      <c r="L11" s="6" t="s">
        <v>37</v>
      </c>
      <c r="M11" s="6" t="s">
        <v>37</v>
      </c>
      <c r="N11" s="6" t="s">
        <v>37</v>
      </c>
      <c r="O11" s="6" t="s">
        <v>286</v>
      </c>
      <c r="P11" s="6" t="s">
        <v>301</v>
      </c>
    </row>
    <row r="13" spans="1:16" x14ac:dyDescent="0.35">
      <c r="D13" s="6" t="s">
        <v>74</v>
      </c>
    </row>
  </sheetData>
  <autoFilter ref="A6:P11"/>
  <mergeCells count="2">
    <mergeCell ref="B1:C1"/>
    <mergeCell ref="B4:C4"/>
  </mergeCells>
  <conditionalFormatting sqref="C7:C1048576">
    <cfRule type="cellIs" dxfId="111" priority="7" operator="equal">
      <formula>"WIP (see comments)"</formula>
    </cfRule>
    <cfRule type="cellIs" dxfId="110" priority="8" operator="equal">
      <formula>"Removed"</formula>
    </cfRule>
    <cfRule type="cellIs" dxfId="109" priority="9" operator="equal">
      <formula>"Updated"</formula>
    </cfRule>
    <cfRule type="cellIs" dxfId="108" priority="10" operator="equal">
      <formula>"New"</formula>
    </cfRule>
  </conditionalFormatting>
  <conditionalFormatting sqref="A9:B9 D9 C7:C11 Q9:XFD9">
    <cfRule type="cellIs" dxfId="10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144</v>
      </c>
      <c r="C1" s="34"/>
      <c r="D1" s="31"/>
      <c r="H1" s="37"/>
    </row>
    <row r="2" spans="1:16" s="32" customFormat="1" ht="18.5" x14ac:dyDescent="0.35">
      <c r="A2" s="30" t="s">
        <v>8</v>
      </c>
      <c r="B2" s="38" t="s">
        <v>172</v>
      </c>
      <c r="C2" s="37"/>
      <c r="D2" s="38"/>
      <c r="H2" s="37"/>
    </row>
    <row r="3" spans="1:16" s="32" customFormat="1" ht="18.5" x14ac:dyDescent="0.35">
      <c r="A3" s="30" t="s">
        <v>45</v>
      </c>
      <c r="B3" s="38" t="s">
        <v>449</v>
      </c>
      <c r="C3" s="37"/>
      <c r="D3" s="94" t="s">
        <v>451</v>
      </c>
      <c r="H3" s="37"/>
    </row>
    <row r="4" spans="1:16" s="32" customFormat="1" ht="18.5" x14ac:dyDescent="0.35">
      <c r="A4" s="30" t="s">
        <v>9</v>
      </c>
      <c r="B4" s="32" t="s">
        <v>140</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A.1</v>
      </c>
      <c r="C7" s="54" t="s">
        <v>40</v>
      </c>
      <c r="D7" s="5" t="s">
        <v>37</v>
      </c>
      <c r="E7" s="42" t="s">
        <v>142</v>
      </c>
      <c r="F7" s="5" t="s">
        <v>37</v>
      </c>
      <c r="G7" s="5" t="s">
        <v>37</v>
      </c>
      <c r="H7" s="44" t="s">
        <v>37</v>
      </c>
      <c r="I7" s="42" t="s">
        <v>10</v>
      </c>
      <c r="J7" s="5" t="s">
        <v>37</v>
      </c>
      <c r="K7" s="5" t="s">
        <v>37</v>
      </c>
      <c r="L7" s="5" t="s">
        <v>37</v>
      </c>
      <c r="M7" s="5" t="s">
        <v>37</v>
      </c>
      <c r="N7" s="5" t="s">
        <v>37</v>
      </c>
      <c r="O7" s="5" t="s">
        <v>207</v>
      </c>
    </row>
    <row r="8" spans="1:16" x14ac:dyDescent="0.35">
      <c r="A8" s="5">
        <v>2</v>
      </c>
      <c r="B8" s="5" t="str">
        <f t="shared" ref="B8:B10" si="0">CONCATENATE($B$2, ".", A8)</f>
        <v>A.2</v>
      </c>
      <c r="C8" s="44" t="s">
        <v>40</v>
      </c>
      <c r="D8" s="42" t="s">
        <v>141</v>
      </c>
      <c r="E8" s="42" t="s">
        <v>143</v>
      </c>
      <c r="F8" s="5" t="s">
        <v>37</v>
      </c>
      <c r="G8" s="5" t="s">
        <v>37</v>
      </c>
      <c r="H8" s="44" t="s">
        <v>37</v>
      </c>
      <c r="I8" s="42" t="s">
        <v>10</v>
      </c>
      <c r="J8" s="5" t="s">
        <v>37</v>
      </c>
      <c r="K8" s="5" t="s">
        <v>37</v>
      </c>
      <c r="L8" s="5" t="s">
        <v>37</v>
      </c>
      <c r="M8" s="5" t="s">
        <v>37</v>
      </c>
      <c r="N8" s="5" t="s">
        <v>37</v>
      </c>
    </row>
    <row r="9" spans="1:16" x14ac:dyDescent="0.35">
      <c r="A9" s="5">
        <v>3</v>
      </c>
      <c r="B9" s="5" t="str">
        <f t="shared" si="0"/>
        <v>A.3</v>
      </c>
      <c r="C9" s="54" t="s">
        <v>40</v>
      </c>
      <c r="D9" s="47" t="s">
        <v>158</v>
      </c>
      <c r="E9" s="42" t="s">
        <v>34</v>
      </c>
      <c r="F9" s="5" t="s">
        <v>37</v>
      </c>
      <c r="G9" s="5" t="s">
        <v>37</v>
      </c>
      <c r="H9" s="44" t="s">
        <v>37</v>
      </c>
      <c r="I9" s="42" t="s">
        <v>10</v>
      </c>
      <c r="J9" s="5" t="s">
        <v>37</v>
      </c>
      <c r="K9" s="5" t="s">
        <v>37</v>
      </c>
      <c r="L9" s="5" t="s">
        <v>37</v>
      </c>
      <c r="M9" s="5" t="s">
        <v>37</v>
      </c>
      <c r="N9" s="5" t="s">
        <v>37</v>
      </c>
    </row>
    <row r="10" spans="1:16" ht="81" customHeight="1" x14ac:dyDescent="0.35">
      <c r="A10" s="5">
        <v>4</v>
      </c>
      <c r="B10" s="5" t="str">
        <f t="shared" si="0"/>
        <v>A.4</v>
      </c>
      <c r="C10" s="54" t="s">
        <v>46</v>
      </c>
      <c r="D10" s="5" t="s">
        <v>450</v>
      </c>
      <c r="E10" s="42" t="s">
        <v>34</v>
      </c>
      <c r="F10" s="5" t="s">
        <v>37</v>
      </c>
      <c r="G10" s="5" t="s">
        <v>37</v>
      </c>
      <c r="H10" s="44" t="s">
        <v>37</v>
      </c>
      <c r="I10" s="42" t="s">
        <v>10</v>
      </c>
      <c r="J10" s="5" t="s">
        <v>37</v>
      </c>
      <c r="K10" s="5" t="s">
        <v>37</v>
      </c>
      <c r="L10" s="5" t="s">
        <v>37</v>
      </c>
      <c r="M10" s="5" t="s">
        <v>37</v>
      </c>
      <c r="N10" s="5" t="s">
        <v>37</v>
      </c>
      <c r="O10" s="5" t="s">
        <v>178</v>
      </c>
      <c r="P10" s="5" t="s">
        <v>310</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6" priority="6" operator="equal">
      <formula>"WIP (see comments)"</formula>
    </cfRule>
    <cfRule type="cellIs" dxfId="105" priority="7" operator="equal">
      <formula>"Removed"</formula>
    </cfRule>
    <cfRule type="cellIs" dxfId="104" priority="8" operator="equal">
      <formula>"Updated"</formula>
    </cfRule>
    <cfRule type="cellIs" dxfId="103" priority="9" operator="equal">
      <formula>"New"</formula>
    </cfRule>
  </conditionalFormatting>
  <conditionalFormatting sqref="D9">
    <cfRule type="cellIs" dxfId="102" priority="5" operator="equal">
      <formula>"-"</formula>
    </cfRule>
  </conditionalFormatting>
  <conditionalFormatting sqref="A1:XFD2 E7:XFD7 A8:XFD1048576 A7:C7 A4:XFD6 A3:C3 E3:XFD3">
    <cfRule type="cellIs" dxfId="101" priority="4" operator="equal">
      <formula>"n/a"</formula>
    </cfRule>
  </conditionalFormatting>
  <conditionalFormatting sqref="D7">
    <cfRule type="cellIs" dxfId="100" priority="3" operator="equal">
      <formula>"-"</formula>
    </cfRule>
  </conditionalFormatting>
  <conditionalFormatting sqref="D7">
    <cfRule type="cellIs" dxfId="99" priority="2" operator="equal">
      <formula>"n/a"</formula>
    </cfRule>
  </conditionalFormatting>
  <conditionalFormatting sqref="D3">
    <cfRule type="cellIs" dxfId="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145</v>
      </c>
      <c r="C1" s="34"/>
      <c r="D1" s="31"/>
      <c r="H1" s="37"/>
    </row>
    <row r="2" spans="1:16" s="32" customFormat="1" ht="18.5" x14ac:dyDescent="0.35">
      <c r="A2" s="30" t="s">
        <v>8</v>
      </c>
      <c r="B2" s="38" t="s">
        <v>173</v>
      </c>
      <c r="C2" s="37"/>
      <c r="D2" s="38"/>
      <c r="H2" s="37"/>
    </row>
    <row r="3" spans="1:16" s="32" customFormat="1" ht="18.5" x14ac:dyDescent="0.35">
      <c r="A3" s="30" t="s">
        <v>45</v>
      </c>
      <c r="B3" s="38" t="s">
        <v>453</v>
      </c>
      <c r="C3" s="37"/>
      <c r="D3" s="94" t="s">
        <v>454</v>
      </c>
      <c r="H3" s="37"/>
    </row>
    <row r="4" spans="1:16" s="32" customFormat="1" ht="18.5" x14ac:dyDescent="0.35">
      <c r="A4" s="30" t="s">
        <v>9</v>
      </c>
      <c r="B4" s="32" t="s">
        <v>199</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B.1</v>
      </c>
      <c r="C7" s="54" t="s">
        <v>40</v>
      </c>
      <c r="D7" s="5" t="s">
        <v>37</v>
      </c>
      <c r="E7" s="42" t="s">
        <v>142</v>
      </c>
      <c r="F7" s="5" t="s">
        <v>37</v>
      </c>
      <c r="G7" s="5" t="s">
        <v>37</v>
      </c>
      <c r="H7" s="44" t="s">
        <v>37</v>
      </c>
      <c r="I7" s="42" t="s">
        <v>10</v>
      </c>
      <c r="J7" s="5" t="s">
        <v>37</v>
      </c>
      <c r="K7" s="5" t="s">
        <v>37</v>
      </c>
      <c r="L7" s="5" t="s">
        <v>37</v>
      </c>
      <c r="M7" s="5" t="s">
        <v>37</v>
      </c>
      <c r="N7" s="5" t="s">
        <v>37</v>
      </c>
      <c r="O7" s="5" t="s">
        <v>208</v>
      </c>
    </row>
    <row r="8" spans="1:16" x14ac:dyDescent="0.35">
      <c r="A8" s="5">
        <v>2</v>
      </c>
      <c r="B8" s="5" t="str">
        <f t="shared" ref="B8:B9" si="0">CONCATENATE($B$2, ".", A8)</f>
        <v>B.2</v>
      </c>
      <c r="C8" s="44" t="s">
        <v>40</v>
      </c>
      <c r="D8" s="42" t="s">
        <v>159</v>
      </c>
      <c r="E8" s="42" t="s">
        <v>143</v>
      </c>
      <c r="F8" s="5" t="s">
        <v>37</v>
      </c>
      <c r="G8" s="5" t="s">
        <v>37</v>
      </c>
      <c r="H8" s="44" t="s">
        <v>37</v>
      </c>
      <c r="I8" s="42" t="s">
        <v>10</v>
      </c>
      <c r="J8" s="5" t="s">
        <v>37</v>
      </c>
      <c r="K8" s="5" t="s">
        <v>37</v>
      </c>
      <c r="L8" s="5" t="s">
        <v>37</v>
      </c>
      <c r="M8" s="5" t="s">
        <v>37</v>
      </c>
      <c r="N8" s="5" t="s">
        <v>37</v>
      </c>
    </row>
    <row r="9" spans="1:16" ht="71.25" customHeight="1" x14ac:dyDescent="0.35">
      <c r="A9" s="5">
        <v>3</v>
      </c>
      <c r="B9" s="5" t="str">
        <f t="shared" si="0"/>
        <v>B.3</v>
      </c>
      <c r="C9" s="54" t="s">
        <v>46</v>
      </c>
      <c r="D9" s="5" t="s">
        <v>452</v>
      </c>
      <c r="E9" s="42" t="s">
        <v>34</v>
      </c>
      <c r="F9" s="5" t="s">
        <v>37</v>
      </c>
      <c r="G9" s="5" t="s">
        <v>37</v>
      </c>
      <c r="H9" s="44" t="s">
        <v>37</v>
      </c>
      <c r="I9" s="42" t="s">
        <v>10</v>
      </c>
      <c r="J9" s="5" t="s">
        <v>37</v>
      </c>
      <c r="K9" s="5" t="s">
        <v>37</v>
      </c>
      <c r="L9" s="5" t="s">
        <v>37</v>
      </c>
      <c r="M9" s="5" t="s">
        <v>37</v>
      </c>
      <c r="N9" s="5" t="s">
        <v>37</v>
      </c>
      <c r="O9" s="5" t="s">
        <v>178</v>
      </c>
      <c r="P9" s="5" t="s">
        <v>310</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7" priority="8" operator="equal">
      <formula>"WIP (see comments)"</formula>
    </cfRule>
    <cfRule type="cellIs" dxfId="96" priority="9" operator="equal">
      <formula>"Removed"</formula>
    </cfRule>
    <cfRule type="cellIs" dxfId="95" priority="10" operator="equal">
      <formula>"Updated"</formula>
    </cfRule>
    <cfRule type="cellIs" dxfId="94" priority="11" operator="equal">
      <formula>"New"</formula>
    </cfRule>
  </conditionalFormatting>
  <conditionalFormatting sqref="A12:XFD1048576 A11:C11 E11:XFD11 P9:XFD9 A10:XFD10 A1:XFD2 Q7:XFD7 E7:O7 A8:XFD8 A9:N9 A7:C7 A4:XFD6 A3:C3 E3:XFD3">
    <cfRule type="cellIs" dxfId="93" priority="6" operator="equal">
      <formula>"n/a"</formula>
    </cfRule>
  </conditionalFormatting>
  <conditionalFormatting sqref="O9">
    <cfRule type="cellIs" dxfId="92" priority="5" operator="equal">
      <formula>"n/a"</formula>
    </cfRule>
  </conditionalFormatting>
  <conditionalFormatting sqref="P7">
    <cfRule type="cellIs" dxfId="91" priority="4" operator="equal">
      <formula>"n/a"</formula>
    </cfRule>
  </conditionalFormatting>
  <conditionalFormatting sqref="D7">
    <cfRule type="cellIs" dxfId="90" priority="3" operator="equal">
      <formula>"-"</formula>
    </cfRule>
  </conditionalFormatting>
  <conditionalFormatting sqref="D7">
    <cfRule type="cellIs" dxfId="89" priority="2" operator="equal">
      <formula>"n/a"</formula>
    </cfRule>
  </conditionalFormatting>
  <conditionalFormatting sqref="D3">
    <cfRule type="cellIs" dxfId="8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146</v>
      </c>
      <c r="C1" s="34"/>
      <c r="D1" s="31"/>
      <c r="H1" s="37"/>
    </row>
    <row r="2" spans="1:16" s="32" customFormat="1" ht="18.5" x14ac:dyDescent="0.35">
      <c r="A2" s="30" t="s">
        <v>8</v>
      </c>
      <c r="B2" s="38" t="s">
        <v>174</v>
      </c>
      <c r="C2" s="37"/>
      <c r="D2" s="38"/>
      <c r="H2" s="37"/>
    </row>
    <row r="3" spans="1:16" s="32" customFormat="1" ht="18.5" x14ac:dyDescent="0.35">
      <c r="A3" s="30" t="s">
        <v>45</v>
      </c>
      <c r="B3" s="38" t="s">
        <v>456</v>
      </c>
      <c r="C3" s="37"/>
      <c r="D3" s="94" t="s">
        <v>455</v>
      </c>
      <c r="H3" s="37"/>
    </row>
    <row r="4" spans="1:16" s="32" customFormat="1" ht="18.5" x14ac:dyDescent="0.35">
      <c r="A4" s="30" t="s">
        <v>9</v>
      </c>
      <c r="B4" s="32" t="s">
        <v>312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C.1</v>
      </c>
      <c r="C7" s="54" t="s">
        <v>40</v>
      </c>
      <c r="D7" s="5" t="s">
        <v>37</v>
      </c>
      <c r="E7" s="42" t="s">
        <v>142</v>
      </c>
      <c r="F7" s="5" t="s">
        <v>37</v>
      </c>
      <c r="G7" s="5" t="s">
        <v>37</v>
      </c>
      <c r="H7" s="44" t="s">
        <v>37</v>
      </c>
      <c r="I7" s="42" t="s">
        <v>10</v>
      </c>
      <c r="J7" s="5" t="s">
        <v>37</v>
      </c>
      <c r="K7" s="5" t="s">
        <v>37</v>
      </c>
      <c r="L7" s="5" t="s">
        <v>37</v>
      </c>
      <c r="M7" s="5" t="s">
        <v>37</v>
      </c>
      <c r="N7" s="5" t="s">
        <v>37</v>
      </c>
      <c r="O7" s="5" t="s">
        <v>209</v>
      </c>
    </row>
    <row r="8" spans="1:16" x14ac:dyDescent="0.35">
      <c r="A8" s="5">
        <v>2</v>
      </c>
      <c r="B8" s="5" t="str">
        <f t="shared" ref="B8:B10" si="0">CONCATENATE($B$2, ".", A8)</f>
        <v>C.2</v>
      </c>
      <c r="C8" s="44" t="s">
        <v>40</v>
      </c>
      <c r="D8" s="42" t="s">
        <v>147</v>
      </c>
      <c r="E8" s="42" t="s">
        <v>143</v>
      </c>
      <c r="F8" s="5" t="s">
        <v>37</v>
      </c>
      <c r="G8" s="5" t="s">
        <v>37</v>
      </c>
      <c r="H8" s="44" t="s">
        <v>37</v>
      </c>
      <c r="I8" s="42" t="s">
        <v>10</v>
      </c>
      <c r="J8" s="5" t="s">
        <v>37</v>
      </c>
      <c r="K8" s="5" t="s">
        <v>37</v>
      </c>
      <c r="L8" s="5" t="s">
        <v>37</v>
      </c>
      <c r="M8" s="5" t="s">
        <v>37</v>
      </c>
      <c r="N8" s="5" t="s">
        <v>37</v>
      </c>
    </row>
    <row r="9" spans="1:16" ht="29" x14ac:dyDescent="0.35">
      <c r="A9" s="5">
        <v>3</v>
      </c>
      <c r="B9" s="5" t="str">
        <f t="shared" si="0"/>
        <v>C.3</v>
      </c>
      <c r="C9" s="54" t="s">
        <v>46</v>
      </c>
      <c r="D9" s="5" t="s">
        <v>160</v>
      </c>
      <c r="E9" s="42" t="s">
        <v>34</v>
      </c>
      <c r="F9" s="5" t="s">
        <v>37</v>
      </c>
      <c r="G9" s="5" t="s">
        <v>37</v>
      </c>
      <c r="H9" s="44" t="s">
        <v>37</v>
      </c>
      <c r="I9" s="42" t="s">
        <v>10</v>
      </c>
      <c r="J9" s="5" t="s">
        <v>37</v>
      </c>
      <c r="K9" s="5" t="s">
        <v>37</v>
      </c>
      <c r="L9" s="5" t="s">
        <v>37</v>
      </c>
      <c r="M9" s="5" t="s">
        <v>37</v>
      </c>
      <c r="N9" s="5" t="s">
        <v>37</v>
      </c>
      <c r="P9" s="5" t="s">
        <v>457</v>
      </c>
    </row>
    <row r="10" spans="1:16" ht="54" customHeight="1" x14ac:dyDescent="0.35">
      <c r="A10" s="5">
        <v>4</v>
      </c>
      <c r="B10" s="5" t="str">
        <f t="shared" si="0"/>
        <v>C.4</v>
      </c>
      <c r="C10" s="54" t="s">
        <v>46</v>
      </c>
      <c r="D10" s="5" t="s">
        <v>311</v>
      </c>
      <c r="E10" s="42" t="s">
        <v>34</v>
      </c>
      <c r="F10" s="5" t="s">
        <v>37</v>
      </c>
      <c r="G10" s="5" t="s">
        <v>37</v>
      </c>
      <c r="H10" s="44" t="s">
        <v>37</v>
      </c>
      <c r="I10" s="42" t="s">
        <v>10</v>
      </c>
      <c r="J10" s="5" t="s">
        <v>37</v>
      </c>
      <c r="K10" s="5" t="s">
        <v>37</v>
      </c>
      <c r="L10" s="5" t="s">
        <v>37</v>
      </c>
      <c r="M10" s="5" t="s">
        <v>37</v>
      </c>
      <c r="N10" s="5" t="s">
        <v>37</v>
      </c>
      <c r="P10" s="5" t="s">
        <v>457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7" priority="5" operator="equal">
      <formula>"WIP (see comments)"</formula>
    </cfRule>
    <cfRule type="cellIs" dxfId="86" priority="6" operator="equal">
      <formula>"Removed"</formula>
    </cfRule>
    <cfRule type="cellIs" dxfId="85" priority="7" operator="equal">
      <formula>"Updated"</formula>
    </cfRule>
    <cfRule type="cellIs" dxfId="84" priority="8" operator="equal">
      <formula>"New"</formula>
    </cfRule>
  </conditionalFormatting>
  <conditionalFormatting sqref="D9 D7">
    <cfRule type="cellIs" dxfId="83" priority="4" operator="equal">
      <formula>"-"</formula>
    </cfRule>
  </conditionalFormatting>
  <conditionalFormatting sqref="A1:XFD2 Q7:XFD7 A8:XFD1048576 A7:O7 A4:XFD6 A3:C3 E3:XFD3">
    <cfRule type="cellIs" dxfId="82" priority="3" operator="equal">
      <formula>"n/a"</formula>
    </cfRule>
  </conditionalFormatting>
  <conditionalFormatting sqref="P7">
    <cfRule type="cellIs" dxfId="81" priority="2" operator="equal">
      <formula>"n/a"</formula>
    </cfRule>
  </conditionalFormatting>
  <conditionalFormatting sqref="D3">
    <cfRule type="cellIs" dxfId="8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D9" sqref="D9"/>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148</v>
      </c>
      <c r="C1" s="34"/>
      <c r="D1" s="31"/>
      <c r="H1" s="37"/>
    </row>
    <row r="2" spans="1:16" s="32" customFormat="1" ht="18.5" x14ac:dyDescent="0.35">
      <c r="A2" s="30" t="s">
        <v>8</v>
      </c>
      <c r="B2" s="38" t="s">
        <v>175</v>
      </c>
      <c r="C2" s="37"/>
      <c r="D2" s="38"/>
      <c r="H2" s="37"/>
    </row>
    <row r="3" spans="1:16" s="32" customFormat="1" ht="18.5" x14ac:dyDescent="0.35">
      <c r="A3" s="30" t="s">
        <v>45</v>
      </c>
      <c r="B3" s="38" t="s">
        <v>295</v>
      </c>
      <c r="C3" s="37"/>
      <c r="D3" s="38" t="s">
        <v>74</v>
      </c>
      <c r="H3" s="37"/>
    </row>
    <row r="4" spans="1:16" s="32" customFormat="1" ht="18.5" x14ac:dyDescent="0.35">
      <c r="A4" s="30" t="s">
        <v>9</v>
      </c>
      <c r="B4" s="32" t="s">
        <v>149</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D.1</v>
      </c>
      <c r="C7" s="54" t="s">
        <v>40</v>
      </c>
      <c r="D7" s="5" t="s">
        <v>37</v>
      </c>
      <c r="E7" s="42" t="s">
        <v>142</v>
      </c>
      <c r="F7" s="5" t="s">
        <v>37</v>
      </c>
      <c r="G7" s="5" t="s">
        <v>37</v>
      </c>
      <c r="H7" s="44" t="s">
        <v>37</v>
      </c>
      <c r="I7" s="42" t="s">
        <v>10</v>
      </c>
      <c r="J7" s="5" t="s">
        <v>37</v>
      </c>
      <c r="K7" s="5" t="s">
        <v>37</v>
      </c>
      <c r="L7" s="5" t="s">
        <v>37</v>
      </c>
      <c r="M7" s="5" t="s">
        <v>37</v>
      </c>
      <c r="N7" s="5" t="s">
        <v>37</v>
      </c>
      <c r="O7" s="5" t="s">
        <v>210</v>
      </c>
    </row>
    <row r="8" spans="1:16" x14ac:dyDescent="0.35">
      <c r="A8" s="5">
        <v>2</v>
      </c>
      <c r="B8" s="5" t="str">
        <f t="shared" ref="B8:B9" si="0">CONCATENATE($B$2, ".", A8)</f>
        <v>D.2</v>
      </c>
      <c r="C8" s="44" t="s">
        <v>40</v>
      </c>
      <c r="D8" s="42" t="s">
        <v>150</v>
      </c>
      <c r="E8" s="42" t="s">
        <v>143</v>
      </c>
      <c r="F8" s="5" t="s">
        <v>37</v>
      </c>
      <c r="G8" s="5" t="s">
        <v>37</v>
      </c>
      <c r="H8" s="44" t="s">
        <v>37</v>
      </c>
      <c r="I8" s="42" t="s">
        <v>10</v>
      </c>
      <c r="J8" s="5" t="s">
        <v>37</v>
      </c>
      <c r="K8" s="5" t="s">
        <v>37</v>
      </c>
      <c r="L8" s="5" t="s">
        <v>37</v>
      </c>
      <c r="M8" s="5" t="s">
        <v>37</v>
      </c>
      <c r="N8" s="5" t="s">
        <v>37</v>
      </c>
    </row>
    <row r="9" spans="1:16" ht="43.5" x14ac:dyDescent="0.35">
      <c r="A9" s="5">
        <v>3</v>
      </c>
      <c r="B9" s="5" t="str">
        <f t="shared" si="0"/>
        <v>D.3</v>
      </c>
      <c r="C9" s="54" t="s">
        <v>46</v>
      </c>
      <c r="D9" s="47" t="s">
        <v>352</v>
      </c>
      <c r="E9" s="42" t="s">
        <v>34</v>
      </c>
      <c r="F9" s="5" t="s">
        <v>37</v>
      </c>
      <c r="G9" s="5" t="s">
        <v>37</v>
      </c>
      <c r="H9" s="44" t="s">
        <v>37</v>
      </c>
      <c r="I9" s="42" t="s">
        <v>10</v>
      </c>
      <c r="J9" s="5" t="s">
        <v>37</v>
      </c>
      <c r="K9" s="5" t="s">
        <v>37</v>
      </c>
      <c r="L9" s="5" t="s">
        <v>37</v>
      </c>
      <c r="M9" s="5" t="s">
        <v>37</v>
      </c>
      <c r="N9" s="5" t="s">
        <v>37</v>
      </c>
      <c r="P9" s="5" t="s">
        <v>310</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79" priority="4" operator="equal">
      <formula>"WIP (see comments)"</formula>
    </cfRule>
    <cfRule type="cellIs" dxfId="78" priority="5" operator="equal">
      <formula>"Removed"</formula>
    </cfRule>
    <cfRule type="cellIs" dxfId="77" priority="6" operator="equal">
      <formula>"Updated"</formula>
    </cfRule>
    <cfRule type="cellIs" dxfId="76" priority="7" operator="equal">
      <formula>"New"</formula>
    </cfRule>
  </conditionalFormatting>
  <conditionalFormatting sqref="D9 D7">
    <cfRule type="cellIs" dxfId="75" priority="3" operator="equal">
      <formula>"-"</formula>
    </cfRule>
  </conditionalFormatting>
  <conditionalFormatting sqref="A1:XFD6 Q7:XFD7 A8:XFD1048576 A7:O7">
    <cfRule type="cellIs" dxfId="74" priority="2" operator="equal">
      <formula>"n/a"</formula>
    </cfRule>
  </conditionalFormatting>
  <conditionalFormatting sqref="P7">
    <cfRule type="cellIs" dxfId="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E10:E1048576 E7:E9</xm:sqref>
        </x14:dataValidation>
        <x14:dataValidation type="list" allowBlank="1" showInputMessage="1" showErrorMessage="1">
          <x14:formula1>
            <xm:f>'List Values'!$B$5:$B$13</xm:f>
          </x14:formula1>
          <xm:sqref>C10:C1048576 C7:C9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151</v>
      </c>
      <c r="C1" s="34"/>
      <c r="D1" s="31"/>
      <c r="H1" s="37"/>
    </row>
    <row r="2" spans="1:16" s="32" customFormat="1" ht="18.5" x14ac:dyDescent="0.35">
      <c r="A2" s="30" t="s">
        <v>8</v>
      </c>
      <c r="B2" s="38" t="s">
        <v>176</v>
      </c>
      <c r="C2" s="37"/>
      <c r="D2" s="38"/>
      <c r="H2" s="37"/>
    </row>
    <row r="3" spans="1:16" s="32" customFormat="1" ht="18.5" x14ac:dyDescent="0.35">
      <c r="A3" s="30" t="s">
        <v>45</v>
      </c>
      <c r="B3" s="38" t="s">
        <v>295</v>
      </c>
      <c r="C3" s="37"/>
      <c r="D3" s="38" t="s">
        <v>74</v>
      </c>
      <c r="H3" s="37"/>
    </row>
    <row r="4" spans="1:16" s="32" customFormat="1" ht="18.5" x14ac:dyDescent="0.35">
      <c r="A4" s="30" t="s">
        <v>9</v>
      </c>
      <c r="B4" s="32" t="s">
        <v>152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E.1</v>
      </c>
      <c r="C7" s="54" t="s">
        <v>40</v>
      </c>
      <c r="D7" s="5" t="s">
        <v>37</v>
      </c>
      <c r="E7" s="42" t="s">
        <v>142</v>
      </c>
      <c r="F7" s="5" t="s">
        <v>37</v>
      </c>
      <c r="G7" s="5" t="s">
        <v>37</v>
      </c>
      <c r="H7" s="44" t="s">
        <v>37</v>
      </c>
      <c r="I7" s="42" t="s">
        <v>10</v>
      </c>
      <c r="J7" s="5" t="s">
        <v>37</v>
      </c>
      <c r="K7" s="5" t="s">
        <v>37</v>
      </c>
      <c r="L7" s="5" t="s">
        <v>37</v>
      </c>
      <c r="M7" s="5" t="s">
        <v>37</v>
      </c>
      <c r="N7" s="5" t="s">
        <v>37</v>
      </c>
      <c r="O7" s="5" t="s">
        <v>211</v>
      </c>
    </row>
    <row r="8" spans="1:16" x14ac:dyDescent="0.35">
      <c r="A8" s="5">
        <v>2</v>
      </c>
      <c r="B8" s="5" t="str">
        <f t="shared" ref="B8:B10" si="0">CONCATENATE($B$2, ".", A8)</f>
        <v>E.2</v>
      </c>
      <c r="C8" s="44" t="s">
        <v>40</v>
      </c>
      <c r="D8" s="42" t="s">
        <v>153</v>
      </c>
      <c r="E8" s="42" t="s">
        <v>143</v>
      </c>
      <c r="F8" s="5" t="s">
        <v>37</v>
      </c>
      <c r="G8" s="5" t="s">
        <v>37</v>
      </c>
      <c r="H8" s="44" t="s">
        <v>37</v>
      </c>
      <c r="I8" s="42" t="s">
        <v>10</v>
      </c>
      <c r="J8" s="5" t="s">
        <v>37</v>
      </c>
      <c r="K8" s="5" t="s">
        <v>37</v>
      </c>
      <c r="L8" s="5" t="s">
        <v>37</v>
      </c>
      <c r="M8" s="5" t="s">
        <v>37</v>
      </c>
      <c r="N8" s="5" t="s">
        <v>37</v>
      </c>
    </row>
    <row r="9" spans="1:16" ht="29" x14ac:dyDescent="0.35">
      <c r="A9" s="5">
        <v>3</v>
      </c>
      <c r="B9" s="5" t="str">
        <f t="shared" si="0"/>
        <v>E.3</v>
      </c>
      <c r="C9" s="54" t="s">
        <v>40</v>
      </c>
      <c r="D9" s="47" t="s">
        <v>161</v>
      </c>
      <c r="E9" s="42" t="s">
        <v>34</v>
      </c>
      <c r="F9" s="5" t="s">
        <v>37</v>
      </c>
      <c r="G9" s="5" t="s">
        <v>37</v>
      </c>
      <c r="H9" s="44" t="s">
        <v>37</v>
      </c>
      <c r="I9" s="42" t="s">
        <v>10</v>
      </c>
      <c r="J9" s="5" t="s">
        <v>37</v>
      </c>
      <c r="K9" s="5" t="s">
        <v>37</v>
      </c>
      <c r="L9" s="5" t="s">
        <v>37</v>
      </c>
      <c r="M9" s="5" t="s">
        <v>37</v>
      </c>
      <c r="N9" s="5" t="s">
        <v>37</v>
      </c>
    </row>
    <row r="10" spans="1:16" ht="79.5" customHeight="1" x14ac:dyDescent="0.35">
      <c r="A10" s="5">
        <v>4</v>
      </c>
      <c r="B10" s="5" t="str">
        <f t="shared" si="0"/>
        <v>E.4</v>
      </c>
      <c r="C10" s="54" t="s">
        <v>40</v>
      </c>
      <c r="D10" s="5" t="s">
        <v>162</v>
      </c>
      <c r="E10" s="42" t="s">
        <v>34</v>
      </c>
      <c r="F10" s="5" t="s">
        <v>37</v>
      </c>
      <c r="G10" s="5" t="s">
        <v>37</v>
      </c>
      <c r="H10" s="4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72" priority="4" operator="equal">
      <formula>"WIP (see comments)"</formula>
    </cfRule>
    <cfRule type="cellIs" dxfId="71" priority="5" operator="equal">
      <formula>"Removed"</formula>
    </cfRule>
    <cfRule type="cellIs" dxfId="70" priority="6" operator="equal">
      <formula>"Updated"</formula>
    </cfRule>
    <cfRule type="cellIs" dxfId="69" priority="7" operator="equal">
      <formula>"New"</formula>
    </cfRule>
  </conditionalFormatting>
  <conditionalFormatting sqref="D9 D7">
    <cfRule type="cellIs" dxfId="68" priority="3" operator="equal">
      <formula>"-"</formula>
    </cfRule>
  </conditionalFormatting>
  <conditionalFormatting sqref="A1:XFD6 Q7:XFD7 A8:XFD1048576 A7:O7">
    <cfRule type="cellIs" dxfId="67" priority="2" operator="equal">
      <formula>"n/a"</formula>
    </cfRule>
  </conditionalFormatting>
  <conditionalFormatting sqref="P7">
    <cfRule type="cellIs" dxfId="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Values'!$A$5:$A$26</xm:f>
          </x14:formula1>
          <xm:sqref>E10:E1048576 E7:E9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154</v>
      </c>
      <c r="C1" s="34"/>
      <c r="D1" s="31"/>
      <c r="H1" s="37"/>
    </row>
    <row r="2" spans="1:16" s="32" customFormat="1" ht="18.5" x14ac:dyDescent="0.35">
      <c r="A2" s="30" t="s">
        <v>8</v>
      </c>
      <c r="B2" s="38" t="s">
        <v>177</v>
      </c>
      <c r="C2" s="37"/>
      <c r="D2" s="38"/>
      <c r="H2" s="37"/>
    </row>
    <row r="3" spans="1:16" s="32" customFormat="1" ht="18.5" x14ac:dyDescent="0.35">
      <c r="A3" s="30" t="s">
        <v>45</v>
      </c>
      <c r="B3" s="38" t="s">
        <v>295</v>
      </c>
      <c r="C3" s="37"/>
      <c r="D3" s="38" t="s">
        <v>74</v>
      </c>
      <c r="H3" s="37"/>
    </row>
    <row r="4" spans="1:16" s="32" customFormat="1" ht="18.5" x14ac:dyDescent="0.35">
      <c r="A4" s="30" t="s">
        <v>9</v>
      </c>
      <c r="B4" s="32" t="s">
        <v>155</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1" si="0">CONCATENATE($B$2, ".", A7)</f>
        <v>F.1</v>
      </c>
      <c r="C7" s="54" t="s">
        <v>40</v>
      </c>
      <c r="D7" s="42" t="s">
        <v>212</v>
      </c>
      <c r="E7" s="42" t="s">
        <v>143</v>
      </c>
      <c r="F7" s="5" t="s">
        <v>37</v>
      </c>
      <c r="G7" s="5" t="s">
        <v>37</v>
      </c>
      <c r="H7" s="54" t="s">
        <v>37</v>
      </c>
      <c r="I7" s="42" t="s">
        <v>10</v>
      </c>
      <c r="J7" s="5" t="s">
        <v>37</v>
      </c>
      <c r="K7" s="5" t="s">
        <v>37</v>
      </c>
      <c r="L7" s="5" t="s">
        <v>37</v>
      </c>
      <c r="M7" s="5" t="s">
        <v>37</v>
      </c>
      <c r="N7" s="5" t="s">
        <v>37</v>
      </c>
    </row>
    <row r="8" spans="1:16" ht="43.5" x14ac:dyDescent="0.35">
      <c r="A8" s="5">
        <v>2</v>
      </c>
      <c r="B8" s="5" t="str">
        <f t="shared" si="0"/>
        <v>F.2</v>
      </c>
      <c r="C8" s="54" t="s">
        <v>40</v>
      </c>
      <c r="D8" s="47" t="s">
        <v>213</v>
      </c>
      <c r="E8" s="42" t="s">
        <v>34</v>
      </c>
      <c r="F8" s="5" t="s">
        <v>37</v>
      </c>
      <c r="G8" s="5" t="s">
        <v>37</v>
      </c>
      <c r="H8" s="54" t="s">
        <v>37</v>
      </c>
      <c r="I8" s="42" t="s">
        <v>10</v>
      </c>
      <c r="J8" s="5" t="s">
        <v>37</v>
      </c>
      <c r="K8" s="5" t="s">
        <v>37</v>
      </c>
      <c r="L8" s="5" t="s">
        <v>37</v>
      </c>
      <c r="M8" s="5" t="s">
        <v>37</v>
      </c>
      <c r="N8" s="5" t="s">
        <v>37</v>
      </c>
    </row>
    <row r="9" spans="1:16" x14ac:dyDescent="0.35">
      <c r="A9" s="5">
        <v>3</v>
      </c>
      <c r="B9" s="5" t="str">
        <f t="shared" si="0"/>
        <v>F.3</v>
      </c>
      <c r="C9" s="56" t="s">
        <v>40</v>
      </c>
      <c r="D9" s="47" t="s">
        <v>214</v>
      </c>
      <c r="E9" s="42" t="s">
        <v>33</v>
      </c>
      <c r="F9" s="5" t="s">
        <v>37</v>
      </c>
      <c r="G9" s="5" t="s">
        <v>37</v>
      </c>
      <c r="H9" s="54" t="s">
        <v>37</v>
      </c>
      <c r="I9" s="42" t="s">
        <v>10</v>
      </c>
      <c r="J9" s="5" t="s">
        <v>37</v>
      </c>
      <c r="K9" s="5" t="s">
        <v>37</v>
      </c>
      <c r="L9" s="5" t="s">
        <v>37</v>
      </c>
      <c r="M9" s="5" t="s">
        <v>37</v>
      </c>
      <c r="N9" s="5" t="s">
        <v>37</v>
      </c>
    </row>
    <row r="10" spans="1:16" x14ac:dyDescent="0.35">
      <c r="A10" s="5">
        <v>4</v>
      </c>
      <c r="B10" s="5" t="str">
        <f t="shared" si="0"/>
        <v>F.4</v>
      </c>
      <c r="C10" s="56" t="s">
        <v>40</v>
      </c>
      <c r="D10" s="5" t="s">
        <v>215</v>
      </c>
      <c r="E10" s="5" t="s">
        <v>43</v>
      </c>
      <c r="F10" s="5" t="s">
        <v>37</v>
      </c>
      <c r="G10" s="5" t="s">
        <v>37</v>
      </c>
      <c r="H10" s="54" t="s">
        <v>37</v>
      </c>
      <c r="I10" s="42" t="s">
        <v>10</v>
      </c>
      <c r="J10" s="5" t="s">
        <v>37</v>
      </c>
      <c r="K10" s="5" t="s">
        <v>37</v>
      </c>
      <c r="L10" s="5" t="s">
        <v>37</v>
      </c>
      <c r="M10" s="5" t="s">
        <v>37</v>
      </c>
      <c r="N10" s="5" t="s">
        <v>37</v>
      </c>
      <c r="O10" s="42" t="s">
        <v>216</v>
      </c>
    </row>
    <row r="11" spans="1:16" x14ac:dyDescent="0.35">
      <c r="A11" s="5">
        <v>5</v>
      </c>
      <c r="B11" s="5" t="str">
        <f t="shared" si="0"/>
        <v>F.5</v>
      </c>
      <c r="C11" s="56" t="s">
        <v>40</v>
      </c>
      <c r="D11" s="5" t="s">
        <v>217</v>
      </c>
      <c r="E11" s="5" t="s">
        <v>43</v>
      </c>
      <c r="F11" s="5" t="s">
        <v>37</v>
      </c>
      <c r="G11" s="5" t="s">
        <v>37</v>
      </c>
      <c r="H11" s="54" t="s">
        <v>37</v>
      </c>
      <c r="I11" s="42" t="s">
        <v>10</v>
      </c>
      <c r="J11" s="5" t="s">
        <v>37</v>
      </c>
      <c r="K11" s="5" t="s">
        <v>37</v>
      </c>
      <c r="L11" s="5" t="s">
        <v>37</v>
      </c>
      <c r="M11" s="5" t="s">
        <v>37</v>
      </c>
      <c r="N11" s="5" t="s">
        <v>37</v>
      </c>
      <c r="O11" s="42" t="s">
        <v>218</v>
      </c>
    </row>
  </sheetData>
  <autoFilter ref="A6:P6"/>
  <conditionalFormatting sqref="C12:C1048576">
    <cfRule type="cellIs" dxfId="65" priority="20" operator="equal">
      <formula>"WIP (see comments)"</formula>
    </cfRule>
    <cfRule type="cellIs" dxfId="64" priority="21" operator="equal">
      <formula>"Removed"</formula>
    </cfRule>
    <cfRule type="cellIs" dxfId="63" priority="22" operator="equal">
      <formula>"Updated"</formula>
    </cfRule>
    <cfRule type="cellIs" dxfId="62" priority="23" operator="equal">
      <formula>"New"</formula>
    </cfRule>
  </conditionalFormatting>
  <conditionalFormatting sqref="A1:XFD6 A12:XFD1048576">
    <cfRule type="cellIs" dxfId="61" priority="18" operator="equal">
      <formula>"n/a"</formula>
    </cfRule>
  </conditionalFormatting>
  <conditionalFormatting sqref="D8:D9">
    <cfRule type="cellIs" dxfId="60" priority="17" operator="equal">
      <formula>"-"</formula>
    </cfRule>
  </conditionalFormatting>
  <conditionalFormatting sqref="A8:B9 D8:XFD9">
    <cfRule type="cellIs" dxfId="59" priority="16" operator="equal">
      <formula>"n/a"</formula>
    </cfRule>
  </conditionalFormatting>
  <conditionalFormatting sqref="C7:C11">
    <cfRule type="cellIs" dxfId="58" priority="12" operator="equal">
      <formula>"WIP (see comments)"</formula>
    </cfRule>
    <cfRule type="cellIs" dxfId="57" priority="13" operator="equal">
      <formula>"Removed"</formula>
    </cfRule>
    <cfRule type="cellIs" dxfId="56" priority="14" operator="equal">
      <formula>"Updated"</formula>
    </cfRule>
    <cfRule type="cellIs" dxfId="55" priority="15" operator="equal">
      <formula>"New"</formula>
    </cfRule>
  </conditionalFormatting>
  <conditionalFormatting sqref="A7:XFD7 C8:C11">
    <cfRule type="cellIs" dxfId="54" priority="11" operator="equal">
      <formula>"n/a"</formula>
    </cfRule>
  </conditionalFormatting>
  <conditionalFormatting sqref="A10:B10 D10:XFD10">
    <cfRule type="cellIs" dxfId="53" priority="6" operator="equal">
      <formula>"n/a"</formula>
    </cfRule>
  </conditionalFormatting>
  <conditionalFormatting sqref="A11:B11 D11:XFD11">
    <cfRule type="cellIs" dxfId="5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C3" sqref="C3"/>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223</v>
      </c>
      <c r="C1" s="34"/>
      <c r="D1" s="31"/>
      <c r="H1" s="37"/>
    </row>
    <row r="2" spans="1:16" s="32" customFormat="1" ht="18.5" x14ac:dyDescent="0.35">
      <c r="A2" s="30" t="s">
        <v>8</v>
      </c>
      <c r="B2" s="38" t="s">
        <v>221</v>
      </c>
      <c r="C2" s="37"/>
      <c r="D2" s="38"/>
      <c r="H2" s="37"/>
    </row>
    <row r="3" spans="1:16" s="32" customFormat="1" ht="18.5" x14ac:dyDescent="0.35">
      <c r="A3" s="30" t="s">
        <v>45</v>
      </c>
      <c r="B3" s="38" t="s">
        <v>295</v>
      </c>
      <c r="C3" s="37"/>
      <c r="D3" s="38" t="s">
        <v>74</v>
      </c>
      <c r="H3" s="37"/>
    </row>
    <row r="4" spans="1:16" s="32" customFormat="1" ht="18.5" x14ac:dyDescent="0.35">
      <c r="A4" s="30" t="s">
        <v>9</v>
      </c>
      <c r="B4" s="32" t="s">
        <v>222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G.1</v>
      </c>
      <c r="C7" s="56" t="s">
        <v>260</v>
      </c>
      <c r="D7" s="42" t="s">
        <v>224</v>
      </c>
      <c r="E7" s="42" t="s">
        <v>143</v>
      </c>
      <c r="F7" s="5" t="s">
        <v>37</v>
      </c>
      <c r="G7" s="5" t="s">
        <v>37</v>
      </c>
      <c r="H7" s="56" t="s">
        <v>37</v>
      </c>
      <c r="I7" s="42" t="s">
        <v>10</v>
      </c>
      <c r="J7" s="5" t="s">
        <v>37</v>
      </c>
      <c r="K7" s="5" t="s">
        <v>37</v>
      </c>
      <c r="L7" s="5" t="s">
        <v>37</v>
      </c>
      <c r="M7" s="5" t="s">
        <v>37</v>
      </c>
      <c r="N7" s="5" t="s">
        <v>37</v>
      </c>
    </row>
    <row r="8" spans="1:16" ht="29" x14ac:dyDescent="0.35">
      <c r="A8" s="5">
        <v>3</v>
      </c>
      <c r="B8" s="5" t="str">
        <f>CONCATENATE($B$2, ".", A8)</f>
        <v>G.3</v>
      </c>
      <c r="C8" s="74" t="s">
        <v>260</v>
      </c>
      <c r="D8" s="47" t="s">
        <v>228</v>
      </c>
      <c r="E8" s="42" t="s">
        <v>227</v>
      </c>
      <c r="F8" s="5" t="s">
        <v>37</v>
      </c>
      <c r="G8" s="5" t="s">
        <v>37</v>
      </c>
      <c r="H8" s="56" t="s">
        <v>37</v>
      </c>
      <c r="I8" s="42" t="s">
        <v>10</v>
      </c>
      <c r="J8" s="5" t="s">
        <v>37</v>
      </c>
      <c r="K8" s="5" t="s">
        <v>37</v>
      </c>
      <c r="L8" s="5" t="s">
        <v>37</v>
      </c>
      <c r="M8" s="5" t="s">
        <v>37</v>
      </c>
      <c r="N8" s="5" t="s">
        <v>37</v>
      </c>
      <c r="O8" s="5" t="s">
        <v>229</v>
      </c>
    </row>
    <row r="9" spans="1:16" ht="29" x14ac:dyDescent="0.35">
      <c r="A9" s="5">
        <v>2</v>
      </c>
      <c r="B9" s="5" t="str">
        <f t="shared" si="0"/>
        <v>G.2</v>
      </c>
      <c r="C9" s="74" t="s">
        <v>260</v>
      </c>
      <c r="D9" s="47" t="s">
        <v>225</v>
      </c>
      <c r="E9" s="42" t="s">
        <v>34</v>
      </c>
      <c r="F9" s="5" t="s">
        <v>37</v>
      </c>
      <c r="G9" s="5" t="s">
        <v>37</v>
      </c>
      <c r="H9" s="56" t="s">
        <v>37</v>
      </c>
      <c r="I9" s="42" t="s">
        <v>10</v>
      </c>
      <c r="J9" s="5" t="s">
        <v>37</v>
      </c>
      <c r="K9" s="5" t="s">
        <v>37</v>
      </c>
      <c r="L9" s="5" t="s">
        <v>37</v>
      </c>
      <c r="M9" s="5" t="s">
        <v>37</v>
      </c>
      <c r="N9" s="5" t="s">
        <v>37</v>
      </c>
    </row>
    <row r="10" spans="1:16" ht="43.5" x14ac:dyDescent="0.35">
      <c r="A10" s="5">
        <v>4</v>
      </c>
      <c r="B10" s="5" t="str">
        <f t="shared" si="0"/>
        <v>G.4</v>
      </c>
      <c r="C10" s="74" t="s">
        <v>260</v>
      </c>
      <c r="D10" s="5" t="s">
        <v>215</v>
      </c>
      <c r="E10" s="5" t="s">
        <v>43</v>
      </c>
      <c r="F10" s="5" t="s">
        <v>37</v>
      </c>
      <c r="G10" s="5" t="s">
        <v>37</v>
      </c>
      <c r="H10" s="56" t="s">
        <v>37</v>
      </c>
      <c r="I10" s="42" t="s">
        <v>10</v>
      </c>
      <c r="J10" s="5" t="s">
        <v>37</v>
      </c>
      <c r="K10" s="5" t="s">
        <v>37</v>
      </c>
      <c r="L10" s="5" t="s">
        <v>37</v>
      </c>
      <c r="M10" s="5" t="s">
        <v>37</v>
      </c>
      <c r="N10" s="5" t="s">
        <v>37</v>
      </c>
      <c r="O10" s="42" t="s">
        <v>226</v>
      </c>
    </row>
  </sheetData>
  <autoFilter ref="A6:P6"/>
  <conditionalFormatting sqref="C11:C1048576">
    <cfRule type="cellIs" dxfId="51" priority="11" operator="equal">
      <formula>"WIP (see comments)"</formula>
    </cfRule>
    <cfRule type="cellIs" dxfId="50" priority="12" operator="equal">
      <formula>"Removed"</formula>
    </cfRule>
    <cfRule type="cellIs" dxfId="49" priority="13" operator="equal">
      <formula>"Updated"</formula>
    </cfRule>
    <cfRule type="cellIs" dxfId="48" priority="14" operator="equal">
      <formula>"New"</formula>
    </cfRule>
  </conditionalFormatting>
  <conditionalFormatting sqref="A1:XFD6 A11:XFD1048576 A8:B9 D8:XFD9">
    <cfRule type="cellIs" dxfId="47" priority="10" operator="equal">
      <formula>"n/a"</formula>
    </cfRule>
  </conditionalFormatting>
  <conditionalFormatting sqref="D8:D9">
    <cfRule type="cellIs" dxfId="46" priority="9" operator="equal">
      <formula>"-"</formula>
    </cfRule>
  </conditionalFormatting>
  <conditionalFormatting sqref="C7:C10">
    <cfRule type="cellIs" dxfId="45" priority="4" operator="equal">
      <formula>"WIP (see comments)"</formula>
    </cfRule>
    <cfRule type="cellIs" dxfId="44" priority="5" operator="equal">
      <formula>"Removed"</formula>
    </cfRule>
    <cfRule type="cellIs" dxfId="43" priority="6" operator="equal">
      <formula>"Updated"</formula>
    </cfRule>
    <cfRule type="cellIs" dxfId="42" priority="7" operator="equal">
      <formula>"New"</formula>
    </cfRule>
  </conditionalFormatting>
  <conditionalFormatting sqref="A7:XFD7 C8:C10">
    <cfRule type="cellIs" dxfId="41" priority="3" operator="equal">
      <formula>"n/a"</formula>
    </cfRule>
  </conditionalFormatting>
  <conditionalFormatting sqref="A10:B10 D10:XFD10">
    <cfRule type="cellIs" dxfId="4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A8" sqref="A8"/>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230</v>
      </c>
      <c r="C1" s="34"/>
      <c r="D1" s="31"/>
      <c r="H1" s="37"/>
    </row>
    <row r="2" spans="1:16" s="32" customFormat="1" ht="18.5" x14ac:dyDescent="0.35">
      <c r="A2" s="30" t="s">
        <v>8</v>
      </c>
      <c r="B2" s="38" t="s">
        <v>232</v>
      </c>
      <c r="C2" s="37"/>
      <c r="D2" s="38"/>
      <c r="H2" s="37"/>
    </row>
    <row r="3" spans="1:16" s="32" customFormat="1" ht="18.5" x14ac:dyDescent="0.35">
      <c r="A3" s="30" t="s">
        <v>45</v>
      </c>
      <c r="B3" s="38" t="s">
        <v>295</v>
      </c>
      <c r="C3" s="37"/>
      <c r="D3" s="38" t="s">
        <v>74</v>
      </c>
      <c r="H3" s="37"/>
    </row>
    <row r="4" spans="1:16" s="32" customFormat="1" ht="18.5" x14ac:dyDescent="0.35">
      <c r="A4" s="30" t="s">
        <v>9</v>
      </c>
      <c r="B4" s="32" t="s">
        <v>231</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 t="shared" ref="B7" si="0">CONCATENATE($B$2, ".", A7)</f>
        <v>H.1</v>
      </c>
      <c r="C7" s="70" t="s">
        <v>46</v>
      </c>
      <c r="D7" s="42" t="s">
        <v>37</v>
      </c>
      <c r="E7" s="42" t="s">
        <v>142</v>
      </c>
      <c r="F7" s="5" t="s">
        <v>37</v>
      </c>
      <c r="G7" s="5" t="s">
        <v>37</v>
      </c>
      <c r="H7" s="70" t="s">
        <v>37</v>
      </c>
      <c r="I7" s="42" t="s">
        <v>10</v>
      </c>
      <c r="J7" s="5" t="s">
        <v>37</v>
      </c>
      <c r="K7" s="5" t="s">
        <v>37</v>
      </c>
      <c r="L7" s="5" t="s">
        <v>37</v>
      </c>
      <c r="M7" s="5" t="s">
        <v>37</v>
      </c>
      <c r="N7" s="5" t="s">
        <v>37</v>
      </c>
      <c r="O7" s="5" t="s">
        <v>233</v>
      </c>
      <c r="P7" s="5" t="s">
        <v>313</v>
      </c>
    </row>
  </sheetData>
  <autoFilter ref="A6:P6"/>
  <conditionalFormatting sqref="C8:C1048576">
    <cfRule type="cellIs" dxfId="39" priority="9" operator="equal">
      <formula>"WIP (see comments)"</formula>
    </cfRule>
    <cfRule type="cellIs" dxfId="38" priority="10" operator="equal">
      <formula>"Removed"</formula>
    </cfRule>
    <cfRule type="cellIs" dxfId="37" priority="11" operator="equal">
      <formula>"Updated"</formula>
    </cfRule>
    <cfRule type="cellIs" dxfId="36" priority="12" operator="equal">
      <formula>"New"</formula>
    </cfRule>
  </conditionalFormatting>
  <conditionalFormatting sqref="A1:XFD6 A8:XFD1048576">
    <cfRule type="cellIs" dxfId="35" priority="8" operator="equal">
      <formula>"n/a"</formula>
    </cfRule>
  </conditionalFormatting>
  <conditionalFormatting sqref="C7">
    <cfRule type="cellIs" dxfId="34" priority="3" operator="equal">
      <formula>"WIP (see comments)"</formula>
    </cfRule>
    <cfRule type="cellIs" dxfId="33" priority="4" operator="equal">
      <formula>"Removed"</formula>
    </cfRule>
    <cfRule type="cellIs" dxfId="32" priority="5" operator="equal">
      <formula>"Updated"</formula>
    </cfRule>
    <cfRule type="cellIs" dxfId="31" priority="6" operator="equal">
      <formula>"New"</formula>
    </cfRule>
  </conditionalFormatting>
  <conditionalFormatting sqref="A7:XFD7">
    <cfRule type="cellIs" dxfId="3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ySplit="6" topLeftCell="A7" activePane="bottomLeft" state="frozen"/>
      <selection pane="bottomLeft"/>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262</v>
      </c>
      <c r="C1" s="34"/>
      <c r="D1" s="31"/>
      <c r="H1" s="37"/>
    </row>
    <row r="2" spans="1:16" s="32" customFormat="1" ht="18.5" x14ac:dyDescent="0.35">
      <c r="A2" s="30" t="s">
        <v>8</v>
      </c>
      <c r="B2" s="38" t="s">
        <v>261</v>
      </c>
      <c r="C2" s="37"/>
      <c r="D2" s="38"/>
      <c r="H2" s="37"/>
    </row>
    <row r="3" spans="1:16" s="32" customFormat="1" ht="18.5" x14ac:dyDescent="0.35">
      <c r="A3" s="30" t="s">
        <v>45</v>
      </c>
      <c r="B3" s="38" t="s">
        <v>462</v>
      </c>
      <c r="C3" s="37"/>
      <c r="D3" s="95" t="s">
        <v>461</v>
      </c>
      <c r="H3" s="37"/>
    </row>
    <row r="4" spans="1:16" s="32" customFormat="1" ht="18.5" x14ac:dyDescent="0.35">
      <c r="A4" s="30" t="s">
        <v>9</v>
      </c>
      <c r="B4" s="32" t="s">
        <v>266</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I.1</v>
      </c>
      <c r="C7" s="74" t="s">
        <v>260</v>
      </c>
      <c r="D7" s="42" t="s">
        <v>265</v>
      </c>
      <c r="E7" s="42" t="s">
        <v>143</v>
      </c>
      <c r="F7" s="5" t="s">
        <v>37</v>
      </c>
      <c r="G7" s="5" t="s">
        <v>37</v>
      </c>
      <c r="H7" s="74" t="s">
        <v>37</v>
      </c>
      <c r="I7" s="42" t="s">
        <v>10</v>
      </c>
      <c r="J7" s="5" t="s">
        <v>37</v>
      </c>
      <c r="K7" s="5" t="s">
        <v>37</v>
      </c>
      <c r="L7" s="5" t="s">
        <v>37</v>
      </c>
      <c r="M7" s="5" t="s">
        <v>37</v>
      </c>
      <c r="N7" s="5" t="s">
        <v>37</v>
      </c>
    </row>
    <row r="8" spans="1:16" ht="114" customHeight="1" x14ac:dyDescent="0.35">
      <c r="A8" s="5">
        <v>2</v>
      </c>
      <c r="B8" s="5" t="str">
        <f t="shared" si="0"/>
        <v>I.2</v>
      </c>
      <c r="C8" s="75" t="s">
        <v>46</v>
      </c>
      <c r="D8" s="47" t="s">
        <v>460</v>
      </c>
      <c r="E8" s="42" t="s">
        <v>34</v>
      </c>
      <c r="F8" s="5" t="s">
        <v>37</v>
      </c>
      <c r="G8" s="5" t="s">
        <v>37</v>
      </c>
      <c r="H8" s="74" t="s">
        <v>37</v>
      </c>
      <c r="I8" s="42" t="s">
        <v>10</v>
      </c>
      <c r="J8" s="5" t="s">
        <v>37</v>
      </c>
      <c r="K8" s="5" t="s">
        <v>37</v>
      </c>
      <c r="L8" s="5" t="s">
        <v>37</v>
      </c>
      <c r="M8" s="5" t="s">
        <v>37</v>
      </c>
      <c r="N8" s="5" t="s">
        <v>37</v>
      </c>
      <c r="O8" s="5" t="s">
        <v>178</v>
      </c>
      <c r="P8" s="5" t="s">
        <v>310</v>
      </c>
    </row>
    <row r="9" spans="1:16" x14ac:dyDescent="0.35">
      <c r="A9" s="5">
        <v>3</v>
      </c>
      <c r="B9" s="5" t="str">
        <f t="shared" si="0"/>
        <v>I.3</v>
      </c>
      <c r="C9" s="75" t="s">
        <v>260</v>
      </c>
      <c r="D9" s="47" t="s">
        <v>263</v>
      </c>
      <c r="E9" s="42" t="s">
        <v>36</v>
      </c>
      <c r="F9" s="5" t="s">
        <v>37</v>
      </c>
      <c r="G9" s="5" t="s">
        <v>37</v>
      </c>
      <c r="H9" s="74" t="s">
        <v>37</v>
      </c>
      <c r="I9" s="42" t="s">
        <v>10</v>
      </c>
      <c r="J9" s="5" t="s">
        <v>37</v>
      </c>
      <c r="K9" s="5" t="s">
        <v>37</v>
      </c>
      <c r="L9" s="5" t="s">
        <v>37</v>
      </c>
      <c r="M9" s="5" t="s">
        <v>37</v>
      </c>
      <c r="N9" s="5" t="s">
        <v>37</v>
      </c>
    </row>
    <row r="10" spans="1:16" ht="29" x14ac:dyDescent="0.35">
      <c r="A10" s="5">
        <v>4</v>
      </c>
      <c r="B10" s="5" t="str">
        <f t="shared" si="0"/>
        <v>I.4</v>
      </c>
      <c r="C10" s="75" t="s">
        <v>260</v>
      </c>
      <c r="D10" s="5" t="s">
        <v>264</v>
      </c>
      <c r="E10" s="42" t="s">
        <v>34</v>
      </c>
      <c r="F10" s="5" t="s">
        <v>37</v>
      </c>
      <c r="G10" s="5" t="s">
        <v>37</v>
      </c>
      <c r="H10" s="74" t="s">
        <v>37</v>
      </c>
      <c r="I10" s="42" t="s">
        <v>10</v>
      </c>
      <c r="J10" s="5" t="s">
        <v>37</v>
      </c>
      <c r="K10" s="5" t="s">
        <v>37</v>
      </c>
      <c r="L10" s="5" t="s">
        <v>37</v>
      </c>
      <c r="M10" s="5" t="s">
        <v>37</v>
      </c>
      <c r="N10" s="5" t="s">
        <v>37</v>
      </c>
      <c r="O10" s="42"/>
    </row>
  </sheetData>
  <autoFilter ref="A6:P6"/>
  <conditionalFormatting sqref="C11:C1048576">
    <cfRule type="cellIs" dxfId="29" priority="14" operator="equal">
      <formula>"WIP (see comments)"</formula>
    </cfRule>
    <cfRule type="cellIs" dxfId="28" priority="15" operator="equal">
      <formula>"Removed"</formula>
    </cfRule>
    <cfRule type="cellIs" dxfId="27" priority="16" operator="equal">
      <formula>"Updated"</formula>
    </cfRule>
    <cfRule type="cellIs" dxfId="26" priority="17" operator="equal">
      <formula>"New"</formula>
    </cfRule>
  </conditionalFormatting>
  <conditionalFormatting sqref="A1:XFD2 A11:XFD1048576 A4:XFD6 A3:C3 E3:XFD3">
    <cfRule type="cellIs" dxfId="25" priority="13" operator="equal">
      <formula>"n/a"</formula>
    </cfRule>
  </conditionalFormatting>
  <conditionalFormatting sqref="D8:D9">
    <cfRule type="cellIs" dxfId="24" priority="12" operator="equal">
      <formula>"-"</formula>
    </cfRule>
  </conditionalFormatting>
  <conditionalFormatting sqref="A8:B9 D9:XFD9 D8:N8 P8:XFD8">
    <cfRule type="cellIs" dxfId="23" priority="11" operator="equal">
      <formula>"n/a"</formula>
    </cfRule>
  </conditionalFormatting>
  <conditionalFormatting sqref="C7:C10">
    <cfRule type="cellIs" dxfId="22" priority="7" operator="equal">
      <formula>"WIP (see comments)"</formula>
    </cfRule>
    <cfRule type="cellIs" dxfId="21" priority="8" operator="equal">
      <formula>"Removed"</formula>
    </cfRule>
    <cfRule type="cellIs" dxfId="20" priority="9" operator="equal">
      <formula>"Updated"</formula>
    </cfRule>
    <cfRule type="cellIs" dxfId="19" priority="10" operator="equal">
      <formula>"New"</formula>
    </cfRule>
  </conditionalFormatting>
  <conditionalFormatting sqref="A7:XFD7 C8:C10">
    <cfRule type="cellIs" dxfId="18" priority="6" operator="equal">
      <formula>"n/a"</formula>
    </cfRule>
  </conditionalFormatting>
  <conditionalFormatting sqref="A10:B10 D10 F10:XFD10">
    <cfRule type="cellIs" dxfId="17" priority="5" operator="equal">
      <formula>"n/a"</formula>
    </cfRule>
  </conditionalFormatting>
  <conditionalFormatting sqref="E10">
    <cfRule type="cellIs" dxfId="16" priority="3" operator="equal">
      <formula>"n/a"</formula>
    </cfRule>
  </conditionalFormatting>
  <conditionalFormatting sqref="O8">
    <cfRule type="cellIs" dxfId="15" priority="2" operator="equal">
      <formula>"n/a"</formula>
    </cfRule>
  </conditionalFormatting>
  <conditionalFormatting sqref="D3">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2" sqref="B2"/>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343</v>
      </c>
      <c r="C1" s="34"/>
      <c r="D1" s="31"/>
      <c r="H1" s="37"/>
    </row>
    <row r="2" spans="1:16" s="32" customFormat="1" ht="18.5" x14ac:dyDescent="0.35">
      <c r="A2" s="30" t="s">
        <v>8</v>
      </c>
      <c r="B2" s="86" t="s">
        <v>342</v>
      </c>
      <c r="C2" s="37"/>
      <c r="D2" s="86"/>
      <c r="H2" s="37"/>
    </row>
    <row r="3" spans="1:16" s="32" customFormat="1" ht="18.5" x14ac:dyDescent="0.35">
      <c r="A3" s="30" t="s">
        <v>45</v>
      </c>
      <c r="B3" s="86" t="s">
        <v>295</v>
      </c>
      <c r="C3" s="37"/>
      <c r="D3" s="86" t="s">
        <v>74</v>
      </c>
      <c r="H3" s="37"/>
    </row>
    <row r="4" spans="1:16" s="32" customFormat="1" ht="18.5" x14ac:dyDescent="0.35">
      <c r="A4" s="30" t="s">
        <v>9</v>
      </c>
      <c r="B4" s="32" t="s">
        <v>312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J.1</v>
      </c>
      <c r="C7" s="84" t="s">
        <v>40</v>
      </c>
      <c r="D7" s="5" t="s">
        <v>37</v>
      </c>
      <c r="E7" s="42" t="s">
        <v>142</v>
      </c>
      <c r="F7" s="5" t="s">
        <v>37</v>
      </c>
      <c r="G7" s="5" t="s">
        <v>37</v>
      </c>
      <c r="H7" s="84" t="s">
        <v>37</v>
      </c>
      <c r="I7" s="42" t="s">
        <v>10</v>
      </c>
      <c r="J7" s="5" t="s">
        <v>37</v>
      </c>
      <c r="K7" s="5" t="s">
        <v>37</v>
      </c>
      <c r="L7" s="5" t="s">
        <v>37</v>
      </c>
      <c r="M7" s="5" t="s">
        <v>37</v>
      </c>
      <c r="N7" s="5" t="s">
        <v>37</v>
      </c>
      <c r="O7" s="5" t="s">
        <v>209</v>
      </c>
    </row>
    <row r="8" spans="1:16" x14ac:dyDescent="0.35">
      <c r="A8" s="5">
        <v>2</v>
      </c>
      <c r="B8" s="5" t="str">
        <f t="shared" ref="B8:B10" si="0">CONCATENATE($B$2, ".", A8)</f>
        <v>J.2</v>
      </c>
      <c r="C8" s="84" t="s">
        <v>40</v>
      </c>
      <c r="D8" s="42" t="s">
        <v>147</v>
      </c>
      <c r="E8" s="42" t="s">
        <v>143</v>
      </c>
      <c r="F8" s="5" t="s">
        <v>37</v>
      </c>
      <c r="G8" s="5" t="s">
        <v>37</v>
      </c>
      <c r="H8" s="84" t="s">
        <v>37</v>
      </c>
      <c r="I8" s="42" t="s">
        <v>10</v>
      </c>
      <c r="J8" s="5" t="s">
        <v>37</v>
      </c>
      <c r="K8" s="5" t="s">
        <v>37</v>
      </c>
      <c r="L8" s="5" t="s">
        <v>37</v>
      </c>
      <c r="M8" s="5" t="s">
        <v>37</v>
      </c>
      <c r="N8" s="5" t="s">
        <v>37</v>
      </c>
    </row>
    <row r="9" spans="1:16" ht="43.5" x14ac:dyDescent="0.35">
      <c r="A9" s="5">
        <v>3</v>
      </c>
      <c r="B9" s="5" t="str">
        <f t="shared" si="0"/>
        <v>J.3</v>
      </c>
      <c r="C9" s="84" t="s">
        <v>40</v>
      </c>
      <c r="D9" s="5" t="s">
        <v>341</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J.4</v>
      </c>
      <c r="C10" s="84" t="s">
        <v>40</v>
      </c>
      <c r="D10" s="5" t="s">
        <v>340</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345</v>
      </c>
      <c r="C1" s="34"/>
      <c r="D1" s="31"/>
      <c r="H1" s="37"/>
    </row>
    <row r="2" spans="1:16" s="32" customFormat="1" ht="18.5" x14ac:dyDescent="0.35">
      <c r="A2" s="30" t="s">
        <v>8</v>
      </c>
      <c r="B2" s="86" t="s">
        <v>346</v>
      </c>
      <c r="C2" s="37"/>
      <c r="D2" s="86"/>
      <c r="H2" s="37"/>
    </row>
    <row r="3" spans="1:16" s="32" customFormat="1" ht="18.5" x14ac:dyDescent="0.35">
      <c r="A3" s="30" t="s">
        <v>45</v>
      </c>
      <c r="B3" s="86" t="s">
        <v>295</v>
      </c>
      <c r="C3" s="37"/>
      <c r="D3" s="86" t="s">
        <v>74</v>
      </c>
      <c r="H3" s="37"/>
    </row>
    <row r="4" spans="1:16" s="32" customFormat="1" ht="18.5" x14ac:dyDescent="0.35">
      <c r="A4" s="30" t="s">
        <v>9</v>
      </c>
      <c r="B4" s="32" t="s">
        <v>312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K.1</v>
      </c>
      <c r="C7" s="84" t="s">
        <v>40</v>
      </c>
      <c r="D7" s="5" t="s">
        <v>37</v>
      </c>
      <c r="E7" s="42" t="s">
        <v>142</v>
      </c>
      <c r="F7" s="5" t="s">
        <v>37</v>
      </c>
      <c r="G7" s="5" t="s">
        <v>37</v>
      </c>
      <c r="H7" s="84" t="s">
        <v>37</v>
      </c>
      <c r="I7" s="42" t="s">
        <v>10</v>
      </c>
      <c r="J7" s="5" t="s">
        <v>37</v>
      </c>
      <c r="K7" s="5" t="s">
        <v>37</v>
      </c>
      <c r="L7" s="5" t="s">
        <v>37</v>
      </c>
      <c r="M7" s="5" t="s">
        <v>37</v>
      </c>
      <c r="N7" s="5" t="s">
        <v>37</v>
      </c>
      <c r="O7" s="5" t="s">
        <v>209</v>
      </c>
    </row>
    <row r="8" spans="1:16" x14ac:dyDescent="0.35">
      <c r="A8" s="5">
        <v>2</v>
      </c>
      <c r="B8" s="5" t="str">
        <f t="shared" ref="B8:B10" si="0">CONCATENATE($B$2, ".", A8)</f>
        <v>K.2</v>
      </c>
      <c r="C8" s="84" t="s">
        <v>40</v>
      </c>
      <c r="D8" s="42" t="s">
        <v>147</v>
      </c>
      <c r="E8" s="42" t="s">
        <v>143</v>
      </c>
      <c r="F8" s="5" t="s">
        <v>37</v>
      </c>
      <c r="G8" s="5" t="s">
        <v>37</v>
      </c>
      <c r="H8" s="84" t="s">
        <v>37</v>
      </c>
      <c r="I8" s="42" t="s">
        <v>10</v>
      </c>
      <c r="J8" s="5" t="s">
        <v>37</v>
      </c>
      <c r="K8" s="5" t="s">
        <v>37</v>
      </c>
      <c r="L8" s="5" t="s">
        <v>37</v>
      </c>
      <c r="M8" s="5" t="s">
        <v>37</v>
      </c>
      <c r="N8" s="5" t="s">
        <v>37</v>
      </c>
    </row>
    <row r="9" spans="1:16" ht="43.5" x14ac:dyDescent="0.35">
      <c r="A9" s="5">
        <v>3</v>
      </c>
      <c r="B9" s="5" t="str">
        <f t="shared" si="0"/>
        <v>K.3</v>
      </c>
      <c r="C9" s="84" t="s">
        <v>40</v>
      </c>
      <c r="D9" s="5" t="s">
        <v>341</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K.4</v>
      </c>
      <c r="C10" s="84" t="s">
        <v>40</v>
      </c>
      <c r="D10" s="5" t="s">
        <v>340</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B1F084AC-9641-415F-A3D5-37994B077A8A}"/>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C3D6FEB5-9572-48F7-8975-C31DE547C2D9}">
  <ds:schemaRefs>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Revision Control</vt:lpstr>
      <vt:lpstr>List Values</vt:lpstr>
      <vt:lpstr>1. Qualifying Questions</vt:lpstr>
      <vt:lpstr>1a. Not Qualified Info Page</vt:lpstr>
      <vt:lpstr>2. Existing Cust. Check</vt:lpstr>
      <vt:lpstr>2. Contact Info</vt:lpstr>
      <vt:lpstr>3. Verify Mobile</vt:lpstr>
      <vt:lpstr>4. Screening Questions</vt:lpstr>
      <vt:lpstr>4a. Failed Screening Info Page</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Authorized Signers</vt:lpstr>
      <vt:lpstr>18. Business Disclosures</vt:lpstr>
      <vt:lpstr>19. Account Options</vt:lpstr>
      <vt:lpstr>20. Complementary Services</vt:lpstr>
      <vt:lpstr>A. Generic Error</vt:lpstr>
      <vt:lpstr>B. Manual Review</vt:lpstr>
      <vt:lpstr>C. Decline</vt:lpstr>
      <vt:lpstr>D. Cancel</vt:lpstr>
      <vt:lpstr>E. Save</vt:lpstr>
      <vt:lpstr>F. Resume</vt:lpstr>
      <vt:lpstr>G. Time Out</vt:lpstr>
      <vt:lpstr>H. Progress</vt:lpstr>
      <vt:lpstr>I. Previously Submitted</vt:lpstr>
      <vt:lpstr>J. Not Qualified</vt:lpstr>
      <vt:lpstr>K. 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2020-07-24T17:39:49Z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