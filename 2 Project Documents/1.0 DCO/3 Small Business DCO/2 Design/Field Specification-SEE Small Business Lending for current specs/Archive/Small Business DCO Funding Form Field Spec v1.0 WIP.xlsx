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717" activeTab="4"/>
  </bookViews>
  <sheets>
    <sheet name="Revision Control" sheetId="1" r:id="rId1"/>
    <sheet name="List Values" sheetId="3" r:id="rId2"/>
    <sheet name="1. Application Approval" sheetId="45" r:id="rId3"/>
    <sheet name="1a. PAN Confirmation" sheetId="47" r:id="rId4"/>
    <sheet name="2. Method Selection" sheetId="37" r:id="rId5"/>
    <sheet name="3. Me-to-me Session Mgmt." sheetId="40" r:id="rId6"/>
    <sheet name="4. Funds Transfer" sheetId="42" r:id="rId7"/>
    <sheet name="4a. Transfer Error" sheetId="46" r:id="rId8"/>
    <sheet name="5. Dynamic Finish" sheetId="39" r:id="rId9"/>
  </sheets>
  <definedNames>
    <definedName name="_xlnm._FilterDatabase" localSheetId="2" hidden="1">'1. Application Approval'!$A$6:$P$6</definedName>
    <definedName name="_xlnm._FilterDatabase" localSheetId="3" hidden="1">'1a. PAN Confirmation'!$A$6:$P$6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45" l="1"/>
  <c r="B17" i="45"/>
  <c r="B14" i="45"/>
  <c r="B15" i="45"/>
  <c r="B18" i="45"/>
  <c r="B19" i="45"/>
  <c r="B13" i="39" l="1"/>
  <c r="B18" i="37" l="1"/>
  <c r="B13" i="37"/>
  <c r="B10" i="47" l="1"/>
  <c r="B9" i="47"/>
  <c r="B8" i="47"/>
  <c r="B7" i="47"/>
  <c r="B10" i="45" l="1"/>
  <c r="B9" i="46" l="1"/>
  <c r="B10" i="46"/>
  <c r="B11" i="46" l="1"/>
  <c r="B8" i="46"/>
  <c r="B7" i="46"/>
  <c r="B20" i="45" l="1"/>
  <c r="B13" i="45"/>
  <c r="B12" i="45"/>
  <c r="B11" i="45"/>
  <c r="B9" i="45"/>
  <c r="B8" i="45"/>
  <c r="B7" i="45"/>
  <c r="B10" i="39" l="1"/>
  <c r="B16" i="42" l="1"/>
  <c r="B12" i="42"/>
  <c r="B10" i="42"/>
  <c r="B13" i="40"/>
  <c r="B12" i="40"/>
  <c r="B20" i="37"/>
  <c r="B17" i="37"/>
  <c r="B16" i="37"/>
  <c r="B15" i="37"/>
  <c r="B9" i="37" l="1"/>
  <c r="B10" i="37"/>
  <c r="B11" i="39" l="1"/>
  <c r="B14" i="39"/>
  <c r="B12" i="39"/>
  <c r="B16" i="39"/>
  <c r="B17" i="39"/>
  <c r="B8" i="39"/>
  <c r="B7" i="39"/>
  <c r="B9" i="42" l="1"/>
  <c r="B14" i="42"/>
  <c r="B15" i="42"/>
  <c r="B8" i="42" l="1"/>
  <c r="B7" i="42"/>
  <c r="B14" i="37" l="1"/>
  <c r="B14" i="40" l="1"/>
  <c r="B15" i="40"/>
  <c r="B9" i="40" l="1"/>
  <c r="B10" i="40"/>
  <c r="B11" i="40"/>
  <c r="B8" i="40"/>
  <c r="B7" i="40"/>
  <c r="B19" i="37" l="1"/>
  <c r="B11" i="37"/>
  <c r="B12" i="37"/>
  <c r="B8" i="37"/>
  <c r="B7" i="37"/>
</calcChain>
</file>

<file path=xl/sharedStrings.xml><?xml version="1.0" encoding="utf-8"?>
<sst xmlns="http://schemas.openxmlformats.org/spreadsheetml/2006/main" count="997" uniqueCount="219">
  <si>
    <t>Document Version</t>
  </si>
  <si>
    <t>Revision Date</t>
  </si>
  <si>
    <t>Change Summary</t>
  </si>
  <si>
    <t>Updated by</t>
  </si>
  <si>
    <t>Approved by</t>
  </si>
  <si>
    <t>Page Name</t>
  </si>
  <si>
    <t>Page ID</t>
  </si>
  <si>
    <t>Visibility</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</si>
  <si>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</si>
  <si>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</si>
  <si>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</si>
  <si>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</si>
  <si>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</si>
  <si>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</si>
  <si>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</si>
  <si>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</si>
  <si>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</si>
  <si>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</si>
  <si>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</si>
  <si>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</si>
  <si>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</si>
  <si>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</si>
  <si>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</si>
  <si>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</si>
  <si>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Type</t>
  </si>
  <si>
    <t>Section (sub-heading)</t>
  </si>
  <si>
    <t>Checkbox</t>
  </si>
  <si>
    <t>Section (footer)</t>
  </si>
  <si>
    <t>Radio button group</t>
  </si>
  <si>
    <t>Text field</t>
  </si>
  <si>
    <t>Static text</t>
  </si>
  <si>
    <t>Drop-down list</t>
  </si>
  <si>
    <t>Static text with parameter(s)</t>
  </si>
  <si>
    <t>Updated</t>
  </si>
  <si>
    <t>Field Status</t>
  </si>
  <si>
    <t>No Change</t>
  </si>
  <si>
    <t>Removed</t>
  </si>
  <si>
    <t>New</t>
  </si>
  <si>
    <t>Button</t>
  </si>
  <si>
    <t>Story ID</t>
  </si>
  <si>
    <t>WIP (see comments)</t>
  </si>
  <si>
    <t>Progress bar</t>
  </si>
  <si>
    <t>Checkbox Group</t>
  </si>
  <si>
    <t>Text field (with suggestions)</t>
  </si>
  <si>
    <t>Date Picker</t>
  </si>
  <si>
    <t>Static text with hyperlink</t>
  </si>
  <si>
    <t>Image</t>
  </si>
  <si>
    <t>Section (heading)</t>
  </si>
  <si>
    <t>ID Scan Control</t>
  </si>
  <si>
    <t>Timer</t>
  </si>
  <si>
    <t>Google reCAPTCHA</t>
  </si>
  <si>
    <t>Confirmation Message (modal)</t>
  </si>
  <si>
    <t>Method Selection Page</t>
  </si>
  <si>
    <t>Source Selection</t>
  </si>
  <si>
    <t>Always</t>
  </si>
  <si>
    <t>n/a</t>
  </si>
  <si>
    <t>Yes</t>
  </si>
  <si>
    <t>Next</t>
  </si>
  <si>
    <t>A) Checked
B) Unchecked
Selection is mutually exclusive (no multiple selection)</t>
  </si>
  <si>
    <t>Unchecked</t>
  </si>
  <si>
    <t>Yes, I'd like to use the same bank or financial institution.</t>
  </si>
  <si>
    <t>Back</t>
  </si>
  <si>
    <t>Flinks Widget</t>
  </si>
  <si>
    <t>Always show</t>
  </si>
  <si>
    <t>No, I'd like to sign into another bank or financial institution to transfer funds.</t>
  </si>
  <si>
    <r>
      <t xml:space="preserve">On click, navigate back to the </t>
    </r>
    <r>
      <rPr>
        <b/>
        <sz val="11"/>
        <color theme="1"/>
        <rFont val="Calibri"/>
        <family val="2"/>
        <scheme val="minor"/>
      </rPr>
      <t>Method Selection</t>
    </r>
    <r>
      <rPr>
        <sz val="11"/>
        <color theme="1"/>
        <rFont val="Calibri"/>
        <family val="2"/>
        <scheme val="minor"/>
      </rPr>
      <t xml:space="preserve"> page</t>
    </r>
  </si>
  <si>
    <t>Please sign into your bank or financial institution before proceeding.</t>
  </si>
  <si>
    <t>Dynamic Text</t>
  </si>
  <si>
    <t>blank</t>
  </si>
  <si>
    <t>Please tell us how much you would like to transfer into your new account(s).</t>
  </si>
  <si>
    <t>Display a separate instance of the following field, for each product the applicant is applying for.</t>
  </si>
  <si>
    <t>Positive dollar values OR blanks</t>
  </si>
  <si>
    <t>Next steps…</t>
  </si>
  <si>
    <t>Go to Online Banking</t>
  </si>
  <si>
    <t>Exit</t>
  </si>
  <si>
    <t>On click, close the current browser tab page.</t>
  </si>
  <si>
    <t>Dynamic Finish</t>
  </si>
  <si>
    <t>The following fields are dynamic, and should be shown/hidden based on the user's funding method selection (see Method Selection page)</t>
  </si>
  <si>
    <t>How much would you like to transfer?</t>
  </si>
  <si>
    <t>Sign into another bank or financial institution to transfer funds to your new account.
(funds may be held for 5 business days)</t>
  </si>
  <si>
    <t>[icon - see business rules]
From my other bank</t>
  </si>
  <si>
    <t>[icon - see business rules]
Interac e-transfer</t>
  </si>
  <si>
    <t>[icon - see business rules]
Cheque</t>
  </si>
  <si>
    <t>Or skip this step</t>
  </si>
  <si>
    <t>Me-to-me Session management</t>
  </si>
  <si>
    <t>Only for users who choose Me-to-me funding</t>
  </si>
  <si>
    <t>Step 14: Choose your bank</t>
  </si>
  <si>
    <r>
      <t xml:space="preserve">Display if </t>
    </r>
    <r>
      <rPr>
        <b/>
        <u/>
        <sz val="11"/>
        <color theme="1"/>
        <rFont val="Calibri"/>
        <family val="2"/>
        <scheme val="minor"/>
      </rPr>
      <t>any</t>
    </r>
    <r>
      <rPr>
        <sz val="11"/>
        <color theme="1"/>
        <rFont val="Calibri"/>
        <family val="2"/>
        <scheme val="minor"/>
      </rPr>
      <t xml:space="preserve"> of the following conditions hold:
A) The applicant did not use Flinks for identity verification
B) The applicant used Flinks for identity verification, but the token is no longer valid</t>
    </r>
  </si>
  <si>
    <t>Yes, if the display conditions hold.</t>
  </si>
  <si>
    <t>Yes, when visible.
(users must successfully authenticate via Flinks before proceeding)</t>
  </si>
  <si>
    <t>Step 15: Transfer Funds</t>
  </si>
  <si>
    <t>After user click "Next"</t>
  </si>
  <si>
    <r>
      <t xml:space="preserve">Display these fields if </t>
    </r>
    <r>
      <rPr>
        <b/>
        <u/>
        <sz val="11"/>
        <color theme="1"/>
        <rFont val="Calibri"/>
        <family val="2"/>
        <scheme val="minor"/>
      </rPr>
      <t>all</t>
    </r>
    <r>
      <rPr>
        <sz val="11"/>
        <color theme="1"/>
        <rFont val="Calibri"/>
        <family val="2"/>
        <scheme val="minor"/>
      </rPr>
      <t xml:space="preserve"> of the following conditions hold:
A) The applicant used Flinks for identity management purposes.
B) The previously used Flinks token is still valid</t>
    </r>
  </si>
  <si>
    <t>Populate drop down list with the list of eligible accounts returned by the Flinks service.  The list values should be displayed using the following format:
&lt;&lt;Account.title&gt;&gt; - &lt;&lt;Account.number&gt;&gt; (&lt;&lt;Account.balance&gt;&gt;)
Example: Chequing CAD - 1111000 ($4,532.34)</t>
  </si>
  <si>
    <t>Funding Form Field Specification - Revision Control Form</t>
  </si>
  <si>
    <t>Funding Form Field Specification - List Values</t>
  </si>
  <si>
    <t>Yes
At least one instance of this field must be completed. Funding cannot be $0.</t>
  </si>
  <si>
    <t>Always Show</t>
  </si>
  <si>
    <t>Progress Bar</t>
  </si>
  <si>
    <t>None</t>
  </si>
  <si>
    <t>Alphanumeric</t>
  </si>
  <si>
    <t>Application Approval</t>
  </si>
  <si>
    <r>
      <t xml:space="preserve">PANs are returned from T24 with a three character card type prefix.  The format is:
[Card Type].[16-digit numeric PAN]
</t>
    </r>
    <r>
      <rPr>
        <b/>
        <sz val="11"/>
        <color theme="1"/>
        <rFont val="Calibri"/>
        <family val="2"/>
        <scheme val="minor"/>
      </rPr>
      <t>This field should only display the 16-digit numeric PAN.  The card type prefix, and period should be removed prior to display.</t>
    </r>
  </si>
  <si>
    <t>Please choose a personal access code:</t>
  </si>
  <si>
    <t>Please specify a personal access code.</t>
  </si>
  <si>
    <t>Regex: /^(?=.*[a-z])(?=.*[A-Z])(?=.*\d)(?=.*[!@#$%*])[A-Za-z\d!@#$%*]{8,30}$/g
A) Must be between 8 and 30 characters
B) Must contain at least one number
C) Must contain at a mix of upper/lower case characters (at least one of each)
D) Must contain at least one of the following special characters: ! @ # $ % *</t>
  </si>
  <si>
    <t>Your PAC must be between 8 and 30 characters long, and contain at least one number, a mix of upper and lower case letters, and at least one of ! @ # $ % *</t>
  </si>
  <si>
    <t>Text field should be masked for security purposes.</t>
  </si>
  <si>
    <t>Please type your personal access code again:</t>
  </si>
  <si>
    <t>Please retype your personal access code.</t>
  </si>
  <si>
    <t>This code does not match the one you typed above.</t>
  </si>
  <si>
    <t>Mail us a cheque.
Be sure to make the cheque payable to yourself, and mail it to:
Motive Financial
Suite 3000, 10303 Jasper Avenue NW
Edmonton, AB T5J 3X6
(Funds may be held for 5 business days.)</t>
  </si>
  <si>
    <r>
      <t xml:space="preserve">You are about to transfer $&lt;&lt;Total funding amount&gt;&gt;.  
Do you wish to continue?
</t>
    </r>
    <r>
      <rPr>
        <b/>
        <u/>
        <sz val="11"/>
        <color theme="1"/>
        <rFont val="Calibri"/>
        <family val="2"/>
        <scheme val="minor"/>
      </rPr>
      <t xml:space="preserve">Yes, Finish! </t>
    </r>
    <r>
      <rPr>
        <sz val="11"/>
        <color theme="1"/>
        <rFont val="Calibri"/>
        <family val="2"/>
        <scheme val="minor"/>
      </rPr>
      <t xml:space="preserve">                           </t>
    </r>
    <r>
      <rPr>
        <b/>
        <sz val="11"/>
        <color theme="1"/>
        <rFont val="Calibri"/>
        <family val="2"/>
        <scheme val="minor"/>
      </rPr>
      <t>No, go back</t>
    </r>
  </si>
  <si>
    <t>Funding Transfer Error</t>
  </si>
  <si>
    <t>Only when me-to-me funding fails</t>
  </si>
  <si>
    <t>Static Text</t>
  </si>
  <si>
    <r>
      <t xml:space="preserve">On click…
Navigate to the </t>
    </r>
    <r>
      <rPr>
        <b/>
        <sz val="11"/>
        <color theme="1"/>
        <rFont val="Calibri"/>
        <family val="2"/>
        <scheme val="minor"/>
      </rPr>
      <t>Funds Transfer</t>
    </r>
    <r>
      <rPr>
        <sz val="11"/>
        <color theme="1"/>
        <rFont val="Calibri"/>
        <family val="2"/>
        <scheme val="minor"/>
      </rPr>
      <t xml:space="preserve"> page</t>
    </r>
  </si>
  <si>
    <t>Reviewed By</t>
  </si>
  <si>
    <t>Must match the value in text field 1.9 (PAC).</t>
  </si>
  <si>
    <t>Display if any of the following conditions hold:
A) The applicant did not use Flinks for identity verification
B) The applicant used Flinks for identity verification, but the token is no longer valid
C) The applicant checked radio button 3.5.</t>
  </si>
  <si>
    <t>4a</t>
  </si>
  <si>
    <t>Only if the user selected one of the following funding methods on the Method Selection  page:
A) Field 2.5: Interac e-transfer
B) Field 2.6: CWB account
C) Field 2.7: Cheque</t>
  </si>
  <si>
    <t>Only if the user selected Interac e-Transfer (field 2.5) on the Method Selection page</t>
  </si>
  <si>
    <t>Value must be a positive number or blank.</t>
  </si>
  <si>
    <t>1a</t>
  </si>
  <si>
    <t>Modal dialog. To be displayed over top of the Application Approval page</t>
  </si>
  <si>
    <t>PAN Confirmation</t>
  </si>
  <si>
    <t>Did you save your PAN?</t>
  </si>
  <si>
    <t>Yes, I saved my PAN</t>
  </si>
  <si>
    <t>No, go back</t>
  </si>
  <si>
    <t>How would you like to transfer funds to your new account(s)?</t>
  </si>
  <si>
    <t>A few steps back, you signed into your bank or financial institution to help us verify your identity.
Would you like to use the same bank now to transfer funds to your new account(s)?</t>
  </si>
  <si>
    <t>Please sign into your other bank or financial institution to continue with your deposit.</t>
  </si>
  <si>
    <t>Which account would you like to transfer funds from?</t>
  </si>
  <si>
    <t>Please tell us which account you would like to transfer funds from.</t>
  </si>
  <si>
    <t>We weren't able to set up the funds transfer you requested.
After you click "Next" you'll be able to try again, or choose another method for making your deposit.</t>
  </si>
  <si>
    <t>To make a deposit into your account...</t>
  </si>
  <si>
    <t>Please specify a valid, positive amount to transfer.</t>
  </si>
  <si>
    <t xml:space="preserve">1) Click the link below to log into your new account
2) Set up a new e-Transfer contact using your own email address
3) Use e-Transfer to request funds from yourself using the new contact
We've sent you an email with more detailed instructions to help you transfer funds.
</t>
  </si>
  <si>
    <t>Sign into your new account and transfer funds instantly using email or a mobile phone.</t>
  </si>
  <si>
    <t>1.0</t>
  </si>
  <si>
    <t>Please save this number for your records.  You will need it to access online banking and other CWB services.</t>
  </si>
  <si>
    <r>
      <t xml:space="preserve">On click…
Display </t>
    </r>
    <r>
      <rPr>
        <b/>
        <sz val="11"/>
        <color theme="1"/>
        <rFont val="Calibri"/>
        <family val="2"/>
        <scheme val="minor"/>
      </rPr>
      <t>"PAN Confirmation"</t>
    </r>
    <r>
      <rPr>
        <sz val="11"/>
        <color theme="1"/>
        <rFont val="Calibri"/>
        <family val="2"/>
        <scheme val="minor"/>
      </rPr>
      <t xml:space="preserve"> modal overlay</t>
    </r>
  </si>
  <si>
    <t>After leaving this page, you will not be able to return.  Please record your Personal Access Number (PAN) now, since you will need it to access online banking and other CWB services.</t>
  </si>
  <si>
    <r>
      <t xml:space="preserve">On click…
Navigate to </t>
    </r>
    <r>
      <rPr>
        <b/>
        <sz val="11"/>
        <color theme="1"/>
        <rFont val="Calibri"/>
        <family val="2"/>
        <scheme val="minor"/>
      </rPr>
      <t>"Method Selection"</t>
    </r>
    <r>
      <rPr>
        <sz val="11"/>
        <color theme="1"/>
        <rFont val="Calibri"/>
        <family val="2"/>
        <scheme val="minor"/>
      </rPr>
      <t xml:space="preserve"> page</t>
    </r>
  </si>
  <si>
    <r>
      <t xml:space="preserve">On click...
close dialog (stay on </t>
    </r>
    <r>
      <rPr>
        <b/>
        <sz val="11"/>
        <color theme="1"/>
        <rFont val="Calibri"/>
        <family val="2"/>
        <scheme val="minor"/>
      </rPr>
      <t>"Application Approval"</t>
    </r>
    <r>
      <rPr>
        <sz val="11"/>
        <color theme="1"/>
        <rFont val="Calibri"/>
        <family val="2"/>
        <scheme val="minor"/>
      </rPr>
      <t xml:space="preserve"> page)</t>
    </r>
  </si>
  <si>
    <t>[icon - see business rules]
Remote Deposit Capture</t>
  </si>
  <si>
    <t>&lt;&lt;Product Name&gt;&gt;
Example: Apex Account</t>
  </si>
  <si>
    <r>
      <t xml:space="preserve">On click…
IF (user has completed all mandatory fields) THEN
    Display the </t>
    </r>
    <r>
      <rPr>
        <b/>
        <sz val="11"/>
        <color theme="1"/>
        <rFont val="Calibri"/>
        <family val="2"/>
        <scheme val="minor"/>
      </rPr>
      <t>"Funding Confirmation"</t>
    </r>
    <r>
      <rPr>
        <sz val="11"/>
        <color theme="1"/>
        <rFont val="Calibri"/>
        <family val="2"/>
        <scheme val="minor"/>
      </rPr>
      <t xml:space="preserve"> overlay (Field 4.8)
ELSE
    Show mandatory field validation error</t>
    </r>
  </si>
  <si>
    <r>
      <t xml:space="preserve">On click…
Navigate back to </t>
    </r>
    <r>
      <rPr>
        <b/>
        <sz val="11"/>
        <color theme="1"/>
        <rFont val="Calibri"/>
        <family val="2"/>
        <scheme val="minor"/>
      </rPr>
      <t xml:space="preserve">"Me-to-me Session Management" </t>
    </r>
    <r>
      <rPr>
        <sz val="11"/>
        <color theme="1"/>
        <rFont val="Calibri"/>
        <family val="2"/>
        <scheme val="minor"/>
      </rPr>
      <t>page</t>
    </r>
  </si>
  <si>
    <r>
      <t xml:space="preserve">IF (user clicks "Yes, Finish!")  THEN
  Create funding transaction(s);
  Navigate to the </t>
    </r>
    <r>
      <rPr>
        <b/>
        <sz val="11"/>
        <color theme="1"/>
        <rFont val="Calibri"/>
        <family val="2"/>
        <scheme val="minor"/>
      </rPr>
      <t>"Dynamic Finish"</t>
    </r>
    <r>
      <rPr>
        <sz val="11"/>
        <color theme="1"/>
        <rFont val="Calibri"/>
        <family val="2"/>
        <scheme val="minor"/>
      </rPr>
      <t xml:space="preserve"> page;
ELSEIF (user clicks "No, go back") THEN
  Cancel navigation and close the modal overlay</t>
    </r>
  </si>
  <si>
    <r>
      <t xml:space="preserve">On click…
Navigate to the </t>
    </r>
    <r>
      <rPr>
        <b/>
        <sz val="11"/>
        <color theme="1"/>
        <rFont val="Calibri"/>
        <family val="2"/>
        <scheme val="minor"/>
      </rPr>
      <t>"Method Selection"</t>
    </r>
    <r>
      <rPr>
        <sz val="11"/>
        <color theme="1"/>
        <rFont val="Calibri"/>
        <family val="2"/>
        <scheme val="minor"/>
      </rPr>
      <t xml:space="preserve"> Page</t>
    </r>
  </si>
  <si>
    <t>Only if the user selected funding via an existing Motive Financial account (field 2.6), on the Method Selection page</t>
  </si>
  <si>
    <r>
      <t xml:space="preserve">1) Log into </t>
    </r>
    <r>
      <rPr>
        <b/>
        <u/>
        <sz val="11"/>
        <color theme="1"/>
        <rFont val="Calibri"/>
        <family val="2"/>
        <scheme val="minor"/>
      </rPr>
      <t>online banking</t>
    </r>
    <r>
      <rPr>
        <sz val="11"/>
        <color theme="1"/>
        <rFont val="Calibri"/>
        <family val="2"/>
        <scheme val="minor"/>
      </rPr>
      <t xml:space="preserve"> for your Motive Financial account.
2) Select "Transfers" from the menu, and choose the option called "To Another Client".
3) Fill in the required fields, using your new CWB account number in the "Account" field.
We've sent you an email with these instructions to help you transfer funds.</t>
    </r>
  </si>
  <si>
    <t>Digital team to confirm validity of these instructions for Motive's online banking platform.</t>
  </si>
  <si>
    <r>
      <t xml:space="preserve">Underlined caption text should be hyperlinked.
On click, navigate to the following URL:
</t>
    </r>
    <r>
      <rPr>
        <b/>
        <sz val="11"/>
        <color theme="1"/>
        <rFont val="Calibri"/>
        <family val="2"/>
        <scheme val="minor"/>
      </rPr>
      <t>https://access.motivefinancial.com/OnlineBanking/</t>
    </r>
  </si>
  <si>
    <t>Only if the user selected funding via cheque mailing (field 2.8) on the Method Selection page</t>
  </si>
  <si>
    <t>Digital team to confirm cheque mailing address for CWB.</t>
  </si>
  <si>
    <t>Only if the user selected funding via Remote Deposit Capture (field 2.7) on the Method Selection page</t>
  </si>
  <si>
    <r>
      <t xml:space="preserve">On click, navigate to the following hyperlink:
</t>
    </r>
    <r>
      <rPr>
        <b/>
        <sz val="11"/>
        <color theme="1"/>
        <rFont val="Calibri"/>
        <family val="2"/>
        <scheme val="minor"/>
      </rPr>
      <t>https://direct.cwbank.com/OnlineBanking/</t>
    </r>
  </si>
  <si>
    <t>Support team email address, phone number, and operating hours to be determined.</t>
  </si>
  <si>
    <t>Image to be displayed as per the project Style Guide. Please consult the UX Team for assistance.</t>
  </si>
  <si>
    <t>Display image "Bank Building.svg".
Refer to the CWB Design System for image asset.</t>
  </si>
  <si>
    <t>Display image "Remote deposit capture.svg".
Refer to the CWB Design System for image asset.</t>
  </si>
  <si>
    <t>Display image "Cheque payment.svg".
Refer to the CWB Design System for image asset.</t>
  </si>
  <si>
    <t>Please select your preferred funding method.</t>
  </si>
  <si>
    <t>Please select a funding option.</t>
  </si>
  <si>
    <t>Something went wrong.</t>
  </si>
  <si>
    <t>Thank you for choosing CWB! Your new account(s) are set up and ready for use. 
To get you started, we've sent you a confirmation email with some helpful information.</t>
  </si>
  <si>
    <t>1) Log into the CWB mobile app, and tap the "Deposit" icon.
2) Read and acknowledge the deposit times by tapping "Continue".
3) Select your new account in the "Deposit to" field, and specify the deposit amount.
4) Take photos of the front and back of your cheque, and press "Continue" to complete the deposit.</t>
  </si>
  <si>
    <r>
      <t xml:space="preserve">For assistance, please email CWB at </t>
    </r>
    <r>
      <rPr>
        <u/>
        <sz val="11"/>
        <color theme="1"/>
        <rFont val="Calibri"/>
        <family val="2"/>
        <scheme val="minor"/>
      </rPr>
      <t>personal-onboarding@cwbank.com</t>
    </r>
    <r>
      <rPr>
        <sz val="11"/>
        <color theme="1"/>
        <rFont val="Calibri"/>
        <family val="2"/>
        <scheme val="minor"/>
      </rPr>
      <t>.</t>
    </r>
  </si>
  <si>
    <t xml:space="preserve">Copied Version 1.1 of the Personal DCO Funding Form field spec.  </t>
  </si>
  <si>
    <t>Ian Hicks</t>
  </si>
  <si>
    <t>Small Business Digital Client Onboarding (DCO)</t>
  </si>
  <si>
    <t>CWBSB-248</t>
  </si>
  <si>
    <t>CWBSB-249</t>
  </si>
  <si>
    <t>CWBSB-250</t>
  </si>
  <si>
    <t>CWBSB-251</t>
  </si>
  <si>
    <t>CWBSB-252</t>
  </si>
  <si>
    <t>CWBSB-253</t>
  </si>
  <si>
    <t>Choose your security question:</t>
  </si>
  <si>
    <t xml:space="preserve">A) What was your favorite restaurant in college or university?
B) What is your father's middle name?
C) In what city was your mother born? 
D) What is the first name of your oldest nephew?
E) What was the name of your first pet?
F) What was the colour of your first car?
</t>
  </si>
  <si>
    <t xml:space="preserve">If you ever need to contact a CWB representative, we may use this question to help confirm your identity and secure your account. </t>
  </si>
  <si>
    <t>Please choose a security question.</t>
  </si>
  <si>
    <t>Answer your security question:</t>
  </si>
  <si>
    <t xml:space="preserve">Only if a value has been selected in the question selection drop-down (field 11.5). </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</si>
  <si>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</si>
  <si>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</si>
  <si>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Access to business online and mobile banking</t>
  </si>
  <si>
    <t>Your Personal Access Number (PAN) for access to business online and mobile banking is: &lt;&lt;PAN&gt;&gt;</t>
  </si>
  <si>
    <t>Your application on behalf of &lt;&lt;business legal name&gt;&gt; has been approved for:
&lt;&lt;Product List&gt;&gt;</t>
  </si>
  <si>
    <t>Insert &lt;&lt;business legal name&gt;&gt; where indicated.
&lt;&lt;Product List&gt;&gt; is a bullet point list of the &lt;&lt;Product Name&gt;&gt; of each account included in the application.</t>
  </si>
  <si>
    <t>Congratulations, you've been approved</t>
  </si>
  <si>
    <t>If you ever need to contact a CWB representative about your business account(s), we may use this question to help confirm your identity and secure your account.</t>
  </si>
  <si>
    <t>Security question</t>
  </si>
  <si>
    <t>You also need to set a personal access code (PAC).  This code is like your password, and should be kept secret. CWB will never ask you for your PAC, and you must not share it with anyone.</t>
  </si>
  <si>
    <t>Your PAC must be between 8 and 30 characters and contain at least one number, upper &amp; lower case characters, at least one of: ! @ # $ % *</t>
  </si>
  <si>
    <t>Minimum 8, maximum 30</t>
  </si>
  <si>
    <t>Display image ".svg".
Refer to the CWB Design System for image asset.</t>
  </si>
  <si>
    <t>Display image "Contactless payment.svg".
Refer to the CWB Design System for image asset.</t>
  </si>
  <si>
    <t>[icon - see business rules]
From my CWB or Motive Financial account</t>
  </si>
  <si>
    <t>If you have an account with CWB or Motive Financial, you may sign into it through online banking, and transfer funds instantly to your new CWB account.</t>
  </si>
  <si>
    <t>Subject to confirmation that Flinks (Me2Me funding will be available for SB DCO.</t>
  </si>
  <si>
    <t>Use your mobile phone to scan a cheque and deposit the funds into your new account.</t>
  </si>
  <si>
    <r>
      <t xml:space="preserve">On click…
Navigate to </t>
    </r>
    <r>
      <rPr>
        <b/>
        <sz val="11"/>
        <color theme="1"/>
        <rFont val="Calibri"/>
        <family val="2"/>
        <scheme val="minor"/>
      </rPr>
      <t>"Dynamic Finish"</t>
    </r>
    <r>
      <rPr>
        <sz val="11"/>
        <color theme="1"/>
        <rFont val="Calibri"/>
        <family val="2"/>
        <scheme val="minor"/>
      </rPr>
      <t xml:space="preserve"> page CWBSB-253</t>
    </r>
  </si>
  <si>
    <r>
      <t xml:space="preserve">On click…
IF (Fields 2.4 to 2.8 == "Unchecked") THEN
    Show mandatory field validation error
ELSE IF (Field 2.4 == "Checked") THEN
    Navigate to </t>
    </r>
    <r>
      <rPr>
        <b/>
        <sz val="11"/>
        <color theme="1"/>
        <rFont val="Calibri"/>
        <family val="2"/>
        <scheme val="minor"/>
      </rPr>
      <t>"Me-to-me Session Management"</t>
    </r>
    <r>
      <rPr>
        <sz val="11"/>
        <color theme="1"/>
        <rFont val="Calibri"/>
        <family val="2"/>
        <scheme val="minor"/>
      </rPr>
      <t xml:space="preserve"> page CWBSB-250
ELSE
    Navigate to </t>
    </r>
    <r>
      <rPr>
        <b/>
        <sz val="11"/>
        <color theme="1"/>
        <rFont val="Calibri"/>
        <family val="2"/>
        <scheme val="minor"/>
      </rPr>
      <t>"Dynamic Finish"</t>
    </r>
    <r>
      <rPr>
        <sz val="11"/>
        <color theme="1"/>
        <rFont val="Calibri"/>
        <family val="2"/>
        <scheme val="minor"/>
      </rPr>
      <t xml:space="preserve"> page CWBSB-253</t>
    </r>
  </si>
  <si>
    <t>1.0 WIP</t>
  </si>
  <si>
    <t>Image asset to be confirmed</t>
  </si>
  <si>
    <t>A) Selected
B) Unselected
Selection is mutually exclusive (no multiple selection)</t>
  </si>
  <si>
    <t>Unselected</t>
  </si>
  <si>
    <t>Only if radio button 2.4 is selected.
For desktop display, this text should appear to the right of the radio button. For mobile display, it should be below the radio button.</t>
  </si>
  <si>
    <t>Only if radio button 2.5 is selected.
For desktop display, this text should appear to the right of the radio button. For mobile display, it should be below the radio button.</t>
  </si>
  <si>
    <t>Only if radio button 2.6 is selected.
For desktop display, this text should appear to the right of the radio button. For mobile display, it should be below the radio button.</t>
  </si>
  <si>
    <t>Only if radio button 2.7 is selected.
For desktop display, this text should appear to the right of the radio button. For mobile display, it should be below the radio button.</t>
  </si>
  <si>
    <t>Make a deposit to your new business account</t>
  </si>
  <si>
    <t>This option will permit you to transfer funds from a personal account you hold at another financial institution. You cannot use a business account at this time.</t>
  </si>
  <si>
    <t>Flinks Me-2-Me funding will be restricted for SB DCO MVP to personal accounts only, subject to ownership validation as implemented for personal DCO.</t>
  </si>
  <si>
    <t>CWBSB-249 Method Selection - Sprint 7</t>
  </si>
  <si>
    <t>Text/verbiage updates CWBSB-437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</si>
</sst>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b/>
      <sz val="11"/>
      <color theme="0"/>
      <name val="Calibri"/>
      <family val="2"/>
      <scheme val="minor"/>
    </font>
    <font>
      <sz val="11"/>
      <color theme="0"/>
      <name val="Calibri"/>
      <family val="2"/>
      <scheme val="minor"/>
    </font>
    <font>
      <b/>
      <u/>
      <sz val="11"/>
      <color theme="1"/>
      <name val="Calibri"/>
      <family val="2"/>
      <scheme val="minor"/>
    </font>
    <font>
      <u/>
      <sz val="11"/>
      <color theme="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5" tint="0.59999389629810485"/>
        <bgColor indexed="64"/>
      </patternFill>
    </fill>
  </fills>
  <borders count="18">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s>
  <cellStyleXfs count="1">
    <xf numFmtId="0" fontId="0" fillId="0" borderId="0"/>
  </cellStyleXfs>
  <cellXfs count="78">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applyFont="1" applyBorder="1" applyAlignment="1">
      <alignmen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6" xfId="0" applyBorder="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0" borderId="0" xfId="0" applyAlignment="1">
      <alignment horizontal="center" vertical="center" wrapText="1"/>
    </xf>
    <xf numFmtId="0" fontId="0" fillId="0" borderId="0" xfId="0" applyFill="1" applyAlignment="1">
      <alignment vertical="center" wrapText="1"/>
    </xf>
    <xf numFmtId="0" fontId="0" fillId="5" borderId="0" xfId="0" applyFill="1" applyAlignment="1">
      <alignment vertical="center" wrapText="1"/>
    </xf>
    <xf numFmtId="0" fontId="0" fillId="5" borderId="0" xfId="0" applyFill="1" applyAlignment="1">
      <alignment horizontal="center" vertical="center" wrapText="1"/>
    </xf>
    <xf numFmtId="0" fontId="7" fillId="5" borderId="0" xfId="0" applyFont="1" applyFill="1" applyAlignment="1">
      <alignment vertical="center" wrapText="1"/>
    </xf>
    <xf numFmtId="8" fontId="0" fillId="0" borderId="0" xfId="0" applyNumberFormat="1" applyAlignment="1">
      <alignment vertical="center" wrapText="1"/>
    </xf>
    <xf numFmtId="0" fontId="9" fillId="5" borderId="0" xfId="0" applyFont="1" applyFill="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Font="1" applyAlignment="1">
      <alignment vertical="center" wrapText="1"/>
    </xf>
    <xf numFmtId="0" fontId="0" fillId="0" borderId="0" xfId="0" applyFont="1" applyFill="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1" fillId="3" borderId="14" xfId="0" applyFont="1" applyFill="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3" xfId="0" applyBorder="1" applyAlignment="1">
      <alignment horizontal="center" vertical="center" wrapText="1"/>
    </xf>
    <xf numFmtId="0" fontId="3" fillId="0" borderId="12" xfId="0" quotePrefix="1" applyFont="1" applyBorder="1" applyAlignment="1">
      <alignment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7" fillId="5" borderId="0" xfId="0" applyFont="1" applyFill="1" applyAlignment="1">
      <alignment vertical="center"/>
    </xf>
    <xf numFmtId="0" fontId="8" fillId="5" borderId="0" xfId="0" applyFont="1" applyFill="1"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0" fillId="7" borderId="0" xfId="0" applyFill="1" applyAlignment="1">
      <alignment vertical="center" wrapText="1"/>
    </xf>
    <xf numFmtId="0" fontId="0" fillId="6" borderId="0" xfId="0" applyFill="1" applyAlignment="1">
      <alignment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6" borderId="0" xfId="0" applyFill="1" applyAlignment="1">
      <alignment horizontal="center" vertical="center" wrapText="1"/>
    </xf>
    <xf numFmtId="0" fontId="0" fillId="0" borderId="0" xfId="0" applyFill="1" applyAlignment="1">
      <alignment horizontal="left" vertical="center" wrapText="1"/>
    </xf>
  </cellXfs>
  <cellStyles count="1">
    <cellStyle name="Normal" xfId="0" builtinId="0"/>
  </cellStyles>
  <dxfs count="56">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selection activeCell="A7" sqref="A7"/>
    </sheetView>
  </sheetViews>
  <sheetFormatPr defaultRowHeight="14.5" x14ac:dyDescent="0.35"/>
  <cols>
    <col min="1" max="1" width="19.81640625" customWidth="1"/>
    <col min="2" max="2" width="18.7265625" bestFit="1" customWidth="1"/>
    <col min="3" max="3" width="52.26953125" customWidth="1"/>
    <col min="4" max="6" width="21.54296875" customWidth="1"/>
    <col min="7" max="7" width="20.1796875" customWidth="1"/>
  </cols>
  <sheetData>
    <row r="1" spans="1:16" s="1" customFormat="1" ht="18.5" x14ac:dyDescent="0.35">
      <c r="A1" s="1" t="s">
        <v>173</v>
      </c>
      <c r="B1" s="2"/>
      <c r="C1" s="2"/>
      <c r="D1" s="2"/>
      <c r="E1" s="2"/>
      <c r="F1" s="2"/>
      <c r="G1" s="3"/>
      <c r="H1" s="2"/>
      <c r="I1" s="3"/>
      <c r="J1" s="3"/>
      <c r="K1" s="3"/>
      <c r="L1" s="2"/>
      <c r="M1" s="2"/>
      <c r="N1" s="2"/>
      <c r="O1" s="2"/>
      <c r="P1" s="2"/>
    </row>
    <row r="2" spans="1:16" s="1" customFormat="1" ht="18.5" x14ac:dyDescent="0.35">
      <c r="A2" s="1" t="s">
        <v>94</v>
      </c>
      <c r="B2" s="2"/>
      <c r="C2" s="2"/>
      <c r="D2" s="2"/>
      <c r="E2" s="2"/>
      <c r="F2" s="2"/>
      <c r="G2" s="3"/>
      <c r="H2" s="2"/>
      <c r="I2" s="3"/>
      <c r="J2" s="3"/>
      <c r="K2" s="3"/>
      <c r="L2" s="2"/>
      <c r="M2" s="2"/>
      <c r="N2" s="2"/>
      <c r="O2" s="2"/>
      <c r="P2" s="2"/>
    </row>
    <row r="3" spans="1:16" s="4" customFormat="1" x14ac:dyDescent="0.35">
      <c r="C3" s="5"/>
    </row>
    <row r="4" spans="1:16" ht="15" thickBot="1" x14ac:dyDescent="0.4"/>
    <row r="5" spans="1:16" s="10" customFormat="1" ht="15" thickBot="1" x14ac:dyDescent="0.4">
      <c r="A5" s="6" t="s">
        <v>0</v>
      </c>
      <c r="B5" s="7" t="s">
        <v>1</v>
      </c>
      <c r="C5" s="8" t="s">
        <v>2</v>
      </c>
      <c r="D5" s="7" t="s">
        <v>3</v>
      </c>
      <c r="E5" s="56" t="s">
        <v>117</v>
      </c>
      <c r="F5" s="9" t="s">
        <v>4</v>
      </c>
    </row>
    <row r="6" spans="1:16" s="4" customFormat="1" ht="136.5" customHeight="1" x14ac:dyDescent="0.35">
      <c r="A6" s="11" t="s">
        <v>140</v>
      </c>
      <c r="B6" s="12">
        <v>44117</v>
      </c>
      <c r="C6" s="13" t="s">
        <v>171</v>
      </c>
      <c r="D6" s="21" t="s">
        <v>172</v>
      </c>
      <c r="E6" s="57"/>
      <c r="F6" s="34"/>
    </row>
    <row r="7" spans="1:16" s="4" customFormat="1" x14ac:dyDescent="0.35">
      <c r="A7" s="11" t="s">
        <v>206</v>
      </c>
      <c r="B7" s="12">
        <v>44225</v>
      </c>
      <c r="C7" s="13" t="s">
        <v>217</v>
      </c>
      <c r="D7" s="21" t="s">
        <v>172</v>
      </c>
      <c r="E7" s="57"/>
      <c r="F7" s="34"/>
    </row>
    <row r="8" spans="1:16" s="4" customFormat="1" x14ac:dyDescent="0.35">
      <c r="A8" s="11"/>
      <c r="B8" s="12"/>
      <c r="C8" s="13"/>
      <c r="D8" s="19"/>
      <c r="E8" s="57"/>
      <c r="F8" s="34"/>
    </row>
    <row r="9" spans="1:16" s="4" customFormat="1" x14ac:dyDescent="0.35">
      <c r="A9" s="11"/>
      <c r="B9" s="12"/>
      <c r="C9" s="14"/>
      <c r="D9" s="19"/>
      <c r="E9" s="57"/>
      <c r="F9" s="34"/>
    </row>
    <row r="10" spans="1:16" s="4" customFormat="1" x14ac:dyDescent="0.35">
      <c r="A10" s="35"/>
      <c r="B10" s="36"/>
      <c r="C10" s="37"/>
      <c r="D10" s="38"/>
      <c r="E10" s="58"/>
      <c r="F10" s="60"/>
    </row>
    <row r="11" spans="1:16" s="4" customFormat="1" x14ac:dyDescent="0.35">
      <c r="A11" s="35"/>
      <c r="B11" s="36"/>
      <c r="C11" s="61"/>
      <c r="D11" s="38"/>
      <c r="E11" s="62"/>
      <c r="F11" s="60"/>
    </row>
    <row r="12" spans="1:16" s="4" customFormat="1" ht="15" thickBot="1" x14ac:dyDescent="0.4">
      <c r="A12" s="15"/>
      <c r="B12" s="16"/>
      <c r="C12" s="17"/>
      <c r="D12" s="20"/>
      <c r="E12" s="59"/>
      <c r="F12" s="18"/>
    </row>
  </sheetData>
  <conditionalFormatting sqref="I1:J2">
    <cfRule type="cellIs" dxfId="55" priority="10" operator="equal">
      <formula>"Not Applicable"</formula>
    </cfRule>
    <cfRule type="cellIs" dxfId="54" priority="11" operator="equal">
      <formula>"4 - Future Initiative (out of scope)"</formula>
    </cfRule>
    <cfRule type="cellIs" dxfId="53" priority="12" operator="equal">
      <formula>"3 - Desirable (Nice To Have)"</formula>
    </cfRule>
    <cfRule type="cellIs" dxfId="52" priority="13" operator="equal">
      <formula>"2 - Recommended (Best Practice)"</formula>
    </cfRule>
    <cfRule type="cellIs" dxfId="51" priority="14" operator="equal">
      <formula>"1 - Mandatory (Must Have)"</formula>
    </cfRule>
  </conditionalFormatting>
  <conditionalFormatting sqref="G1:G2">
    <cfRule type="cellIs" dxfId="50" priority="8" operator="equal">
      <formula>"Non-functional"</formula>
    </cfRule>
    <cfRule type="cellIs" dxfId="49"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A4" sqref="A4"/>
    </sheetView>
  </sheetViews>
  <sheetFormatPr defaultRowHeight="14.5" x14ac:dyDescent="0.35"/>
  <cols>
    <col min="1" max="1" width="47.26953125" bestFit="1" customWidth="1"/>
    <col min="2" max="2" width="25.54296875" customWidth="1"/>
  </cols>
  <sheetData>
    <row r="1" spans="1:15" s="1" customFormat="1" ht="18.5" x14ac:dyDescent="0.35">
      <c r="A1" s="1" t="s">
        <v>173</v>
      </c>
      <c r="B1" s="2"/>
      <c r="C1" s="2"/>
      <c r="D1" s="2"/>
      <c r="E1" s="2"/>
      <c r="F1" s="3"/>
      <c r="G1" s="2"/>
      <c r="H1" s="3"/>
      <c r="I1" s="3"/>
      <c r="J1" s="3"/>
      <c r="K1" s="2"/>
      <c r="L1" s="2"/>
      <c r="M1" s="2"/>
      <c r="N1" s="2"/>
      <c r="O1" s="2"/>
    </row>
    <row r="2" spans="1:15" s="1" customFormat="1" ht="18.5" x14ac:dyDescent="0.35">
      <c r="A2" s="1" t="s">
        <v>95</v>
      </c>
      <c r="B2" s="2"/>
      <c r="C2" s="2"/>
      <c r="D2" s="2"/>
      <c r="E2" s="2"/>
      <c r="F2" s="3"/>
      <c r="G2" s="2"/>
      <c r="H2" s="3"/>
      <c r="I2" s="3"/>
      <c r="J2" s="3"/>
      <c r="K2" s="2"/>
      <c r="L2" s="2"/>
      <c r="M2" s="2"/>
      <c r="N2" s="2"/>
      <c r="O2" s="2"/>
    </row>
    <row r="4" spans="1:15" s="22" customFormat="1" x14ac:dyDescent="0.35">
      <c r="A4" s="22" t="s">
        <v>24</v>
      </c>
      <c r="B4" s="22" t="s">
        <v>34</v>
      </c>
    </row>
    <row r="5" spans="1:15" x14ac:dyDescent="0.35">
      <c r="A5" t="s">
        <v>38</v>
      </c>
      <c r="B5" t="s">
        <v>37</v>
      </c>
    </row>
    <row r="6" spans="1:15" x14ac:dyDescent="0.35">
      <c r="A6" t="s">
        <v>26</v>
      </c>
      <c r="B6" t="s">
        <v>35</v>
      </c>
    </row>
    <row r="7" spans="1:15" x14ac:dyDescent="0.35">
      <c r="A7" t="s">
        <v>42</v>
      </c>
      <c r="B7" t="s">
        <v>36</v>
      </c>
    </row>
    <row r="8" spans="1:15" x14ac:dyDescent="0.35">
      <c r="A8" t="s">
        <v>51</v>
      </c>
      <c r="B8" t="s">
        <v>33</v>
      </c>
    </row>
    <row r="9" spans="1:15" x14ac:dyDescent="0.35">
      <c r="A9" t="s">
        <v>44</v>
      </c>
      <c r="B9" t="s">
        <v>40</v>
      </c>
    </row>
    <row r="10" spans="1:15" x14ac:dyDescent="0.35">
      <c r="A10" t="s">
        <v>31</v>
      </c>
    </row>
    <row r="11" spans="1:15" x14ac:dyDescent="0.35">
      <c r="A11" t="s">
        <v>67</v>
      </c>
    </row>
    <row r="12" spans="1:15" x14ac:dyDescent="0.35">
      <c r="A12" t="s">
        <v>62</v>
      </c>
    </row>
    <row r="13" spans="1:15" x14ac:dyDescent="0.35">
      <c r="A13" t="s">
        <v>50</v>
      </c>
    </row>
    <row r="14" spans="1:15" x14ac:dyDescent="0.35">
      <c r="A14" t="s">
        <v>48</v>
      </c>
    </row>
    <row r="15" spans="1:15" x14ac:dyDescent="0.35">
      <c r="A15" t="s">
        <v>46</v>
      </c>
    </row>
    <row r="16" spans="1:15" x14ac:dyDescent="0.35">
      <c r="A16" t="s">
        <v>41</v>
      </c>
    </row>
    <row r="17" spans="1:1" x14ac:dyDescent="0.35">
      <c r="A17" t="s">
        <v>28</v>
      </c>
    </row>
    <row r="18" spans="1:1" x14ac:dyDescent="0.35">
      <c r="A18" t="s">
        <v>27</v>
      </c>
    </row>
    <row r="19" spans="1:1" x14ac:dyDescent="0.35">
      <c r="A19" t="s">
        <v>47</v>
      </c>
    </row>
    <row r="20" spans="1:1" x14ac:dyDescent="0.35">
      <c r="A20" t="s">
        <v>25</v>
      </c>
    </row>
    <row r="21" spans="1:1" x14ac:dyDescent="0.35">
      <c r="A21" t="s">
        <v>45</v>
      </c>
    </row>
    <row r="22" spans="1:1" x14ac:dyDescent="0.35">
      <c r="A22" t="s">
        <v>30</v>
      </c>
    </row>
    <row r="23" spans="1:1" x14ac:dyDescent="0.35">
      <c r="A23" t="s">
        <v>32</v>
      </c>
    </row>
    <row r="24" spans="1:1" x14ac:dyDescent="0.35">
      <c r="A24" t="s">
        <v>29</v>
      </c>
    </row>
    <row r="25" spans="1:1" x14ac:dyDescent="0.35">
      <c r="A25" t="s">
        <v>43</v>
      </c>
    </row>
    <row r="26" spans="1:1" x14ac:dyDescent="0.35">
      <c r="A26" t="s">
        <v>49</v>
      </c>
    </row>
  </sheetData>
  <sortState ref="A5:A15">
    <sortCondition ref="A16"/>
  </sortState>
  <conditionalFormatting sqref="H1:I2">
    <cfRule type="cellIs" dxfId="48" priority="3" operator="equal">
      <formula>"Not Applicable"</formula>
    </cfRule>
    <cfRule type="cellIs" dxfId="47" priority="4" operator="equal">
      <formula>"4 - Future Initiative (out of scope)"</formula>
    </cfRule>
    <cfRule type="cellIs" dxfId="46" priority="5" operator="equal">
      <formula>"3 - Desirable (Nice To Have)"</formula>
    </cfRule>
    <cfRule type="cellIs" dxfId="45" priority="6" operator="equal">
      <formula>"2 - Recommended (Best Practice)"</formula>
    </cfRule>
    <cfRule type="cellIs" dxfId="44" priority="7" operator="equal">
      <formula>"1 - Mandatory (Must Have)"</formula>
    </cfRule>
  </conditionalFormatting>
  <conditionalFormatting sqref="F1:F2">
    <cfRule type="cellIs" dxfId="43" priority="1" operator="equal">
      <formula>"Non-functional"</formula>
    </cfRule>
    <cfRule type="cellIs" dxfId="42"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4" ySplit="6" topLeftCell="E16" activePane="bottomRight" state="frozen"/>
      <selection pane="topRight" activeCell="E1" sqref="E1"/>
      <selection pane="bottomLeft" activeCell="A7" sqref="A7"/>
      <selection pane="bottomRight" activeCell="D13" sqref="D13:D15"/>
    </sheetView>
  </sheetViews>
  <sheetFormatPr defaultColWidth="9.1796875" defaultRowHeight="14.5" x14ac:dyDescent="0.35"/>
  <cols>
    <col min="1" max="1" width="14.7265625" style="49" customWidth="1"/>
    <col min="2" max="2" width="12.54296875" style="49" customWidth="1"/>
    <col min="3" max="3" width="13" style="53" customWidth="1"/>
    <col min="4" max="4" width="45.1796875" style="49" customWidth="1"/>
    <col min="5" max="5" width="28.7265625" style="49" customWidth="1"/>
    <col min="6" max="6" width="37" style="49" customWidth="1"/>
    <col min="7" max="7" width="29.26953125" style="49" customWidth="1"/>
    <col min="8" max="8" width="11.54296875" style="53" bestFit="1" customWidth="1"/>
    <col min="9" max="9" width="34.81640625" style="49" customWidth="1"/>
    <col min="10" max="10" width="28.1796875" style="49" customWidth="1"/>
    <col min="11" max="11" width="14" style="49" customWidth="1"/>
    <col min="12" max="12" width="23" style="49" customWidth="1"/>
    <col min="13" max="13" width="29" style="49" customWidth="1"/>
    <col min="14" max="14" width="18.7265625" style="49" bestFit="1" customWidth="1"/>
    <col min="15" max="15" width="48.453125" style="49" customWidth="1"/>
    <col min="16" max="16" width="41.81640625" style="49" customWidth="1"/>
    <col min="17" max="16384" width="9.1796875" style="49"/>
  </cols>
  <sheetData>
    <row r="1" spans="1:16" s="25" customFormat="1" ht="18.5" x14ac:dyDescent="0.35">
      <c r="A1" s="23" t="s">
        <v>5</v>
      </c>
      <c r="B1" s="33" t="s">
        <v>101</v>
      </c>
      <c r="C1" s="27"/>
      <c r="D1" s="24"/>
      <c r="H1" s="30"/>
    </row>
    <row r="2" spans="1:16" s="25" customFormat="1" ht="18.5" x14ac:dyDescent="0.35">
      <c r="A2" s="23" t="s">
        <v>6</v>
      </c>
      <c r="B2" s="31">
        <v>1</v>
      </c>
      <c r="C2" s="30"/>
      <c r="D2" s="31"/>
      <c r="H2" s="30"/>
    </row>
    <row r="3" spans="1:16" s="25" customFormat="1" ht="18.5" x14ac:dyDescent="0.35">
      <c r="A3" s="23" t="s">
        <v>39</v>
      </c>
      <c r="B3" s="31" t="s">
        <v>174</v>
      </c>
      <c r="C3" s="30"/>
      <c r="D3" s="31"/>
      <c r="H3" s="30"/>
    </row>
    <row r="4" spans="1:16" s="25" customFormat="1" ht="18.5" x14ac:dyDescent="0.35">
      <c r="A4" s="23" t="s">
        <v>7</v>
      </c>
      <c r="B4" s="25" t="s">
        <v>97</v>
      </c>
      <c r="C4" s="30"/>
      <c r="H4" s="30"/>
    </row>
    <row r="5" spans="1:16" s="51" customFormat="1" x14ac:dyDescent="0.35">
      <c r="C5" s="52"/>
      <c r="H5" s="52"/>
    </row>
    <row r="6" spans="1:16" s="26" customFormat="1" ht="15" thickBot="1" x14ac:dyDescent="0.4">
      <c r="A6" s="26" t="s">
        <v>8</v>
      </c>
      <c r="B6" s="26" t="s">
        <v>9</v>
      </c>
      <c r="C6" s="28" t="s">
        <v>23</v>
      </c>
      <c r="D6" s="26" t="s">
        <v>22</v>
      </c>
      <c r="E6" s="26" t="s">
        <v>10</v>
      </c>
      <c r="F6" s="26" t="s">
        <v>11</v>
      </c>
      <c r="G6" s="26" t="s">
        <v>12</v>
      </c>
      <c r="H6" s="28" t="s">
        <v>13</v>
      </c>
      <c r="I6" s="26" t="s">
        <v>14</v>
      </c>
      <c r="J6" s="26" t="s">
        <v>15</v>
      </c>
      <c r="K6" s="26" t="s">
        <v>16</v>
      </c>
      <c r="L6" s="26" t="s">
        <v>17</v>
      </c>
      <c r="M6" s="26" t="s">
        <v>18</v>
      </c>
      <c r="N6" s="26" t="s">
        <v>19</v>
      </c>
      <c r="O6" s="26" t="s">
        <v>20</v>
      </c>
      <c r="P6" s="26" t="s">
        <v>21</v>
      </c>
    </row>
    <row r="7" spans="1:16" x14ac:dyDescent="0.35">
      <c r="A7" s="49">
        <v>1</v>
      </c>
      <c r="B7" s="49" t="str">
        <f t="shared" ref="B7:B20" si="0">CONCATENATE($B$2, ".", A7)</f>
        <v>1.1</v>
      </c>
      <c r="C7" s="53" t="s">
        <v>37</v>
      </c>
      <c r="D7" s="50" t="s">
        <v>192</v>
      </c>
      <c r="E7" s="49" t="s">
        <v>25</v>
      </c>
      <c r="F7" s="49" t="s">
        <v>55</v>
      </c>
      <c r="G7" s="49" t="s">
        <v>55</v>
      </c>
      <c r="H7" s="53" t="s">
        <v>55</v>
      </c>
      <c r="I7" s="50" t="s">
        <v>54</v>
      </c>
      <c r="J7" s="49" t="s">
        <v>55</v>
      </c>
      <c r="K7" s="49" t="s">
        <v>55</v>
      </c>
      <c r="L7" s="49" t="s">
        <v>55</v>
      </c>
      <c r="M7" s="49" t="s">
        <v>55</v>
      </c>
      <c r="N7" s="49" t="s">
        <v>55</v>
      </c>
    </row>
    <row r="8" spans="1:16" x14ac:dyDescent="0.35">
      <c r="A8" s="49">
        <v>2</v>
      </c>
      <c r="B8" s="49" t="str">
        <f t="shared" si="0"/>
        <v>1.2</v>
      </c>
      <c r="C8" s="53" t="s">
        <v>37</v>
      </c>
      <c r="D8" s="50" t="s">
        <v>55</v>
      </c>
      <c r="E8" s="50" t="s">
        <v>98</v>
      </c>
      <c r="F8" s="49" t="s">
        <v>55</v>
      </c>
      <c r="G8" s="49" t="s">
        <v>55</v>
      </c>
      <c r="H8" s="53" t="s">
        <v>55</v>
      </c>
      <c r="I8" s="50" t="s">
        <v>54</v>
      </c>
      <c r="J8" s="49" t="s">
        <v>55</v>
      </c>
      <c r="K8" s="49" t="s">
        <v>55</v>
      </c>
      <c r="L8" s="49" t="s">
        <v>55</v>
      </c>
      <c r="M8" s="49" t="s">
        <v>55</v>
      </c>
      <c r="N8" s="49" t="s">
        <v>55</v>
      </c>
    </row>
    <row r="9" spans="1:16" ht="58" x14ac:dyDescent="0.35">
      <c r="A9" s="49">
        <v>4</v>
      </c>
      <c r="B9" s="49" t="str">
        <f t="shared" si="0"/>
        <v>1.4</v>
      </c>
      <c r="C9" s="53" t="s">
        <v>37</v>
      </c>
      <c r="D9" s="49" t="s">
        <v>190</v>
      </c>
      <c r="E9" s="50" t="s">
        <v>32</v>
      </c>
      <c r="F9" s="49" t="s">
        <v>55</v>
      </c>
      <c r="G9" s="49" t="s">
        <v>55</v>
      </c>
      <c r="H9" s="53" t="s">
        <v>55</v>
      </c>
      <c r="I9" s="50" t="s">
        <v>54</v>
      </c>
      <c r="J9" s="49" t="s">
        <v>55</v>
      </c>
      <c r="K9" s="49" t="s">
        <v>55</v>
      </c>
      <c r="L9" s="49" t="s">
        <v>55</v>
      </c>
      <c r="M9" s="49" t="s">
        <v>55</v>
      </c>
      <c r="N9" s="49" t="s">
        <v>55</v>
      </c>
      <c r="O9" s="49" t="s">
        <v>191</v>
      </c>
    </row>
    <row r="10" spans="1:16" x14ac:dyDescent="0.35">
      <c r="A10" s="49">
        <v>5</v>
      </c>
      <c r="B10" s="49" t="str">
        <f t="shared" si="0"/>
        <v>1.5</v>
      </c>
      <c r="C10" s="53" t="s">
        <v>37</v>
      </c>
      <c r="D10" s="5" t="s">
        <v>188</v>
      </c>
      <c r="E10" s="50" t="s">
        <v>25</v>
      </c>
      <c r="F10" s="49" t="s">
        <v>55</v>
      </c>
      <c r="G10" s="49" t="s">
        <v>55</v>
      </c>
      <c r="H10" s="53" t="s">
        <v>55</v>
      </c>
      <c r="I10" s="50"/>
      <c r="J10" s="49" t="s">
        <v>55</v>
      </c>
      <c r="K10" s="49" t="s">
        <v>55</v>
      </c>
      <c r="L10" s="49" t="s">
        <v>55</v>
      </c>
      <c r="M10" s="49" t="s">
        <v>55</v>
      </c>
      <c r="N10" s="49" t="s">
        <v>55</v>
      </c>
    </row>
    <row r="11" spans="1:16" ht="131.25" customHeight="1" x14ac:dyDescent="0.35">
      <c r="A11" s="49">
        <v>6</v>
      </c>
      <c r="B11" s="49" t="str">
        <f t="shared" si="0"/>
        <v>1.6</v>
      </c>
      <c r="C11" s="53" t="s">
        <v>37</v>
      </c>
      <c r="D11" s="5" t="s">
        <v>189</v>
      </c>
      <c r="E11" s="50" t="s">
        <v>32</v>
      </c>
      <c r="F11" s="49" t="s">
        <v>55</v>
      </c>
      <c r="G11" s="49" t="s">
        <v>55</v>
      </c>
      <c r="H11" s="53" t="s">
        <v>55</v>
      </c>
      <c r="I11" s="50" t="s">
        <v>54</v>
      </c>
      <c r="J11" s="49" t="s">
        <v>55</v>
      </c>
      <c r="K11" s="49" t="s">
        <v>55</v>
      </c>
      <c r="L11" s="49" t="s">
        <v>55</v>
      </c>
      <c r="M11" s="49" t="s">
        <v>55</v>
      </c>
      <c r="N11" s="49" t="s">
        <v>55</v>
      </c>
      <c r="O11" s="50" t="s">
        <v>102</v>
      </c>
    </row>
    <row r="12" spans="1:16" ht="43.5" x14ac:dyDescent="0.35">
      <c r="A12" s="49">
        <v>7</v>
      </c>
      <c r="B12" s="49" t="str">
        <f t="shared" si="0"/>
        <v>1.7</v>
      </c>
      <c r="C12" s="53" t="s">
        <v>37</v>
      </c>
      <c r="D12" s="50" t="s">
        <v>141</v>
      </c>
      <c r="E12" s="50" t="s">
        <v>30</v>
      </c>
      <c r="F12" s="49" t="s">
        <v>55</v>
      </c>
      <c r="G12" s="49" t="s">
        <v>55</v>
      </c>
      <c r="H12" s="53" t="s">
        <v>55</v>
      </c>
      <c r="I12" s="50" t="s">
        <v>54</v>
      </c>
      <c r="J12" s="49" t="s">
        <v>55</v>
      </c>
      <c r="K12" s="49" t="s">
        <v>55</v>
      </c>
      <c r="L12" s="49" t="s">
        <v>55</v>
      </c>
      <c r="M12" s="49" t="s">
        <v>55</v>
      </c>
      <c r="N12" s="49" t="s">
        <v>55</v>
      </c>
    </row>
    <row r="13" spans="1:16" ht="91.5" customHeight="1" x14ac:dyDescent="0.35">
      <c r="A13" s="49">
        <v>8</v>
      </c>
      <c r="B13" s="49" t="str">
        <f t="shared" si="0"/>
        <v>1.8</v>
      </c>
      <c r="C13" s="53" t="s">
        <v>36</v>
      </c>
      <c r="D13" s="50" t="s">
        <v>195</v>
      </c>
      <c r="E13" s="50" t="s">
        <v>30</v>
      </c>
      <c r="F13" s="49" t="s">
        <v>55</v>
      </c>
      <c r="G13" s="49" t="s">
        <v>55</v>
      </c>
      <c r="H13" s="53" t="s">
        <v>55</v>
      </c>
      <c r="I13" s="50" t="s">
        <v>54</v>
      </c>
      <c r="J13" s="49" t="s">
        <v>55</v>
      </c>
      <c r="K13" s="49" t="s">
        <v>55</v>
      </c>
      <c r="L13" s="49" t="s">
        <v>55</v>
      </c>
      <c r="M13" s="49" t="s">
        <v>55</v>
      </c>
      <c r="N13" s="49" t="s">
        <v>55</v>
      </c>
    </row>
    <row r="14" spans="1:16" ht="214.5" customHeight="1" x14ac:dyDescent="0.35">
      <c r="A14" s="49">
        <v>9</v>
      </c>
      <c r="B14" s="49" t="str">
        <f t="shared" ref="B14:B19" si="1">CONCATENATE($B$2, ".", A14)</f>
        <v>1.9</v>
      </c>
      <c r="C14" s="53" t="s">
        <v>36</v>
      </c>
      <c r="D14" s="49" t="s">
        <v>103</v>
      </c>
      <c r="E14" s="49" t="s">
        <v>29</v>
      </c>
      <c r="F14" s="49" t="s">
        <v>100</v>
      </c>
      <c r="G14" s="50" t="s">
        <v>196</v>
      </c>
      <c r="H14" s="53" t="s">
        <v>197</v>
      </c>
      <c r="I14" s="50" t="s">
        <v>54</v>
      </c>
      <c r="J14" s="49" t="s">
        <v>99</v>
      </c>
      <c r="K14" s="49" t="s">
        <v>56</v>
      </c>
      <c r="L14" s="50" t="s">
        <v>104</v>
      </c>
      <c r="M14" s="50" t="s">
        <v>105</v>
      </c>
      <c r="N14" s="49" t="s">
        <v>106</v>
      </c>
      <c r="O14" s="50" t="s">
        <v>107</v>
      </c>
    </row>
    <row r="15" spans="1:16" ht="54.75" customHeight="1" x14ac:dyDescent="0.35">
      <c r="A15" s="49">
        <v>10</v>
      </c>
      <c r="B15" s="49" t="str">
        <f t="shared" si="1"/>
        <v>1.10</v>
      </c>
      <c r="C15" s="53" t="s">
        <v>36</v>
      </c>
      <c r="D15" s="49" t="s">
        <v>108</v>
      </c>
      <c r="E15" s="49" t="s">
        <v>29</v>
      </c>
      <c r="F15" s="49" t="s">
        <v>100</v>
      </c>
      <c r="G15" s="49" t="s">
        <v>55</v>
      </c>
      <c r="H15" s="53" t="s">
        <v>197</v>
      </c>
      <c r="I15" s="50" t="s">
        <v>54</v>
      </c>
      <c r="J15" s="49" t="s">
        <v>99</v>
      </c>
      <c r="K15" s="49" t="s">
        <v>56</v>
      </c>
      <c r="L15" s="50" t="s">
        <v>109</v>
      </c>
      <c r="M15" s="50" t="s">
        <v>118</v>
      </c>
      <c r="N15" s="50" t="s">
        <v>110</v>
      </c>
      <c r="O15" s="50" t="s">
        <v>107</v>
      </c>
    </row>
    <row r="16" spans="1:16" s="5" customFormat="1" x14ac:dyDescent="0.35">
      <c r="A16" s="49">
        <v>11</v>
      </c>
      <c r="B16" s="49" t="str">
        <f t="shared" si="1"/>
        <v>1.11</v>
      </c>
      <c r="C16" s="53" t="s">
        <v>37</v>
      </c>
      <c r="D16" s="5" t="s">
        <v>194</v>
      </c>
      <c r="E16" s="5" t="s">
        <v>25</v>
      </c>
      <c r="F16" s="5" t="s">
        <v>55</v>
      </c>
      <c r="G16" s="5" t="s">
        <v>55</v>
      </c>
      <c r="H16" s="71" t="s">
        <v>55</v>
      </c>
      <c r="I16" s="5" t="s">
        <v>54</v>
      </c>
      <c r="J16" s="5" t="s">
        <v>55</v>
      </c>
      <c r="K16" s="5" t="s">
        <v>55</v>
      </c>
      <c r="L16" s="5" t="s">
        <v>55</v>
      </c>
      <c r="M16" s="5" t="s">
        <v>55</v>
      </c>
      <c r="N16" s="5" t="s">
        <v>55</v>
      </c>
    </row>
    <row r="17" spans="1:15" s="5" customFormat="1" ht="58" x14ac:dyDescent="0.35">
      <c r="A17" s="49">
        <v>12</v>
      </c>
      <c r="B17" s="49" t="str">
        <f t="shared" si="1"/>
        <v>1.12</v>
      </c>
      <c r="C17" s="53" t="s">
        <v>37</v>
      </c>
      <c r="D17" s="5" t="s">
        <v>193</v>
      </c>
      <c r="E17" s="5" t="s">
        <v>30</v>
      </c>
      <c r="F17" s="5" t="s">
        <v>55</v>
      </c>
      <c r="G17" s="5" t="s">
        <v>55</v>
      </c>
      <c r="H17" s="71" t="s">
        <v>55</v>
      </c>
      <c r="I17" s="5" t="s">
        <v>54</v>
      </c>
      <c r="J17" s="5" t="s">
        <v>55</v>
      </c>
      <c r="K17" s="5" t="s">
        <v>55</v>
      </c>
      <c r="L17" s="5" t="s">
        <v>55</v>
      </c>
      <c r="M17" s="5" t="s">
        <v>55</v>
      </c>
      <c r="N17" s="5" t="s">
        <v>55</v>
      </c>
    </row>
    <row r="18" spans="1:15" s="5" customFormat="1" ht="144.75" customHeight="1" x14ac:dyDescent="0.35">
      <c r="A18" s="49">
        <v>13</v>
      </c>
      <c r="B18" s="49" t="str">
        <f t="shared" si="1"/>
        <v>1.13</v>
      </c>
      <c r="C18" s="53" t="s">
        <v>37</v>
      </c>
      <c r="D18" s="5" t="s">
        <v>180</v>
      </c>
      <c r="E18" s="5" t="s">
        <v>31</v>
      </c>
      <c r="F18" s="5" t="s">
        <v>181</v>
      </c>
      <c r="G18" s="5" t="s">
        <v>182</v>
      </c>
      <c r="H18" s="71" t="s">
        <v>55</v>
      </c>
      <c r="I18" s="5" t="s">
        <v>54</v>
      </c>
      <c r="J18" s="5" t="s">
        <v>99</v>
      </c>
      <c r="K18" s="5" t="s">
        <v>56</v>
      </c>
      <c r="L18" s="5" t="s">
        <v>183</v>
      </c>
      <c r="M18" s="5" t="s">
        <v>55</v>
      </c>
      <c r="N18" s="5" t="s">
        <v>55</v>
      </c>
      <c r="O18" s="5" t="s">
        <v>55</v>
      </c>
    </row>
    <row r="19" spans="1:15" s="5" customFormat="1" ht="185.25" customHeight="1" x14ac:dyDescent="0.35">
      <c r="A19" s="49">
        <v>14</v>
      </c>
      <c r="B19" s="49" t="str">
        <f t="shared" si="1"/>
        <v>1.14</v>
      </c>
      <c r="C19" s="53" t="s">
        <v>37</v>
      </c>
      <c r="D19" s="5" t="s">
        <v>184</v>
      </c>
      <c r="E19" s="5" t="s">
        <v>29</v>
      </c>
      <c r="F19" s="5" t="s">
        <v>100</v>
      </c>
      <c r="G19" s="5" t="s">
        <v>55</v>
      </c>
      <c r="H19" s="71">
        <v>30</v>
      </c>
      <c r="I19" s="5" t="s">
        <v>185</v>
      </c>
      <c r="J19" s="5" t="s">
        <v>99</v>
      </c>
      <c r="K19" s="5" t="s">
        <v>56</v>
      </c>
      <c r="L19" s="5" t="s">
        <v>186</v>
      </c>
      <c r="M19" s="5" t="s">
        <v>55</v>
      </c>
      <c r="N19" s="5" t="s">
        <v>55</v>
      </c>
      <c r="O19" s="5" t="s">
        <v>187</v>
      </c>
    </row>
    <row r="20" spans="1:15" ht="29" x14ac:dyDescent="0.35">
      <c r="A20" s="49">
        <v>15</v>
      </c>
      <c r="B20" s="49" t="str">
        <f t="shared" si="0"/>
        <v>1.15</v>
      </c>
      <c r="C20" s="53" t="s">
        <v>37</v>
      </c>
      <c r="D20" s="50" t="s">
        <v>57</v>
      </c>
      <c r="E20" s="49" t="s">
        <v>38</v>
      </c>
      <c r="F20" s="49" t="s">
        <v>55</v>
      </c>
      <c r="G20" s="49" t="s">
        <v>55</v>
      </c>
      <c r="H20" s="53" t="s">
        <v>55</v>
      </c>
      <c r="I20" s="50" t="s">
        <v>54</v>
      </c>
      <c r="J20" s="49" t="s">
        <v>55</v>
      </c>
      <c r="K20" s="49" t="s">
        <v>55</v>
      </c>
      <c r="L20" s="49" t="s">
        <v>55</v>
      </c>
      <c r="M20" s="49" t="s">
        <v>55</v>
      </c>
      <c r="N20" s="49" t="s">
        <v>55</v>
      </c>
      <c r="O20" s="40" t="s">
        <v>142</v>
      </c>
    </row>
  </sheetData>
  <autoFilter ref="A6:P6"/>
  <conditionalFormatting sqref="A1:XFD9 A20:XFD1048576 A12:XFD13 A10:C11 E10:XFD11 C14:XFD15 A14:B19 C8:C20 F16:N17">
    <cfRule type="cellIs" dxfId="41" priority="11" operator="equal">
      <formula>"n/a"</formula>
    </cfRule>
  </conditionalFormatting>
  <conditionalFormatting sqref="C1:C1048576">
    <cfRule type="cellIs" dxfId="40" priority="18" operator="equal">
      <formula>"WIP (see comments)"</formula>
    </cfRule>
    <cfRule type="cellIs" dxfId="39" priority="19" operator="equal">
      <formula>"Removed"</formula>
    </cfRule>
    <cfRule type="cellIs" dxfId="38" priority="20" operator="equal">
      <formula>"Updated"</formula>
    </cfRule>
    <cfRule type="cellIs" dxfId="37" priority="21" operator="equal">
      <formula>"New"</formula>
    </cfRule>
  </conditionalFormatting>
  <conditionalFormatting sqref="D19:XFD19 D18:E18 Q18:XFD18">
    <cfRule type="cellIs" dxfId="36" priority="5" operator="equal">
      <formula>"n/a"</formula>
    </cfRule>
  </conditionalFormatting>
  <conditionalFormatting sqref="F18:P18">
    <cfRule type="cellIs" dxfId="35" priority="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Values'!$A$5:$A$28</xm:f>
          </x14:formula1>
          <xm:sqref>E7:E15 E20:E1048576</xm:sqref>
        </x14:dataValidation>
        <x14:dataValidation type="list" allowBlank="1" showInputMessage="1" showErrorMessage="1">
          <x14:formula1>
            <xm:f>'List Values'!$B$5:$B$9</xm:f>
          </x14:formula1>
          <xm:sqref>C7:C1048576</xm:sqref>
        </x14:dataValidation>
        <x14:dataValidation type="list" allowBlank="1" showInputMessage="1" showErrorMessage="1">
          <x14:formula1>
            <xm:f>'List Values'!$A$5:$A$26</xm:f>
          </x14:formula1>
          <xm:sqref>E16:E19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D8" sqref="D8"/>
    </sheetView>
  </sheetViews>
  <sheetFormatPr defaultColWidth="9.1796875" defaultRowHeight="14.5" x14ac:dyDescent="0.35"/>
  <cols>
    <col min="1" max="1" width="14.7265625" style="49" customWidth="1"/>
    <col min="2" max="2" width="12.54296875" style="49" customWidth="1"/>
    <col min="3" max="3" width="13.54296875" style="53" customWidth="1"/>
    <col min="4" max="4" width="45.1796875" style="49" customWidth="1"/>
    <col min="5" max="5" width="28.7265625" style="49" customWidth="1"/>
    <col min="6" max="6" width="37" style="49" customWidth="1"/>
    <col min="7" max="7" width="29.26953125" style="49" customWidth="1"/>
    <col min="8" max="8" width="11.54296875" style="53" bestFit="1" customWidth="1"/>
    <col min="9" max="9" width="34.81640625" style="49" customWidth="1"/>
    <col min="10" max="10" width="28.1796875" style="49" customWidth="1"/>
    <col min="11" max="11" width="14" style="49" customWidth="1"/>
    <col min="12" max="12" width="23" style="49" customWidth="1"/>
    <col min="13" max="13" width="29" style="49" customWidth="1"/>
    <col min="14" max="14" width="18.7265625" style="49" bestFit="1" customWidth="1"/>
    <col min="15" max="15" width="48.453125" style="49" customWidth="1"/>
    <col min="16" max="16" width="41.81640625" style="49" customWidth="1"/>
    <col min="17" max="16384" width="9.1796875" style="49"/>
  </cols>
  <sheetData>
    <row r="1" spans="1:16" s="25" customFormat="1" ht="18.5" x14ac:dyDescent="0.35">
      <c r="A1" s="23" t="s">
        <v>5</v>
      </c>
      <c r="B1" s="33" t="s">
        <v>126</v>
      </c>
      <c r="C1" s="27"/>
      <c r="D1" s="24"/>
      <c r="H1" s="30"/>
    </row>
    <row r="2" spans="1:16" s="25" customFormat="1" ht="18.5" x14ac:dyDescent="0.35">
      <c r="A2" s="23" t="s">
        <v>6</v>
      </c>
      <c r="B2" s="31" t="s">
        <v>124</v>
      </c>
      <c r="C2" s="30"/>
      <c r="D2" s="31"/>
      <c r="H2" s="30"/>
    </row>
    <row r="3" spans="1:16" s="25" customFormat="1" ht="18.5" x14ac:dyDescent="0.35">
      <c r="A3" s="23" t="s">
        <v>39</v>
      </c>
      <c r="B3" s="31"/>
      <c r="C3" s="30"/>
      <c r="D3" s="31"/>
      <c r="H3" s="30"/>
    </row>
    <row r="4" spans="1:16" s="25" customFormat="1" ht="18.5" x14ac:dyDescent="0.35">
      <c r="A4" s="23" t="s">
        <v>7</v>
      </c>
      <c r="B4" s="25" t="s">
        <v>125</v>
      </c>
      <c r="C4" s="30"/>
      <c r="H4" s="30"/>
    </row>
    <row r="5" spans="1:16" s="51" customFormat="1" x14ac:dyDescent="0.35">
      <c r="C5" s="52"/>
      <c r="H5" s="52"/>
    </row>
    <row r="6" spans="1:16" s="26" customFormat="1" ht="15" thickBot="1" x14ac:dyDescent="0.4">
      <c r="A6" s="26" t="s">
        <v>8</v>
      </c>
      <c r="B6" s="26" t="s">
        <v>9</v>
      </c>
      <c r="C6" s="28" t="s">
        <v>23</v>
      </c>
      <c r="D6" s="26" t="s">
        <v>22</v>
      </c>
      <c r="E6" s="26" t="s">
        <v>10</v>
      </c>
      <c r="F6" s="26" t="s">
        <v>11</v>
      </c>
      <c r="G6" s="26" t="s">
        <v>12</v>
      </c>
      <c r="H6" s="28" t="s">
        <v>13</v>
      </c>
      <c r="I6" s="26" t="s">
        <v>14</v>
      </c>
      <c r="J6" s="26" t="s">
        <v>15</v>
      </c>
      <c r="K6" s="26" t="s">
        <v>16</v>
      </c>
      <c r="L6" s="26" t="s">
        <v>17</v>
      </c>
      <c r="M6" s="26" t="s">
        <v>18</v>
      </c>
      <c r="N6" s="26" t="s">
        <v>19</v>
      </c>
      <c r="O6" s="26" t="s">
        <v>20</v>
      </c>
      <c r="P6" s="26" t="s">
        <v>21</v>
      </c>
    </row>
    <row r="7" spans="1:16" x14ac:dyDescent="0.35">
      <c r="A7" s="49">
        <v>1</v>
      </c>
      <c r="B7" s="49" t="str">
        <f t="shared" ref="B7:B10" si="0">CONCATENATE($B$2, ".", A7)</f>
        <v>1a.1</v>
      </c>
      <c r="C7" s="53" t="s">
        <v>37</v>
      </c>
      <c r="D7" s="49" t="s">
        <v>127</v>
      </c>
      <c r="E7" s="50" t="s">
        <v>47</v>
      </c>
      <c r="F7" s="49" t="s">
        <v>55</v>
      </c>
      <c r="G7" s="49" t="s">
        <v>55</v>
      </c>
      <c r="H7" s="53" t="s">
        <v>55</v>
      </c>
      <c r="I7" s="50" t="s">
        <v>54</v>
      </c>
      <c r="J7" s="49" t="s">
        <v>55</v>
      </c>
      <c r="K7" s="49" t="s">
        <v>55</v>
      </c>
      <c r="L7" s="49" t="s">
        <v>55</v>
      </c>
      <c r="M7" s="49" t="s">
        <v>55</v>
      </c>
      <c r="N7" s="49" t="s">
        <v>55</v>
      </c>
    </row>
    <row r="8" spans="1:16" ht="81.75" customHeight="1" x14ac:dyDescent="0.35">
      <c r="A8" s="49">
        <v>2</v>
      </c>
      <c r="B8" s="49" t="str">
        <f t="shared" si="0"/>
        <v>1a.2</v>
      </c>
      <c r="C8" s="53" t="s">
        <v>37</v>
      </c>
      <c r="D8" s="50" t="s">
        <v>143</v>
      </c>
      <c r="E8" s="50" t="s">
        <v>115</v>
      </c>
      <c r="F8" s="49" t="s">
        <v>55</v>
      </c>
      <c r="G8" s="49" t="s">
        <v>55</v>
      </c>
      <c r="H8" s="53" t="s">
        <v>55</v>
      </c>
      <c r="I8" s="50" t="s">
        <v>54</v>
      </c>
      <c r="J8" s="49" t="s">
        <v>55</v>
      </c>
      <c r="K8" s="49" t="s">
        <v>55</v>
      </c>
      <c r="L8" s="49" t="s">
        <v>55</v>
      </c>
      <c r="M8" s="49" t="s">
        <v>55</v>
      </c>
      <c r="N8" s="49" t="s">
        <v>55</v>
      </c>
    </row>
    <row r="9" spans="1:16" ht="29" x14ac:dyDescent="0.35">
      <c r="A9" s="49">
        <v>3</v>
      </c>
      <c r="B9" s="49" t="str">
        <f t="shared" si="0"/>
        <v>1a.3</v>
      </c>
      <c r="C9" s="53" t="s">
        <v>37</v>
      </c>
      <c r="D9" s="50" t="s">
        <v>128</v>
      </c>
      <c r="E9" s="49" t="s">
        <v>38</v>
      </c>
      <c r="F9" s="49" t="s">
        <v>55</v>
      </c>
      <c r="G9" s="49" t="s">
        <v>55</v>
      </c>
      <c r="H9" s="53" t="s">
        <v>55</v>
      </c>
      <c r="I9" s="50" t="s">
        <v>54</v>
      </c>
      <c r="J9" s="49" t="s">
        <v>55</v>
      </c>
      <c r="K9" s="49" t="s">
        <v>55</v>
      </c>
      <c r="L9" s="49" t="s">
        <v>55</v>
      </c>
      <c r="M9" s="49" t="s">
        <v>55</v>
      </c>
      <c r="N9" s="49" t="s">
        <v>55</v>
      </c>
      <c r="O9" s="40" t="s">
        <v>144</v>
      </c>
    </row>
    <row r="10" spans="1:16" ht="29" x14ac:dyDescent="0.35">
      <c r="A10" s="49">
        <v>4</v>
      </c>
      <c r="B10" s="49" t="str">
        <f t="shared" si="0"/>
        <v>1a.4</v>
      </c>
      <c r="C10" s="53" t="s">
        <v>37</v>
      </c>
      <c r="D10" s="49" t="s">
        <v>129</v>
      </c>
      <c r="E10" s="49" t="s">
        <v>38</v>
      </c>
      <c r="F10" s="49" t="s">
        <v>55</v>
      </c>
      <c r="G10" s="49" t="s">
        <v>55</v>
      </c>
      <c r="H10" s="53" t="s">
        <v>55</v>
      </c>
      <c r="I10" s="50" t="s">
        <v>54</v>
      </c>
      <c r="J10" s="49" t="s">
        <v>55</v>
      </c>
      <c r="K10" s="49" t="s">
        <v>55</v>
      </c>
      <c r="L10" s="49" t="s">
        <v>55</v>
      </c>
      <c r="M10" s="49" t="s">
        <v>55</v>
      </c>
      <c r="N10" s="49" t="s">
        <v>55</v>
      </c>
      <c r="O10" s="49" t="s">
        <v>145</v>
      </c>
    </row>
  </sheetData>
  <autoFilter ref="A6:P6"/>
  <conditionalFormatting sqref="A1:XFD1048576">
    <cfRule type="cellIs" dxfId="34" priority="1" operator="equal">
      <formula>"n/a"</formula>
    </cfRule>
  </conditionalFormatting>
  <conditionalFormatting sqref="C1:C1048576">
    <cfRule type="cellIs" dxfId="33" priority="8" operator="equal">
      <formula>"WIP (see comments)"</formula>
    </cfRule>
    <cfRule type="cellIs" dxfId="32" priority="9" operator="equal">
      <formula>"Removed"</formula>
    </cfRule>
    <cfRule type="cellIs" dxfId="31" priority="10" operator="equal">
      <formula>"Updated"</formula>
    </cfRule>
    <cfRule type="cellIs" dxfId="30" priority="11"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Values'!$B$5:$B$9</xm:f>
          </x14:formula1>
          <xm:sqref>C7:C1048576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0"/>
  <sheetViews>
    <sheetView tabSelected="1" zoomScaleNormal="100" workbookViewId="0">
      <pane xSplit="4" ySplit="6" topLeftCell="E7" activePane="bottomRight" state="frozen"/>
      <selection pane="topRight" activeCell="E1" sqref="E1"/>
      <selection pane="bottomLeft" activeCell="A7" sqref="A7"/>
      <selection pane="bottomRight" activeCell="D4" sqref="D4"/>
    </sheetView>
  </sheetViews>
  <sheetFormatPr defaultColWidth="9.1796875" defaultRowHeight="14.5" x14ac:dyDescent="0.35"/>
  <cols>
    <col min="1" max="1" width="14.7265625" style="5" customWidth="1"/>
    <col min="2" max="2" width="12.54296875" style="5" customWidth="1"/>
    <col min="3" max="3" width="17.1796875" style="29" customWidth="1"/>
    <col min="4" max="4" width="45.1796875" style="5" customWidth="1"/>
    <col min="5" max="5" width="28.7265625" style="5" customWidth="1"/>
    <col min="6" max="6" width="21.453125" style="5" customWidth="1"/>
    <col min="7" max="7" width="17.7265625" style="5" customWidth="1"/>
    <col min="8" max="8" width="9.1796875" style="5"/>
    <col min="9" max="9" width="34.81640625" style="5" customWidth="1"/>
    <col min="10" max="10" width="13.26953125" style="5" bestFit="1" customWidth="1"/>
    <col min="11" max="11" width="10.7265625" style="5" bestFit="1" customWidth="1"/>
    <col min="12" max="12" width="19.26953125" style="5" bestFit="1" customWidth="1"/>
    <col min="13" max="13" width="21.1796875" style="5" bestFit="1"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5</v>
      </c>
      <c r="B1" s="33" t="s">
        <v>52</v>
      </c>
      <c r="C1" s="27"/>
      <c r="D1" s="24"/>
    </row>
    <row r="2" spans="1:16" s="25" customFormat="1" ht="18.5" x14ac:dyDescent="0.35">
      <c r="A2" s="23" t="s">
        <v>6</v>
      </c>
      <c r="B2" s="31">
        <v>2</v>
      </c>
      <c r="C2" s="30"/>
      <c r="D2" s="31"/>
    </row>
    <row r="3" spans="1:16" s="25" customFormat="1" ht="18.5" x14ac:dyDescent="0.35">
      <c r="A3" s="23" t="s">
        <v>39</v>
      </c>
      <c r="B3" s="31" t="s">
        <v>175</v>
      </c>
      <c r="C3" s="30"/>
      <c r="D3" s="31" t="s">
        <v>218</v>
      </c>
    </row>
    <row r="4" spans="1:16" s="25" customFormat="1" ht="18.5" x14ac:dyDescent="0.35">
      <c r="A4" s="23" t="s">
        <v>7</v>
      </c>
      <c r="B4" s="25" t="s">
        <v>63</v>
      </c>
      <c r="C4" s="30"/>
    </row>
    <row r="5" spans="1:16" s="4" customFormat="1" x14ac:dyDescent="0.35">
      <c r="C5" s="32"/>
    </row>
    <row r="6" spans="1:16" s="26" customFormat="1" ht="15" thickBot="1" x14ac:dyDescent="0.4">
      <c r="A6" s="26" t="s">
        <v>8</v>
      </c>
      <c r="B6" s="26" t="s">
        <v>9</v>
      </c>
      <c r="C6" s="28" t="s">
        <v>23</v>
      </c>
      <c r="D6" s="26" t="s">
        <v>22</v>
      </c>
      <c r="E6" s="26" t="s">
        <v>10</v>
      </c>
      <c r="F6" s="26" t="s">
        <v>11</v>
      </c>
      <c r="G6" s="26" t="s">
        <v>12</v>
      </c>
      <c r="H6" s="26" t="s">
        <v>13</v>
      </c>
      <c r="I6" s="26" t="s">
        <v>14</v>
      </c>
      <c r="J6" s="26" t="s">
        <v>15</v>
      </c>
      <c r="K6" s="26" t="s">
        <v>16</v>
      </c>
      <c r="L6" s="26" t="s">
        <v>17</v>
      </c>
      <c r="M6" s="26" t="s">
        <v>18</v>
      </c>
      <c r="N6" s="26" t="s">
        <v>19</v>
      </c>
      <c r="O6" s="26" t="s">
        <v>20</v>
      </c>
      <c r="P6" s="26" t="s">
        <v>21</v>
      </c>
    </row>
    <row r="7" spans="1:16" x14ac:dyDescent="0.35">
      <c r="A7" s="5">
        <v>1</v>
      </c>
      <c r="B7" s="5" t="str">
        <f>CONCATENATE($B$2, ".", A7)</f>
        <v>2.1</v>
      </c>
      <c r="C7" s="29" t="s">
        <v>37</v>
      </c>
      <c r="D7" s="40" t="s">
        <v>214</v>
      </c>
      <c r="E7" s="5" t="s">
        <v>25</v>
      </c>
      <c r="F7" s="5" t="s">
        <v>55</v>
      </c>
      <c r="G7" s="5" t="s">
        <v>55</v>
      </c>
      <c r="H7" s="5" t="s">
        <v>55</v>
      </c>
      <c r="I7" s="5" t="s">
        <v>54</v>
      </c>
      <c r="J7" s="5" t="s">
        <v>55</v>
      </c>
      <c r="K7" s="5" t="s">
        <v>55</v>
      </c>
      <c r="L7" s="5" t="s">
        <v>55</v>
      </c>
      <c r="M7" s="5" t="s">
        <v>55</v>
      </c>
      <c r="N7" s="5" t="s">
        <v>55</v>
      </c>
      <c r="O7" s="5" t="s">
        <v>55</v>
      </c>
    </row>
    <row r="8" spans="1:16" ht="29" x14ac:dyDescent="0.35">
      <c r="A8" s="5">
        <v>2</v>
      </c>
      <c r="B8" s="5" t="str">
        <f t="shared" ref="B8:B20" si="0">CONCATENATE($B$2, ".", A8)</f>
        <v>2.2</v>
      </c>
      <c r="C8" s="29" t="s">
        <v>40</v>
      </c>
      <c r="D8" s="40" t="s">
        <v>55</v>
      </c>
      <c r="E8" s="5" t="s">
        <v>41</v>
      </c>
      <c r="F8" s="5" t="s">
        <v>55</v>
      </c>
      <c r="G8" s="5" t="s">
        <v>55</v>
      </c>
      <c r="H8" s="5" t="s">
        <v>55</v>
      </c>
      <c r="I8" s="5" t="s">
        <v>54</v>
      </c>
      <c r="J8" s="5" t="s">
        <v>55</v>
      </c>
      <c r="K8" s="5" t="s">
        <v>55</v>
      </c>
      <c r="L8" s="5" t="s">
        <v>55</v>
      </c>
      <c r="M8" s="5" t="s">
        <v>55</v>
      </c>
      <c r="N8" s="5" t="s">
        <v>55</v>
      </c>
      <c r="O8" s="5" t="s">
        <v>55</v>
      </c>
    </row>
    <row r="9" spans="1:16" ht="29" x14ac:dyDescent="0.35">
      <c r="A9" s="5">
        <v>3</v>
      </c>
      <c r="B9" s="5" t="str">
        <f t="shared" si="0"/>
        <v>2.3</v>
      </c>
      <c r="C9" s="63" t="s">
        <v>37</v>
      </c>
      <c r="D9" s="40" t="s">
        <v>130</v>
      </c>
      <c r="E9" s="5" t="s">
        <v>30</v>
      </c>
      <c r="F9" s="5" t="s">
        <v>55</v>
      </c>
      <c r="G9" s="5" t="s">
        <v>55</v>
      </c>
      <c r="H9" s="5" t="s">
        <v>55</v>
      </c>
      <c r="I9" s="5" t="s">
        <v>54</v>
      </c>
      <c r="J9" s="5" t="s">
        <v>55</v>
      </c>
      <c r="K9" s="5" t="s">
        <v>55</v>
      </c>
      <c r="L9" s="5" t="s">
        <v>55</v>
      </c>
      <c r="M9" s="5" t="s">
        <v>55</v>
      </c>
      <c r="N9" s="5" t="s">
        <v>55</v>
      </c>
      <c r="O9" s="5" t="s">
        <v>55</v>
      </c>
    </row>
    <row r="10" spans="1:16" ht="140.5" customHeight="1" x14ac:dyDescent="0.35">
      <c r="A10" s="5">
        <v>4</v>
      </c>
      <c r="B10" s="5" t="str">
        <f t="shared" si="0"/>
        <v>2.4</v>
      </c>
      <c r="C10" s="72" t="s">
        <v>37</v>
      </c>
      <c r="D10" s="5" t="s">
        <v>80</v>
      </c>
      <c r="E10" s="73" t="s">
        <v>28</v>
      </c>
      <c r="F10" s="74" t="s">
        <v>208</v>
      </c>
      <c r="G10" s="5" t="s">
        <v>215</v>
      </c>
      <c r="H10" s="5" t="s">
        <v>55</v>
      </c>
      <c r="I10" s="40" t="s">
        <v>54</v>
      </c>
      <c r="J10" s="5" t="s">
        <v>209</v>
      </c>
      <c r="K10" s="74" t="s">
        <v>56</v>
      </c>
      <c r="L10" s="75" t="s">
        <v>165</v>
      </c>
      <c r="M10" s="5" t="s">
        <v>55</v>
      </c>
      <c r="N10" s="5" t="s">
        <v>55</v>
      </c>
      <c r="O10" s="40" t="s">
        <v>162</v>
      </c>
      <c r="P10" s="5" t="s">
        <v>216</v>
      </c>
    </row>
    <row r="11" spans="1:16" ht="73.5" customHeight="1" x14ac:dyDescent="0.35">
      <c r="A11" s="5">
        <v>5</v>
      </c>
      <c r="B11" s="5" t="str">
        <f t="shared" si="0"/>
        <v>2.5</v>
      </c>
      <c r="C11" s="72" t="s">
        <v>37</v>
      </c>
      <c r="D11" s="5" t="s">
        <v>81</v>
      </c>
      <c r="E11" s="73"/>
      <c r="F11" s="74"/>
      <c r="G11" s="5" t="s">
        <v>55</v>
      </c>
      <c r="H11" s="5" t="s">
        <v>55</v>
      </c>
      <c r="I11" s="5" t="s">
        <v>54</v>
      </c>
      <c r="J11" s="5" t="s">
        <v>209</v>
      </c>
      <c r="K11" s="74"/>
      <c r="L11" s="75"/>
      <c r="M11" s="5" t="s">
        <v>55</v>
      </c>
      <c r="N11" s="5" t="s">
        <v>55</v>
      </c>
      <c r="O11" s="40" t="s">
        <v>199</v>
      </c>
    </row>
    <row r="12" spans="1:16" ht="73.5" customHeight="1" x14ac:dyDescent="0.35">
      <c r="A12" s="5">
        <v>6</v>
      </c>
      <c r="B12" s="5" t="str">
        <f t="shared" si="0"/>
        <v>2.6</v>
      </c>
      <c r="C12" s="72" t="s">
        <v>40</v>
      </c>
      <c r="D12" s="40" t="s">
        <v>200</v>
      </c>
      <c r="E12" s="73"/>
      <c r="F12" s="74"/>
      <c r="G12" s="5" t="s">
        <v>55</v>
      </c>
      <c r="H12" s="5" t="s">
        <v>55</v>
      </c>
      <c r="I12" s="5" t="s">
        <v>54</v>
      </c>
      <c r="J12" s="5" t="s">
        <v>209</v>
      </c>
      <c r="K12" s="74"/>
      <c r="L12" s="75"/>
      <c r="M12" s="5" t="s">
        <v>55</v>
      </c>
      <c r="N12" s="5" t="s">
        <v>55</v>
      </c>
      <c r="O12" s="40" t="s">
        <v>198</v>
      </c>
      <c r="P12" s="5" t="s">
        <v>207</v>
      </c>
    </row>
    <row r="13" spans="1:16" ht="73.5" customHeight="1" x14ac:dyDescent="0.35">
      <c r="A13" s="5">
        <v>7</v>
      </c>
      <c r="B13" s="5" t="str">
        <f t="shared" ref="B13" si="1">CONCATENATE($B$2, ".", A13)</f>
        <v>2.7</v>
      </c>
      <c r="C13" s="67" t="s">
        <v>37</v>
      </c>
      <c r="D13" s="5" t="s">
        <v>146</v>
      </c>
      <c r="E13" s="73"/>
      <c r="F13" s="74"/>
      <c r="G13" s="5" t="s">
        <v>55</v>
      </c>
      <c r="H13" s="5" t="s">
        <v>55</v>
      </c>
      <c r="I13" s="5" t="s">
        <v>54</v>
      </c>
      <c r="J13" s="5" t="s">
        <v>209</v>
      </c>
      <c r="K13" s="74"/>
      <c r="L13" s="75"/>
      <c r="M13" s="5" t="s">
        <v>55</v>
      </c>
      <c r="N13" s="5" t="s">
        <v>55</v>
      </c>
      <c r="O13" s="40" t="s">
        <v>163</v>
      </c>
    </row>
    <row r="14" spans="1:16" ht="73.5" customHeight="1" x14ac:dyDescent="0.35">
      <c r="A14" s="5">
        <v>8</v>
      </c>
      <c r="B14" s="5" t="str">
        <f t="shared" si="0"/>
        <v>2.8</v>
      </c>
      <c r="C14" s="72" t="s">
        <v>37</v>
      </c>
      <c r="D14" s="5" t="s">
        <v>82</v>
      </c>
      <c r="E14" s="73"/>
      <c r="F14" s="74"/>
      <c r="G14" s="5" t="s">
        <v>55</v>
      </c>
      <c r="H14" s="5" t="s">
        <v>55</v>
      </c>
      <c r="I14" s="5" t="s">
        <v>54</v>
      </c>
      <c r="J14" s="5" t="s">
        <v>209</v>
      </c>
      <c r="K14" s="74"/>
      <c r="L14" s="75"/>
      <c r="M14" s="5" t="s">
        <v>55</v>
      </c>
      <c r="N14" s="5" t="s">
        <v>55</v>
      </c>
      <c r="O14" s="40" t="s">
        <v>164</v>
      </c>
    </row>
    <row r="15" spans="1:16" ht="116.25" customHeight="1" x14ac:dyDescent="0.35">
      <c r="A15" s="5">
        <v>9</v>
      </c>
      <c r="B15" s="5" t="str">
        <f t="shared" si="0"/>
        <v>2.9</v>
      </c>
      <c r="C15" s="72" t="s">
        <v>40</v>
      </c>
      <c r="D15" s="5" t="s">
        <v>79</v>
      </c>
      <c r="E15" s="47" t="s">
        <v>30</v>
      </c>
      <c r="F15" s="5" t="s">
        <v>55</v>
      </c>
      <c r="G15" s="5" t="s">
        <v>55</v>
      </c>
      <c r="H15" s="5" t="s">
        <v>55</v>
      </c>
      <c r="I15" s="5" t="s">
        <v>210</v>
      </c>
      <c r="J15" s="5" t="s">
        <v>55</v>
      </c>
      <c r="K15" s="5" t="s">
        <v>55</v>
      </c>
      <c r="L15" s="5" t="s">
        <v>55</v>
      </c>
      <c r="M15" s="5" t="s">
        <v>55</v>
      </c>
      <c r="N15" s="5" t="s">
        <v>55</v>
      </c>
      <c r="O15" s="5" t="s">
        <v>55</v>
      </c>
      <c r="P15" s="5" t="s">
        <v>202</v>
      </c>
    </row>
    <row r="16" spans="1:16" ht="108.75" customHeight="1" x14ac:dyDescent="0.35">
      <c r="A16" s="5">
        <v>10</v>
      </c>
      <c r="B16" s="5" t="str">
        <f t="shared" si="0"/>
        <v>2.10</v>
      </c>
      <c r="C16" s="72" t="s">
        <v>37</v>
      </c>
      <c r="D16" s="40" t="s">
        <v>139</v>
      </c>
      <c r="E16" s="47" t="s">
        <v>30</v>
      </c>
      <c r="F16" s="5" t="s">
        <v>55</v>
      </c>
      <c r="G16" s="5" t="s">
        <v>55</v>
      </c>
      <c r="H16" s="5" t="s">
        <v>55</v>
      </c>
      <c r="I16" s="5" t="s">
        <v>211</v>
      </c>
      <c r="J16" s="5" t="s">
        <v>55</v>
      </c>
      <c r="K16" s="5" t="s">
        <v>55</v>
      </c>
      <c r="L16" s="5" t="s">
        <v>55</v>
      </c>
      <c r="M16" s="5" t="s">
        <v>55</v>
      </c>
      <c r="N16" s="5" t="s">
        <v>55</v>
      </c>
      <c r="O16" s="5" t="s">
        <v>55</v>
      </c>
    </row>
    <row r="17" spans="1:15" ht="102" customHeight="1" x14ac:dyDescent="0.35">
      <c r="A17" s="5">
        <v>11</v>
      </c>
      <c r="B17" s="5" t="str">
        <f t="shared" si="0"/>
        <v>2.11</v>
      </c>
      <c r="C17" s="72" t="s">
        <v>37</v>
      </c>
      <c r="D17" s="40" t="s">
        <v>201</v>
      </c>
      <c r="E17" s="47" t="s">
        <v>30</v>
      </c>
      <c r="F17" s="5" t="s">
        <v>55</v>
      </c>
      <c r="G17" s="5" t="s">
        <v>55</v>
      </c>
      <c r="H17" s="5" t="s">
        <v>55</v>
      </c>
      <c r="I17" s="5" t="s">
        <v>212</v>
      </c>
      <c r="J17" s="5" t="s">
        <v>55</v>
      </c>
      <c r="K17" s="5" t="s">
        <v>55</v>
      </c>
      <c r="L17" s="5" t="s">
        <v>55</v>
      </c>
      <c r="M17" s="5" t="s">
        <v>55</v>
      </c>
      <c r="N17" s="5" t="s">
        <v>55</v>
      </c>
      <c r="O17" s="5" t="s">
        <v>55</v>
      </c>
    </row>
    <row r="18" spans="1:15" ht="102" customHeight="1" x14ac:dyDescent="0.35">
      <c r="A18" s="5">
        <v>12</v>
      </c>
      <c r="B18" s="5" t="str">
        <f t="shared" si="0"/>
        <v>2.12</v>
      </c>
      <c r="C18" s="72" t="s">
        <v>37</v>
      </c>
      <c r="D18" s="40" t="s">
        <v>203</v>
      </c>
      <c r="E18" s="66" t="s">
        <v>30</v>
      </c>
      <c r="F18" s="5" t="s">
        <v>55</v>
      </c>
      <c r="G18" s="5" t="s">
        <v>55</v>
      </c>
      <c r="H18" s="5" t="s">
        <v>55</v>
      </c>
      <c r="I18" s="5" t="s">
        <v>213</v>
      </c>
      <c r="J18" s="5" t="s">
        <v>55</v>
      </c>
      <c r="K18" s="5" t="s">
        <v>55</v>
      </c>
      <c r="L18" s="5" t="s">
        <v>55</v>
      </c>
      <c r="M18" s="5" t="s">
        <v>55</v>
      </c>
      <c r="N18" s="5" t="s">
        <v>55</v>
      </c>
      <c r="O18" s="5" t="s">
        <v>55</v>
      </c>
    </row>
    <row r="19" spans="1:15" ht="119.25" customHeight="1" x14ac:dyDescent="0.35">
      <c r="A19" s="5">
        <v>13</v>
      </c>
      <c r="B19" s="5" t="str">
        <f t="shared" si="0"/>
        <v>2.13</v>
      </c>
      <c r="C19" s="72" t="s">
        <v>37</v>
      </c>
      <c r="D19" s="5" t="s">
        <v>57</v>
      </c>
      <c r="E19" s="5" t="s">
        <v>38</v>
      </c>
      <c r="F19" s="5" t="s">
        <v>55</v>
      </c>
      <c r="G19" s="5" t="s">
        <v>55</v>
      </c>
      <c r="H19" s="5" t="s">
        <v>55</v>
      </c>
      <c r="I19" s="5" t="s">
        <v>54</v>
      </c>
      <c r="J19" s="5" t="s">
        <v>55</v>
      </c>
      <c r="K19" s="5" t="s">
        <v>55</v>
      </c>
      <c r="L19" s="5" t="s">
        <v>55</v>
      </c>
      <c r="M19" s="5" t="s">
        <v>55</v>
      </c>
      <c r="N19" s="5" t="s">
        <v>55</v>
      </c>
      <c r="O19" s="40" t="s">
        <v>205</v>
      </c>
    </row>
    <row r="20" spans="1:15" ht="39.75" customHeight="1" x14ac:dyDescent="0.35">
      <c r="A20" s="5">
        <v>14</v>
      </c>
      <c r="B20" s="5" t="str">
        <f t="shared" si="0"/>
        <v>2.14</v>
      </c>
      <c r="C20" s="72" t="s">
        <v>37</v>
      </c>
      <c r="D20" s="5" t="s">
        <v>83</v>
      </c>
      <c r="E20" s="5" t="s">
        <v>38</v>
      </c>
      <c r="F20" s="5" t="s">
        <v>55</v>
      </c>
      <c r="G20" s="5" t="s">
        <v>55</v>
      </c>
      <c r="H20" s="5" t="s">
        <v>55</v>
      </c>
      <c r="I20" s="5" t="s">
        <v>54</v>
      </c>
      <c r="J20" s="5" t="s">
        <v>55</v>
      </c>
      <c r="K20" s="5" t="s">
        <v>55</v>
      </c>
      <c r="L20" s="5" t="s">
        <v>55</v>
      </c>
      <c r="M20" s="5" t="s">
        <v>55</v>
      </c>
      <c r="N20" s="5" t="s">
        <v>55</v>
      </c>
      <c r="O20" s="5" t="s">
        <v>204</v>
      </c>
    </row>
  </sheetData>
  <mergeCells count="4">
    <mergeCell ref="E10:E14"/>
    <mergeCell ref="F10:F14"/>
    <mergeCell ref="K10:K14"/>
    <mergeCell ref="L10:L14"/>
  </mergeCells>
  <conditionalFormatting sqref="A1:XFD1048576">
    <cfRule type="cellIs" dxfId="29" priority="1" operator="equal">
      <formula>"n/a"</formula>
    </cfRule>
  </conditionalFormatting>
  <conditionalFormatting sqref="C1:C1048576">
    <cfRule type="cellIs" dxfId="28" priority="31" operator="equal">
      <formula>"WIP (see comments)"</formula>
    </cfRule>
    <cfRule type="cellIs" dxfId="27" priority="32" operator="equal">
      <formula>"Removed"</formula>
    </cfRule>
    <cfRule type="cellIs" dxfId="26" priority="33" operator="equal">
      <formula>"Updated"</formula>
    </cfRule>
    <cfRule type="cellIs" dxfId="25" priority="34" operator="equal">
      <formula>"New"</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 E19:E1048576</xm:sqref>
        </x14:dataValidation>
        <x14:dataValidation type="list" allowBlank="1" showInputMessage="1" showErrorMessage="1">
          <x14:formula1>
            <xm:f>'List Values'!$B$5:$B$13</xm:f>
          </x14:formula1>
          <xm:sqref>C7:C1048576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5" customWidth="1"/>
    <col min="2" max="2" width="12.54296875" style="5" customWidth="1"/>
    <col min="3" max="3" width="24.7265625" style="29" customWidth="1"/>
    <col min="4" max="4" width="45.1796875" style="5" customWidth="1"/>
    <col min="5" max="5" width="28.7265625" style="55" customWidth="1"/>
    <col min="6" max="6" width="22" style="5" customWidth="1"/>
    <col min="7" max="7" width="17.7265625" style="5" customWidth="1"/>
    <col min="8" max="8" width="9.1796875" style="5"/>
    <col min="9" max="9" width="34.81640625" style="5" customWidth="1"/>
    <col min="10" max="10" width="13.26953125" style="5" bestFit="1" customWidth="1"/>
    <col min="11" max="11" width="15.26953125" style="5" customWidth="1"/>
    <col min="12" max="12" width="19.26953125" style="5" bestFit="1" customWidth="1"/>
    <col min="13" max="13" width="21.1796875" style="5" bestFit="1"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5</v>
      </c>
      <c r="B1" s="33" t="s">
        <v>84</v>
      </c>
      <c r="C1" s="27"/>
      <c r="D1" s="24"/>
      <c r="E1" s="30"/>
    </row>
    <row r="2" spans="1:16" s="25" customFormat="1" ht="18.5" x14ac:dyDescent="0.35">
      <c r="A2" s="23" t="s">
        <v>6</v>
      </c>
      <c r="B2" s="31">
        <v>3</v>
      </c>
      <c r="C2" s="30"/>
      <c r="D2" s="31"/>
      <c r="E2" s="30"/>
    </row>
    <row r="3" spans="1:16" s="25" customFormat="1" ht="18.5" x14ac:dyDescent="0.35">
      <c r="A3" s="23" t="s">
        <v>39</v>
      </c>
      <c r="B3" s="31" t="s">
        <v>176</v>
      </c>
      <c r="C3" s="30"/>
      <c r="D3" s="31"/>
      <c r="E3" s="30"/>
    </row>
    <row r="4" spans="1:16" s="25" customFormat="1" ht="18.5" x14ac:dyDescent="0.35">
      <c r="A4" s="23" t="s">
        <v>7</v>
      </c>
      <c r="B4" s="25" t="s">
        <v>85</v>
      </c>
      <c r="C4" s="30"/>
      <c r="E4" s="30"/>
    </row>
    <row r="5" spans="1:16" s="4" customFormat="1" x14ac:dyDescent="0.35">
      <c r="C5" s="32"/>
      <c r="E5" s="32"/>
    </row>
    <row r="6" spans="1:16" s="26" customFormat="1" ht="15" thickBot="1" x14ac:dyDescent="0.4">
      <c r="A6" s="26" t="s">
        <v>8</v>
      </c>
      <c r="B6" s="26" t="s">
        <v>9</v>
      </c>
      <c r="C6" s="28" t="s">
        <v>23</v>
      </c>
      <c r="D6" s="26" t="s">
        <v>22</v>
      </c>
      <c r="E6" s="28" t="s">
        <v>10</v>
      </c>
      <c r="F6" s="26" t="s">
        <v>11</v>
      </c>
      <c r="G6" s="26" t="s">
        <v>12</v>
      </c>
      <c r="H6" s="26" t="s">
        <v>13</v>
      </c>
      <c r="I6" s="26" t="s">
        <v>14</v>
      </c>
      <c r="J6" s="26" t="s">
        <v>15</v>
      </c>
      <c r="K6" s="26" t="s">
        <v>16</v>
      </c>
      <c r="L6" s="26" t="s">
        <v>17</v>
      </c>
      <c r="M6" s="26" t="s">
        <v>18</v>
      </c>
      <c r="N6" s="26" t="s">
        <v>19</v>
      </c>
      <c r="O6" s="26" t="s">
        <v>20</v>
      </c>
      <c r="P6" s="26" t="s">
        <v>21</v>
      </c>
    </row>
    <row r="7" spans="1:16" x14ac:dyDescent="0.35">
      <c r="A7" s="5">
        <v>1</v>
      </c>
      <c r="B7" s="5" t="str">
        <f>CONCATENATE($B$2, ".", A7)</f>
        <v>3.1</v>
      </c>
      <c r="C7" s="29" t="s">
        <v>35</v>
      </c>
      <c r="D7" s="40" t="s">
        <v>86</v>
      </c>
      <c r="E7" s="55" t="s">
        <v>25</v>
      </c>
      <c r="F7" s="5" t="s">
        <v>55</v>
      </c>
      <c r="G7" s="5" t="s">
        <v>55</v>
      </c>
      <c r="H7" s="5" t="s">
        <v>55</v>
      </c>
      <c r="I7" s="5" t="s">
        <v>54</v>
      </c>
      <c r="J7" s="5" t="s">
        <v>55</v>
      </c>
      <c r="K7" s="5" t="s">
        <v>55</v>
      </c>
      <c r="L7" s="5" t="s">
        <v>55</v>
      </c>
      <c r="M7" s="5" t="s">
        <v>55</v>
      </c>
      <c r="N7" s="5" t="s">
        <v>55</v>
      </c>
      <c r="O7" s="5" t="s">
        <v>55</v>
      </c>
    </row>
    <row r="8" spans="1:16" x14ac:dyDescent="0.35">
      <c r="A8" s="5">
        <v>2</v>
      </c>
      <c r="B8" s="5" t="str">
        <f t="shared" ref="B8:B15" si="0">CONCATENATE($B$2, ".", A8)</f>
        <v>3.2</v>
      </c>
      <c r="C8" s="29" t="s">
        <v>35</v>
      </c>
      <c r="D8" s="5" t="s">
        <v>55</v>
      </c>
      <c r="E8" s="55" t="s">
        <v>41</v>
      </c>
      <c r="F8" s="5" t="s">
        <v>55</v>
      </c>
      <c r="G8" s="5" t="s">
        <v>55</v>
      </c>
      <c r="H8" s="5" t="s">
        <v>55</v>
      </c>
      <c r="I8" s="5" t="s">
        <v>54</v>
      </c>
      <c r="J8" s="5" t="s">
        <v>55</v>
      </c>
      <c r="K8" s="5" t="s">
        <v>55</v>
      </c>
      <c r="L8" s="5" t="s">
        <v>55</v>
      </c>
      <c r="M8" s="5" t="s">
        <v>55</v>
      </c>
      <c r="N8" s="5" t="s">
        <v>55</v>
      </c>
      <c r="O8" s="5" t="s">
        <v>55</v>
      </c>
    </row>
    <row r="9" spans="1:16" ht="112.5" customHeight="1" x14ac:dyDescent="0.35">
      <c r="A9" s="5">
        <v>3</v>
      </c>
      <c r="B9" s="5" t="str">
        <f t="shared" si="0"/>
        <v>3.3</v>
      </c>
      <c r="C9" s="63" t="s">
        <v>35</v>
      </c>
      <c r="D9" s="40" t="s">
        <v>131</v>
      </c>
      <c r="E9" s="55" t="s">
        <v>30</v>
      </c>
      <c r="F9" s="5" t="s">
        <v>55</v>
      </c>
      <c r="G9" s="5" t="s">
        <v>55</v>
      </c>
      <c r="H9" s="5" t="s">
        <v>55</v>
      </c>
      <c r="I9" s="77" t="s">
        <v>92</v>
      </c>
      <c r="J9" s="5" t="s">
        <v>55</v>
      </c>
      <c r="K9" s="5" t="s">
        <v>55</v>
      </c>
      <c r="L9" s="5" t="s">
        <v>55</v>
      </c>
      <c r="M9" s="5" t="s">
        <v>55</v>
      </c>
      <c r="N9" s="5" t="s">
        <v>55</v>
      </c>
      <c r="O9" s="5" t="s">
        <v>55</v>
      </c>
    </row>
    <row r="10" spans="1:16" ht="49.5" customHeight="1" x14ac:dyDescent="0.35">
      <c r="A10" s="5">
        <v>4</v>
      </c>
      <c r="B10" s="5" t="str">
        <f t="shared" si="0"/>
        <v>3.4</v>
      </c>
      <c r="C10" s="63" t="s">
        <v>33</v>
      </c>
      <c r="D10" s="40" t="s">
        <v>60</v>
      </c>
      <c r="E10" s="74" t="s">
        <v>28</v>
      </c>
      <c r="F10" s="74" t="s">
        <v>58</v>
      </c>
      <c r="G10" s="5" t="s">
        <v>55</v>
      </c>
      <c r="H10" s="5" t="s">
        <v>55</v>
      </c>
      <c r="I10" s="77"/>
      <c r="J10" s="5" t="s">
        <v>59</v>
      </c>
      <c r="K10" s="5" t="s">
        <v>88</v>
      </c>
      <c r="L10" s="76" t="s">
        <v>166</v>
      </c>
      <c r="M10" s="5" t="s">
        <v>55</v>
      </c>
      <c r="N10" s="5" t="s">
        <v>55</v>
      </c>
      <c r="O10" s="5" t="s">
        <v>55</v>
      </c>
    </row>
    <row r="11" spans="1:16" ht="63.75" customHeight="1" x14ac:dyDescent="0.35">
      <c r="A11" s="5">
        <v>5</v>
      </c>
      <c r="B11" s="5" t="str">
        <f t="shared" si="0"/>
        <v>3.5</v>
      </c>
      <c r="C11" s="63" t="s">
        <v>33</v>
      </c>
      <c r="D11" s="40" t="s">
        <v>64</v>
      </c>
      <c r="E11" s="74"/>
      <c r="F11" s="74"/>
      <c r="G11" s="5" t="s">
        <v>55</v>
      </c>
      <c r="H11" s="5" t="s">
        <v>55</v>
      </c>
      <c r="I11" s="77"/>
      <c r="J11" s="5" t="s">
        <v>59</v>
      </c>
      <c r="K11" s="5" t="s">
        <v>88</v>
      </c>
      <c r="L11" s="76"/>
      <c r="M11" s="5" t="s">
        <v>55</v>
      </c>
      <c r="N11" s="5" t="s">
        <v>55</v>
      </c>
      <c r="O11" s="5" t="s">
        <v>55</v>
      </c>
    </row>
    <row r="12" spans="1:16" ht="159.75" customHeight="1" x14ac:dyDescent="0.35">
      <c r="A12" s="5">
        <v>6</v>
      </c>
      <c r="B12" s="5" t="str">
        <f>CONCATENATE($B$2, ".", A12)</f>
        <v>3.6</v>
      </c>
      <c r="C12" s="63" t="s">
        <v>35</v>
      </c>
      <c r="D12" s="40" t="s">
        <v>132</v>
      </c>
      <c r="E12" s="55" t="s">
        <v>30</v>
      </c>
      <c r="F12" s="5" t="s">
        <v>55</v>
      </c>
      <c r="G12" s="5" t="s">
        <v>55</v>
      </c>
      <c r="H12" s="5" t="s">
        <v>55</v>
      </c>
      <c r="I12" s="40" t="s">
        <v>87</v>
      </c>
      <c r="J12" s="5" t="s">
        <v>55</v>
      </c>
      <c r="K12" s="5" t="s">
        <v>55</v>
      </c>
      <c r="L12" s="5" t="s">
        <v>55</v>
      </c>
      <c r="M12" s="5" t="s">
        <v>55</v>
      </c>
      <c r="N12" s="5" t="s">
        <v>55</v>
      </c>
      <c r="O12" s="5" t="s">
        <v>55</v>
      </c>
    </row>
    <row r="13" spans="1:16" ht="210.75" customHeight="1" x14ac:dyDescent="0.35">
      <c r="A13" s="5">
        <v>7</v>
      </c>
      <c r="B13" s="5" t="str">
        <f>CONCATENATE($B$2, ".", A13)</f>
        <v>3.7</v>
      </c>
      <c r="C13" s="54" t="s">
        <v>35</v>
      </c>
      <c r="D13" s="5" t="s">
        <v>55</v>
      </c>
      <c r="E13" s="55" t="s">
        <v>62</v>
      </c>
      <c r="F13" s="5" t="s">
        <v>55</v>
      </c>
      <c r="G13" s="5" t="s">
        <v>55</v>
      </c>
      <c r="H13" s="5" t="s">
        <v>55</v>
      </c>
      <c r="I13" s="5" t="s">
        <v>119</v>
      </c>
      <c r="J13" s="5" t="s">
        <v>55</v>
      </c>
      <c r="K13" s="5" t="s">
        <v>89</v>
      </c>
      <c r="L13" s="5" t="s">
        <v>66</v>
      </c>
      <c r="M13" s="5" t="s">
        <v>55</v>
      </c>
      <c r="N13" s="5" t="s">
        <v>55</v>
      </c>
      <c r="O13" s="5" t="s">
        <v>55</v>
      </c>
    </row>
    <row r="14" spans="1:16" ht="34.5" customHeight="1" x14ac:dyDescent="0.35">
      <c r="A14" s="5">
        <v>8</v>
      </c>
      <c r="B14" s="5" t="str">
        <f t="shared" si="0"/>
        <v>3.8</v>
      </c>
      <c r="C14" s="54" t="s">
        <v>35</v>
      </c>
      <c r="D14" s="5" t="s">
        <v>57</v>
      </c>
      <c r="E14" s="55" t="s">
        <v>38</v>
      </c>
      <c r="F14" s="5" t="s">
        <v>55</v>
      </c>
      <c r="G14" s="5" t="s">
        <v>55</v>
      </c>
      <c r="H14" s="5" t="s">
        <v>55</v>
      </c>
      <c r="I14" s="5" t="s">
        <v>54</v>
      </c>
      <c r="J14" s="5" t="s">
        <v>55</v>
      </c>
      <c r="K14" s="5" t="s">
        <v>55</v>
      </c>
      <c r="L14" s="5" t="s">
        <v>55</v>
      </c>
      <c r="M14" s="5" t="s">
        <v>55</v>
      </c>
      <c r="N14" s="5" t="s">
        <v>55</v>
      </c>
      <c r="O14" s="40" t="s">
        <v>116</v>
      </c>
    </row>
    <row r="15" spans="1:16" x14ac:dyDescent="0.35">
      <c r="A15" s="5">
        <v>9</v>
      </c>
      <c r="B15" s="5" t="str">
        <f t="shared" si="0"/>
        <v>3.9</v>
      </c>
      <c r="C15" s="29" t="s">
        <v>35</v>
      </c>
      <c r="D15" s="5" t="s">
        <v>61</v>
      </c>
      <c r="E15" s="55" t="s">
        <v>38</v>
      </c>
      <c r="F15" s="5" t="s">
        <v>55</v>
      </c>
      <c r="G15" s="5" t="s">
        <v>55</v>
      </c>
      <c r="H15" s="5" t="s">
        <v>55</v>
      </c>
      <c r="I15" s="5" t="s">
        <v>54</v>
      </c>
      <c r="J15" s="5" t="s">
        <v>55</v>
      </c>
      <c r="K15" s="5" t="s">
        <v>55</v>
      </c>
      <c r="L15" s="5" t="s">
        <v>55</v>
      </c>
      <c r="M15" s="5" t="s">
        <v>55</v>
      </c>
      <c r="N15" s="5" t="s">
        <v>55</v>
      </c>
      <c r="O15" s="5" t="s">
        <v>65</v>
      </c>
    </row>
  </sheetData>
  <mergeCells count="4">
    <mergeCell ref="E10:E11"/>
    <mergeCell ref="F10:F11"/>
    <mergeCell ref="L10:L11"/>
    <mergeCell ref="I9:I11"/>
  </mergeCells>
  <conditionalFormatting sqref="A1:XFD1048576">
    <cfRule type="cellIs" dxfId="24" priority="1" operator="equal">
      <formula>"n/a"</formula>
    </cfRule>
  </conditionalFormatting>
  <conditionalFormatting sqref="C1:C1048576">
    <cfRule type="cellIs" dxfId="23" priority="11" operator="equal">
      <formula>"WIP (see comments)"</formula>
    </cfRule>
    <cfRule type="cellIs" dxfId="22" priority="12" operator="equal">
      <formula>"Removed"</formula>
    </cfRule>
    <cfRule type="cellIs" dxfId="21" priority="13" operator="equal">
      <formula>"Updated"</formula>
    </cfRule>
    <cfRule type="cellIs" dxfId="20" priority="14" operator="equal">
      <formula>"New"</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Values'!$A$5:$A$26</xm:f>
          </x14:formula1>
          <xm:sqref>E12:E1048576 E7:E10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5" customWidth="1"/>
    <col min="2" max="2" width="12.54296875" style="5" customWidth="1"/>
    <col min="3" max="3" width="22" style="29" customWidth="1"/>
    <col min="4" max="4" width="45.1796875" style="5" customWidth="1"/>
    <col min="5" max="5" width="28.7265625" style="5" customWidth="1"/>
    <col min="6" max="6" width="46.54296875" style="5" customWidth="1"/>
    <col min="7" max="7" width="17.7265625" style="5" customWidth="1"/>
    <col min="8" max="8" width="9.1796875" style="5"/>
    <col min="9" max="9" width="34.81640625" style="5" customWidth="1"/>
    <col min="10" max="10" width="13.26953125" style="5" bestFit="1" customWidth="1"/>
    <col min="11" max="11" width="17" style="5" customWidth="1"/>
    <col min="12" max="12" width="19.26953125" style="5" bestFit="1" customWidth="1"/>
    <col min="13" max="13" width="21.1796875" style="5" bestFit="1"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5</v>
      </c>
      <c r="B1" s="33" t="s">
        <v>53</v>
      </c>
      <c r="C1" s="27"/>
      <c r="D1" s="24"/>
    </row>
    <row r="2" spans="1:16" s="25" customFormat="1" ht="18.5" x14ac:dyDescent="0.35">
      <c r="A2" s="23" t="s">
        <v>6</v>
      </c>
      <c r="B2" s="31">
        <v>4</v>
      </c>
      <c r="C2" s="30"/>
      <c r="D2" s="31"/>
    </row>
    <row r="3" spans="1:16" s="25" customFormat="1" ht="18.5" x14ac:dyDescent="0.35">
      <c r="A3" s="23" t="s">
        <v>39</v>
      </c>
      <c r="B3" s="31" t="s">
        <v>177</v>
      </c>
      <c r="C3" s="30"/>
      <c r="D3" s="31"/>
    </row>
    <row r="4" spans="1:16" s="25" customFormat="1" ht="18.5" x14ac:dyDescent="0.35">
      <c r="A4" s="23" t="s">
        <v>7</v>
      </c>
      <c r="B4" s="25" t="s">
        <v>85</v>
      </c>
      <c r="C4" s="30"/>
    </row>
    <row r="5" spans="1:16" s="4" customFormat="1" x14ac:dyDescent="0.35">
      <c r="C5" s="32"/>
    </row>
    <row r="6" spans="1:16" s="26" customFormat="1" ht="15" thickBot="1" x14ac:dyDescent="0.4">
      <c r="A6" s="26" t="s">
        <v>8</v>
      </c>
      <c r="B6" s="26" t="s">
        <v>9</v>
      </c>
      <c r="C6" s="28" t="s">
        <v>23</v>
      </c>
      <c r="D6" s="26" t="s">
        <v>22</v>
      </c>
      <c r="E6" s="26" t="s">
        <v>10</v>
      </c>
      <c r="F6" s="26" t="s">
        <v>11</v>
      </c>
      <c r="G6" s="26" t="s">
        <v>12</v>
      </c>
      <c r="H6" s="26" t="s">
        <v>13</v>
      </c>
      <c r="I6" s="26" t="s">
        <v>14</v>
      </c>
      <c r="J6" s="26" t="s">
        <v>15</v>
      </c>
      <c r="K6" s="26" t="s">
        <v>16</v>
      </c>
      <c r="L6" s="26" t="s">
        <v>17</v>
      </c>
      <c r="M6" s="26" t="s">
        <v>18</v>
      </c>
      <c r="N6" s="26" t="s">
        <v>19</v>
      </c>
      <c r="O6" s="26" t="s">
        <v>20</v>
      </c>
      <c r="P6" s="26" t="s">
        <v>21</v>
      </c>
    </row>
    <row r="7" spans="1:16" x14ac:dyDescent="0.35">
      <c r="A7" s="5">
        <v>1</v>
      </c>
      <c r="B7" s="5" t="str">
        <f>CONCATENATE($B$2, ".", A7)</f>
        <v>4.1</v>
      </c>
      <c r="C7" s="29" t="s">
        <v>35</v>
      </c>
      <c r="D7" s="40" t="s">
        <v>90</v>
      </c>
      <c r="E7" s="5" t="s">
        <v>25</v>
      </c>
      <c r="F7" s="5" t="s">
        <v>55</v>
      </c>
      <c r="G7" s="5" t="s">
        <v>55</v>
      </c>
      <c r="H7" s="5" t="s">
        <v>55</v>
      </c>
      <c r="I7" s="5" t="s">
        <v>54</v>
      </c>
      <c r="J7" s="5" t="s">
        <v>55</v>
      </c>
      <c r="K7" s="5" t="s">
        <v>55</v>
      </c>
      <c r="L7" s="5" t="s">
        <v>55</v>
      </c>
      <c r="M7" s="5" t="s">
        <v>55</v>
      </c>
      <c r="N7" s="5" t="s">
        <v>55</v>
      </c>
      <c r="O7" s="5" t="s">
        <v>55</v>
      </c>
    </row>
    <row r="8" spans="1:16" x14ac:dyDescent="0.35">
      <c r="A8" s="5">
        <v>2</v>
      </c>
      <c r="B8" s="5" t="str">
        <f t="shared" ref="B8:B14" si="0">CONCATENATE($B$2, ".", A8)</f>
        <v>4.2</v>
      </c>
      <c r="C8" s="29" t="s">
        <v>35</v>
      </c>
      <c r="D8" s="5" t="s">
        <v>55</v>
      </c>
      <c r="E8" s="5" t="s">
        <v>41</v>
      </c>
      <c r="F8" s="5" t="s">
        <v>55</v>
      </c>
      <c r="G8" s="5" t="s">
        <v>55</v>
      </c>
      <c r="H8" s="5" t="s">
        <v>55</v>
      </c>
      <c r="I8" s="5" t="s">
        <v>54</v>
      </c>
      <c r="J8" s="5" t="s">
        <v>55</v>
      </c>
      <c r="K8" s="5" t="s">
        <v>55</v>
      </c>
      <c r="L8" s="5" t="s">
        <v>55</v>
      </c>
      <c r="M8" s="5" t="s">
        <v>55</v>
      </c>
      <c r="N8" s="5" t="s">
        <v>55</v>
      </c>
      <c r="O8" s="5" t="s">
        <v>55</v>
      </c>
    </row>
    <row r="9" spans="1:16" ht="171.75" customHeight="1" x14ac:dyDescent="0.35">
      <c r="A9" s="5">
        <v>3</v>
      </c>
      <c r="B9" s="5" t="str">
        <f t="shared" si="0"/>
        <v>4.3</v>
      </c>
      <c r="C9" s="63" t="s">
        <v>35</v>
      </c>
      <c r="D9" s="40" t="s">
        <v>133</v>
      </c>
      <c r="E9" s="40" t="s">
        <v>31</v>
      </c>
      <c r="F9" s="40" t="s">
        <v>93</v>
      </c>
      <c r="G9" s="5" t="s">
        <v>55</v>
      </c>
      <c r="H9" s="5" t="s">
        <v>55</v>
      </c>
      <c r="I9" s="5" t="s">
        <v>54</v>
      </c>
      <c r="J9" s="5" t="s">
        <v>55</v>
      </c>
      <c r="K9" s="40" t="s">
        <v>56</v>
      </c>
      <c r="L9" s="40" t="s">
        <v>134</v>
      </c>
      <c r="M9" s="5" t="s">
        <v>55</v>
      </c>
      <c r="N9" s="5" t="s">
        <v>55</v>
      </c>
      <c r="O9" s="5" t="s">
        <v>55</v>
      </c>
    </row>
    <row r="10" spans="1:16" x14ac:dyDescent="0.35">
      <c r="A10" s="5">
        <v>4</v>
      </c>
      <c r="B10" s="5" t="str">
        <f t="shared" si="0"/>
        <v>4.4</v>
      </c>
      <c r="C10" s="48" t="s">
        <v>35</v>
      </c>
      <c r="D10" s="5" t="s">
        <v>78</v>
      </c>
      <c r="E10" s="5" t="s">
        <v>30</v>
      </c>
      <c r="F10" s="5" t="s">
        <v>55</v>
      </c>
      <c r="G10" s="5" t="s">
        <v>55</v>
      </c>
      <c r="H10" s="5" t="s">
        <v>55</v>
      </c>
      <c r="I10" s="5" t="s">
        <v>54</v>
      </c>
      <c r="J10" s="5" t="s">
        <v>55</v>
      </c>
      <c r="K10" s="5" t="s">
        <v>55</v>
      </c>
      <c r="L10" s="5" t="s">
        <v>55</v>
      </c>
      <c r="M10" s="5" t="s">
        <v>55</v>
      </c>
      <c r="N10" s="5" t="s">
        <v>55</v>
      </c>
      <c r="O10" s="5" t="s">
        <v>55</v>
      </c>
    </row>
    <row r="11" spans="1:16" s="43" customFormat="1" ht="15" customHeight="1" x14ac:dyDescent="0.35">
      <c r="A11" s="64" t="s">
        <v>70</v>
      </c>
      <c r="B11" s="64"/>
      <c r="C11" s="64"/>
      <c r="D11" s="64"/>
      <c r="E11" s="64"/>
    </row>
    <row r="12" spans="1:16" ht="130.5" customHeight="1" x14ac:dyDescent="0.35">
      <c r="A12" s="5">
        <v>5</v>
      </c>
      <c r="B12" s="5" t="str">
        <f t="shared" si="0"/>
        <v>4.5</v>
      </c>
      <c r="C12" s="46" t="s">
        <v>35</v>
      </c>
      <c r="D12" s="5" t="s">
        <v>147</v>
      </c>
      <c r="E12" s="5" t="s">
        <v>29</v>
      </c>
      <c r="F12" s="5" t="s">
        <v>71</v>
      </c>
      <c r="G12" s="5" t="s">
        <v>55</v>
      </c>
      <c r="H12" s="5" t="s">
        <v>55</v>
      </c>
      <c r="I12" s="5" t="s">
        <v>54</v>
      </c>
      <c r="J12" s="44" t="s">
        <v>68</v>
      </c>
      <c r="K12" s="5" t="s">
        <v>96</v>
      </c>
      <c r="L12" s="5" t="s">
        <v>69</v>
      </c>
      <c r="M12" s="40" t="s">
        <v>123</v>
      </c>
      <c r="N12" s="40" t="s">
        <v>137</v>
      </c>
      <c r="O12" s="5" t="s">
        <v>55</v>
      </c>
    </row>
    <row r="13" spans="1:16" s="41" customFormat="1" x14ac:dyDescent="0.35">
      <c r="C13" s="42"/>
    </row>
    <row r="14" spans="1:16" ht="123" customHeight="1" x14ac:dyDescent="0.35">
      <c r="A14" s="5">
        <v>6</v>
      </c>
      <c r="B14" s="5" t="str">
        <f t="shared" si="0"/>
        <v>4.6</v>
      </c>
      <c r="C14" s="46" t="s">
        <v>35</v>
      </c>
      <c r="D14" s="5" t="s">
        <v>57</v>
      </c>
      <c r="E14" s="5" t="s">
        <v>38</v>
      </c>
      <c r="F14" s="5" t="s">
        <v>55</v>
      </c>
      <c r="G14" s="5" t="s">
        <v>55</v>
      </c>
      <c r="H14" s="5" t="s">
        <v>55</v>
      </c>
      <c r="I14" s="5" t="s">
        <v>54</v>
      </c>
      <c r="J14" s="5" t="s">
        <v>55</v>
      </c>
      <c r="K14" s="5" t="s">
        <v>55</v>
      </c>
      <c r="L14" s="5" t="s">
        <v>55</v>
      </c>
      <c r="M14" s="5" t="s">
        <v>55</v>
      </c>
      <c r="N14" s="5" t="s">
        <v>55</v>
      </c>
      <c r="O14" s="40" t="s">
        <v>148</v>
      </c>
    </row>
    <row r="15" spans="1:16" ht="85.5" customHeight="1" x14ac:dyDescent="0.35">
      <c r="A15" s="5">
        <v>7</v>
      </c>
      <c r="B15" s="5" t="str">
        <f t="shared" ref="B15:B16" si="1">CONCATENATE($B$2, ".", A15)</f>
        <v>4.7</v>
      </c>
      <c r="C15" s="48" t="s">
        <v>35</v>
      </c>
      <c r="D15" s="5" t="s">
        <v>61</v>
      </c>
      <c r="E15" s="5" t="s">
        <v>38</v>
      </c>
      <c r="F15" s="5" t="s">
        <v>55</v>
      </c>
      <c r="G15" s="5" t="s">
        <v>55</v>
      </c>
      <c r="H15" s="5" t="s">
        <v>55</v>
      </c>
      <c r="I15" s="5" t="s">
        <v>54</v>
      </c>
      <c r="J15" s="5" t="s">
        <v>55</v>
      </c>
      <c r="K15" s="5" t="s">
        <v>55</v>
      </c>
      <c r="L15" s="5" t="s">
        <v>55</v>
      </c>
      <c r="M15" s="5" t="s">
        <v>55</v>
      </c>
      <c r="N15" s="5" t="s">
        <v>55</v>
      </c>
      <c r="O15" s="40" t="s">
        <v>149</v>
      </c>
    </row>
    <row r="16" spans="1:16" ht="157.5" customHeight="1" x14ac:dyDescent="0.35">
      <c r="A16" s="5">
        <v>8</v>
      </c>
      <c r="B16" s="5" t="str">
        <f t="shared" si="1"/>
        <v>4.8</v>
      </c>
      <c r="C16" s="48" t="s">
        <v>35</v>
      </c>
      <c r="D16" s="46" t="s">
        <v>112</v>
      </c>
      <c r="E16" s="5" t="s">
        <v>51</v>
      </c>
      <c r="F16" s="5" t="s">
        <v>55</v>
      </c>
      <c r="G16" s="5" t="s">
        <v>55</v>
      </c>
      <c r="H16" s="5" t="s">
        <v>55</v>
      </c>
      <c r="I16" s="5" t="s">
        <v>91</v>
      </c>
      <c r="J16" s="5" t="s">
        <v>55</v>
      </c>
      <c r="K16" s="5" t="s">
        <v>55</v>
      </c>
      <c r="L16" s="5" t="s">
        <v>55</v>
      </c>
      <c r="M16" s="5" t="s">
        <v>55</v>
      </c>
      <c r="N16" s="5" t="s">
        <v>55</v>
      </c>
      <c r="O16" s="5" t="s">
        <v>150</v>
      </c>
    </row>
  </sheetData>
  <conditionalFormatting sqref="A1:XFD1048576">
    <cfRule type="cellIs" dxfId="19" priority="1" operator="equal">
      <formula>"n/a"</formula>
    </cfRule>
  </conditionalFormatting>
  <conditionalFormatting sqref="C1:C1048576">
    <cfRule type="cellIs" dxfId="18" priority="8" operator="equal">
      <formula>"WIP (see comments)"</formula>
    </cfRule>
    <cfRule type="cellIs" dxfId="17" priority="9" operator="equal">
      <formula>"Removed"</formula>
    </cfRule>
    <cfRule type="cellIs" dxfId="16" priority="10" operator="equal">
      <formula>"Updated"</formula>
    </cfRule>
    <cfRule type="cellIs" dxfId="15" priority="11" operator="equal">
      <formula>"New"</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C12:C1048576 C7:C10</xm:sqref>
        </x14:dataValidation>
        <x14:dataValidation type="list" allowBlank="1" showInputMessage="1" showErrorMessage="1">
          <x14:formula1>
            <xm:f>'List Values'!$A$5:$A$26</xm:f>
          </x14:formula1>
          <xm:sqref>E12:E1048576 E7:E10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5" customWidth="1"/>
    <col min="2" max="2" width="12.54296875" style="5" customWidth="1"/>
    <col min="3" max="3" width="22" style="55" customWidth="1"/>
    <col min="4" max="4" width="45.1796875" style="5" customWidth="1"/>
    <col min="5" max="5" width="28.7265625" style="5" customWidth="1"/>
    <col min="6" max="6" width="46.54296875" style="5" customWidth="1"/>
    <col min="7" max="7" width="17.7265625" style="5" customWidth="1"/>
    <col min="8" max="8" width="9.1796875" style="5"/>
    <col min="9" max="9" width="34.81640625" style="5" customWidth="1"/>
    <col min="10" max="10" width="13.26953125" style="5" bestFit="1" customWidth="1"/>
    <col min="11" max="11" width="17" style="5" customWidth="1"/>
    <col min="12" max="12" width="19.26953125" style="5" bestFit="1" customWidth="1"/>
    <col min="13" max="13" width="21.1796875" style="5" bestFit="1"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5</v>
      </c>
      <c r="B1" s="33" t="s">
        <v>113</v>
      </c>
      <c r="C1" s="27"/>
      <c r="D1" s="24"/>
    </row>
    <row r="2" spans="1:16" s="25" customFormat="1" ht="18.5" x14ac:dyDescent="0.35">
      <c r="A2" s="23" t="s">
        <v>6</v>
      </c>
      <c r="B2" s="31" t="s">
        <v>120</v>
      </c>
      <c r="C2" s="30"/>
      <c r="D2" s="31"/>
    </row>
    <row r="3" spans="1:16" s="25" customFormat="1" ht="18.5" x14ac:dyDescent="0.35">
      <c r="A3" s="23" t="s">
        <v>39</v>
      </c>
      <c r="B3" s="31" t="s">
        <v>178</v>
      </c>
      <c r="C3" s="30"/>
      <c r="D3" s="31"/>
    </row>
    <row r="4" spans="1:16" s="25" customFormat="1" ht="18.5" x14ac:dyDescent="0.35">
      <c r="A4" s="23" t="s">
        <v>7</v>
      </c>
      <c r="B4" s="25" t="s">
        <v>114</v>
      </c>
      <c r="C4" s="30"/>
    </row>
    <row r="5" spans="1:16" s="4" customFormat="1" x14ac:dyDescent="0.35">
      <c r="C5" s="32"/>
    </row>
    <row r="6" spans="1:16" s="26" customFormat="1" ht="15" thickBot="1" x14ac:dyDescent="0.4">
      <c r="A6" s="26" t="s">
        <v>8</v>
      </c>
      <c r="B6" s="26" t="s">
        <v>9</v>
      </c>
      <c r="C6" s="28" t="s">
        <v>23</v>
      </c>
      <c r="D6" s="26" t="s">
        <v>22</v>
      </c>
      <c r="E6" s="26" t="s">
        <v>10</v>
      </c>
      <c r="F6" s="26" t="s">
        <v>11</v>
      </c>
      <c r="G6" s="26" t="s">
        <v>12</v>
      </c>
      <c r="H6" s="26" t="s">
        <v>13</v>
      </c>
      <c r="I6" s="26" t="s">
        <v>14</v>
      </c>
      <c r="J6" s="26" t="s">
        <v>15</v>
      </c>
      <c r="K6" s="26" t="s">
        <v>16</v>
      </c>
      <c r="L6" s="26" t="s">
        <v>17</v>
      </c>
      <c r="M6" s="26" t="s">
        <v>18</v>
      </c>
      <c r="N6" s="26" t="s">
        <v>19</v>
      </c>
      <c r="O6" s="26" t="s">
        <v>20</v>
      </c>
      <c r="P6" s="26" t="s">
        <v>21</v>
      </c>
    </row>
    <row r="7" spans="1:16" x14ac:dyDescent="0.35">
      <c r="A7" s="5">
        <v>1</v>
      </c>
      <c r="B7" s="5" t="str">
        <f t="shared" ref="B7:B11" si="0">CONCATENATE($B$2, ".", A7)</f>
        <v>4a.1</v>
      </c>
      <c r="C7" s="55" t="s">
        <v>33</v>
      </c>
      <c r="D7" s="69" t="s">
        <v>167</v>
      </c>
      <c r="E7" s="5" t="s">
        <v>47</v>
      </c>
      <c r="F7" s="5" t="s">
        <v>55</v>
      </c>
      <c r="G7" s="5" t="s">
        <v>55</v>
      </c>
      <c r="H7" s="5" t="s">
        <v>55</v>
      </c>
      <c r="I7" s="5" t="s">
        <v>54</v>
      </c>
      <c r="J7" s="5" t="s">
        <v>55</v>
      </c>
      <c r="K7" s="5" t="s">
        <v>55</v>
      </c>
      <c r="L7" s="5" t="s">
        <v>55</v>
      </c>
      <c r="M7" s="5" t="s">
        <v>55</v>
      </c>
      <c r="N7" s="5" t="s">
        <v>55</v>
      </c>
      <c r="O7" s="5" t="s">
        <v>55</v>
      </c>
    </row>
    <row r="8" spans="1:16" ht="93" customHeight="1" x14ac:dyDescent="0.35">
      <c r="A8" s="5">
        <v>2</v>
      </c>
      <c r="B8" s="5" t="str">
        <f t="shared" si="0"/>
        <v>4a.2</v>
      </c>
      <c r="C8" s="63" t="s">
        <v>35</v>
      </c>
      <c r="D8" s="40" t="s">
        <v>135</v>
      </c>
      <c r="E8" s="40" t="s">
        <v>115</v>
      </c>
      <c r="F8" s="40" t="s">
        <v>55</v>
      </c>
      <c r="G8" s="5" t="s">
        <v>55</v>
      </c>
      <c r="H8" s="5" t="s">
        <v>55</v>
      </c>
      <c r="I8" s="5" t="s">
        <v>54</v>
      </c>
      <c r="J8" s="5" t="s">
        <v>55</v>
      </c>
      <c r="K8" s="5" t="s">
        <v>55</v>
      </c>
      <c r="L8" s="5" t="s">
        <v>55</v>
      </c>
      <c r="M8" s="5" t="s">
        <v>55</v>
      </c>
      <c r="N8" s="5" t="s">
        <v>55</v>
      </c>
      <c r="O8" s="5" t="s">
        <v>55</v>
      </c>
    </row>
    <row r="9" spans="1:16" ht="29" x14ac:dyDescent="0.35">
      <c r="A9" s="5">
        <v>3</v>
      </c>
      <c r="B9" s="5" t="str">
        <f t="shared" si="0"/>
        <v>4a.3</v>
      </c>
      <c r="C9" s="63" t="s">
        <v>33</v>
      </c>
      <c r="D9" s="40" t="s">
        <v>55</v>
      </c>
      <c r="E9" s="5" t="s">
        <v>46</v>
      </c>
      <c r="F9" s="5" t="s">
        <v>55</v>
      </c>
      <c r="G9" s="5" t="s">
        <v>55</v>
      </c>
      <c r="H9" s="5" t="s">
        <v>55</v>
      </c>
      <c r="I9" s="5" t="s">
        <v>54</v>
      </c>
      <c r="J9" s="5" t="s">
        <v>55</v>
      </c>
      <c r="K9" s="5" t="s">
        <v>55</v>
      </c>
      <c r="L9" s="5" t="s">
        <v>55</v>
      </c>
      <c r="M9" s="5" t="s">
        <v>55</v>
      </c>
      <c r="N9" s="5" t="s">
        <v>55</v>
      </c>
      <c r="O9" s="69" t="s">
        <v>161</v>
      </c>
    </row>
    <row r="10" spans="1:16" ht="82.5" customHeight="1" x14ac:dyDescent="0.35">
      <c r="A10" s="5">
        <v>4</v>
      </c>
      <c r="B10" s="5" t="str">
        <f t="shared" si="0"/>
        <v>4a.4</v>
      </c>
      <c r="C10" s="70" t="s">
        <v>33</v>
      </c>
      <c r="D10" s="69" t="s">
        <v>170</v>
      </c>
      <c r="E10" s="40" t="s">
        <v>115</v>
      </c>
      <c r="F10" s="40" t="s">
        <v>55</v>
      </c>
      <c r="G10" s="5" t="s">
        <v>55</v>
      </c>
      <c r="H10" s="5" t="s">
        <v>55</v>
      </c>
      <c r="I10" s="5" t="s">
        <v>54</v>
      </c>
      <c r="J10" s="5" t="s">
        <v>55</v>
      </c>
      <c r="K10" s="5" t="s">
        <v>55</v>
      </c>
      <c r="L10" s="5" t="s">
        <v>55</v>
      </c>
      <c r="M10" s="5" t="s">
        <v>55</v>
      </c>
      <c r="N10" s="5" t="s">
        <v>55</v>
      </c>
      <c r="O10" s="5" t="s">
        <v>55</v>
      </c>
      <c r="P10" s="68" t="s">
        <v>160</v>
      </c>
    </row>
    <row r="11" spans="1:16" ht="29" x14ac:dyDescent="0.35">
      <c r="A11" s="5">
        <v>5</v>
      </c>
      <c r="B11" s="5" t="str">
        <f t="shared" si="0"/>
        <v>4a.5</v>
      </c>
      <c r="C11" s="63" t="s">
        <v>35</v>
      </c>
      <c r="D11" s="5" t="s">
        <v>57</v>
      </c>
      <c r="E11" s="5" t="s">
        <v>38</v>
      </c>
      <c r="F11" s="5" t="s">
        <v>55</v>
      </c>
      <c r="G11" s="5" t="s">
        <v>55</v>
      </c>
      <c r="H11" s="5" t="s">
        <v>55</v>
      </c>
      <c r="I11" s="5" t="s">
        <v>54</v>
      </c>
      <c r="J11" s="5" t="s">
        <v>55</v>
      </c>
      <c r="K11" s="5" t="s">
        <v>55</v>
      </c>
      <c r="L11" s="5" t="s">
        <v>55</v>
      </c>
      <c r="M11" s="5" t="s">
        <v>55</v>
      </c>
      <c r="N11" s="5" t="s">
        <v>55</v>
      </c>
      <c r="O11" s="40" t="s">
        <v>151</v>
      </c>
    </row>
  </sheetData>
  <conditionalFormatting sqref="A1:XFD9 A11:XFD1048576 A10:B10 E10:XFD10">
    <cfRule type="cellIs" dxfId="14" priority="6" operator="equal">
      <formula>"n/a"</formula>
    </cfRule>
  </conditionalFormatting>
  <conditionalFormatting sqref="C1:C9 C11:C1048576">
    <cfRule type="cellIs" dxfId="13" priority="30" operator="equal">
      <formula>"WIP (see comments)"</formula>
    </cfRule>
    <cfRule type="cellIs" dxfId="12" priority="31" operator="equal">
      <formula>"Removed"</formula>
    </cfRule>
    <cfRule type="cellIs" dxfId="11" priority="32" operator="equal">
      <formula>"Updated"</formula>
    </cfRule>
    <cfRule type="cellIs" dxfId="10" priority="33" operator="equal">
      <formula>"New"</formula>
    </cfRule>
  </conditionalFormatting>
  <conditionalFormatting sqref="C10:D10">
    <cfRule type="cellIs" dxfId="9" priority="1" operator="equal">
      <formula>"n/a"</formula>
    </cfRule>
  </conditionalFormatting>
  <conditionalFormatting sqref="C10">
    <cfRule type="cellIs" dxfId="8" priority="2" operator="equal">
      <formula>"WIP (see comments)"</formula>
    </cfRule>
    <cfRule type="cellIs" dxfId="7" priority="3" operator="equal">
      <formula>"Removed"</formula>
    </cfRule>
    <cfRule type="cellIs" dxfId="6" priority="4" operator="equal">
      <formula>"Updated"</formula>
    </cfRule>
    <cfRule type="cellIs" dxfId="5"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Values'!$B$5:$B$13</xm:f>
          </x14:formula1>
          <xm:sqref>C7:C9 C11:C1048576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5" customWidth="1"/>
    <col min="2" max="2" width="12.54296875" style="5" customWidth="1"/>
    <col min="3" max="3" width="17.1796875" style="29" customWidth="1"/>
    <col min="4" max="4" width="65.54296875" style="5" customWidth="1"/>
    <col min="5" max="5" width="28.7265625" style="5" customWidth="1"/>
    <col min="6" max="6" width="14.54296875" style="5" bestFit="1" customWidth="1"/>
    <col min="7" max="7" width="17.7265625" style="5" customWidth="1"/>
    <col min="8" max="8" width="9.1796875" style="5"/>
    <col min="9" max="9" width="34.81640625" style="5" customWidth="1"/>
    <col min="10" max="10" width="13.26953125" style="5" bestFit="1" customWidth="1"/>
    <col min="11" max="11" width="10.7265625" style="5" bestFit="1" customWidth="1"/>
    <col min="12" max="12" width="19.26953125" style="5" bestFit="1" customWidth="1"/>
    <col min="13" max="13" width="21.1796875" style="5" bestFit="1"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5</v>
      </c>
      <c r="B1" s="33" t="s">
        <v>76</v>
      </c>
      <c r="C1" s="27"/>
      <c r="D1" s="24"/>
    </row>
    <row r="2" spans="1:16" s="25" customFormat="1" ht="18.5" x14ac:dyDescent="0.35">
      <c r="A2" s="23" t="s">
        <v>6</v>
      </c>
      <c r="B2" s="31">
        <v>5</v>
      </c>
      <c r="C2" s="30"/>
      <c r="D2" s="31"/>
    </row>
    <row r="3" spans="1:16" s="25" customFormat="1" ht="18.5" x14ac:dyDescent="0.35">
      <c r="A3" s="23" t="s">
        <v>39</v>
      </c>
      <c r="B3" s="31" t="s">
        <v>179</v>
      </c>
      <c r="C3" s="30"/>
      <c r="D3" s="31"/>
    </row>
    <row r="4" spans="1:16" s="25" customFormat="1" ht="18.5" x14ac:dyDescent="0.35">
      <c r="A4" s="23" t="s">
        <v>7</v>
      </c>
      <c r="B4" s="25" t="s">
        <v>54</v>
      </c>
      <c r="C4" s="30"/>
    </row>
    <row r="5" spans="1:16" s="4" customFormat="1" x14ac:dyDescent="0.35">
      <c r="C5" s="32"/>
    </row>
    <row r="6" spans="1:16" s="26" customFormat="1" ht="15" thickBot="1" x14ac:dyDescent="0.4">
      <c r="A6" s="26" t="s">
        <v>8</v>
      </c>
      <c r="B6" s="26" t="s">
        <v>9</v>
      </c>
      <c r="C6" s="28" t="s">
        <v>23</v>
      </c>
      <c r="D6" s="26" t="s">
        <v>22</v>
      </c>
      <c r="E6" s="26" t="s">
        <v>10</v>
      </c>
      <c r="F6" s="26" t="s">
        <v>11</v>
      </c>
      <c r="G6" s="26" t="s">
        <v>12</v>
      </c>
      <c r="H6" s="26" t="s">
        <v>13</v>
      </c>
      <c r="I6" s="26" t="s">
        <v>14</v>
      </c>
      <c r="J6" s="26" t="s">
        <v>15</v>
      </c>
      <c r="K6" s="26" t="s">
        <v>16</v>
      </c>
      <c r="L6" s="26" t="s">
        <v>17</v>
      </c>
      <c r="M6" s="26" t="s">
        <v>18</v>
      </c>
      <c r="N6" s="26" t="s">
        <v>19</v>
      </c>
      <c r="O6" s="26" t="s">
        <v>20</v>
      </c>
      <c r="P6" s="26" t="s">
        <v>21</v>
      </c>
    </row>
    <row r="7" spans="1:16" x14ac:dyDescent="0.35">
      <c r="A7" s="5">
        <v>1</v>
      </c>
      <c r="B7" s="5" t="str">
        <f>CONCATENATE($B$2, ".", A7)</f>
        <v>5.1</v>
      </c>
      <c r="C7" s="29" t="s">
        <v>35</v>
      </c>
      <c r="D7" s="5" t="s">
        <v>72</v>
      </c>
      <c r="E7" s="5" t="s">
        <v>25</v>
      </c>
      <c r="F7" s="5" t="s">
        <v>55</v>
      </c>
      <c r="G7" s="5" t="s">
        <v>55</v>
      </c>
      <c r="H7" s="5" t="s">
        <v>55</v>
      </c>
      <c r="I7" s="5" t="s">
        <v>54</v>
      </c>
      <c r="J7" s="5" t="s">
        <v>55</v>
      </c>
      <c r="K7" s="5" t="s">
        <v>55</v>
      </c>
      <c r="L7" s="5" t="s">
        <v>55</v>
      </c>
      <c r="M7" s="5" t="s">
        <v>55</v>
      </c>
      <c r="N7" s="5" t="s">
        <v>55</v>
      </c>
    </row>
    <row r="8" spans="1:16" ht="85.5" customHeight="1" x14ac:dyDescent="0.35">
      <c r="A8" s="5">
        <v>2</v>
      </c>
      <c r="B8" s="5" t="str">
        <f t="shared" ref="B8:B17" si="0">CONCATENATE($B$2, ".", A8)</f>
        <v>5.2</v>
      </c>
      <c r="C8" s="48" t="s">
        <v>33</v>
      </c>
      <c r="D8" s="69" t="s">
        <v>168</v>
      </c>
      <c r="E8" s="5" t="s">
        <v>30</v>
      </c>
      <c r="F8" s="5" t="s">
        <v>55</v>
      </c>
      <c r="G8" s="5" t="s">
        <v>55</v>
      </c>
      <c r="H8" s="5" t="s">
        <v>55</v>
      </c>
      <c r="I8" s="5" t="s">
        <v>54</v>
      </c>
      <c r="J8" s="5" t="s">
        <v>55</v>
      </c>
      <c r="K8" s="5" t="s">
        <v>55</v>
      </c>
      <c r="L8" s="5" t="s">
        <v>55</v>
      </c>
      <c r="M8" s="5" t="s">
        <v>55</v>
      </c>
      <c r="N8" s="5" t="s">
        <v>55</v>
      </c>
    </row>
    <row r="9" spans="1:16" s="45" customFormat="1" ht="15" customHeight="1" x14ac:dyDescent="0.35">
      <c r="A9" s="65" t="s">
        <v>77</v>
      </c>
      <c r="B9" s="65"/>
      <c r="C9" s="65"/>
      <c r="D9" s="65"/>
      <c r="E9" s="65"/>
      <c r="F9" s="65"/>
      <c r="G9" s="65"/>
    </row>
    <row r="10" spans="1:16" ht="103.5" customHeight="1" x14ac:dyDescent="0.35">
      <c r="A10" s="5">
        <v>3</v>
      </c>
      <c r="B10" s="5" t="str">
        <f t="shared" ref="B10" si="1">CONCATENATE($B$2, ".", A10)</f>
        <v>5.3</v>
      </c>
      <c r="C10" s="48" t="s">
        <v>35</v>
      </c>
      <c r="D10" s="40" t="s">
        <v>136</v>
      </c>
      <c r="E10" s="5" t="s">
        <v>25</v>
      </c>
      <c r="F10" s="5" t="s">
        <v>55</v>
      </c>
      <c r="G10" s="5" t="s">
        <v>55</v>
      </c>
      <c r="H10" s="5" t="s">
        <v>55</v>
      </c>
      <c r="I10" s="5" t="s">
        <v>121</v>
      </c>
      <c r="J10" s="5" t="s">
        <v>55</v>
      </c>
      <c r="K10" s="5" t="s">
        <v>55</v>
      </c>
      <c r="L10" s="5" t="s">
        <v>55</v>
      </c>
      <c r="M10" s="5" t="s">
        <v>55</v>
      </c>
      <c r="N10" s="5" t="s">
        <v>55</v>
      </c>
    </row>
    <row r="11" spans="1:16" ht="101.5" x14ac:dyDescent="0.35">
      <c r="A11" s="5">
        <v>4</v>
      </c>
      <c r="B11" s="5" t="str">
        <f t="shared" si="0"/>
        <v>5.4</v>
      </c>
      <c r="C11" s="63" t="s">
        <v>35</v>
      </c>
      <c r="D11" s="40" t="s">
        <v>138</v>
      </c>
      <c r="E11" s="5" t="s">
        <v>30</v>
      </c>
      <c r="F11" s="5" t="s">
        <v>55</v>
      </c>
      <c r="G11" s="5" t="s">
        <v>55</v>
      </c>
      <c r="H11" s="5" t="s">
        <v>55</v>
      </c>
      <c r="I11" s="5" t="s">
        <v>122</v>
      </c>
      <c r="J11" s="5" t="s">
        <v>55</v>
      </c>
      <c r="K11" s="5" t="s">
        <v>55</v>
      </c>
      <c r="L11" s="5" t="s">
        <v>55</v>
      </c>
      <c r="M11" s="5" t="s">
        <v>55</v>
      </c>
      <c r="N11" s="5" t="s">
        <v>55</v>
      </c>
    </row>
    <row r="12" spans="1:16" ht="143.25" customHeight="1" x14ac:dyDescent="0.35">
      <c r="A12" s="5">
        <v>5</v>
      </c>
      <c r="B12" s="5" t="str">
        <f>CONCATENATE($B$2, ".", A12)</f>
        <v>5.5</v>
      </c>
      <c r="C12" s="63" t="s">
        <v>40</v>
      </c>
      <c r="D12" s="68" t="s">
        <v>153</v>
      </c>
      <c r="E12" s="5" t="s">
        <v>45</v>
      </c>
      <c r="F12" s="5" t="s">
        <v>55</v>
      </c>
      <c r="G12" s="5" t="s">
        <v>55</v>
      </c>
      <c r="H12" s="5" t="s">
        <v>55</v>
      </c>
      <c r="I12" s="5" t="s">
        <v>152</v>
      </c>
      <c r="J12" s="5" t="s">
        <v>55</v>
      </c>
      <c r="K12" s="5" t="s">
        <v>55</v>
      </c>
      <c r="L12" s="5" t="s">
        <v>55</v>
      </c>
      <c r="M12" s="5" t="s">
        <v>55</v>
      </c>
      <c r="N12" s="5" t="s">
        <v>55</v>
      </c>
      <c r="O12" s="69" t="s">
        <v>155</v>
      </c>
      <c r="P12" s="68" t="s">
        <v>154</v>
      </c>
    </row>
    <row r="13" spans="1:16" ht="143.25" customHeight="1" x14ac:dyDescent="0.35">
      <c r="A13" s="5">
        <v>6</v>
      </c>
      <c r="B13" s="5" t="str">
        <f>CONCATENATE($B$2, ".", A13)</f>
        <v>5.6</v>
      </c>
      <c r="C13" s="67" t="s">
        <v>37</v>
      </c>
      <c r="D13" s="40" t="s">
        <v>169</v>
      </c>
      <c r="E13" s="5" t="s">
        <v>30</v>
      </c>
      <c r="F13" s="5" t="s">
        <v>55</v>
      </c>
      <c r="G13" s="5" t="s">
        <v>55</v>
      </c>
      <c r="H13" s="5" t="s">
        <v>55</v>
      </c>
      <c r="I13" s="5" t="s">
        <v>158</v>
      </c>
      <c r="J13" s="5" t="s">
        <v>55</v>
      </c>
      <c r="K13" s="5" t="s">
        <v>55</v>
      </c>
      <c r="L13" s="5" t="s">
        <v>55</v>
      </c>
      <c r="M13" s="5" t="s">
        <v>55</v>
      </c>
      <c r="N13" s="5" t="s">
        <v>55</v>
      </c>
    </row>
    <row r="14" spans="1:16" ht="153" customHeight="1" x14ac:dyDescent="0.35">
      <c r="A14" s="5">
        <v>7</v>
      </c>
      <c r="B14" s="5" t="str">
        <f t="shared" si="0"/>
        <v>5.7</v>
      </c>
      <c r="C14" s="39" t="s">
        <v>40</v>
      </c>
      <c r="D14" s="68" t="s">
        <v>111</v>
      </c>
      <c r="E14" s="5" t="s">
        <v>30</v>
      </c>
      <c r="F14" s="5" t="s">
        <v>55</v>
      </c>
      <c r="G14" s="5" t="s">
        <v>55</v>
      </c>
      <c r="H14" s="5" t="s">
        <v>55</v>
      </c>
      <c r="I14" s="5" t="s">
        <v>156</v>
      </c>
      <c r="J14" s="5" t="s">
        <v>55</v>
      </c>
      <c r="K14" s="5" t="s">
        <v>55</v>
      </c>
      <c r="L14" s="5" t="s">
        <v>55</v>
      </c>
      <c r="M14" s="5" t="s">
        <v>55</v>
      </c>
      <c r="N14" s="5" t="s">
        <v>55</v>
      </c>
      <c r="P14" s="68" t="s">
        <v>157</v>
      </c>
    </row>
    <row r="15" spans="1:16" s="41" customFormat="1" x14ac:dyDescent="0.35">
      <c r="C15" s="42"/>
    </row>
    <row r="16" spans="1:16" ht="50.25" customHeight="1" x14ac:dyDescent="0.35">
      <c r="A16" s="5">
        <v>8</v>
      </c>
      <c r="B16" s="5" t="str">
        <f t="shared" si="0"/>
        <v>5.8</v>
      </c>
      <c r="C16" s="29" t="s">
        <v>33</v>
      </c>
      <c r="D16" s="5" t="s">
        <v>73</v>
      </c>
      <c r="E16" s="5" t="s">
        <v>38</v>
      </c>
      <c r="F16" s="5" t="s">
        <v>55</v>
      </c>
      <c r="G16" s="5" t="s">
        <v>55</v>
      </c>
      <c r="H16" s="5" t="s">
        <v>55</v>
      </c>
      <c r="I16" s="5" t="s">
        <v>54</v>
      </c>
      <c r="J16" s="5" t="s">
        <v>55</v>
      </c>
      <c r="K16" s="5" t="s">
        <v>55</v>
      </c>
      <c r="L16" s="5" t="s">
        <v>55</v>
      </c>
      <c r="M16" s="5" t="s">
        <v>55</v>
      </c>
      <c r="N16" s="5" t="s">
        <v>55</v>
      </c>
      <c r="O16" s="69" t="s">
        <v>159</v>
      </c>
    </row>
    <row r="17" spans="1:15" x14ac:dyDescent="0.35">
      <c r="A17" s="5">
        <v>9</v>
      </c>
      <c r="B17" s="5" t="str">
        <f t="shared" si="0"/>
        <v>5.9</v>
      </c>
      <c r="C17" s="54" t="s">
        <v>35</v>
      </c>
      <c r="D17" s="5" t="s">
        <v>74</v>
      </c>
      <c r="E17" s="5" t="s">
        <v>38</v>
      </c>
      <c r="F17" s="5" t="s">
        <v>55</v>
      </c>
      <c r="G17" s="5" t="s">
        <v>55</v>
      </c>
      <c r="H17" s="5" t="s">
        <v>55</v>
      </c>
      <c r="I17" s="5" t="s">
        <v>54</v>
      </c>
      <c r="J17" s="5" t="s">
        <v>55</v>
      </c>
      <c r="K17" s="5" t="s">
        <v>55</v>
      </c>
      <c r="L17" s="5" t="s">
        <v>55</v>
      </c>
      <c r="M17" s="5" t="s">
        <v>55</v>
      </c>
      <c r="N17" s="5" t="s">
        <v>55</v>
      </c>
      <c r="O17" s="5" t="s">
        <v>75</v>
      </c>
    </row>
  </sheetData>
  <conditionalFormatting sqref="A1:XFD1048576">
    <cfRule type="cellIs" dxfId="4" priority="1" operator="equal">
      <formula>"n/a"</formula>
    </cfRule>
  </conditionalFormatting>
  <conditionalFormatting sqref="C1:C1048576">
    <cfRule type="cellIs" dxfId="3" priority="2" operator="equal">
      <formula>"WIP (see comments)"</formula>
    </cfRule>
    <cfRule type="cellIs" dxfId="2" priority="3" operator="equal">
      <formula>"Removed"</formula>
    </cfRule>
    <cfRule type="cellIs" dxfId="1" priority="4" operator="equal">
      <formula>"Updated"</formula>
    </cfRule>
    <cfRule type="cellIs" dxfId="0"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E7:E8 E10:E1048576</xm:sqref>
        </x14:dataValidation>
        <x14:dataValidation type="list" allowBlank="1" showInputMessage="1" showErrorMessage="1">
          <x14:formula1>
            <xm:f>'List Values'!$B$5:$B$13</xm:f>
          </x14:formula1>
          <xm:sqref>C7:C8 C10:C1048576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E9A562-E074-4834-90BF-075210DE6578}"/>
</file>

<file path=customXml/itemProps2.xml><?xml version="1.0" encoding="utf-8"?>
<ds:datastoreItem xmlns:ds="http://schemas.openxmlformats.org/officeDocument/2006/customXml" ds:itemID="{CB57D7B5-68B8-4D05-A99B-C4E96C5AFE59}">
  <ds:schemaRefs>
    <ds:schemaRef ds:uri="http://schemas.microsoft.com/office/2006/metadata/properties"/>
    <ds:schemaRef ds:uri="http://schemas.microsoft.com/office/infopath/2007/PartnerControls"/>
    <ds:schemaRef ds:uri="http://schemas.microsoft.com/sharepoint/v4"/>
  </ds:schemaRefs>
</ds:datastoreItem>
</file>

<file path=customXml/itemProps3.xml><?xml version="1.0" encoding="utf-8"?>
<ds:datastoreItem xmlns:ds="http://schemas.openxmlformats.org/officeDocument/2006/customXml" ds:itemID="{15C84A05-0518-4CE2-A9C1-8862C2CFEBDD}">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Control</vt:lpstr>
      <vt:lpstr>List Values</vt:lpstr>
      <vt:lpstr>1. Application Approval</vt:lpstr>
      <vt:lpstr>1a. PAN Confirmation</vt:lpstr>
      <vt:lpstr>2. Method Selection</vt:lpstr>
      <vt:lpstr>3. Me-to-me Session Mgmt.</vt:lpstr>
      <vt:lpstr>4. Funds Transfer</vt:lpstr>
      <vt:lpstr>4a. Transfer Error</vt:lpstr>
      <vt:lpstr>5. Dynamic Finish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2021-01-29T22:42:05Z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