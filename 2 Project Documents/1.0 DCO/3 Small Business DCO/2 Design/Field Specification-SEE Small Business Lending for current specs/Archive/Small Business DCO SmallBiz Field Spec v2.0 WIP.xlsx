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856"/>
  </bookViews>
  <sheets>
    <sheet name="Revision Control" sheetId="1" r:id="rId1"/>
    <sheet name="List Values" sheetId="3" r:id="rId2"/>
    <sheet name="Common Page Elements" sheetId="58" r:id="rId3"/>
    <sheet name="1. Qualifying Questions" sheetId="9" r:id="rId4"/>
    <sheet name="1a. Not Qualified Info Page" sheetId="50" r:id="rId5"/>
    <sheet name="2. Existing Cust. Check" sheetId="52" r:id="rId6"/>
    <sheet name="3. Contact Info" sheetId="5" r:id="rId7"/>
    <sheet name="4. Verify Mobile" sheetId="2" r:id="rId8"/>
    <sheet name="DEPRECATED Screening Questions" sheetId="41" state="hidden" r:id="rId9"/>
    <sheet name="DEPRECATED Failed Screening" sheetId="51" state="hidden" r:id="rId10"/>
    <sheet name="5. Business eConsent" sheetId="42" r:id="rId11"/>
    <sheet name="6. About Your Business - CODAT" sheetId="43" r:id="rId12"/>
    <sheet name="7. Log into CODAT" sheetId="35" r:id="rId13"/>
    <sheet name="8. Your Business" sheetId="7" r:id="rId14"/>
    <sheet name="9. More About Your Business" sheetId="44" r:id="rId15"/>
    <sheet name="10. App - IDScan" sheetId="11" r:id="rId16"/>
    <sheet name="11. App - Name &amp; Address" sheetId="12" r:id="rId17"/>
    <sheet name="12. App - Birthday, SIN &amp; Occ." sheetId="14" r:id="rId18"/>
    <sheet name="13. App - eConsent" sheetId="16" r:id="rId19"/>
    <sheet name="14. App- Alternate IDV" sheetId="29" r:id="rId20"/>
    <sheet name="15. App - Flinks" sheetId="31" r:id="rId21"/>
    <sheet name="16. App - Manual IDV" sheetId="36" r:id="rId22"/>
    <sheet name="17a. Your Role" sheetId="60" r:id="rId23"/>
    <sheet name="17. Owners+Directors" sheetId="49" r:id="rId24"/>
    <sheet name="18. Authorized Signers" sheetId="59" r:id="rId25"/>
    <sheet name="19a. Disclosures-Tax Residency" sheetId="53" r:id="rId26"/>
    <sheet name="19. Business Disclosures" sheetId="17" r:id="rId27"/>
    <sheet name="20. Await Auth Signers" sheetId="56" r:id="rId28"/>
    <sheet name="21. Account Options" sheetId="45" r:id="rId29"/>
    <sheet name="22. Complementary Services" sheetId="46" r:id="rId30"/>
    <sheet name="A. Generic Error" sheetId="22" r:id="rId31"/>
    <sheet name="B. Manual Review" sheetId="23" r:id="rId32"/>
    <sheet name="C. Decline" sheetId="24" r:id="rId33"/>
    <sheet name="D. Cancel" sheetId="26" r:id="rId34"/>
    <sheet name="E. Save" sheetId="27" r:id="rId35"/>
    <sheet name="F. Resume" sheetId="28" r:id="rId36"/>
    <sheet name="G. Time Out" sheetId="33" r:id="rId37"/>
    <sheet name="H. Progress" sheetId="34" r:id="rId38"/>
    <sheet name="I. Previously Submitted" sheetId="37" r:id="rId39"/>
    <sheet name="J. Concurrent App" sheetId="55" r:id="rId40"/>
    <sheet name="K. Unable to Resume" sheetId="57" r:id="rId41"/>
    <sheet name="Not Qualified" sheetId="47" r:id="rId42"/>
    <sheet name="Failed Screening" sheetId="48" r:id="rId43"/>
  </sheets>
  <externalReferences>
    <externalReference r:id="rId44"/>
    <externalReference r:id="rId45"/>
  </externalReferences>
  <definedNames>
    <definedName name="_xlnm._FilterDatabase" localSheetId="17" hidden="1">'12. App - Birthday, SIN &amp; Occ.'!$A$6:$P$13</definedName>
    <definedName name="_xlnm._FilterDatabase" localSheetId="18" hidden="1">'13. App - eConsent'!$A$6:$P$15</definedName>
    <definedName name="_xlnm._FilterDatabase" localSheetId="23" hidden="1">'17. Owners+Directors'!$A$6:$P$6</definedName>
    <definedName name="_xlnm._FilterDatabase" localSheetId="22" hidden="1">'17a. Your Role'!$A$6:$P$6</definedName>
    <definedName name="_xlnm._FilterDatabase" localSheetId="24" hidden="1">'18. Authorized Signers'!$A$6:$P$6</definedName>
    <definedName name="_xlnm._FilterDatabase" localSheetId="26" hidden="1">'19. Business Disclosures'!$A$6:$P$6</definedName>
    <definedName name="_xlnm._FilterDatabase" localSheetId="25" hidden="1">'19a. Disclosures-Tax Residency'!$A$6:$P$6</definedName>
    <definedName name="_xlnm._FilterDatabase" localSheetId="27" hidden="1">'20. Await Auth Signers'!$A$6:$P$20</definedName>
    <definedName name="_xlnm._FilterDatabase" localSheetId="28" hidden="1">'21. Account Options'!$A$6:$P$20</definedName>
    <definedName name="_xlnm._FilterDatabase" localSheetId="29" hidden="1">'22. Complementary Services'!$A$6:$P$17</definedName>
    <definedName name="_xlnm._FilterDatabase" localSheetId="10" hidden="1">'5. Business eConsent'!$A$6:$P$13</definedName>
    <definedName name="_xlnm._FilterDatabase" localSheetId="12" hidden="1">'7. Log into CODAT'!$A$6:$P$6</definedName>
    <definedName name="_xlnm._FilterDatabase" localSheetId="30" hidden="1">'A. Generic Error'!$A$6:$P$9</definedName>
    <definedName name="_xlnm._FilterDatabase" localSheetId="31" hidden="1">'B. Manual Review'!$A$6:$P$9</definedName>
    <definedName name="_xlnm._FilterDatabase" localSheetId="32" hidden="1">'C. Decline'!$A$6:$P$9</definedName>
    <definedName name="_xlnm._FilterDatabase" localSheetId="33" hidden="1">'D. Cancel'!$A$6:$P$9</definedName>
    <definedName name="_xlnm._FilterDatabase" localSheetId="34" hidden="1">'E. Save'!$A$6:$P$9</definedName>
    <definedName name="_xlnm._FilterDatabase" localSheetId="35" hidden="1">'F. Resume'!$A$6:$P$6</definedName>
    <definedName name="_xlnm._FilterDatabase" localSheetId="42" hidden="1">'Failed Screening'!$A$6:$P$9</definedName>
    <definedName name="_xlnm._FilterDatabase" localSheetId="36" hidden="1">'G. Time Out'!$A$6:$P$6</definedName>
    <definedName name="_xlnm._FilterDatabase" localSheetId="37" hidden="1">'H. Progress'!$A$6:$P$6</definedName>
    <definedName name="_xlnm._FilterDatabase" localSheetId="38" hidden="1">'I. Previously Submitted'!$A$6:$P$6</definedName>
    <definedName name="_xlnm._FilterDatabase" localSheetId="39" hidden="1">'J. Concurrent App'!$A$6:$P$6</definedName>
    <definedName name="_xlnm._FilterDatabase" localSheetId="40" hidden="1">'K. Unable to Resume'!$A$6:$P$6</definedName>
    <definedName name="_xlnm._FilterDatabase" localSheetId="41" hidden="1">'Not Qualified'!$A$6:$P$9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8" i="56" l="1"/>
  <c r="B17" i="56"/>
  <c r="B15" i="56"/>
  <c r="B12" i="56"/>
  <c r="B22" i="9"/>
  <c r="B30" i="49" l="1"/>
  <c r="B29" i="49"/>
  <c r="B28" i="49"/>
  <c r="B27" i="49"/>
  <c r="B26" i="49"/>
  <c r="B19" i="49"/>
  <c r="B18" i="49"/>
  <c r="B17" i="49"/>
  <c r="B14" i="49"/>
  <c r="B15" i="49"/>
  <c r="B16" i="49"/>
  <c r="B9" i="49"/>
  <c r="B7" i="60"/>
  <c r="B12" i="60"/>
  <c r="B11" i="60"/>
  <c r="B10" i="60"/>
  <c r="B9" i="60"/>
  <c r="B8" i="60"/>
  <c r="B12" i="59"/>
  <c r="B11" i="59"/>
  <c r="B10" i="59"/>
  <c r="B9" i="59"/>
  <c r="B8" i="59"/>
  <c r="B7" i="59"/>
  <c r="B14" i="44" l="1"/>
  <c r="B10" i="44"/>
  <c r="B12" i="44" l="1"/>
  <c r="B13" i="35" l="1"/>
  <c r="B10" i="52" l="1"/>
  <c r="B13" i="56" l="1"/>
  <c r="B16" i="56"/>
  <c r="B11" i="56"/>
  <c r="B9" i="57" l="1"/>
  <c r="B16" i="58"/>
  <c r="B15" i="58"/>
  <c r="B14" i="58"/>
  <c r="B13" i="58"/>
  <c r="B12" i="58"/>
  <c r="B11" i="58"/>
  <c r="B10" i="58"/>
  <c r="B9" i="58"/>
  <c r="B8" i="58"/>
  <c r="B7" i="58"/>
  <c r="B15" i="46" l="1"/>
  <c r="B13" i="46"/>
  <c r="B12" i="46"/>
  <c r="B9" i="46"/>
  <c r="B10" i="46"/>
  <c r="B13" i="45" l="1"/>
  <c r="B14" i="45"/>
  <c r="B15" i="45"/>
  <c r="B16" i="45"/>
  <c r="B17" i="45"/>
  <c r="B9" i="52" l="1"/>
  <c r="B7" i="45" l="1"/>
  <c r="B9" i="45"/>
  <c r="B11" i="45"/>
  <c r="B12" i="45"/>
  <c r="B9" i="35" l="1"/>
  <c r="B12" i="35"/>
  <c r="B11" i="35"/>
  <c r="B10" i="35"/>
  <c r="B8" i="35"/>
  <c r="B7" i="35"/>
  <c r="B8" i="57" l="1"/>
  <c r="B7" i="57"/>
  <c r="B20" i="56" l="1"/>
  <c r="B10" i="56"/>
  <c r="B9" i="56"/>
  <c r="B8" i="56"/>
  <c r="B7" i="56"/>
  <c r="B17" i="55" l="1"/>
  <c r="B16" i="55"/>
  <c r="B15" i="55"/>
  <c r="B13" i="55"/>
  <c r="B12" i="55"/>
  <c r="B11" i="55"/>
  <c r="B9" i="55"/>
  <c r="B8" i="55"/>
  <c r="B33" i="49" l="1"/>
  <c r="B34" i="49"/>
  <c r="B22" i="49"/>
  <c r="B32" i="49"/>
  <c r="B21" i="49"/>
  <c r="B23" i="49"/>
  <c r="B24" i="49"/>
  <c r="B20" i="49"/>
  <c r="B13" i="49"/>
  <c r="B24" i="44" l="1"/>
  <c r="B25" i="44"/>
  <c r="B23" i="44"/>
  <c r="B20" i="44"/>
  <c r="B21" i="44"/>
  <c r="B22" i="44"/>
  <c r="B19" i="44"/>
  <c r="B18" i="44"/>
  <c r="B15" i="44"/>
  <c r="B16" i="44"/>
  <c r="B17" i="44"/>
  <c r="B13" i="44"/>
  <c r="B11" i="44"/>
  <c r="B12" i="7" l="1"/>
  <c r="B11" i="7"/>
  <c r="B35" i="7"/>
  <c r="B36" i="7"/>
  <c r="B25" i="7"/>
  <c r="B23" i="7"/>
  <c r="B26" i="7"/>
  <c r="B14" i="7"/>
  <c r="B13" i="7"/>
  <c r="B10" i="7"/>
  <c r="B33" i="7"/>
  <c r="B32" i="7"/>
  <c r="B31" i="7"/>
  <c r="B30" i="7"/>
  <c r="B29" i="7"/>
  <c r="B28" i="7"/>
  <c r="B21" i="7"/>
  <c r="B20" i="7"/>
  <c r="B19" i="7"/>
  <c r="B18" i="7"/>
  <c r="B17" i="7"/>
  <c r="B16" i="7"/>
  <c r="B8" i="43" l="1"/>
  <c r="B9" i="43"/>
  <c r="B10" i="50" l="1"/>
  <c r="B11" i="50"/>
  <c r="B12" i="50"/>
  <c r="B13" i="50"/>
  <c r="B10" i="17" l="1"/>
  <c r="B11" i="17"/>
  <c r="B12" i="17"/>
  <c r="B13" i="17"/>
  <c r="B14" i="17"/>
  <c r="B15" i="17"/>
  <c r="B16" i="17"/>
  <c r="B17" i="17"/>
  <c r="B18" i="17"/>
  <c r="B19" i="17"/>
  <c r="B20" i="17"/>
  <c r="B21" i="17"/>
  <c r="B22" i="17"/>
  <c r="B24" i="17"/>
  <c r="B25" i="17"/>
  <c r="B23" i="17"/>
  <c r="B10" i="53" l="1"/>
  <c r="B11" i="53"/>
  <c r="B12" i="53"/>
  <c r="B13" i="53"/>
  <c r="B14" i="53"/>
  <c r="B7" i="53"/>
  <c r="B9" i="53"/>
  <c r="B8" i="53"/>
  <c r="B12" i="43"/>
  <c r="B13" i="43"/>
  <c r="B14" i="43"/>
  <c r="B10" i="42"/>
  <c r="B11" i="42"/>
  <c r="B15" i="50" l="1"/>
  <c r="B19" i="50"/>
  <c r="B16" i="50"/>
  <c r="B17" i="50"/>
  <c r="B18" i="50"/>
  <c r="B12" i="42" l="1"/>
  <c r="B13" i="42"/>
  <c r="B11" i="29" l="1"/>
  <c r="B12" i="29"/>
  <c r="B13" i="29"/>
  <c r="B14" i="50" l="1"/>
  <c r="B21" i="9" l="1"/>
  <c r="B10" i="43" l="1"/>
  <c r="B11" i="43"/>
  <c r="B34" i="12" l="1"/>
  <c r="B35" i="12"/>
  <c r="B12" i="2" l="1"/>
  <c r="B15" i="9" l="1"/>
  <c r="B16" i="9"/>
  <c r="B17" i="9"/>
  <c r="B18" i="9"/>
  <c r="B19" i="9"/>
  <c r="B20" i="9"/>
  <c r="B14" i="9"/>
  <c r="B12" i="52" l="1"/>
  <c r="B11" i="52"/>
  <c r="B8" i="52"/>
  <c r="B7" i="52"/>
  <c r="B14" i="51" l="1"/>
  <c r="B13" i="51"/>
  <c r="B12" i="51"/>
  <c r="B11" i="51"/>
  <c r="B10" i="51"/>
  <c r="B9" i="51"/>
  <c r="B8" i="51"/>
  <c r="B7" i="51"/>
  <c r="B9" i="50"/>
  <c r="B8" i="50"/>
  <c r="B7" i="50"/>
  <c r="B12" i="49" l="1"/>
  <c r="B11" i="49"/>
  <c r="B10" i="49"/>
  <c r="B8" i="49"/>
  <c r="B7" i="49"/>
  <c r="B10" i="48"/>
  <c r="B9" i="48"/>
  <c r="B8" i="48"/>
  <c r="B7" i="48"/>
  <c r="B10" i="47"/>
  <c r="B9" i="47"/>
  <c r="B8" i="47"/>
  <c r="B7" i="47"/>
  <c r="B17" i="46" l="1"/>
  <c r="B16" i="46"/>
  <c r="B8" i="46"/>
  <c r="B7" i="46"/>
  <c r="B20" i="45"/>
  <c r="B19" i="45"/>
  <c r="B8" i="45"/>
  <c r="B33" i="12" l="1"/>
  <c r="B32" i="12"/>
  <c r="B31" i="12"/>
  <c r="B30" i="12"/>
  <c r="B29" i="12"/>
  <c r="B28" i="12"/>
  <c r="B27" i="12"/>
  <c r="B26" i="12"/>
  <c r="B25" i="12"/>
  <c r="B24" i="12"/>
  <c r="B23" i="12"/>
  <c r="B22" i="12"/>
  <c r="B21" i="12"/>
  <c r="B20" i="12"/>
  <c r="B19" i="12"/>
  <c r="B18" i="12"/>
  <c r="B17" i="12"/>
  <c r="B16" i="12"/>
  <c r="B15" i="12"/>
  <c r="B14" i="12"/>
  <c r="B13" i="12"/>
  <c r="B12" i="12"/>
  <c r="B11" i="12"/>
  <c r="B9" i="44"/>
  <c r="B8" i="44"/>
  <c r="B7" i="44"/>
  <c r="B7" i="43"/>
  <c r="B9" i="42"/>
  <c r="B8" i="42"/>
  <c r="B7" i="42"/>
  <c r="B14" i="41" l="1"/>
  <c r="B13" i="41"/>
  <c r="B12" i="41"/>
  <c r="B11" i="41"/>
  <c r="B10" i="41"/>
  <c r="B9" i="41"/>
  <c r="B8" i="41"/>
  <c r="B7" i="41"/>
  <c r="B10" i="31" l="1"/>
  <c r="B11" i="31"/>
  <c r="B10" i="37" l="1"/>
  <c r="B9" i="37"/>
  <c r="B8" i="37"/>
  <c r="B7" i="37"/>
  <c r="B7" i="36" l="1"/>
  <c r="B8" i="36"/>
  <c r="B11" i="14"/>
  <c r="B9" i="36" l="1"/>
  <c r="B9" i="29"/>
  <c r="B10" i="29"/>
  <c r="B8" i="29"/>
  <c r="B7" i="29"/>
  <c r="B13" i="11" l="1"/>
  <c r="B12" i="11"/>
  <c r="B12" i="5" l="1"/>
  <c r="B7" i="34" l="1"/>
  <c r="B10" i="33" l="1"/>
  <c r="B8" i="33"/>
  <c r="B9" i="33"/>
  <c r="B7" i="33"/>
  <c r="B9" i="31" l="1"/>
  <c r="B11" i="28"/>
  <c r="B10" i="28"/>
  <c r="B9" i="28"/>
  <c r="B8" i="28"/>
  <c r="B7" i="28"/>
  <c r="B9" i="17"/>
  <c r="B8" i="17"/>
  <c r="B7" i="17"/>
  <c r="B13" i="9"/>
  <c r="B10" i="5"/>
  <c r="B8" i="31" l="1"/>
  <c r="B7" i="31"/>
  <c r="B15" i="11"/>
  <c r="B14" i="11"/>
  <c r="B11" i="11"/>
  <c r="B10" i="11"/>
  <c r="B9" i="11"/>
  <c r="B8" i="11"/>
  <c r="B7" i="11"/>
  <c r="B10" i="16" l="1"/>
  <c r="B11" i="16"/>
  <c r="B12" i="16"/>
  <c r="B10" i="27" l="1"/>
  <c r="B7" i="27"/>
  <c r="B9" i="27"/>
  <c r="B8" i="27"/>
  <c r="B7" i="26"/>
  <c r="B9" i="26"/>
  <c r="B8" i="26"/>
  <c r="B10" i="24"/>
  <c r="B7" i="24"/>
  <c r="B9" i="24"/>
  <c r="B8" i="24"/>
  <c r="B7" i="23"/>
  <c r="B9" i="23"/>
  <c r="B8" i="23"/>
  <c r="B10" i="22"/>
  <c r="B7" i="22"/>
  <c r="B9" i="22"/>
  <c r="B8" i="22"/>
  <c r="B12" i="9" l="1"/>
  <c r="B11" i="9"/>
  <c r="B10" i="9"/>
  <c r="B9" i="9" l="1"/>
  <c r="B9" i="7" l="1"/>
  <c r="B9" i="16" l="1"/>
  <c r="B13" i="16"/>
  <c r="B14" i="16" l="1"/>
  <c r="B15" i="16"/>
  <c r="B8" i="16"/>
  <c r="B7" i="16"/>
  <c r="B12" i="14" l="1"/>
  <c r="B13" i="14"/>
  <c r="B10" i="14"/>
  <c r="B9" i="14"/>
  <c r="B8" i="14"/>
  <c r="B7" i="14"/>
  <c r="B10" i="12" l="1"/>
  <c r="B9" i="12"/>
  <c r="B8" i="12"/>
  <c r="B7" i="12"/>
  <c r="B7" i="9" l="1"/>
  <c r="B7" i="7"/>
  <c r="B8" i="9" l="1"/>
  <c r="B8" i="7"/>
  <c r="B13" i="5"/>
  <c r="B14" i="5"/>
  <c r="B11" i="5"/>
  <c r="B9" i="5"/>
  <c r="B8" i="5"/>
  <c r="B7" i="5"/>
  <c r="B11" i="2"/>
  <c r="B8" i="2" l="1"/>
  <c r="B9" i="2"/>
  <c r="B10" i="2"/>
  <c r="B7" i="2"/>
</calcChain>
</file>

<file path=xl/sharedStrings.xml><?xml version="1.0" encoding="utf-8"?>
<sst xmlns="http://schemas.openxmlformats.org/spreadsheetml/2006/main" count="5634" uniqueCount="868">
  <si>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</si>
  <si>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</si>
  <si>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</si>
  <si>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</si>
  <si>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</si>
  <si>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</si>
  <si>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</si>
  <si>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</si>
  <si>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</si>
  <si>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</si>
  <si>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</si>
  <si>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</si>
  <si>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</si>
  <si>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</si>
  <si>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</si>
  <si>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</si>
  <si>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</si>
  <si>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</si>
  <si>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</si>
  <si>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</si>
  <si>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</si>
  <si>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</si>
  <si>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</si>
  <si>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</si>
  <si>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</si>
  <si>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</si>
  <si>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</si>
  <si>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</si>
  <si>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</si>
  <si>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</si>
  <si>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</si>
  <si>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</si>
  <si>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</si>
  <si>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</si>
  <si>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</si>
  <si>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</si>
  <si>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</si>
  <si>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</si>
  <si>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</si>
  <si>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</si>
  <si>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</si>
  <si>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</si>
  <si>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</si>
  <si>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</si>
  <si>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</si>
  <si>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</si>
  <si>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</si>
  <si>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</si>
  <si>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</si>
  <si>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</si>
  <si>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</si>
  <si>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</si>
  <si>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</si>
  <si>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</si>
  <si>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</si>
  <si>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</si>
  <si>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Please provide a valid email address</t>
  </si>
  <si>
    <t>Please provide a valid mobile phone number</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</si>
  <si>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</si>
  <si>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</si>
  <si>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</si>
  <si>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</si>
  <si>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</si>
  <si>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</si>
  <si>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</si>
  <si>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</si>
  <si>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</si>
  <si>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</si>
  <si>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</si>
  <si>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</si>
  <si>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</si>
  <si>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</si>
  <si>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</si>
  <si>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</si>
  <si>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</si>
  <si>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</si>
  <si>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</si>
  <si>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</si>
  <si>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</si>
  <si>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</si>
  <si>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</si>
  <si>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</si>
  <si>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</si>
  <si>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</si>
  <si>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</si>
  <si>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</si>
  <si>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</si>
  <si>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</si>
  <si>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</si>
  <si>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</si>
  <si>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</si>
  <si>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</si>
  <si>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</si>
  <si>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</si>
  <si>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</si>
  <si>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</si>
  <si>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</si>
  <si>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</si>
  <si>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What is your current occupation?</t>
  </si>
  <si>
    <t>Please tell us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</si>
  <si>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</si>
  <si>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</si>
  <si>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</si>
  <si>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</si>
  <si>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</si>
  <si>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Static text with hyperlink</t>
  </si>
  <si>
    <t>Email address format:
"local-part@DomainName"</t>
  </si>
  <si>
    <t>Mobile phone number:</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</si>
  <si>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</si>
  <si>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</si>
  <si>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</si>
  <si>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</si>
  <si>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</si>
  <si>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</si>
  <si>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</si>
  <si>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</si>
  <si>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</si>
  <si>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</si>
  <si>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</si>
  <si>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</si>
  <si>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</si>
  <si>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</si>
  <si>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</si>
  <si>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</si>
  <si>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</si>
  <si>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</si>
  <si>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</si>
  <si>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</si>
  <si>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</si>
  <si>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</si>
  <si>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</si>
  <si>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</si>
  <si>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</si>
  <si>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</si>
  <si>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</si>
  <si>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</si>
  <si>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</si>
  <si>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</si>
  <si>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</si>
  <si>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</si>
  <si>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A little help from our friends</t>
  </si>
  <si>
    <t>We weren't able to process your application.</t>
  </si>
  <si>
    <t>We're reviewing your application.</t>
  </si>
  <si>
    <t>Please tell us your birthday</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</si>
  <si>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</si>
  <si>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</si>
  <si>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</si>
  <si>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</si>
  <si>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</si>
  <si>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</si>
  <si>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</si>
  <si>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</si>
  <si>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</si>
  <si>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</si>
  <si>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</si>
  <si>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</si>
  <si>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</si>
  <si>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</si>
  <si>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</si>
  <si>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</si>
  <si>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On click, start Fraud Check procedures.</t>
  </si>
  <si>
    <t>When is your birthday? (MM/DD/YYYY)</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</si>
  <si>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</si>
  <si>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</si>
  <si>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</si>
  <si>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</si>
  <si>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</si>
  <si>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</si>
  <si>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</si>
  <si>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</si>
  <si>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</si>
  <si>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</si>
  <si>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</si>
  <si>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"thankyou.svg" image</t>
  </si>
  <si>
    <t>&lt;&lt;no caption&gt;&gt;</t>
  </si>
  <si>
    <t>Continue</t>
  </si>
  <si>
    <t>On click, resend PIN to mobile number.</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</si>
  <si>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</si>
  <si>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</si>
  <si>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</si>
  <si>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</si>
  <si>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</si>
  <si>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</si>
  <si>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</si>
  <si>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</si>
  <si>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</si>
  <si>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</si>
  <si>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</si>
  <si>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</si>
  <si>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</si>
  <si>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</si>
  <si>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</si>
  <si>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Please verify that you are not a robot.</t>
  </si>
  <si>
    <t>[Sample barcode instruction text - decision pending]</t>
  </si>
  <si>
    <t>The SIN you provided is not valid. Please provide a valid SIN.</t>
  </si>
  <si>
    <t>I'd like to sign into my other bank or financial institution to verify my identity.</t>
  </si>
  <si>
    <t>Please select your preferred method of identity verification</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</si>
  <si>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</si>
  <si>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</si>
  <si>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</si>
  <si>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</si>
  <si>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</si>
  <si>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</si>
  <si>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More about you</t>
  </si>
  <si>
    <t>We were unable to verify some of your personal information.  To protect your identity, we need a little help from you. Please choose one of the methods below to continue.</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</si>
  <si>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</si>
  <si>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</si>
  <si>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</si>
  <si>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</si>
  <si>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</si>
  <si>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</si>
  <si>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</si>
  <si>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</si>
  <si>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</si>
  <si>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</si>
  <si>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</si>
  <si>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</si>
  <si>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</si>
  <si>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</si>
  <si>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Always show</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</si>
  <si>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</si>
  <si>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</si>
  <si>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</si>
  <si>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</si>
  <si>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</si>
  <si>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</si>
  <si>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</si>
  <si>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</si>
  <si>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</si>
  <si>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URL to be confirmed</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</si>
  <si>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</si>
  <si>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</si>
  <si>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</si>
  <si>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</si>
  <si>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</si>
  <si>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</si>
  <si>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</si>
  <si>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</si>
  <si>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</si>
  <si>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</si>
  <si>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</si>
  <si>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</si>
  <si>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</si>
  <si>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</si>
  <si>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</si>
  <si>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</si>
  <si>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</si>
  <si>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</si>
  <si>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</si>
  <si>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</si>
  <si>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</si>
  <si>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</si>
  <si>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</si>
  <si>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</si>
  <si>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Business Disclosures and Signature</t>
  </si>
  <si>
    <t>Not Qualified Info Page</t>
  </si>
  <si>
    <t>1A</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</si>
  <si>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</si>
  <si>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</si>
  <si>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</si>
  <si>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</si>
  <si>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</si>
  <si>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</si>
  <si>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</si>
  <si>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</si>
  <si>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</si>
  <si>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</si>
  <si>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</si>
  <si>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</si>
  <si>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</si>
  <si>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</si>
  <si>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</si>
  <si>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</si>
  <si>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</si>
  <si>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</si>
  <si>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</si>
  <si>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</si>
  <si>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</si>
  <si>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</si>
  <si>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</si>
  <si>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</si>
  <si>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</si>
  <si>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</si>
  <si>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</si>
  <si>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I, &lt;&lt;Applicant Name&gt;&gt;, agree to allow CWB to:</t>
  </si>
  <si>
    <t>CWBSB-16</t>
  </si>
  <si>
    <t>Please verify your mobile device</t>
  </si>
  <si>
    <t>Resend Token</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</si>
  <si>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</si>
  <si>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</si>
  <si>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</si>
  <si>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</si>
  <si>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</si>
  <si>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</si>
  <si>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</si>
  <si>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</si>
  <si>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</si>
  <si>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</si>
  <si>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</si>
  <si>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</si>
  <si>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</si>
  <si>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</si>
  <si>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</si>
  <si>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</si>
  <si>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On click, navigate back to "App - Birthday, SIN &amp; Occupation" page CWBSB-40</t>
  </si>
  <si>
    <t>Text/verbiage updates for SB CWBSB-90</t>
  </si>
  <si>
    <t>CWBSB-42</t>
  </si>
  <si>
    <t>On click, navigate to "Authorized Signers" page (CWBSB-43)</t>
  </si>
  <si>
    <t>CWBSB-48</t>
  </si>
  <si>
    <t>Text/verbiage updates for SB CWBSB-92</t>
  </si>
  <si>
    <t>CWBSB-49</t>
  </si>
  <si>
    <t>Text/verbiage updates for SB CWBSB-93</t>
  </si>
  <si>
    <t>Text/verbiage updates for SB CWBSB-94</t>
  </si>
  <si>
    <t>CWBSB-50</t>
  </si>
  <si>
    <t>1.0 WIP</t>
  </si>
  <si>
    <t>Text/verbiage updates for SB CWBSB-95</t>
  </si>
  <si>
    <t>CWBSB-57</t>
  </si>
  <si>
    <t>CWBSB-19</t>
  </si>
  <si>
    <t>I, &lt;&lt;First Name&gt;&gt; &lt;&lt;Last Name&gt;&gt;, agree to the following on behalf of &lt;&lt;Business Legal Name&gt;&gt;:</t>
  </si>
  <si>
    <t>CWBSB-44</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</si>
  <si>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</si>
  <si>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</si>
  <si>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</si>
  <si>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</si>
  <si>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</si>
  <si>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On click, navigate to "About Your Business-CODAT" (CWBSB-20)</t>
  </si>
  <si>
    <t>CWBSB-24</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</si>
  <si>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</si>
  <si>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</si>
  <si>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Name</t>
  </si>
  <si>
    <t>Email</t>
  </si>
  <si>
    <t>Contact phone number</t>
  </si>
  <si>
    <t>What's the best time to reach you?</t>
  </si>
  <si>
    <t>Want to get in touch with us sooner?</t>
  </si>
  <si>
    <t>Chat now</t>
  </si>
  <si>
    <r>
      <t xml:space="preserve">Call us at </t>
    </r>
    <r>
      <rPr>
        <u/>
        <sz val="11"/>
        <color theme="1"/>
        <rFont val="Calibri"/>
        <family val="2"/>
        <scheme val="minor"/>
      </rPr>
      <t>1-866-843-3917</t>
    </r>
    <r>
      <rPr>
        <sz val="11"/>
        <color theme="1"/>
        <rFont val="Calibri"/>
        <family val="2"/>
        <scheme val="minor"/>
      </rPr>
      <t xml:space="preserve"> or </t>
    </r>
    <r>
      <rPr>
        <u/>
        <sz val="11"/>
        <color theme="1"/>
        <rFont val="Calibri"/>
        <family val="2"/>
        <scheme val="minor"/>
      </rPr>
      <t>find the nearest CWB branch</t>
    </r>
  </si>
  <si>
    <t>Please provide a valid  phone number</t>
  </si>
  <si>
    <t>Please enter your name</t>
  </si>
  <si>
    <t>Please let us know the best time to reach you</t>
  </si>
  <si>
    <t>Alpha characters, spaces, dashes</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</si>
  <si>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</si>
  <si>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</si>
  <si>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</si>
  <si>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</si>
  <si>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</si>
  <si>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</si>
  <si>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First things first</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</si>
  <si>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</si>
  <si>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</si>
  <si>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</si>
  <si>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</si>
  <si>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</si>
  <si>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</si>
  <si>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</si>
  <si>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</si>
  <si>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</si>
  <si>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 xml:space="preserve">Not operating in an industry prohibited by CWB </t>
  </si>
  <si>
    <t>On click, navigate to "Existing Customer Check" page (CWBSB-175)</t>
  </si>
  <si>
    <t>Submit</t>
  </si>
  <si>
    <t>On click, generate formatted email - see xxxx</t>
  </si>
  <si>
    <t>On click, open chat window (modal) URL TBC</t>
  </si>
  <si>
    <t>Text/verbiage updates CWBSB-176</t>
  </si>
  <si>
    <t>CWBSB-52</t>
  </si>
  <si>
    <t>Display image</t>
  </si>
  <si>
    <t>Image file to be determined</t>
  </si>
  <si>
    <t>CWBSB-53</t>
  </si>
  <si>
    <t>With your permission…</t>
  </si>
  <si>
    <t>Help us help you</t>
  </si>
  <si>
    <t>We'll ask you to log in to your accounting software and then retrieve some profile information about your business. You'll have an opportunity to add more information or make corrections a little later in the process.</t>
  </si>
  <si>
    <t>Text/verbiage updates CWBSB-180</t>
  </si>
  <si>
    <t>I am duly authorized to make this application on behalf of the business entity named above.</t>
  </si>
  <si>
    <t>I am not opening this account(s) for use by or benefit of a third party</t>
  </si>
  <si>
    <t>You must inform us within 30 days if any of the tax residency information for your business changes.</t>
  </si>
  <si>
    <t>You must have consent from any other individuals identified in this application to share their personal information (name, email, phone) with CWB.</t>
  </si>
  <si>
    <t>I have the authority and necessary consent to provide personal information about other Authorized Signers, Directors, Owners/Shareholders and/or Partners of my business in this application.</t>
  </si>
  <si>
    <t>Text/verbiage updates CWBSB-181</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</si>
  <si>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</si>
  <si>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</si>
  <si>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</si>
  <si>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</si>
  <si>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</si>
  <si>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</si>
  <si>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</si>
  <si>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</si>
  <si>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</si>
  <si>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Pending decision on page navigation</t>
  </si>
  <si>
    <t>1.2 WIP</t>
  </si>
  <si>
    <t>Please check the box to indicate your agreement.</t>
  </si>
  <si>
    <t>I agree, on behalf of my business, to allow CWB to collect and maintain the business information submitted in this application.</t>
  </si>
  <si>
    <t>Load section collapsed. Reveal Inline Help text when expanded.</t>
  </si>
  <si>
    <t>You must confirm your agreement to continue</t>
  </si>
  <si>
    <t>Conditional</t>
  </si>
  <si>
    <t>A) No preference
B) Business hours (8am-5pm)
C) Morning
D) Afternoon
E) Evening (after 5pm)</t>
  </si>
  <si>
    <t>A) No preference</t>
  </si>
  <si>
    <t>Validate on Submit</t>
  </si>
  <si>
    <t>Please tell us a little about your business</t>
  </si>
  <si>
    <t>No validation required - default selected</t>
  </si>
  <si>
    <t>This optional feature will let us fill out some of your company's profile information.</t>
  </si>
  <si>
    <t>No, I'll enter my company's information</t>
  </si>
  <si>
    <t>If you want to connect to your accounting software, please check the box to indicate your agreement</t>
  </si>
  <si>
    <t>Please uncheck the box above if you do not wish to connect your accounting software</t>
  </si>
  <si>
    <t>If check box 6.4 is unchecked, on click, navigate to "Your Business" (CWBSB-24)
If check box 6.4 is checked, display validation message.</t>
  </si>
  <si>
    <t>On click, navigate to "Business eConsent" (CWBSB-19)</t>
  </si>
  <si>
    <t>Disclosures - Tax Residency</t>
  </si>
  <si>
    <t>Conditional: display only if business entity type = Corporation or General Partnership</t>
  </si>
  <si>
    <t>The business entity named above is:</t>
  </si>
  <si>
    <t>Tax residency information for &lt;&lt;business legal name&gt;&gt;</t>
  </si>
  <si>
    <t>Hyperlink the underlined URL in the inline help.</t>
  </si>
  <si>
    <r>
      <t xml:space="preserve">To fit this classification, less than 50% of your business' gross income is passive income (e.g. investment income) and less than 50% of its assets produce passive income. For more information, refer to </t>
    </r>
    <r>
      <rPr>
        <u/>
        <sz val="11"/>
        <rFont val="Calibri"/>
        <family val="2"/>
        <scheme val="minor"/>
      </rPr>
      <t>https://www.canada.ca/content/dam/cra-arc/formspubs/pbg/rc519/rc519-18e.pdf</t>
    </r>
  </si>
  <si>
    <t>Please check the box to certify the tax residency information for your business</t>
  </si>
  <si>
    <t>If check box 18a.6 is checked, on click, navigate to "Business Disclosures" page CWBSB-44.
If check box 18a.6 is unchecked, on click, remain on page and display mandatory message as shown above.</t>
  </si>
  <si>
    <t>On click, navigate to "Authorized Signers" page CWBSB-43</t>
  </si>
  <si>
    <r>
      <t xml:space="preserve">We are required under Canadian tax law to collect this information to determine the tax residency of 
all our account holders.
If you need help with your business' tax residency information, see the CRA website </t>
    </r>
    <r>
      <rPr>
        <u/>
        <sz val="11"/>
        <rFont val="Calibri"/>
        <family val="2"/>
        <scheme val="minor"/>
      </rPr>
      <t>https://www.canada.ca/taxes-international-business</t>
    </r>
  </si>
  <si>
    <t>- A tax resident of Canada and not a tax resident of the United States, or another jurisdiction</t>
  </si>
  <si>
    <t>- Engaged in an active trade or business, and is not a Financial Insitution.</t>
  </si>
  <si>
    <t>CWBSB-190</t>
  </si>
  <si>
    <t>Text/verbiage updates CWBSB-191</t>
  </si>
  <si>
    <t>Pending final decision on SB page navigation</t>
  </si>
  <si>
    <t>Insert applicant First Name, Last Name and Business Legal Name in &lt;&lt;&gt;&gt; tagged fields (Caption column)</t>
  </si>
  <si>
    <t>I have read and agree to these terms and conditions:</t>
  </si>
  <si>
    <t>Please check the box to confirm your agreement</t>
  </si>
  <si>
    <t>CWB Business Account Agreement</t>
  </si>
  <si>
    <t>Business Debit Card and PIN Agreement</t>
  </si>
  <si>
    <t>On behalf of the business entity named above, I certify this information</t>
  </si>
  <si>
    <t>&lt;&lt;Cash Management Product 1&gt;&gt; Agreement</t>
  </si>
  <si>
    <t>&lt;&lt;Cash Management Product 2&gt;&gt; Agreement</t>
  </si>
  <si>
    <t>&lt;&lt;Cash Management Product 3&gt;&gt; Agreement</t>
  </si>
  <si>
    <t>&lt;&lt;Cash Management Product 4&gt;&gt; Agreement</t>
  </si>
  <si>
    <t>&lt;&lt;Cash Management Product 5&gt;&gt; Agreement</t>
  </si>
  <si>
    <t>&lt;&lt;Cash Management Product 6&gt;&gt; Agreement</t>
  </si>
  <si>
    <t>Our fine print</t>
  </si>
  <si>
    <t>If box is unchecked and user clicks "Next", remain on page and display mandatory message</t>
  </si>
  <si>
    <t>If check box 18.17 is checked, on click, navigate to "Account Options" page CWBSB-45
If check box 18.17 is unchecked, remain on page and display mandatory message (see 18.17 above)</t>
  </si>
  <si>
    <t>If box in unchecked and user clicks "Next", remain on page and display mandatory message.</t>
  </si>
  <si>
    <t>URL for chat widget is to be confirmed</t>
  </si>
  <si>
    <t>150 characters</t>
  </si>
  <si>
    <t>Validate for length</t>
  </si>
  <si>
    <t>Validate based on mandatory/conditional fields above</t>
  </si>
  <si>
    <t>Hyperlink to URL: TBD
Open in new window</t>
  </si>
  <si>
    <t>Conditional: display only if selected product(s) include at least 1 chequing account (omit this line if only Business Savings Account selected).
Hyperlink to URL: TBD
Open in new window</t>
  </si>
  <si>
    <t>Conditional: display only if 1 additional Cash Management product selected.
Insert product name in &lt;&lt;&gt;&gt; tagged field.
Hyperlink to URL associated with &lt;&lt;Cash Management Product 1&gt;&gt;
Open in new window</t>
  </si>
  <si>
    <t>Conditional: display only if 2 additional Cash Management products selected.
Insert product name in &lt;&lt;&gt;&gt; tagged field.
Hyperlink to URL associated with &lt;&lt;Cash Management Product 2&gt;&gt;
Open in new window</t>
  </si>
  <si>
    <t>Conditional: display only if 3 additional Cash Management products selected.
Insert product name in &lt;&lt;&gt;&gt; tagged field.
Hyperlink to URL associated with &lt;&lt;Cash Management Product 3&gt;&gt;
Open in new window</t>
  </si>
  <si>
    <t>Conditional: display only if 4 additional Cash Management products selected.
Insert product name in &lt;&lt;&gt;&gt; tagged field.
Hyperlink to URL associated with &lt;&lt;Cash Management Product 4&gt;&gt;
Open in new window</t>
  </si>
  <si>
    <t>Conditional: display only if 5 additional Cash Management products selected.
Insert product name in &lt;&lt;&gt;&gt; tagged field.
Hyperlink to URL associated with &lt;&lt;Cash Management Product 5&gt;&gt;
Open in new window</t>
  </si>
  <si>
    <t>Conditional: display only if 6 additional Cash Management products selected.
Insert product name in &lt;&lt;&gt;&gt; tagged field.
Hyperlink to URL associated with &lt;&lt;Cash Management Product 6&gt;&gt;
Open in new window</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</si>
  <si>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</si>
  <si>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</si>
  <si>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</si>
  <si>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</si>
  <si>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</si>
  <si>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</si>
  <si>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</si>
  <si>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Please select only one preferred contact method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</si>
  <si>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</si>
  <si>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</si>
  <si>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</si>
  <si>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Conditional logic: display Validation Message if box is unchecked and user clicks "Next"</t>
  </si>
  <si>
    <t>CWBSB-43</t>
  </si>
  <si>
    <t>1.3 WIP</t>
  </si>
  <si>
    <t>CWBSB-56</t>
  </si>
  <si>
    <t>As Required (in response to user inactivity)</t>
  </si>
  <si>
    <t>See NFR CWBSB-196 for time out parameters</t>
  </si>
  <si>
    <t>See CWBSB-197 for text/verbiage updates</t>
  </si>
  <si>
    <t>Image for page is to be determined</t>
  </si>
  <si>
    <t>Contact phone# and email are to be determined</t>
  </si>
  <si>
    <t>CWBSB-55</t>
  </si>
  <si>
    <t>Text/verbiage updates CWBSB-213</t>
  </si>
  <si>
    <t>The email address should be hyperlinked.</t>
  </si>
  <si>
    <t>CWBSB-175</t>
  </si>
  <si>
    <t>Image asset to be confirmed</t>
  </si>
  <si>
    <t>Modal page - only for users that select Manual IDV on the Alternate IDV page</t>
  </si>
  <si>
    <t>The email address should by hyperlinked (mailto link).</t>
  </si>
  <si>
    <t>Review language/content.
Email and contact phone #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</si>
  <si>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</si>
  <si>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</si>
  <si>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</si>
  <si>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</si>
  <si>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</si>
  <si>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</si>
  <si>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</si>
  <si>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Owned by 4 or less individuals and not owned (in whole or part) by another business</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</si>
  <si>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</si>
  <si>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</si>
  <si>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</si>
  <si>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Pending final decision on progress/navigation</t>
  </si>
  <si>
    <t xml:space="preserve">We're sorry, but we're unable to complete your request through this online application.
So, let's connect and explore some options! </t>
  </si>
  <si>
    <t>We'll contact you: please let us know how and when we can reach you.</t>
  </si>
  <si>
    <t>Format, content and destination for generated email to be confirmed - see email spec.</t>
  </si>
  <si>
    <t>Contact number to be confirmed</t>
  </si>
  <si>
    <t>Additional resuable pages identified for dev:
16. App-Manual IDV
D. Cancel
G. Time Out</t>
  </si>
  <si>
    <t>How may we reach you?</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</si>
  <si>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</si>
  <si>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</si>
  <si>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Need to take a break? We'll save your application and send a one-time token to your mobile phone, so you can resume it later.</t>
  </si>
  <si>
    <t>Only if the user has already passed ReCAPTCHA verification (field 3.6)</t>
  </si>
  <si>
    <t>On click, apply the following conditional logic:
A) If mobile verification has not yet taken place, navigate to "Business eConsent" page (CWBSB-19)
B) If mobile verification was previously completed, navigate to "Screening Questions" page (CWBSB-17)</t>
  </si>
  <si>
    <t>CWBSB-219 - text/verbiage updates</t>
  </si>
  <si>
    <t>CWBSB-233 - content/link/control updates once authenticated path details are known</t>
  </si>
  <si>
    <t>On click, navigate back to Product Selector "Checkout" page</t>
  </si>
  <si>
    <t>CWB can connect to your business accounting software to help complete your application.</t>
  </si>
  <si>
    <t>Please select your business accounting software from the list below. On the next page, you will need to provide your login information.
- FreeAgent
- Freshbooks
- Kashoo
- Pandle
- Quickbooks Online
- Sage Business Cloud (Sage One)
- Wave
- Xero
- Zoho Books</t>
  </si>
  <si>
    <t>I agree to grant CWB access to my business accounting software, for purposes of retrieving and storing information about my business during this application process.</t>
  </si>
  <si>
    <t>If check box 6.4 is checked, on click, navigate to "Log into CODAT" (CWBSB-192)
If check box 6.4 is unchecked, display validation message as per 6.4 above.</t>
  </si>
  <si>
    <t>We can scan the back of your driver's licence to quickly fill in your personal information. Upload an image or skip this step if you wish to fill in this information yourself.</t>
  </si>
  <si>
    <t>Let's get started</t>
  </si>
  <si>
    <t>All about you</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</si>
  <si>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</si>
  <si>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</si>
  <si>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</si>
  <si>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</si>
  <si>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</si>
  <si>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</si>
  <si>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Occupation field updates CWBSB-226</t>
  </si>
  <si>
    <t>We will use third party sources to validate and confirm the information you submitted.</t>
  </si>
  <si>
    <t>We will use a deposit inquiry credit score for opening your account.</t>
  </si>
  <si>
    <t>Pending decision on progress/navigation</t>
  </si>
  <si>
    <t>On click, navigate to one of the following pages, based on the user's radio button selection:
14.4 selected: navigate to "App - Flinks" page (CWBSB-42)
14.5 AND "Yes, I'm sure" selected in modal (14.6 above), navigate to "Manual IDV" (CWBSB-220)</t>
  </si>
  <si>
    <t>By submission of this application, I certify that the tax jurisdiction information above is correct and complete. I will notify CWB within 30 days of any change in circumstances that cause this tax jurisdiction information to become incomplete or inaccurate.</t>
  </si>
  <si>
    <t>Master Service Agreement (Cash Management Products and Services)</t>
  </si>
  <si>
    <t>All DCO applicants with a chequing account will be offered a debit card.
URL and doc name to be confirmed</t>
  </si>
  <si>
    <t>Assumption to be verified: all DCO applicants will get online/mobile banking.
URL and doc name to be confirmed
(Per Product 9/16) to be confirmed if there will be  a Master Service Agreement to cover all Cash Management Products/Services, including online/mobile banking.</t>
  </si>
  <si>
    <t>If there will be a Master Service Agreement to cover all Cash Management Products/Services, these conditional fields may not be required</t>
  </si>
  <si>
    <t>You must have authority to open the account on behalf of the business. This means you are:
- A Director (if the business is a Corporation)
- A Partner (if the business is a General Partnership)
- The Proprietor (if the business is a Sole Proprietorship)</t>
  </si>
  <si>
    <t>Something went wrong…</t>
  </si>
  <si>
    <t>Display image (TBC)</t>
  </si>
  <si>
    <t>Unfortunately, we are unable to approve your application at this time.</t>
  </si>
  <si>
    <t xml:space="preserve">You are welcome to reapply to CWB in six months. </t>
  </si>
  <si>
    <t>Your application is safe with us</t>
  </si>
  <si>
    <t>We have saved your information so you can resume where you left off.</t>
  </si>
  <si>
    <t>Please check your email for instructions for resuming your application.</t>
  </si>
  <si>
    <t>Text/verbiage updates CWBSB-177</t>
  </si>
  <si>
    <t>We just sent a 4-7 digit token to your mobile number. Please enter it below to continue with your application.</t>
  </si>
  <si>
    <t>Welcome…</t>
  </si>
  <si>
    <t>Text/verbiage updates CWBSB-178</t>
  </si>
  <si>
    <t>Note: generic wording required in heading and main paragraph as this resume page is also used for initial invitation to Auth Signers.</t>
  </si>
  <si>
    <t>About Your Business</t>
  </si>
  <si>
    <t>Business Legal Name</t>
  </si>
  <si>
    <t>Please enter the Business Legal (Registered) Name</t>
  </si>
  <si>
    <t>Business Legal (Registered) Address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</si>
  <si>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</si>
  <si>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</si>
  <si>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</si>
  <si>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</si>
  <si>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Disallow user entry if address is pre-filled from Codat OR manual mode check box 8.6 is checked.
Use Canada Post Address Complete API to provide suggestions for typed addresses.
A) Do not include PO boxes in API response
B) Include Quebec addresses in API response</t>
  </si>
  <si>
    <t>Please provide a street  / RR number</t>
  </si>
  <si>
    <t>Please provide a street / RR name</t>
  </si>
  <si>
    <t>Pre-fill if address received from Codat</t>
  </si>
  <si>
    <t>Business Mailing Address</t>
  </si>
  <si>
    <t>My business has a different Mailing Address</t>
  </si>
  <si>
    <t>Validate for field length</t>
  </si>
  <si>
    <t>Please provide your business' legal (registered) address</t>
  </si>
  <si>
    <t>Please provide your business' Mailing Address, if applicable</t>
  </si>
  <si>
    <t>Street / RR / PO Box number</t>
  </si>
  <si>
    <t>Street / RR / Station name</t>
  </si>
  <si>
    <t>Please provide a street / RR / PO Box number</t>
  </si>
  <si>
    <t>Please provide a street / RR / Station name</t>
  </si>
  <si>
    <t>Enter or update Legal Address manually</t>
  </si>
  <si>
    <t>Enter or update Mailing Address manually</t>
  </si>
  <si>
    <t>Conditional - see Business Rules</t>
  </si>
  <si>
    <t>Value must come from a drop down list of valid Canadian provinces/terrritories.</t>
  </si>
  <si>
    <t>Value must come from a drop down list of valid Canadian provinces/territories. Must not be Quebec.</t>
  </si>
  <si>
    <t>Business Phone</t>
  </si>
  <si>
    <t>Business Email</t>
  </si>
  <si>
    <t>Please provide a valid business phone number</t>
  </si>
  <si>
    <t>Please provide a valid business email address</t>
  </si>
  <si>
    <t>CWBSB-25</t>
  </si>
  <si>
    <t>On click, navigate to "More About Your Business" (CWBSB-25)</t>
  </si>
  <si>
    <t>On click, navigate to "About Your Business-Codat" (CWBSB-20)</t>
  </si>
  <si>
    <t>If value = "Quebec" then
"Sorry, but we are unable to offer banking services to businesses registered in Quebec at this time."</t>
  </si>
  <si>
    <t>Need to account for Municipal or Rural addresss modes</t>
  </si>
  <si>
    <t>Need to account for Municipal, Rural or PO Box addresss modes</t>
  </si>
  <si>
    <t>If check box 8.8 = (B) checked and/or address has been received from Codat</t>
  </si>
  <si>
    <t>Only if check box 8.17 = (B) Checked OR mailing address is pre-filled from Codat</t>
  </si>
  <si>
    <t>Conditional:
Required if checkbox 8.15 = (B) Checked AND not in manual address mode or address not pre-filled from Codat</t>
  </si>
  <si>
    <t>Business Type</t>
  </si>
  <si>
    <t>A) Corporation
B) General Partnership
C) Sole Proprietorship</t>
  </si>
  <si>
    <t>No selection</t>
  </si>
  <si>
    <t>Please select a Business Type</t>
  </si>
  <si>
    <t>We need to know how your business is structured and  organized. If your business is not one of these types, we can't set you up online - please call us for other options 1-866-843-3917.</t>
  </si>
  <si>
    <t>Industry Sector</t>
  </si>
  <si>
    <t>Industry</t>
  </si>
  <si>
    <t>Annual Revenue</t>
  </si>
  <si>
    <t>Numeric (currency)</t>
  </si>
  <si>
    <t>11 including 2 decimal places (nnnnnnnn.nn)</t>
  </si>
  <si>
    <t>Accept 0 (0.00) as a valid input value</t>
  </si>
  <si>
    <t>Number Picker (spinner)</t>
  </si>
  <si>
    <t>Small Business Digital Client Onboarding (DCO)</t>
  </si>
  <si>
    <t>Number of Employees</t>
  </si>
  <si>
    <t>Please select the description that best matches the main Sector in which your business operates</t>
  </si>
  <si>
    <t>Please select the description that best matches the main Industry in which your business operates</t>
  </si>
  <si>
    <t>Please select an Industry Sector</t>
  </si>
  <si>
    <t>Please select an Industry</t>
  </si>
  <si>
    <t>0 through 50</t>
  </si>
  <si>
    <t>Business Registration</t>
  </si>
  <si>
    <t>Province / Territory of Registration</t>
  </si>
  <si>
    <t>Please select your province or territory of registration</t>
  </si>
  <si>
    <t>List of Canadian provinces &amp; territories</t>
  </si>
  <si>
    <t>Registration Number</t>
  </si>
  <si>
    <t>Please enter your provincial / territorial registration number</t>
  </si>
  <si>
    <t>Please select the jurisdiction in which you first registered and primarily do business</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</si>
  <si>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</si>
  <si>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</si>
  <si>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</si>
  <si>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Field length based on specs of ESC service (utilized by Thirdstream Business Search)</t>
  </si>
  <si>
    <t>We need to know if your business is registered in another jurisdiction (extra-provincial registration)</t>
  </si>
  <si>
    <t>Please select Yes or No</t>
  </si>
  <si>
    <t>Please select your second province or territory of registration</t>
  </si>
  <si>
    <t>Please enter your second provincial / territorial registration number</t>
  </si>
  <si>
    <t>Additional Province / Territory of Registration</t>
  </si>
  <si>
    <t>Conditional - see business rules</t>
  </si>
  <si>
    <t>If you have one, please enter your company's Federal Business Number (also known as BIN or GST registration number)</t>
  </si>
  <si>
    <t>Business Number (Federal BIN / GST Registration Number)</t>
  </si>
  <si>
    <t>On click, navigate to "About Your Business" CWBSB-24</t>
  </si>
  <si>
    <t>Contact info (inline help) to be confirmed</t>
  </si>
  <si>
    <t>Conditional, based on business type: always show if Corporation or General Partnership; skip if Sole Proprietorship</t>
  </si>
  <si>
    <t>Your role</t>
  </si>
  <si>
    <t>Are you a shareholder / owner or partner in the business?</t>
  </si>
  <si>
    <t>Percentage ownership</t>
  </si>
  <si>
    <t>Please indicate if you are a shareholder/owner or partner in the business.</t>
  </si>
  <si>
    <t>Please enter the percentage of the business you own.</t>
  </si>
  <si>
    <t>First name</t>
  </si>
  <si>
    <t>Last name</t>
  </si>
  <si>
    <t>Alpha</t>
  </si>
  <si>
    <t>Please enter your associate's first name</t>
  </si>
  <si>
    <t>Please enter your associate's last name</t>
  </si>
  <si>
    <t>Please enter the percentage of the business your associate owns</t>
  </si>
  <si>
    <t>Please indicate which of these roles your associate holds with the business</t>
  </si>
  <si>
    <t>Role(s)</t>
  </si>
  <si>
    <t>% Ownership</t>
  </si>
  <si>
    <t>Table - column header</t>
  </si>
  <si>
    <t>Table - cell</t>
  </si>
  <si>
    <t>On click, navigate to "App-eConsent" page (CWBSB-41)</t>
  </si>
  <si>
    <t>CWBSB-192</t>
  </si>
  <si>
    <t>CWBSB-45</t>
  </si>
  <si>
    <t>CWBSB-46</t>
  </si>
  <si>
    <t>On click, validate token, and resume application.</t>
  </si>
  <si>
    <t>On click, resend token to mobile number.</t>
  </si>
  <si>
    <t>Review language and content; email/contact phone number to be confirmed.</t>
  </si>
  <si>
    <t>CWBSB-243</t>
  </si>
  <si>
    <t>Concurrent Application Page</t>
  </si>
  <si>
    <t>As Required (in response to a user trying to start a concurrent application)</t>
  </si>
  <si>
    <t>&lt;&lt;Original Application Number&gt;&gt;</t>
  </si>
  <si>
    <t>On click, navigate to Product Selector Landing Page (CWBSB-xx)</t>
  </si>
  <si>
    <t>Page header content - dynamic display based on the status of the applicant's previously created application</t>
  </si>
  <si>
    <t>Welcome back!</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</si>
  <si>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</si>
  <si>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</si>
  <si>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</si>
  <si>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</si>
  <si>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It looks like you've already started an application with us.  You'll have to complete or cancel your other application before starting a new one.
Check your email for details about how to complete your previous application.</t>
  </si>
  <si>
    <t>Only if pre-existing application has a status of "Saved"</t>
  </si>
  <si>
    <t>It looks like you've already started an application that is still under review. Please wait for the review to be completed.</t>
  </si>
  <si>
    <t>Only if pre-existing application has a status of "Review"</t>
  </si>
  <si>
    <t>It looks like you recently completed another application which we were unable to approve.
If you'd like to reapply to CWB, you may do so in six months.</t>
  </si>
  <si>
    <t>Contact instructions - dynamic display based on the status of the applicant's previously created application</t>
  </si>
  <si>
    <t>Await Authorized Signers information page</t>
  </si>
  <si>
    <t>CWBSB-254</t>
  </si>
  <si>
    <t>CWBSB-</t>
  </si>
  <si>
    <t>Unable to Resume Page</t>
  </si>
  <si>
    <t>As Required (in response to a user-initiated application resume when one or more Auth Signers is incomplete or Business Search results not yet available)</t>
  </si>
  <si>
    <t>We are looking forward to completing your business application, however we are waiting for some further information before we can do so.
Please watch your email for an invitation to resume. Thank you for your patience.</t>
  </si>
  <si>
    <t>Conditional - displayed only if user has chosen to connect their accounting software in the About Your Business-Codat page (CWBSB-20)</t>
  </si>
  <si>
    <t>Third Party Widget (e.g. Codat, Flinks)</t>
  </si>
  <si>
    <t>On Click, navigate back to the "About Your Business-Codat" page (CWBSB-20)</t>
  </si>
  <si>
    <t>May need modal or similar if connection to Codat is unsuccessful (choice - retry, or continue/enter info manually?)</t>
  </si>
  <si>
    <t>NOTE: Codat authorization cannot be embedded in an iFrame. Need to confirm method for implementing this part of the flow along with the retrieval of profile data (Company Info dataset in Codat) and redirect to next step (Your Business page).</t>
  </si>
  <si>
    <t>API or "Link site" - see Codat website</t>
  </si>
  <si>
    <t>Almost there</t>
  </si>
  <si>
    <t>Some questions about your new business account(s)</t>
  </si>
  <si>
    <t>&lt;&lt;product name&gt;&gt;</t>
  </si>
  <si>
    <t>Insert product name for the account being opened, e.g. 
Cash Management Account (Standard)</t>
  </si>
  <si>
    <t>Use product name as defined in Product Specification for Small Business accounts.</t>
  </si>
  <si>
    <t>What is the intended use for this account?</t>
  </si>
  <si>
    <t>Please tell us what this account will be used for</t>
  </si>
  <si>
    <t>What is the estimated value of cash transactions you expect to put through this account each month?</t>
  </si>
  <si>
    <t>Numeric (currency, 2 decimal places, 1-16 digits before decimal)</t>
  </si>
  <si>
    <t>Please enter an estimated amount for cash transactions</t>
  </si>
  <si>
    <t>What is the estimated value of cheque transactions you expect to put through this account each month?</t>
  </si>
  <si>
    <t>What is the estimated value of incoming wire transfers you expect to receive in this account each month?</t>
  </si>
  <si>
    <t>What is the estimated value of outgoing wire transfers you expect to send from this account each month?</t>
  </si>
  <si>
    <t>On average, what amount do you expect to deposit into this account via wire transfers? If none, please enter 0.00</t>
  </si>
  <si>
    <t>On average, what amount do you expect to withdraw from this account via wire transfers? If none, please enter 0.00</t>
  </si>
  <si>
    <t>Please enter an estimated amount for cheque transactions</t>
  </si>
  <si>
    <t>Please enter an estimated amount for incoming wire transfers</t>
  </si>
  <si>
    <t>Please enter an estimated amount for outgoing wire transfers</t>
  </si>
  <si>
    <t>Pass value to T24 field AVG.MO.CASH.DEP in Create Account service</t>
  </si>
  <si>
    <t>Pass value to T24 field AVG.MO.CHQ.DEP in Create Account service</t>
  </si>
  <si>
    <t>Pass value to T24 field AVG.MO.INC.WIRE in Create Account service</t>
  </si>
  <si>
    <t>Pass value to T24 field AVG.MO.OUT.WIRE in Create Account service</t>
  </si>
  <si>
    <t>End repeatable section</t>
  </si>
  <si>
    <t>IF &lt;&lt;product name&gt;&gt; = Business Savings Account, default "General savings or accrue interest" and non-editable;
ELSE default no selection</t>
  </si>
  <si>
    <t>On average, what amount do you expect to deposit and withdraw in cash to/from this account? If none, please enter 0.00</t>
  </si>
  <si>
    <t>On average, what amount do you expect to deposit and withdraw in cheques to/from this account? If none, please enter 0.00</t>
  </si>
  <si>
    <t>Hyperlink underlined text as a "mailto" with subject line "Small Business application &lt;&lt;application ID&gt;&gt;"</t>
  </si>
  <si>
    <t>Exit</t>
  </si>
  <si>
    <t>Business Account Options / AML Questions</t>
  </si>
  <si>
    <t>Does your business already bank with CWB?</t>
  </si>
  <si>
    <t>A) No
B) Yes</t>
  </si>
  <si>
    <t>A) No</t>
  </si>
  <si>
    <t>Refer to rules for Next button below.</t>
  </si>
  <si>
    <t>On click, navigate back to the Qualifying Questions page (CWBSB-12)</t>
  </si>
  <si>
    <t>If you are already a CWB business customer, your next step will be to log in to Business Online Banking, so we can access your company's information and save you some time.</t>
  </si>
  <si>
    <t>How many signers will be required to authorize transactions requiring a signature?</t>
  </si>
  <si>
    <t>One to sign
Two to sign
Three to sign
Four to sign
All to sign</t>
  </si>
  <si>
    <t>Please select required number of signers for this account</t>
  </si>
  <si>
    <t>This tells us how many signatures will be required on instruments such as cheques written on behalf of your business. If you select "All to sign" this means that everyone identified as an authorized signer will need to sign.</t>
  </si>
  <si>
    <t>Map drop-down values to the following numeric codes and pass to T24 NO.OF.SIGNERS field in the Create Account service:
One to sign - 1
Two to sign - 2
Three to sign - 3
Four to sign - 4
All to sign - 99</t>
  </si>
  <si>
    <t>We need to confirm some details and ask you a few questions about your new business account(s) to comply with Canadian Anti-Money Laundering and Terrorist Financing legislation.</t>
  </si>
  <si>
    <t>Repeat following section (20.4 through 20.10) for each account being opened via this instance of the DCO form</t>
  </si>
  <si>
    <t>??</t>
  </si>
  <si>
    <t>Is Back necessary? If this page was invoked from a "resume" link, where would you navigate back to?</t>
  </si>
  <si>
    <t>Page layout drafted for review on SB restart</t>
  </si>
  <si>
    <t>If all mandatory fields complete, on click:
Invoke T24 provisioning services (create customer, create account, issue PAN)
AND navigate to the "Complementary Services" page (CWBSB-46).
Else remain on page and display applicable mandatory message(s).</t>
  </si>
  <si>
    <t>Repeatable section: repeat for each complementary product chosen in Product Selector</t>
  </si>
  <si>
    <t>&lt;&lt;provisioning info&gt;&gt;</t>
  </si>
  <si>
    <t>&lt;&lt;product name&gt;&gt; attribute from Product Catalogue</t>
  </si>
  <si>
    <t>&lt;&lt;provisioning info&gt;&gt; attribute from Product Catalogue</t>
  </si>
  <si>
    <r>
      <t xml:space="preserve">Need more information?
</t>
    </r>
    <r>
      <rPr>
        <u/>
        <sz val="11"/>
        <color theme="1"/>
        <rFont val="Calibri"/>
        <family val="2"/>
        <scheme val="minor"/>
      </rPr>
      <t>Explore our business solutions</t>
    </r>
  </si>
  <si>
    <t>Display/repeat for each complementary (cash management) product;
Omit if no complementary products selected.</t>
  </si>
  <si>
    <t>See Display column.
Populate with Product Name attribute from corresponding Product Catalogue item</t>
  </si>
  <si>
    <t>See Display column.
Populate with Provisioning Info attribute from corresponding Product Catalogue item</t>
  </si>
  <si>
    <t>Hyperlink underlined text to Sitecore page:
https://www.cwbank.com/business/cash-management/paying-and-receiving
(Open in new window)</t>
  </si>
  <si>
    <t>Your CWB business solutions</t>
  </si>
  <si>
    <t>On click, navigate back to the "Account Options" page (CWBSB-45)</t>
  </si>
  <si>
    <t>On click, invoke the Small Business Funding Form</t>
  </si>
  <si>
    <t>Assumes Product Catalogue can support this attribute. May include hyperlink to a partner/third party provider for some cash management products.</t>
  </si>
  <si>
    <t xml:space="preserve">Business online and mobile banking
Included with your new business account(s). Your access credentials will be set up on the next page. </t>
  </si>
  <si>
    <t>All (non-modal) form pages</t>
  </si>
  <si>
    <t>CPE</t>
  </si>
  <si>
    <t>Common Page Elements (visual elements and hyperlinks)</t>
  </si>
  <si>
    <t>CWBSB-255</t>
  </si>
  <si>
    <t>Note: generic wording required as this could be due to Auth Signers incomplete, or Business Search (detailed report) not received.</t>
  </si>
  <si>
    <t>Sorry, we are unable to resume your application</t>
  </si>
  <si>
    <t>On click, exit application and close browser window.</t>
  </si>
  <si>
    <t>Format email address as Mailto link.</t>
  </si>
  <si>
    <t>Display image "CWB Loading Triangles.gif".
Refer to the CWB Design System for image asset.</t>
  </si>
  <si>
    <t>Trade or Operating Name</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</si>
  <si>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</si>
  <si>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</si>
  <si>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</si>
  <si>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r>
      <t xml:space="preserve">We've cancelled your application, but if you change your mind, please email us at </t>
    </r>
    <r>
      <rPr>
        <u/>
        <sz val="11"/>
        <color theme="1"/>
        <rFont val="Calibri"/>
        <family val="2"/>
        <scheme val="minor"/>
      </rPr>
      <t>Business-Onboarding</t>
    </r>
    <r>
      <rPr>
        <u/>
        <sz val="11"/>
        <rFont val="Calibri"/>
        <family val="2"/>
        <scheme val="minor"/>
      </rPr>
      <t>@CWBank.com</t>
    </r>
    <r>
      <rPr>
        <sz val="11"/>
        <rFont val="Calibri"/>
        <family val="2"/>
        <scheme val="minor"/>
      </rPr>
      <t>.</t>
    </r>
  </si>
  <si>
    <r>
      <t xml:space="preserve">You have already submitted an application.
For assistance, please e-mail CWB at </t>
    </r>
    <r>
      <rPr>
        <u/>
        <sz val="11"/>
        <rFont val="Calibri"/>
        <family val="2"/>
        <scheme val="minor"/>
      </rPr>
      <t>Business-Onboarding@CWBank.com.</t>
    </r>
    <r>
      <rPr>
        <sz val="11"/>
        <rFont val="Calibri"/>
        <family val="2"/>
        <scheme val="minor"/>
      </rPr>
      <t xml:space="preserve">
Your reference number is:</t>
    </r>
  </si>
  <si>
    <r>
      <t xml:space="preserve">For assistance, please email CWB at </t>
    </r>
    <r>
      <rPr>
        <u/>
        <sz val="11"/>
        <color theme="1"/>
        <rFont val="Calibri"/>
        <family val="2"/>
        <scheme val="minor"/>
      </rPr>
      <t>Business-Onboarding@CWBank.com</t>
    </r>
    <r>
      <rPr>
        <sz val="11"/>
        <color theme="1"/>
        <rFont val="Calibri"/>
        <family val="2"/>
        <scheme val="minor"/>
      </rPr>
      <t>.
Your reference number is:</t>
    </r>
  </si>
  <si>
    <t>Your business associates</t>
  </si>
  <si>
    <t>&lt;&lt;first name&gt;&gt; &lt;&lt;last name&gt;&gt;</t>
  </si>
  <si>
    <t>Enumerated progress steps - see Permitted Data</t>
  </si>
  <si>
    <t>Status checker (linear)</t>
  </si>
  <si>
    <t>Proceed to next step</t>
  </si>
  <si>
    <t>Start repeatable section - Status checker (linear)</t>
  </si>
  <si>
    <t>Repeat 19.5 and 19.6 for each individual identified as an Authorized Signer (CWBSB-43). Insert first and last name in fields tagged &lt;&lt;&gt;&gt;
On entry, progress step will be set to "Invitation email sent".
Update according to status of identified individual's Authorized Signer flow.</t>
  </si>
  <si>
    <t>The email address should be hyperlinked ("mailto" link).</t>
  </si>
  <si>
    <t>Text field (masked input)</t>
  </si>
  <si>
    <t>CWBSB-263</t>
  </si>
  <si>
    <t>Review for language.
Destination page/URL for OKTA log in is to be confirmed.</t>
  </si>
  <si>
    <t>This leads to the "authenticated path" if they are existing - i.e. skip business verification and profile (go to product selection)</t>
  </si>
  <si>
    <t>Are you already a CWB or Motive Financial personal banking customer?</t>
  </si>
  <si>
    <t>If you are already a CWB or Motive personal customer, we will ask you to log in, so we can access your information and save you some time.</t>
  </si>
  <si>
    <t>On click:
IF radio button 2.3 AND 2.4 selection = "No"
THEN navigate to the "Contact Info" page (CWBSB-14)
ELSE IF radio button 2.3 OR 2.4 selection = "Yes" go to OKTA log in</t>
  </si>
  <si>
    <t>To log in and pre-fill some of your business profile information, select the accounting software you use from the list below.
Can't find your software? Skip this step to provide your details manually.</t>
  </si>
  <si>
    <t>Select your accounting software from the list.</t>
  </si>
  <si>
    <t>This is the Codat widget for the user to log in to their accounting software in order to retrieve company profile data.
Mandatory: must make a selection in order to activate Next button</t>
  </si>
  <si>
    <r>
      <t xml:space="preserve">On click, navigate to CODAT login page - </t>
    </r>
    <r>
      <rPr>
        <sz val="11"/>
        <color rgb="FFFF0000"/>
        <rFont val="Calibri"/>
        <family val="2"/>
        <scheme val="minor"/>
      </rPr>
      <t>URL/target page to be confirmed</t>
    </r>
  </si>
  <si>
    <t>Target page location to be confirmed</t>
  </si>
  <si>
    <t>Position lower right of screen (in line with Next/Back if possible)
On click, navigate to "Your Business" page (CWBSB-24)</t>
  </si>
  <si>
    <t>Industry Sub Sector</t>
  </si>
  <si>
    <t>Please select the description that best matches the Sub Sector in which your business operates</t>
  </si>
  <si>
    <t>Please select an Industry Sub Sector</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</si>
  <si>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</si>
  <si>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</si>
  <si>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</si>
  <si>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</si>
  <si>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</si>
  <si>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Your Industry</t>
  </si>
  <si>
    <t>Revenue and Employees</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</si>
  <si>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</si>
  <si>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</si>
  <si>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</si>
  <si>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</si>
  <si>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</si>
  <si>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Owners &amp; Directors</t>
  </si>
  <si>
    <t>19a</t>
  </si>
  <si>
    <t>17a</t>
  </si>
  <si>
    <t>Your Role</t>
  </si>
  <si>
    <t>Up to 3 + 2 decimal places</t>
  </si>
  <si>
    <t>Hide field on page entry.
Reveal if radio button 17a.3 selection = (A) Yes.
Input is mandatory once field is revealed.</t>
  </si>
  <si>
    <t>Validate that a value is present in 17a.4 if radio button 17a.3 = "Yes"</t>
  </si>
  <si>
    <t>See Mandatory Message for 17a.4</t>
  </si>
  <si>
    <t>On click, validate as described.
If validation passes, navigate to "Owners &amp; Directors" page (CWBSB-294)</t>
  </si>
  <si>
    <t>Numeric, 2 decimal places, up to 100.00</t>
  </si>
  <si>
    <t>0.00</t>
  </si>
  <si>
    <t>Allow type-ahead or drop-down to select.
Disabled on page entry; enable when selection is made in Industry Sub Sector (9.6).</t>
  </si>
  <si>
    <t>CWBSB-295</t>
  </si>
  <si>
    <t>CWBSB-294</t>
  </si>
  <si>
    <t>The people in your business</t>
  </si>
  <si>
    <t>&lt;&lt;applicant first name&gt;&gt; &lt;&lt;applicant last name&gt;&gt;</t>
  </si>
  <si>
    <t>Director</t>
  </si>
  <si>
    <t>Include only if business entity type = Corporation</t>
  </si>
  <si>
    <t>Person/initials image asset to be provided</t>
  </si>
  <si>
    <t>Render person/initials image to left of name</t>
  </si>
  <si>
    <t>In-line with person/initials image 17.2.
Insert first and last name of Applicant in tagged fields indicated by &lt;&lt;&gt;&gt;; bold font</t>
  </si>
  <si>
    <t>Owner/Shareholder or Partner</t>
  </si>
  <si>
    <t>Insert only if business entity type = Corporation</t>
  </si>
  <si>
    <r>
      <t>Include only if selection in Your Role page (radio button 17a.4) = "Yes"
Insert percentage ownership value in field tagged &lt;&lt;</t>
    </r>
    <r>
      <rPr>
        <i/>
        <sz val="11"/>
        <color theme="1"/>
        <rFont val="Calibri"/>
        <family val="2"/>
        <scheme val="minor"/>
      </rPr>
      <t>nn.nn</t>
    </r>
    <r>
      <rPr>
        <sz val="11"/>
        <color theme="1"/>
        <rFont val="Calibri"/>
        <family val="2"/>
        <scheme val="minor"/>
      </rPr>
      <t>&gt;&gt;</t>
    </r>
  </si>
  <si>
    <r>
      <t>Owner/Shareholder or Partner (&lt;&lt;</t>
    </r>
    <r>
      <rPr>
        <i/>
        <sz val="11"/>
        <color theme="1"/>
        <rFont val="Calibri"/>
        <family val="2"/>
        <scheme val="minor"/>
      </rPr>
      <t>nn.nn</t>
    </r>
    <r>
      <rPr>
        <sz val="11"/>
        <color theme="1"/>
        <rFont val="Calibri"/>
        <family val="2"/>
        <scheme val="minor"/>
      </rPr>
      <t>&gt;&gt;%)</t>
    </r>
  </si>
  <si>
    <t>Who else is in the business with you?</t>
  </si>
  <si>
    <t>Include only if business entity type = Corporation
Render director image to left of text</t>
  </si>
  <si>
    <t>Director image asset to be provided</t>
  </si>
  <si>
    <t>Render Owner/Shareholder/Partner image to left of text</t>
  </si>
  <si>
    <t>Owner/Shareholder/Partner image asset to be provided</t>
  </si>
  <si>
    <t>An Owner/Shareholder or Partner is anyone who has an ownership stake in the business. We need to know who these individuals are, and what percentage of the business they own.</t>
  </si>
  <si>
    <t>A Director is any individual who is a board member of a Corporation. They may hold other title(s) in connection with their company duties, such as President, Chairperson or Secretary.</t>
  </si>
  <si>
    <t>A) Director
B) Shareholder/Owner or Partner</t>
  </si>
  <si>
    <t>no caption (cell for first name)</t>
  </si>
  <si>
    <t>no caption (cell for last name)</t>
  </si>
  <si>
    <t>no caption (cell for email address)</t>
  </si>
  <si>
    <t>no caption (role selection drop down)</t>
  </si>
  <si>
    <t>See business rules</t>
  </si>
  <si>
    <t>3 + 2 decimal places</t>
  </si>
  <si>
    <t>IF business type = Corporation, render drop-down list with 2 choices as specified;
ELSE set value to "Owner/Shareholder or Partner" and non-editable.</t>
  </si>
  <si>
    <t>Allow multiple selection; at least one role must be selected per row in the table</t>
  </si>
  <si>
    <t>no caption (cell for percentage ownership)</t>
  </si>
  <si>
    <t>Mandatory if role selection 17.22 includes "Shareholder/Owner or Partner";
Input not permitted if role selection 17.22 = "Director" only.</t>
  </si>
  <si>
    <t>+ Add another person</t>
  </si>
  <si>
    <t>On click, save entered person info (name, roles, % ownership, email) to form and add another row to the table.</t>
  </si>
  <si>
    <t>Validate % ownership for Applicant and all other owners entered in the table &gt;=99.99%</t>
  </si>
  <si>
    <t>You must identify everyone who has ownership in your business to continue</t>
  </si>
  <si>
    <t>On click, validate as described.
IF validation passes, navigate to "Authorized Signers" page (CWBSB-43);
ELSE if validation fails, remain on page and display validation message.</t>
  </si>
  <si>
    <t>On click, navigate to "Your Role" page (CWBSB-295)</t>
  </si>
  <si>
    <t>End table</t>
  </si>
  <si>
    <t>Render following section as table cells - align underneath column headers (17.14-17.18). Use "Add another person" control (17.24) to add another row.</t>
  </si>
  <si>
    <t>On click, navigate to "Owners &amp; Directors" page (CWBSB-294)</t>
  </si>
  <si>
    <t>On click, navigate to "Disclosures-Tax Residency" page (CWBSB-190)</t>
  </si>
  <si>
    <t>no caption</t>
  </si>
  <si>
    <t>A) Yes, I meet the above criteria
B) Don't qualify? We're here to help</t>
  </si>
  <si>
    <t>IF selection = (A) Yes I meet the above ciriteria, on click, navigate to "Existing Customer Check" page (CWBSB-175);
ELSE IF selection = (B) Don't qualify, we're here to help, on click, navigate to "Not Qualified Info Page" page (CWBSB-13)</t>
  </si>
  <si>
    <t>Selection required; if no selection, display mandatory message when "Next" is clicked.</t>
  </si>
  <si>
    <t>Please make a selection to continue</t>
  </si>
  <si>
    <t>If (A) Unchecked hide manual mode fields 8.9 - 8.14 unless address pre-filled from Codat.
If (B) Checked and/or address pre-filled from Codat, disable lookup field 8.7 and reveal manual mode fields 8.9 - 8.14.</t>
  </si>
  <si>
    <t>If (A) Unchecked hide Business Mailing Address fields 8.16 - 8.23 unless mailing address pre-filled from Codat.
If (B) Checked and/or mailing address pre-filled from Codat, reveal Business Mailing Address fields 8.16 - 8.23.</t>
  </si>
  <si>
    <t>Display only if check box 8.15 = (B) Checked
Disallow user entry if address is pre-filled from Codat OR manual mode check box 8.15 is checked.
Use Canada Post Address Complete API to provide suggestions for typed addresses.
Include PO Box and Quebec addresses in API response</t>
  </si>
  <si>
    <t>Display only if check box 8.15 = (B) Checked
If (A) Unchecked hide manual mode fields 8.18-8.23 unless mailing address pre-filled from Codat.
If (B) Checked and/or address pre-filled from Codat, disable lookup field 8.16 and reveal manual mode fields 8.18 - 8.23.</t>
  </si>
  <si>
    <t>Pre-fill if data received from Codat</t>
  </si>
  <si>
    <t>Pre-fill if mailing address received from Codat</t>
  </si>
  <si>
    <t>On click, navigate to "App-IDScan" CWBSB-38 and invoke Business Verification (Business Search) service.</t>
  </si>
  <si>
    <t>Next will be required to trigger API call to the Thirdstream Business Verification (Business Search) service.</t>
  </si>
  <si>
    <t>Your business application ID is: &lt;&lt;application ID&gt;&gt;</t>
  </si>
  <si>
    <t>Once your associates are finished, we will let you know, so you can resume and complete the application.
We've sent you an email with a link back to this page, so you can check on their progress.</t>
  </si>
  <si>
    <t>Your business associates will be joining us soon</t>
  </si>
  <si>
    <r>
      <t xml:space="preserve">If you have any questions in the meantime, please contact us at </t>
    </r>
    <r>
      <rPr>
        <u/>
        <sz val="11"/>
        <color theme="1"/>
        <rFont val="Calibri"/>
        <family val="2"/>
        <scheme val="minor"/>
      </rPr>
      <t>Business-Onboarding@CWBank.com</t>
    </r>
  </si>
  <si>
    <r>
      <t>Insert number of days remaining to complete the Journey Manager form in the field indicated by &lt;&lt;</t>
    </r>
    <r>
      <rPr>
        <i/>
        <sz val="11"/>
        <color theme="1"/>
        <rFont val="Calibri"/>
        <family val="2"/>
        <scheme val="minor"/>
      </rPr>
      <t>day count</t>
    </r>
    <r>
      <rPr>
        <sz val="11"/>
        <color theme="1"/>
        <rFont val="Calibri"/>
        <family val="2"/>
        <scheme val="minor"/>
      </rPr>
      <t>&gt;&gt;.
The first time this page is rendered, expected value will be 45.</t>
    </r>
  </si>
  <si>
    <t>Conditional - when 1 or more Authorized Signers have been identified and invitation emails sent (see CWBSB-43)</t>
  </si>
  <si>
    <t>(step 1) Invitation email sent
(step 2) Started
(step 3) Saved
(step 4) Complete</t>
  </si>
  <si>
    <t>Resend email</t>
  </si>
  <si>
    <t>Render text as a hyperlink. When clicked, regenerate invitation email for the corresponding Authorized Signer.</t>
  </si>
  <si>
    <t>ID: &lt;&lt;application ID&gt;&gt;</t>
  </si>
  <si>
    <t>You have &lt;&lt;day count&gt;&gt; days left to complete the application.</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</si>
  <si>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</si>
  <si>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</si>
  <si>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Disable button until all Authorized Signers in the progress steps table (19.5-19.6) are in status "Complete".
On click, navigate to Account Options (CWBSB-45).</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</si>
  <si>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</si>
  <si>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Manual mode fields (Legal Address) 8.9-8.14 - display only if checkbox 8.8 is checked or address is pre-filled from Codat</t>
  </si>
  <si>
    <t>Business Mailing Address fields - display only if checkbox 8.15 is checked or mailing address is pre-filled from Codat</t>
  </si>
  <si>
    <t>anual mode fields (Mailing Address) 8.18-8.23 - display only if checkbox 8.17 is checked or mailing address is pre-filled from Codat</t>
  </si>
  <si>
    <t>Enabled for selection on page entry
Drop down list of all values of sector</t>
  </si>
  <si>
    <t xml:space="preserve">Need to understand feasibility/effort for type ahead. </t>
  </si>
  <si>
    <t>See Default Value column.
Map drop-down values to the following numeric codes and pass to T24 CA.INTEND.USE field in the Create Account service:
Day to day operations - 70
Accounts payable - 92
Accounts receivable - 64
Payroll - 91
GST/Taxes - 68
General savings or accrue interest - 97
Cash management - 95</t>
  </si>
  <si>
    <t>Day-to-day operations
Accounts receivable
Accounts payable
Cash management
GST/Taxes
General savings or accrue interest
Payroll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</si>
</sst>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6"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i/>
      <sz val="11"/>
      <color theme="1"/>
      <name val="Calibri"/>
      <family val="2"/>
      <scheme val="minor"/>
    </font>
    <font>
      <b/>
      <sz val="14"/>
      <color rgb="FFFF0000"/>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theme="7" tint="0.39997558519241921"/>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2">
    <xf numFmtId="0" fontId="0" fillId="0" borderId="0"/>
    <xf numFmtId="0" fontId="13" fillId="0" borderId="0" applyNumberFormat="0" applyFill="0" applyBorder="0" applyAlignment="0" applyProtection="0"/>
  </cellStyleXfs>
  <cellXfs count="140">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6" xfId="0" applyBorder="1" applyAlignment="1">
      <alignment horizontal="center"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5" borderId="0" xfId="0" applyFill="1" applyAlignment="1">
      <alignment vertical="center" wrapText="1"/>
    </xf>
    <xf numFmtId="0" fontId="8" fillId="0" borderId="0" xfId="0" applyFont="1" applyAlignment="1">
      <alignment vertical="top" wrapText="1"/>
    </xf>
    <xf numFmtId="0" fontId="0" fillId="6" borderId="0" xfId="0" applyFill="1" applyAlignment="1">
      <alignment vertical="center" wrapText="1"/>
    </xf>
    <xf numFmtId="0" fontId="8" fillId="6" borderId="0" xfId="0" applyFont="1" applyFill="1" applyAlignment="1">
      <alignment horizontal="center" vertical="center" wrapText="1"/>
    </xf>
    <xf numFmtId="0" fontId="0" fillId="6" borderId="0" xfId="0" applyFill="1" applyAlignment="1">
      <alignment horizontal="left" vertical="center" wrapText="1"/>
    </xf>
    <xf numFmtId="0" fontId="0" fillId="6" borderId="0" xfId="0" applyFont="1" applyFill="1" applyAlignment="1">
      <alignment vertical="center" wrapText="1"/>
    </xf>
    <xf numFmtId="0" fontId="10" fillId="6"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6" borderId="0" xfId="0" applyFill="1" applyAlignment="1">
      <alignment horizontal="center" vertical="center" wrapText="1"/>
    </xf>
    <xf numFmtId="0" fontId="0" fillId="6" borderId="0" xfId="0" quotePrefix="1" applyFill="1" applyAlignment="1">
      <alignment vertical="center" wrapText="1"/>
    </xf>
    <xf numFmtId="0" fontId="0" fillId="0" borderId="0" xfId="0" applyAlignment="1">
      <alignment horizontal="left" vertical="center"/>
    </xf>
    <xf numFmtId="0" fontId="1" fillId="4" borderId="13"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7" borderId="0" xfId="0" applyFont="1" applyFill="1" applyAlignment="1">
      <alignment vertical="center"/>
    </xf>
    <xf numFmtId="0" fontId="12" fillId="7" borderId="0" xfId="0" applyFont="1" applyFill="1" applyAlignment="1">
      <alignment vertical="center" wrapText="1"/>
    </xf>
    <xf numFmtId="0" fontId="0" fillId="0" borderId="0" xfId="0" applyFont="1" applyFill="1" applyAlignment="1">
      <alignment horizontal="center" vertical="center" wrapText="1"/>
    </xf>
    <xf numFmtId="0" fontId="0" fillId="8" borderId="0" xfId="0" applyFont="1" applyFill="1" applyAlignment="1">
      <alignment vertical="center" wrapText="1"/>
    </xf>
    <xf numFmtId="0" fontId="0" fillId="8"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6" borderId="0" xfId="0" applyFont="1" applyFill="1" applyAlignment="1">
      <alignment vertical="center" wrapText="1"/>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5" fillId="0"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5" xfId="0" applyBorder="1" applyAlignment="1">
      <alignment horizontal="center" vertical="center" wrapText="1"/>
    </xf>
    <xf numFmtId="0" fontId="4" fillId="0" borderId="0" xfId="0" applyFont="1" applyFill="1" applyAlignment="1">
      <alignment horizontal="left" vertical="center"/>
    </xf>
    <xf numFmtId="0" fontId="5"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xf numFmtId="0" fontId="15" fillId="0" borderId="0" xfId="0" applyFont="1" applyAlignment="1">
      <alignment horizontal="left" vertical="center"/>
    </xf>
  </cellXfs>
  <cellStyles count="2">
    <cellStyle name="Hyperlink" xfId="1" builtinId="8"/>
    <cellStyle name="Normal" xfId="0" builtinId="0"/>
  </cellStyles>
  <dxfs count="614">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docs.codat.io/docs/linking"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tabSelected="1" zoomScaleNormal="100" workbookViewId="0">
      <pane ySplit="3" topLeftCell="A10" activePane="bottomLeft" state="frozen"/>
      <selection pane="bottomLeft" activeCell="E11" sqref="E11"/>
    </sheetView>
  </sheetViews>
  <sheetFormatPr defaultRowHeight="14.5" x14ac:dyDescent="0.35"/>
  <cols>
    <col min="1" max="1" width="19.81640625" customWidth="1"/>
    <col min="2" max="2" width="18.7265625" bestFit="1" customWidth="1"/>
    <col min="3" max="3" width="73.26953125" customWidth="1"/>
    <col min="4" max="5" width="21.54296875" customWidth="1"/>
    <col min="6" max="6" width="20.1796875" customWidth="1"/>
  </cols>
  <sheetData>
    <row r="1" spans="1:15" s="1" customFormat="1" ht="18.5" x14ac:dyDescent="0.35">
      <c r="A1" s="1" t="s">
        <v>231</v>
      </c>
      <c r="B1" s="2"/>
      <c r="C1" s="2"/>
      <c r="D1" s="2"/>
      <c r="E1" s="2"/>
      <c r="F1" s="3"/>
      <c r="G1" s="2"/>
      <c r="H1" s="3"/>
      <c r="I1" s="3"/>
      <c r="J1" s="3"/>
      <c r="K1" s="2"/>
      <c r="L1" s="2"/>
      <c r="M1" s="2"/>
      <c r="N1" s="2"/>
      <c r="O1" s="2"/>
    </row>
    <row r="2" spans="1:15" s="1" customFormat="1" ht="19" thickBot="1" x14ac:dyDescent="0.4">
      <c r="A2" s="1" t="s">
        <v>0</v>
      </c>
      <c r="B2" s="2"/>
      <c r="C2" s="2"/>
      <c r="D2" s="2"/>
      <c r="E2" s="2"/>
      <c r="F2" s="3"/>
      <c r="G2" s="2"/>
      <c r="H2" s="3"/>
      <c r="I2" s="3"/>
      <c r="J2" s="3"/>
      <c r="K2" s="2"/>
      <c r="L2" s="2"/>
      <c r="M2" s="2"/>
      <c r="N2" s="2"/>
      <c r="O2" s="2"/>
    </row>
    <row r="3" spans="1:15" s="11" customFormat="1" ht="15" thickBot="1" x14ac:dyDescent="0.4">
      <c r="A3" s="7" t="s">
        <v>1</v>
      </c>
      <c r="B3" s="8" t="s">
        <v>2</v>
      </c>
      <c r="C3" s="9" t="s">
        <v>3</v>
      </c>
      <c r="D3" s="8" t="s">
        <v>4</v>
      </c>
      <c r="E3" s="10" t="s">
        <v>5</v>
      </c>
    </row>
    <row r="4" spans="1:15" s="4" customFormat="1" x14ac:dyDescent="0.35">
      <c r="A4" s="12" t="s">
        <v>220</v>
      </c>
      <c r="B4" s="13">
        <v>44027</v>
      </c>
      <c r="C4" s="14" t="s">
        <v>221</v>
      </c>
      <c r="D4" s="24" t="s">
        <v>222</v>
      </c>
      <c r="E4" s="27"/>
    </row>
    <row r="5" spans="1:15" s="4" customFormat="1" ht="17.149999999999999" customHeight="1" x14ac:dyDescent="0.35">
      <c r="A5" s="78" t="s">
        <v>220</v>
      </c>
      <c r="B5" s="79">
        <v>44028</v>
      </c>
      <c r="C5" s="80" t="s">
        <v>232</v>
      </c>
      <c r="D5" s="81" t="s">
        <v>233</v>
      </c>
      <c r="E5" s="82"/>
    </row>
    <row r="6" spans="1:15" s="4" customFormat="1" ht="17.5" customHeight="1" x14ac:dyDescent="0.35">
      <c r="A6" s="15" t="s">
        <v>260</v>
      </c>
      <c r="B6" s="16">
        <v>44032</v>
      </c>
      <c r="C6" s="17" t="s">
        <v>262</v>
      </c>
      <c r="D6" s="28" t="s">
        <v>222</v>
      </c>
      <c r="E6" s="18"/>
    </row>
    <row r="7" spans="1:15" s="4" customFormat="1" ht="169.5" customHeight="1" x14ac:dyDescent="0.35">
      <c r="A7" s="15" t="s">
        <v>314</v>
      </c>
      <c r="B7" s="16">
        <v>44036</v>
      </c>
      <c r="C7" s="17" t="s">
        <v>380</v>
      </c>
      <c r="D7" s="25" t="s">
        <v>222</v>
      </c>
      <c r="E7" s="48" t="s">
        <v>381</v>
      </c>
    </row>
    <row r="8" spans="1:15" s="4" customFormat="1" ht="93" customHeight="1" x14ac:dyDescent="0.35">
      <c r="A8" s="15" t="s">
        <v>320</v>
      </c>
      <c r="B8" s="16">
        <v>44056</v>
      </c>
      <c r="C8" s="17" t="s">
        <v>446</v>
      </c>
      <c r="D8" s="25" t="s">
        <v>222</v>
      </c>
      <c r="E8" s="48" t="s">
        <v>384</v>
      </c>
    </row>
    <row r="9" spans="1:15" s="4" customFormat="1" ht="78" x14ac:dyDescent="0.35">
      <c r="A9" s="15" t="s">
        <v>386</v>
      </c>
      <c r="B9" s="16">
        <v>44067</v>
      </c>
      <c r="C9" s="19" t="s">
        <v>447</v>
      </c>
      <c r="D9" s="25" t="s">
        <v>222</v>
      </c>
      <c r="E9" s="48"/>
    </row>
    <row r="10" spans="1:15" s="4" customFormat="1" ht="52" x14ac:dyDescent="0.35">
      <c r="A10" s="57" t="s">
        <v>459</v>
      </c>
      <c r="B10" s="58">
        <v>44085</v>
      </c>
      <c r="C10" s="59" t="s">
        <v>490</v>
      </c>
      <c r="D10" s="60" t="s">
        <v>222</v>
      </c>
      <c r="E10" s="76"/>
    </row>
    <row r="11" spans="1:15" s="4" customFormat="1" ht="345.5" customHeight="1" x14ac:dyDescent="0.35">
      <c r="A11" s="57" t="s">
        <v>476</v>
      </c>
      <c r="B11" s="58"/>
      <c r="C11" s="59" t="s">
        <v>860</v>
      </c>
      <c r="D11" s="129" t="s">
        <v>775</v>
      </c>
      <c r="E11" s="48" t="s">
        <v>384</v>
      </c>
    </row>
    <row r="12" spans="1:15" s="4" customFormat="1" x14ac:dyDescent="0.35">
      <c r="A12" s="57"/>
      <c r="B12" s="58"/>
      <c r="C12" s="59"/>
      <c r="D12" s="60"/>
      <c r="E12" s="76"/>
    </row>
    <row r="13" spans="1:15" s="4" customFormat="1" x14ac:dyDescent="0.35">
      <c r="A13" s="57"/>
      <c r="B13" s="58"/>
      <c r="C13" s="59"/>
      <c r="D13" s="60"/>
      <c r="E13" s="61"/>
    </row>
    <row r="14" spans="1:15" ht="15" thickBot="1" x14ac:dyDescent="0.4">
      <c r="A14" s="20"/>
      <c r="B14" s="21"/>
      <c r="C14" s="22"/>
      <c r="D14" s="26"/>
      <c r="E14" s="23"/>
    </row>
  </sheetData>
  <conditionalFormatting sqref="H1:I2">
    <cfRule type="cellIs" dxfId="613" priority="10" operator="equal">
      <formula>"Not Applicable"</formula>
    </cfRule>
    <cfRule type="cellIs" dxfId="612" priority="11" operator="equal">
      <formula>"4 - Future Initiative (out of scope)"</formula>
    </cfRule>
    <cfRule type="cellIs" dxfId="611" priority="12" operator="equal">
      <formula>"3 - Desirable (Nice To Have)"</formula>
    </cfRule>
    <cfRule type="cellIs" dxfId="610" priority="13" operator="equal">
      <formula>"2 - Recommended (Best Practice)"</formula>
    </cfRule>
    <cfRule type="cellIs" dxfId="609" priority="14" operator="equal">
      <formula>"1 - Mandatory (Must Have)"</formula>
    </cfRule>
  </conditionalFormatting>
  <conditionalFormatting sqref="F1:F2">
    <cfRule type="cellIs" dxfId="608" priority="8" operator="equal">
      <formula>"Non-functional"</formula>
    </cfRule>
    <cfRule type="cellIs" dxfId="607"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topLeftCell="A13" workbookViewId="0">
      <selection activeCell="A32" sqref="A32"/>
    </sheetView>
  </sheetViews>
  <sheetFormatPr defaultRowHeight="14.5" x14ac:dyDescent="0.35"/>
  <cols>
    <col min="1" max="1" width="47.26953125" bestFit="1" customWidth="1"/>
    <col min="2" max="2" width="25.54296875" customWidth="1"/>
  </cols>
  <sheetData>
    <row r="1" spans="1:15" s="1" customFormat="1" ht="18.5" x14ac:dyDescent="0.35">
      <c r="A1" s="1" t="s">
        <v>587</v>
      </c>
      <c r="B1" s="2"/>
      <c r="C1" s="2"/>
      <c r="D1" s="2"/>
      <c r="E1" s="2"/>
      <c r="F1" s="3"/>
      <c r="G1" s="2"/>
      <c r="H1" s="3"/>
      <c r="I1" s="3"/>
      <c r="J1" s="3"/>
      <c r="K1" s="2"/>
      <c r="L1" s="2"/>
      <c r="M1" s="2"/>
      <c r="N1" s="2"/>
      <c r="O1" s="2"/>
    </row>
    <row r="2" spans="1:15" s="1" customFormat="1" ht="18.5" x14ac:dyDescent="0.35">
      <c r="A2" s="1" t="s">
        <v>26</v>
      </c>
      <c r="B2" s="2"/>
      <c r="C2" s="2"/>
      <c r="D2" s="2"/>
      <c r="E2" s="2"/>
      <c r="F2" s="3"/>
      <c r="G2" s="2"/>
      <c r="H2" s="3"/>
      <c r="I2" s="3"/>
      <c r="J2" s="3"/>
      <c r="K2" s="2"/>
      <c r="L2" s="2"/>
      <c r="M2" s="2"/>
      <c r="N2" s="2"/>
      <c r="O2" s="2"/>
    </row>
    <row r="4" spans="1:15" s="29" customFormat="1" x14ac:dyDescent="0.35">
      <c r="A4" s="29" t="s">
        <v>27</v>
      </c>
      <c r="B4" s="29" t="s">
        <v>38</v>
      </c>
    </row>
    <row r="5" spans="1:15" x14ac:dyDescent="0.35">
      <c r="A5" t="s">
        <v>42</v>
      </c>
      <c r="B5" t="s">
        <v>41</v>
      </c>
    </row>
    <row r="6" spans="1:15" x14ac:dyDescent="0.35">
      <c r="A6" t="s">
        <v>29</v>
      </c>
      <c r="B6" t="s">
        <v>39</v>
      </c>
    </row>
    <row r="7" spans="1:15" x14ac:dyDescent="0.35">
      <c r="A7" t="s">
        <v>61</v>
      </c>
      <c r="B7" t="s">
        <v>40</v>
      </c>
    </row>
    <row r="8" spans="1:15" x14ac:dyDescent="0.35">
      <c r="A8" t="s">
        <v>205</v>
      </c>
      <c r="B8" t="s">
        <v>37</v>
      </c>
    </row>
    <row r="9" spans="1:15" x14ac:dyDescent="0.35">
      <c r="A9" t="s">
        <v>90</v>
      </c>
      <c r="B9" t="s">
        <v>44</v>
      </c>
    </row>
    <row r="10" spans="1:15" x14ac:dyDescent="0.35">
      <c r="A10" t="s">
        <v>34</v>
      </c>
    </row>
    <row r="11" spans="1:15" x14ac:dyDescent="0.35">
      <c r="A11" t="s">
        <v>663</v>
      </c>
    </row>
    <row r="12" spans="1:15" x14ac:dyDescent="0.35">
      <c r="A12" t="s">
        <v>189</v>
      </c>
    </row>
    <row r="13" spans="1:15" x14ac:dyDescent="0.35">
      <c r="A13" t="s">
        <v>164</v>
      </c>
    </row>
    <row r="14" spans="1:15" x14ac:dyDescent="0.35">
      <c r="A14" t="s">
        <v>127</v>
      </c>
    </row>
    <row r="15" spans="1:15" x14ac:dyDescent="0.35">
      <c r="A15" t="s">
        <v>586</v>
      </c>
    </row>
    <row r="16" spans="1:15" x14ac:dyDescent="0.35">
      <c r="A16" t="s">
        <v>47</v>
      </c>
    </row>
    <row r="17" spans="1:1" x14ac:dyDescent="0.35">
      <c r="A17" t="s">
        <v>31</v>
      </c>
    </row>
    <row r="18" spans="1:1" x14ac:dyDescent="0.35">
      <c r="A18" t="s">
        <v>30</v>
      </c>
    </row>
    <row r="19" spans="1:1" x14ac:dyDescent="0.35">
      <c r="A19" t="s">
        <v>128</v>
      </c>
    </row>
    <row r="20" spans="1:1" x14ac:dyDescent="0.35">
      <c r="A20" t="s">
        <v>28</v>
      </c>
    </row>
    <row r="21" spans="1:1" x14ac:dyDescent="0.35">
      <c r="A21" t="s">
        <v>347</v>
      </c>
    </row>
    <row r="22" spans="1:1" x14ac:dyDescent="0.35">
      <c r="A22" t="s">
        <v>105</v>
      </c>
    </row>
    <row r="23" spans="1:1" x14ac:dyDescent="0.35">
      <c r="A23" t="s">
        <v>33</v>
      </c>
    </row>
    <row r="24" spans="1:1" x14ac:dyDescent="0.35">
      <c r="A24" t="s">
        <v>35</v>
      </c>
    </row>
    <row r="25" spans="1:1" x14ac:dyDescent="0.35">
      <c r="A25" t="s">
        <v>747</v>
      </c>
    </row>
    <row r="26" spans="1:1" x14ac:dyDescent="0.35">
      <c r="A26" t="s">
        <v>630</v>
      </c>
    </row>
    <row r="27" spans="1:1" x14ac:dyDescent="0.35">
      <c r="A27" t="s">
        <v>631</v>
      </c>
    </row>
    <row r="28" spans="1:1" x14ac:dyDescent="0.35">
      <c r="A28" t="s">
        <v>344</v>
      </c>
    </row>
    <row r="29" spans="1:1" x14ac:dyDescent="0.35">
      <c r="A29" t="s">
        <v>32</v>
      </c>
    </row>
    <row r="30" spans="1:1" x14ac:dyDescent="0.35">
      <c r="A30" t="s">
        <v>752</v>
      </c>
    </row>
    <row r="31" spans="1:1" x14ac:dyDescent="0.35">
      <c r="A31" t="s">
        <v>76</v>
      </c>
    </row>
    <row r="32" spans="1:1" x14ac:dyDescent="0.35">
      <c r="A32" t="s">
        <v>183</v>
      </c>
    </row>
  </sheetData>
  <sortState ref="A5:A15">
    <sortCondition ref="A16"/>
  </sortState>
  <conditionalFormatting sqref="H1:I2">
    <cfRule type="cellIs" dxfId="606" priority="3" operator="equal">
      <formula>"Not Applicable"</formula>
    </cfRule>
    <cfRule type="cellIs" dxfId="605" priority="4" operator="equal">
      <formula>"4 - Future Initiative (out of scope)"</formula>
    </cfRule>
    <cfRule type="cellIs" dxfId="604" priority="5" operator="equal">
      <formula>"3 - Desirable (Nice To Have)"</formula>
    </cfRule>
    <cfRule type="cellIs" dxfId="603" priority="6" operator="equal">
      <formula>"2 - Recommended (Best Practice)"</formula>
    </cfRule>
    <cfRule type="cellIs" dxfId="602" priority="7" operator="equal">
      <formula>"1 - Mandatory (Must Have)"</formula>
    </cfRule>
  </conditionalFormatting>
  <conditionalFormatting sqref="F1:F2">
    <cfRule type="cellIs" dxfId="601" priority="1" operator="equal">
      <formula>"Non-functional"</formula>
    </cfRule>
    <cfRule type="cellIs" dxfId="600"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6</v>
      </c>
      <c r="B1" s="126" t="s">
        <v>730</v>
      </c>
      <c r="C1" s="126"/>
      <c r="D1" s="31"/>
    </row>
    <row r="2" spans="1:16" s="63" customFormat="1" ht="18.5" x14ac:dyDescent="0.35">
      <c r="A2" s="62" t="s">
        <v>7</v>
      </c>
      <c r="B2" s="130" t="s">
        <v>729</v>
      </c>
      <c r="C2" s="130"/>
      <c r="D2" s="124"/>
    </row>
    <row r="3" spans="1:16" s="63" customFormat="1" ht="18.5" x14ac:dyDescent="0.35">
      <c r="A3" s="62" t="s">
        <v>43</v>
      </c>
      <c r="B3" s="130" t="s">
        <v>658</v>
      </c>
      <c r="C3" s="130"/>
      <c r="D3" s="124"/>
    </row>
    <row r="4" spans="1:16" s="63" customFormat="1" ht="18.5" x14ac:dyDescent="0.35">
      <c r="A4" s="62" t="s">
        <v>8</v>
      </c>
      <c r="B4" s="63" t="s">
        <v>728</v>
      </c>
    </row>
    <row r="5" spans="1:16" s="66" customFormat="1" x14ac:dyDescent="0.35">
      <c r="C5" s="67"/>
    </row>
    <row r="6" spans="1:16" s="68" customFormat="1" ht="15"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x14ac:dyDescent="0.35">
      <c r="A7" s="41">
        <v>1</v>
      </c>
      <c r="B7" s="41" t="str">
        <f>CONCATENATE($B$2, ".", A7)</f>
        <v>CPE.1</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ref="B8:B16" si="0">CONCATENATE($B$2, ".", A8)</f>
        <v>CPE.2</v>
      </c>
      <c r="F8" s="41" t="s">
        <v>36</v>
      </c>
      <c r="G8" s="41" t="s">
        <v>36</v>
      </c>
      <c r="H8" s="41" t="s">
        <v>36</v>
      </c>
      <c r="I8" s="41" t="s">
        <v>9</v>
      </c>
      <c r="J8" s="42" t="s">
        <v>36</v>
      </c>
      <c r="K8" s="42" t="s">
        <v>36</v>
      </c>
      <c r="L8" s="42" t="s">
        <v>36</v>
      </c>
      <c r="M8" s="42" t="s">
        <v>36</v>
      </c>
      <c r="N8" s="42" t="s">
        <v>36</v>
      </c>
      <c r="O8" s="42" t="s">
        <v>36</v>
      </c>
    </row>
    <row r="9" spans="1:16" ht="84.75" customHeight="1" x14ac:dyDescent="0.35">
      <c r="A9" s="41">
        <v>3</v>
      </c>
      <c r="B9" s="41" t="str">
        <f t="shared" si="0"/>
        <v>CPE.3</v>
      </c>
      <c r="F9" s="41" t="s">
        <v>36</v>
      </c>
      <c r="G9" s="41" t="s">
        <v>36</v>
      </c>
      <c r="H9" s="41" t="s">
        <v>36</v>
      </c>
      <c r="I9" s="41" t="s">
        <v>9</v>
      </c>
      <c r="J9" s="42" t="s">
        <v>36</v>
      </c>
      <c r="K9" s="42" t="s">
        <v>36</v>
      </c>
      <c r="L9" s="42" t="s">
        <v>36</v>
      </c>
      <c r="M9" s="42" t="s">
        <v>36</v>
      </c>
      <c r="N9" s="42" t="s">
        <v>36</v>
      </c>
      <c r="O9" s="42" t="s">
        <v>36</v>
      </c>
    </row>
    <row r="10" spans="1:16" ht="46" customHeight="1" x14ac:dyDescent="0.35">
      <c r="A10" s="41">
        <v>4</v>
      </c>
      <c r="B10" s="41" t="str">
        <f t="shared" si="0"/>
        <v>CPE.4</v>
      </c>
      <c r="D10" s="49"/>
      <c r="F10" s="41" t="s">
        <v>36</v>
      </c>
      <c r="G10" s="41" t="s">
        <v>36</v>
      </c>
      <c r="H10" s="41" t="s">
        <v>36</v>
      </c>
      <c r="I10" s="41" t="s">
        <v>9</v>
      </c>
      <c r="J10" s="42" t="s">
        <v>36</v>
      </c>
      <c r="K10" s="42" t="s">
        <v>36</v>
      </c>
      <c r="L10" s="42" t="s">
        <v>36</v>
      </c>
      <c r="M10" s="42" t="s">
        <v>36</v>
      </c>
      <c r="N10" s="42" t="s">
        <v>36</v>
      </c>
      <c r="O10" s="42" t="s">
        <v>36</v>
      </c>
    </row>
    <row r="11" spans="1:16" x14ac:dyDescent="0.35">
      <c r="A11" s="41">
        <v>5</v>
      </c>
      <c r="B11" s="41" t="str">
        <f t="shared" si="0"/>
        <v>CPE.5</v>
      </c>
      <c r="D11" s="49"/>
      <c r="F11" s="41" t="s">
        <v>36</v>
      </c>
      <c r="G11" s="41" t="s">
        <v>36</v>
      </c>
      <c r="H11" s="41" t="s">
        <v>36</v>
      </c>
      <c r="I11" s="41" t="s">
        <v>9</v>
      </c>
      <c r="J11" s="42" t="s">
        <v>36</v>
      </c>
      <c r="K11" s="42" t="s">
        <v>36</v>
      </c>
      <c r="L11" s="42" t="s">
        <v>36</v>
      </c>
      <c r="M11" s="42" t="s">
        <v>36</v>
      </c>
      <c r="N11" s="42" t="s">
        <v>36</v>
      </c>
      <c r="O11" s="42" t="s">
        <v>36</v>
      </c>
    </row>
    <row r="12" spans="1:16" x14ac:dyDescent="0.35">
      <c r="A12" s="41">
        <v>6</v>
      </c>
      <c r="B12" s="41" t="str">
        <f t="shared" si="0"/>
        <v>CPE.6</v>
      </c>
      <c r="D12" s="49"/>
      <c r="F12" s="41" t="s">
        <v>36</v>
      </c>
      <c r="G12" s="41" t="s">
        <v>36</v>
      </c>
      <c r="H12" s="41" t="s">
        <v>36</v>
      </c>
      <c r="I12" s="41" t="s">
        <v>9</v>
      </c>
      <c r="J12" s="42" t="s">
        <v>36</v>
      </c>
      <c r="K12" s="42" t="s">
        <v>36</v>
      </c>
      <c r="L12" s="42" t="s">
        <v>36</v>
      </c>
      <c r="M12" s="42" t="s">
        <v>36</v>
      </c>
      <c r="N12" s="42" t="s">
        <v>36</v>
      </c>
      <c r="O12" s="42" t="s">
        <v>36</v>
      </c>
    </row>
    <row r="13" spans="1:16" ht="65" customHeight="1" x14ac:dyDescent="0.35">
      <c r="A13" s="41">
        <v>7</v>
      </c>
      <c r="B13" s="41" t="str">
        <f t="shared" si="0"/>
        <v>CPE.7</v>
      </c>
      <c r="D13" s="49"/>
      <c r="F13" s="41" t="s">
        <v>36</v>
      </c>
      <c r="G13" s="41" t="s">
        <v>36</v>
      </c>
      <c r="H13" s="43" t="s">
        <v>36</v>
      </c>
      <c r="I13" s="41" t="s">
        <v>9</v>
      </c>
      <c r="J13" s="41" t="s">
        <v>36</v>
      </c>
      <c r="K13" s="41" t="s">
        <v>36</v>
      </c>
      <c r="L13" s="41" t="s">
        <v>36</v>
      </c>
      <c r="M13" s="41" t="s">
        <v>36</v>
      </c>
      <c r="N13" s="41" t="s">
        <v>36</v>
      </c>
      <c r="O13" s="42" t="s">
        <v>36</v>
      </c>
    </row>
    <row r="14" spans="1:16" ht="135.5" customHeight="1" x14ac:dyDescent="0.35">
      <c r="A14" s="41">
        <v>8</v>
      </c>
      <c r="B14" s="41" t="str">
        <f t="shared" si="0"/>
        <v>CPE.8</v>
      </c>
      <c r="D14" s="49"/>
      <c r="F14" s="41" t="s">
        <v>36</v>
      </c>
      <c r="G14" s="41" t="s">
        <v>36</v>
      </c>
      <c r="H14" s="43" t="s">
        <v>36</v>
      </c>
      <c r="I14" s="41" t="s">
        <v>9</v>
      </c>
      <c r="J14" s="41" t="s">
        <v>36</v>
      </c>
      <c r="K14" s="41" t="s">
        <v>36</v>
      </c>
      <c r="L14" s="41" t="s">
        <v>36</v>
      </c>
      <c r="M14" s="41" t="s">
        <v>36</v>
      </c>
      <c r="N14" s="41" t="s">
        <v>36</v>
      </c>
      <c r="O14" s="42" t="s">
        <v>36</v>
      </c>
    </row>
    <row r="15" spans="1:16" ht="32" customHeight="1" x14ac:dyDescent="0.35">
      <c r="A15" s="41">
        <v>9</v>
      </c>
      <c r="B15" s="41" t="str">
        <f t="shared" si="0"/>
        <v>CPE.9</v>
      </c>
      <c r="F15" s="41" t="s">
        <v>36</v>
      </c>
      <c r="G15" s="41" t="s">
        <v>36</v>
      </c>
      <c r="H15" s="41" t="s">
        <v>36</v>
      </c>
      <c r="I15" s="41" t="s">
        <v>9</v>
      </c>
      <c r="J15" s="42" t="s">
        <v>36</v>
      </c>
      <c r="K15" s="42" t="s">
        <v>36</v>
      </c>
      <c r="L15" s="42" t="s">
        <v>36</v>
      </c>
      <c r="M15" s="42" t="s">
        <v>36</v>
      </c>
      <c r="N15" s="42" t="s">
        <v>36</v>
      </c>
      <c r="O15" s="42" t="s">
        <v>36</v>
      </c>
    </row>
    <row r="16" spans="1:16" ht="66.5" customHeight="1" x14ac:dyDescent="0.35">
      <c r="A16" s="41">
        <v>10</v>
      </c>
      <c r="B16" s="41" t="str">
        <f t="shared" si="0"/>
        <v>CPE.10</v>
      </c>
      <c r="D16" s="49"/>
      <c r="F16" s="41" t="s">
        <v>36</v>
      </c>
      <c r="G16" s="41" t="s">
        <v>36</v>
      </c>
      <c r="H16" s="41" t="s">
        <v>36</v>
      </c>
      <c r="I16" s="41" t="s">
        <v>9</v>
      </c>
      <c r="J16" s="42" t="s">
        <v>36</v>
      </c>
      <c r="K16" s="42" t="s">
        <v>36</v>
      </c>
      <c r="L16" s="42" t="s">
        <v>36</v>
      </c>
      <c r="M16" s="42" t="s">
        <v>36</v>
      </c>
      <c r="N16" s="42" t="s">
        <v>36</v>
      </c>
      <c r="O16" s="42" t="s">
        <v>36</v>
      </c>
    </row>
  </sheetData>
  <mergeCells count="2">
    <mergeCell ref="B2:C2"/>
    <mergeCell ref="B3:C3"/>
  </mergeCells>
  <conditionalFormatting sqref="C7:C14 C17:C1048576">
    <cfRule type="cellIs" dxfId="599" priority="20" operator="equal">
      <formula>"WIP (see comments)"</formula>
    </cfRule>
    <cfRule type="cellIs" dxfId="598" priority="21" operator="equal">
      <formula>"Removed"</formula>
    </cfRule>
    <cfRule type="cellIs" dxfId="597" priority="22" operator="equal">
      <formula>"Updated"</formula>
    </cfRule>
    <cfRule type="cellIs" dxfId="596" priority="23" operator="equal">
      <formula>"New"</formula>
    </cfRule>
  </conditionalFormatting>
  <conditionalFormatting sqref="A17:XFD1048576 E1:XFD1 C5:C14 D2:XFD9 A1:B16 D10:F12 H10:N12 G10:G16 P10:XFD14 O10:O16">
    <cfRule type="cellIs" dxfId="595" priority="19" operator="equal">
      <formula>"n/a"</formula>
    </cfRule>
  </conditionalFormatting>
  <conditionalFormatting sqref="D13:F14 H13:N14">
    <cfRule type="cellIs" dxfId="594" priority="18" operator="equal">
      <formula>"n/a"</formula>
    </cfRule>
  </conditionalFormatting>
  <conditionalFormatting sqref="D1">
    <cfRule type="cellIs" dxfId="593" priority="17" operator="equal">
      <formula>"n/a"</formula>
    </cfRule>
  </conditionalFormatting>
  <conditionalFormatting sqref="C15:C16">
    <cfRule type="cellIs" dxfId="592" priority="13" operator="equal">
      <formula>"WIP (see comments)"</formula>
    </cfRule>
    <cfRule type="cellIs" dxfId="591" priority="14" operator="equal">
      <formula>"Removed"</formula>
    </cfRule>
    <cfRule type="cellIs" dxfId="590" priority="15" operator="equal">
      <formula>"Updated"</formula>
    </cfRule>
    <cfRule type="cellIs" dxfId="589" priority="16" operator="equal">
      <formula>"New"</formula>
    </cfRule>
  </conditionalFormatting>
  <conditionalFormatting sqref="C15:C16">
    <cfRule type="cellIs" dxfId="588" priority="9" operator="equal">
      <formula>"WIP (see comments)"</formula>
    </cfRule>
    <cfRule type="cellIs" dxfId="587" priority="10" operator="equal">
      <formula>"Removed"</formula>
    </cfRule>
    <cfRule type="cellIs" dxfId="586" priority="11" operator="equal">
      <formula>"Updated"</formula>
    </cfRule>
    <cfRule type="cellIs" dxfId="585" priority="12" operator="equal">
      <formula>"New"</formula>
    </cfRule>
  </conditionalFormatting>
  <conditionalFormatting sqref="Q16:XFD16 C15:F16 H15:N16 P15:XFD15">
    <cfRule type="cellIs" dxfId="584" priority="8" operator="equal">
      <formula>"n/a"</formula>
    </cfRule>
  </conditionalFormatting>
  <conditionalFormatting sqref="P16">
    <cfRule type="cellIs" dxfId="583" priority="7"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zoomScaleNormal="100" workbookViewId="0">
      <pane xSplit="4" ySplit="6" topLeftCell="L16" activePane="bottomRight" state="frozen"/>
      <selection pane="topRight" activeCell="E1" sqref="E1"/>
      <selection pane="bottomLeft" activeCell="A7" sqref="A7"/>
      <selection pane="bottomRight" activeCell="P8" sqref="P8"/>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6" width="28.7265625"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6</v>
      </c>
      <c r="B1" s="131" t="s">
        <v>63</v>
      </c>
      <c r="C1" s="131"/>
      <c r="D1" s="31"/>
    </row>
    <row r="2" spans="1:16" s="63" customFormat="1" ht="18.5" x14ac:dyDescent="0.35">
      <c r="A2" s="62" t="s">
        <v>7</v>
      </c>
      <c r="B2" s="130">
        <v>1</v>
      </c>
      <c r="C2" s="130"/>
      <c r="D2" s="64"/>
    </row>
    <row r="3" spans="1:16" s="63" customFormat="1" ht="18.5" x14ac:dyDescent="0.35">
      <c r="A3" s="62" t="s">
        <v>43</v>
      </c>
      <c r="B3" s="130" t="s">
        <v>267</v>
      </c>
      <c r="C3" s="130"/>
      <c r="D3" s="64" t="s">
        <v>343</v>
      </c>
    </row>
    <row r="4" spans="1:16" s="63" customFormat="1" ht="18.5" x14ac:dyDescent="0.35">
      <c r="A4" s="62" t="s">
        <v>8</v>
      </c>
      <c r="B4" s="130" t="s">
        <v>46</v>
      </c>
      <c r="C4" s="130"/>
    </row>
    <row r="5" spans="1:16" s="66" customFormat="1" x14ac:dyDescent="0.35">
      <c r="C5" s="67"/>
    </row>
    <row r="6" spans="1:16" s="68" customFormat="1" ht="15"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x14ac:dyDescent="0.35">
      <c r="A7" s="41">
        <v>1</v>
      </c>
      <c r="B7" s="41" t="str">
        <f>CONCATENATE($B$2, ".", A7)</f>
        <v>1.1</v>
      </c>
      <c r="C7" s="50" t="s">
        <v>39</v>
      </c>
      <c r="D7" s="41" t="s">
        <v>346</v>
      </c>
      <c r="E7" s="41" t="s">
        <v>128</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ref="B8:B13" si="0">CONCATENATE($B$2, ".", A8)</f>
        <v>1.2</v>
      </c>
      <c r="C8" s="50" t="s">
        <v>39</v>
      </c>
      <c r="D8" s="41" t="s">
        <v>36</v>
      </c>
      <c r="E8" s="41" t="s">
        <v>48</v>
      </c>
      <c r="F8" s="41" t="s">
        <v>36</v>
      </c>
      <c r="G8" s="41" t="s">
        <v>36</v>
      </c>
      <c r="H8" s="41" t="s">
        <v>36</v>
      </c>
      <c r="I8" s="41" t="s">
        <v>9</v>
      </c>
      <c r="J8" s="42" t="s">
        <v>36</v>
      </c>
      <c r="K8" s="42" t="s">
        <v>36</v>
      </c>
      <c r="L8" s="42" t="s">
        <v>36</v>
      </c>
      <c r="M8" s="42" t="s">
        <v>36</v>
      </c>
      <c r="N8" s="42" t="s">
        <v>36</v>
      </c>
      <c r="O8" s="42" t="s">
        <v>36</v>
      </c>
    </row>
    <row r="9" spans="1:16" ht="84.75" customHeight="1" x14ac:dyDescent="0.35">
      <c r="A9" s="41">
        <v>3</v>
      </c>
      <c r="B9" s="41" t="str">
        <f t="shared" si="0"/>
        <v>1.3</v>
      </c>
      <c r="C9" s="50" t="s">
        <v>37</v>
      </c>
      <c r="D9" s="41" t="s">
        <v>478</v>
      </c>
      <c r="E9" s="41" t="s">
        <v>347</v>
      </c>
      <c r="F9" s="41" t="s">
        <v>36</v>
      </c>
      <c r="G9" s="41" t="s">
        <v>36</v>
      </c>
      <c r="H9" s="41" t="s">
        <v>36</v>
      </c>
      <c r="I9" s="41" t="s">
        <v>9</v>
      </c>
      <c r="J9" s="42" t="s">
        <v>36</v>
      </c>
      <c r="K9" s="42" t="s">
        <v>36</v>
      </c>
      <c r="L9" s="42" t="s">
        <v>36</v>
      </c>
      <c r="M9" s="42" t="s">
        <v>36</v>
      </c>
      <c r="N9" s="42" t="s">
        <v>36</v>
      </c>
      <c r="O9" s="42" t="s">
        <v>36</v>
      </c>
    </row>
    <row r="10" spans="1:16" ht="46" customHeight="1" x14ac:dyDescent="0.35">
      <c r="A10" s="41">
        <v>4</v>
      </c>
      <c r="B10" s="41" t="str">
        <f t="shared" si="0"/>
        <v>1.4</v>
      </c>
      <c r="C10" s="50" t="s">
        <v>39</v>
      </c>
      <c r="D10" s="49" t="s">
        <v>348</v>
      </c>
      <c r="E10" s="41" t="s">
        <v>344</v>
      </c>
      <c r="F10" s="41" t="s">
        <v>36</v>
      </c>
      <c r="G10" s="41" t="s">
        <v>125</v>
      </c>
      <c r="H10" s="41" t="s">
        <v>36</v>
      </c>
      <c r="I10" s="41" t="s">
        <v>9</v>
      </c>
      <c r="J10" s="42" t="s">
        <v>36</v>
      </c>
      <c r="K10" s="42" t="s">
        <v>36</v>
      </c>
      <c r="L10" s="42" t="s">
        <v>36</v>
      </c>
      <c r="M10" s="42" t="s">
        <v>36</v>
      </c>
      <c r="N10" s="42" t="s">
        <v>36</v>
      </c>
      <c r="O10" s="41" t="s">
        <v>345</v>
      </c>
    </row>
    <row r="11" spans="1:16" ht="29" x14ac:dyDescent="0.35">
      <c r="A11" s="41">
        <v>5</v>
      </c>
      <c r="B11" s="41" t="str">
        <f t="shared" si="0"/>
        <v>1.5</v>
      </c>
      <c r="C11" s="50" t="s">
        <v>37</v>
      </c>
      <c r="D11" s="49" t="s">
        <v>349</v>
      </c>
      <c r="E11" s="41" t="s">
        <v>344</v>
      </c>
      <c r="F11" s="41" t="s">
        <v>36</v>
      </c>
      <c r="G11" s="41" t="s">
        <v>479</v>
      </c>
      <c r="H11" s="41" t="s">
        <v>36</v>
      </c>
      <c r="I11" s="41" t="s">
        <v>9</v>
      </c>
      <c r="J11" s="42" t="s">
        <v>36</v>
      </c>
      <c r="K11" s="42" t="s">
        <v>36</v>
      </c>
      <c r="L11" s="42" t="s">
        <v>36</v>
      </c>
      <c r="M11" s="42" t="s">
        <v>36</v>
      </c>
      <c r="N11" s="42" t="s">
        <v>36</v>
      </c>
      <c r="O11" s="41" t="s">
        <v>345</v>
      </c>
    </row>
    <row r="12" spans="1:16" ht="29" x14ac:dyDescent="0.35">
      <c r="A12" s="41">
        <v>6</v>
      </c>
      <c r="B12" s="41" t="str">
        <f t="shared" si="0"/>
        <v>1.6</v>
      </c>
      <c r="C12" s="50" t="s">
        <v>39</v>
      </c>
      <c r="D12" s="49" t="s">
        <v>350</v>
      </c>
      <c r="E12" s="41" t="s">
        <v>344</v>
      </c>
      <c r="F12" s="41" t="s">
        <v>36</v>
      </c>
      <c r="G12" s="41" t="s">
        <v>124</v>
      </c>
      <c r="H12" s="41" t="s">
        <v>36</v>
      </c>
      <c r="I12" s="41" t="s">
        <v>9</v>
      </c>
      <c r="J12" s="42" t="s">
        <v>36</v>
      </c>
      <c r="K12" s="42" t="s">
        <v>36</v>
      </c>
      <c r="L12" s="42" t="s">
        <v>36</v>
      </c>
      <c r="M12" s="42" t="s">
        <v>36</v>
      </c>
      <c r="N12" s="42" t="s">
        <v>36</v>
      </c>
      <c r="O12" s="41" t="s">
        <v>345</v>
      </c>
    </row>
    <row r="13" spans="1:16" ht="65" customHeight="1" x14ac:dyDescent="0.35">
      <c r="A13" s="41">
        <v>7</v>
      </c>
      <c r="B13" s="41" t="str">
        <f t="shared" si="0"/>
        <v>1.7</v>
      </c>
      <c r="C13" s="50" t="s">
        <v>39</v>
      </c>
      <c r="D13" s="49" t="s">
        <v>351</v>
      </c>
      <c r="E13" s="41" t="s">
        <v>344</v>
      </c>
      <c r="F13" s="41" t="s">
        <v>36</v>
      </c>
      <c r="G13" s="41" t="s">
        <v>224</v>
      </c>
      <c r="H13" s="43" t="s">
        <v>36</v>
      </c>
      <c r="I13" s="41" t="s">
        <v>9</v>
      </c>
      <c r="J13" s="41" t="s">
        <v>36</v>
      </c>
      <c r="K13" s="41" t="s">
        <v>36</v>
      </c>
      <c r="L13" s="41" t="s">
        <v>36</v>
      </c>
      <c r="M13" s="41" t="s">
        <v>36</v>
      </c>
      <c r="N13" s="41" t="s">
        <v>36</v>
      </c>
      <c r="O13" s="41" t="s">
        <v>345</v>
      </c>
    </row>
    <row r="14" spans="1:16" ht="135.5" customHeight="1" x14ac:dyDescent="0.35">
      <c r="A14" s="41">
        <v>8</v>
      </c>
      <c r="B14" s="41" t="str">
        <f t="shared" ref="B14:B20" si="1">CONCATENATE($B$2, ".", A14)</f>
        <v>1.8</v>
      </c>
      <c r="C14" s="50" t="s">
        <v>39</v>
      </c>
      <c r="D14" s="49" t="s">
        <v>352</v>
      </c>
      <c r="E14" s="41" t="s">
        <v>344</v>
      </c>
      <c r="F14" s="41" t="s">
        <v>36</v>
      </c>
      <c r="G14" s="53" t="s">
        <v>263</v>
      </c>
      <c r="H14" s="43" t="s">
        <v>36</v>
      </c>
      <c r="I14" s="41" t="s">
        <v>9</v>
      </c>
      <c r="J14" s="41" t="s">
        <v>36</v>
      </c>
      <c r="K14" s="41" t="s">
        <v>36</v>
      </c>
      <c r="L14" s="41" t="s">
        <v>36</v>
      </c>
      <c r="M14" s="41" t="s">
        <v>36</v>
      </c>
      <c r="N14" s="41" t="s">
        <v>36</v>
      </c>
      <c r="O14" s="41" t="s">
        <v>345</v>
      </c>
    </row>
    <row r="15" spans="1:16" ht="32" customHeight="1" x14ac:dyDescent="0.35">
      <c r="A15" s="41">
        <v>9</v>
      </c>
      <c r="B15" s="41" t="str">
        <f t="shared" si="1"/>
        <v>1.9</v>
      </c>
      <c r="C15" s="50" t="s">
        <v>39</v>
      </c>
      <c r="D15" s="41" t="s">
        <v>327</v>
      </c>
      <c r="E15" s="41" t="s">
        <v>347</v>
      </c>
      <c r="F15" s="41" t="s">
        <v>36</v>
      </c>
      <c r="G15" s="41" t="s">
        <v>36</v>
      </c>
      <c r="H15" s="41" t="s">
        <v>36</v>
      </c>
      <c r="I15" s="41" t="s">
        <v>9</v>
      </c>
      <c r="J15" s="42" t="s">
        <v>36</v>
      </c>
      <c r="K15" s="42" t="s">
        <v>36</v>
      </c>
      <c r="L15" s="42" t="s">
        <v>36</v>
      </c>
      <c r="M15" s="42" t="s">
        <v>36</v>
      </c>
      <c r="N15" s="42" t="s">
        <v>36</v>
      </c>
      <c r="O15" s="42" t="s">
        <v>36</v>
      </c>
    </row>
    <row r="16" spans="1:16" ht="66.5" customHeight="1" x14ac:dyDescent="0.35">
      <c r="A16" s="41">
        <v>10</v>
      </c>
      <c r="B16" s="41" t="str">
        <f t="shared" si="1"/>
        <v>1.10</v>
      </c>
      <c r="C16" s="50" t="s">
        <v>37</v>
      </c>
      <c r="D16" s="49" t="s">
        <v>353</v>
      </c>
      <c r="E16" s="41" t="s">
        <v>344</v>
      </c>
      <c r="F16" s="41" t="s">
        <v>36</v>
      </c>
      <c r="G16" s="41" t="s">
        <v>480</v>
      </c>
      <c r="H16" s="41" t="s">
        <v>36</v>
      </c>
      <c r="I16" s="41" t="s">
        <v>9</v>
      </c>
      <c r="J16" s="42" t="s">
        <v>36</v>
      </c>
      <c r="K16" s="42" t="s">
        <v>36</v>
      </c>
      <c r="L16" s="42" t="s">
        <v>36</v>
      </c>
      <c r="M16" s="42" t="s">
        <v>36</v>
      </c>
      <c r="N16" s="42" t="s">
        <v>36</v>
      </c>
      <c r="O16" s="41" t="s">
        <v>345</v>
      </c>
    </row>
    <row r="17" spans="1:15" ht="73" customHeight="1" x14ac:dyDescent="0.35">
      <c r="A17" s="41">
        <v>11</v>
      </c>
      <c r="B17" s="41" t="str">
        <f t="shared" si="1"/>
        <v>1.11</v>
      </c>
      <c r="C17" s="50" t="s">
        <v>37</v>
      </c>
      <c r="D17" s="49" t="s">
        <v>481</v>
      </c>
      <c r="E17" s="41" t="s">
        <v>344</v>
      </c>
      <c r="F17" s="41" t="s">
        <v>36</v>
      </c>
      <c r="G17" s="41" t="s">
        <v>482</v>
      </c>
      <c r="H17" s="41" t="s">
        <v>36</v>
      </c>
      <c r="I17" s="41" t="s">
        <v>9</v>
      </c>
      <c r="J17" s="42" t="s">
        <v>36</v>
      </c>
      <c r="K17" s="42" t="s">
        <v>36</v>
      </c>
      <c r="L17" s="42" t="s">
        <v>36</v>
      </c>
      <c r="M17" s="42" t="s">
        <v>36</v>
      </c>
      <c r="N17" s="42" t="s">
        <v>36</v>
      </c>
      <c r="O17" s="41" t="s">
        <v>345</v>
      </c>
    </row>
    <row r="18" spans="1:15" ht="58.5" customHeight="1" x14ac:dyDescent="0.35">
      <c r="A18" s="41">
        <v>12</v>
      </c>
      <c r="B18" s="41" t="str">
        <f t="shared" si="1"/>
        <v>1.12</v>
      </c>
      <c r="C18" s="50" t="s">
        <v>39</v>
      </c>
      <c r="D18" s="49" t="s">
        <v>354</v>
      </c>
      <c r="E18" s="41" t="s">
        <v>344</v>
      </c>
      <c r="F18" s="41" t="s">
        <v>36</v>
      </c>
      <c r="G18" s="41" t="s">
        <v>484</v>
      </c>
      <c r="H18" s="41" t="s">
        <v>36</v>
      </c>
      <c r="I18" s="41" t="s">
        <v>9</v>
      </c>
      <c r="J18" s="42" t="s">
        <v>36</v>
      </c>
      <c r="K18" s="42" t="s">
        <v>36</v>
      </c>
      <c r="L18" s="42" t="s">
        <v>36</v>
      </c>
      <c r="M18" s="42" t="s">
        <v>36</v>
      </c>
      <c r="N18" s="42" t="s">
        <v>36</v>
      </c>
      <c r="O18" s="41" t="s">
        <v>345</v>
      </c>
    </row>
    <row r="19" spans="1:15" ht="60" customHeight="1" x14ac:dyDescent="0.35">
      <c r="A19" s="41">
        <v>13</v>
      </c>
      <c r="B19" s="41" t="str">
        <f t="shared" si="1"/>
        <v>1.13</v>
      </c>
      <c r="C19" s="50" t="s">
        <v>37</v>
      </c>
      <c r="D19" s="49" t="s">
        <v>355</v>
      </c>
      <c r="E19" s="41" t="s">
        <v>344</v>
      </c>
      <c r="F19" s="41" t="s">
        <v>36</v>
      </c>
      <c r="G19" s="41" t="s">
        <v>483</v>
      </c>
      <c r="H19" s="41" t="s">
        <v>36</v>
      </c>
      <c r="I19" s="41" t="s">
        <v>9</v>
      </c>
      <c r="J19" s="42" t="s">
        <v>36</v>
      </c>
      <c r="K19" s="42" t="s">
        <v>36</v>
      </c>
      <c r="L19" s="42" t="s">
        <v>36</v>
      </c>
      <c r="M19" s="42" t="s">
        <v>36</v>
      </c>
      <c r="N19" s="42" t="s">
        <v>36</v>
      </c>
      <c r="O19" s="41" t="s">
        <v>345</v>
      </c>
    </row>
    <row r="20" spans="1:15" ht="147.5" customHeight="1" x14ac:dyDescent="0.35">
      <c r="A20" s="41">
        <v>14</v>
      </c>
      <c r="B20" s="41" t="str">
        <f t="shared" si="1"/>
        <v>1.14</v>
      </c>
      <c r="C20" s="50" t="s">
        <v>39</v>
      </c>
      <c r="D20" s="49" t="s">
        <v>356</v>
      </c>
      <c r="E20" s="41" t="s">
        <v>344</v>
      </c>
      <c r="F20" s="41" t="s">
        <v>36</v>
      </c>
      <c r="G20" s="41" t="s">
        <v>328</v>
      </c>
      <c r="H20" s="41" t="s">
        <v>36</v>
      </c>
      <c r="I20" s="41" t="s">
        <v>9</v>
      </c>
      <c r="J20" s="42" t="s">
        <v>36</v>
      </c>
      <c r="K20" s="42" t="s">
        <v>36</v>
      </c>
      <c r="L20" s="42" t="s">
        <v>36</v>
      </c>
      <c r="M20" s="42" t="s">
        <v>36</v>
      </c>
      <c r="N20" s="42" t="s">
        <v>36</v>
      </c>
      <c r="O20" s="41" t="s">
        <v>345</v>
      </c>
    </row>
    <row r="21" spans="1:15" ht="43.5" x14ac:dyDescent="0.35">
      <c r="A21" s="41">
        <v>15</v>
      </c>
      <c r="B21" s="41" t="str">
        <f t="shared" ref="B21:B22" si="2">CONCATENATE($B$2, ".", A21)</f>
        <v>1.15</v>
      </c>
      <c r="C21" s="50" t="s">
        <v>37</v>
      </c>
      <c r="D21" s="41" t="s">
        <v>833</v>
      </c>
      <c r="E21" s="41" t="s">
        <v>31</v>
      </c>
      <c r="F21" s="41" t="s">
        <v>834</v>
      </c>
      <c r="G21" s="41" t="s">
        <v>36</v>
      </c>
      <c r="H21" s="41" t="s">
        <v>36</v>
      </c>
      <c r="I21" s="41" t="s">
        <v>9</v>
      </c>
      <c r="J21" s="41" t="s">
        <v>577</v>
      </c>
      <c r="K21" s="41" t="s">
        <v>53</v>
      </c>
      <c r="L21" s="41" t="s">
        <v>837</v>
      </c>
      <c r="M21" s="41" t="s">
        <v>36</v>
      </c>
      <c r="N21" s="41" t="s">
        <v>36</v>
      </c>
      <c r="O21" s="41" t="s">
        <v>836</v>
      </c>
    </row>
    <row r="22" spans="1:15" ht="87" x14ac:dyDescent="0.35">
      <c r="A22" s="41">
        <v>16</v>
      </c>
      <c r="B22" s="41" t="str">
        <f t="shared" si="2"/>
        <v>1.16</v>
      </c>
      <c r="C22" s="50" t="s">
        <v>37</v>
      </c>
      <c r="D22" s="41" t="s">
        <v>59</v>
      </c>
      <c r="E22" s="41" t="s">
        <v>42</v>
      </c>
      <c r="F22" s="41" t="s">
        <v>36</v>
      </c>
      <c r="G22" s="41" t="s">
        <v>36</v>
      </c>
      <c r="H22" s="41" t="s">
        <v>36</v>
      </c>
      <c r="I22" s="41" t="s">
        <v>9</v>
      </c>
      <c r="J22" s="41" t="s">
        <v>36</v>
      </c>
      <c r="K22" s="41" t="s">
        <v>36</v>
      </c>
      <c r="L22" s="41" t="s">
        <v>36</v>
      </c>
      <c r="M22" s="41" t="s">
        <v>36</v>
      </c>
      <c r="N22" s="41" t="s">
        <v>36</v>
      </c>
      <c r="O22" s="41" t="s">
        <v>835</v>
      </c>
    </row>
  </sheetData>
  <mergeCells count="4">
    <mergeCell ref="B1:C1"/>
    <mergeCell ref="B2:C2"/>
    <mergeCell ref="B3:C3"/>
    <mergeCell ref="B4:C4"/>
  </mergeCells>
  <conditionalFormatting sqref="C7:C14 C21:C1048576">
    <cfRule type="cellIs" dxfId="582" priority="66" operator="equal">
      <formula>"WIP (see comments)"</formula>
    </cfRule>
    <cfRule type="cellIs" dxfId="581" priority="67" operator="equal">
      <formula>"Removed"</formula>
    </cfRule>
    <cfRule type="cellIs" dxfId="580" priority="68" operator="equal">
      <formula>"Updated"</formula>
    </cfRule>
    <cfRule type="cellIs" dxfId="579" priority="69" operator="equal">
      <formula>"New"</formula>
    </cfRule>
  </conditionalFormatting>
  <conditionalFormatting sqref="A23:XFD1048576 E1:XFD1 A1:B4 D2:XFD4 C8:C14 A5:XFD10 A11:N12 O11:XFD14 A13:B22 C21:XFD22">
    <cfRule type="cellIs" dxfId="578" priority="53" operator="equal">
      <formula>"n/a"</formula>
    </cfRule>
  </conditionalFormatting>
  <conditionalFormatting sqref="D13:N14">
    <cfRule type="cellIs" dxfId="577" priority="47" operator="equal">
      <formula>"n/a"</formula>
    </cfRule>
  </conditionalFormatting>
  <conditionalFormatting sqref="D1">
    <cfRule type="cellIs" dxfId="576" priority="28" operator="equal">
      <formula>"n/a"</formula>
    </cfRule>
  </conditionalFormatting>
  <conditionalFormatting sqref="C15:C20">
    <cfRule type="cellIs" dxfId="575" priority="24" operator="equal">
      <formula>"WIP (see comments)"</formula>
    </cfRule>
    <cfRule type="cellIs" dxfId="574" priority="25" operator="equal">
      <formula>"Removed"</formula>
    </cfRule>
    <cfRule type="cellIs" dxfId="573" priority="26" operator="equal">
      <formula>"Updated"</formula>
    </cfRule>
    <cfRule type="cellIs" dxfId="572" priority="27" operator="equal">
      <formula>"New"</formula>
    </cfRule>
  </conditionalFormatting>
  <conditionalFormatting sqref="C15:C20">
    <cfRule type="cellIs" dxfId="571" priority="20" operator="equal">
      <formula>"WIP (see comments)"</formula>
    </cfRule>
    <cfRule type="cellIs" dxfId="570" priority="21" operator="equal">
      <formula>"Removed"</formula>
    </cfRule>
    <cfRule type="cellIs" dxfId="569" priority="22" operator="equal">
      <formula>"Updated"</formula>
    </cfRule>
    <cfRule type="cellIs" dxfId="568" priority="23" operator="equal">
      <formula>"New"</formula>
    </cfRule>
  </conditionalFormatting>
  <conditionalFormatting sqref="C15:XFD15 Q16:XFD20 C18:F18 H18:N18 C19:N20 C16:N17">
    <cfRule type="cellIs" dxfId="567" priority="19" operator="equal">
      <formula>"n/a"</formula>
    </cfRule>
  </conditionalFormatting>
  <conditionalFormatting sqref="P16">
    <cfRule type="cellIs" dxfId="566" priority="7" operator="equal">
      <formula>"n/a"</formula>
    </cfRule>
  </conditionalFormatting>
  <conditionalFormatting sqref="P17">
    <cfRule type="cellIs" dxfId="565" priority="6" operator="equal">
      <formula>"n/a"</formula>
    </cfRule>
  </conditionalFormatting>
  <conditionalFormatting sqref="P18">
    <cfRule type="cellIs" dxfId="564" priority="5" operator="equal">
      <formula>"n/a"</formula>
    </cfRule>
  </conditionalFormatting>
  <conditionalFormatting sqref="P19">
    <cfRule type="cellIs" dxfId="563" priority="4" operator="equal">
      <formula>"n/a"</formula>
    </cfRule>
  </conditionalFormatting>
  <conditionalFormatting sqref="P20">
    <cfRule type="cellIs" dxfId="562" priority="3" operator="equal">
      <formula>"n/a"</formula>
    </cfRule>
  </conditionalFormatting>
  <conditionalFormatting sqref="G18">
    <cfRule type="cellIs" dxfId="561" priority="2" operator="equal">
      <formula>"n/a"</formula>
    </cfRule>
  </conditionalFormatting>
  <conditionalFormatting sqref="O16:O20">
    <cfRule type="cellIs" dxfId="56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9"/>
  <sheetViews>
    <sheetView workbookViewId="0">
      <pane xSplit="4" ySplit="6" topLeftCell="M10" activePane="bottomRight" state="frozen"/>
      <selection pane="topRight" activeCell="E1" sqref="E1"/>
      <selection pane="bottomLeft" activeCell="A7" sqref="A7"/>
      <selection pane="bottomRight" activeCell="R34" sqref="R34"/>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62" t="s">
        <v>6</v>
      </c>
      <c r="B1" s="131" t="s">
        <v>255</v>
      </c>
      <c r="C1" s="131"/>
      <c r="D1" s="31"/>
      <c r="E1" s="63"/>
      <c r="F1" s="63"/>
      <c r="G1" s="63"/>
      <c r="H1" s="63"/>
      <c r="I1" s="63"/>
      <c r="J1" s="63"/>
      <c r="K1" s="63"/>
      <c r="L1" s="63"/>
      <c r="M1" s="63"/>
      <c r="N1" s="63"/>
      <c r="O1" s="63"/>
      <c r="P1" s="63"/>
    </row>
    <row r="2" spans="1:16" ht="18.5" x14ac:dyDescent="0.35">
      <c r="A2" s="62" t="s">
        <v>7</v>
      </c>
      <c r="B2" s="130" t="s">
        <v>256</v>
      </c>
      <c r="C2" s="130"/>
      <c r="D2" s="85"/>
      <c r="E2" s="63"/>
      <c r="F2" s="63"/>
      <c r="G2" s="63"/>
      <c r="H2" s="63"/>
      <c r="I2" s="63"/>
      <c r="J2" s="63"/>
      <c r="K2" s="63"/>
      <c r="L2" s="63"/>
      <c r="M2" s="63"/>
      <c r="N2" s="63"/>
      <c r="O2" s="63"/>
      <c r="P2" s="63"/>
    </row>
    <row r="3" spans="1:16" ht="18.5" x14ac:dyDescent="0.35">
      <c r="A3" s="62" t="s">
        <v>43</v>
      </c>
      <c r="B3" s="130" t="s">
        <v>257</v>
      </c>
      <c r="C3" s="130"/>
      <c r="D3" s="85" t="s">
        <v>361</v>
      </c>
      <c r="E3" s="63"/>
      <c r="F3" s="63"/>
      <c r="G3" s="63"/>
      <c r="H3" s="63"/>
      <c r="I3" s="63"/>
      <c r="J3" s="63"/>
      <c r="K3" s="63"/>
      <c r="L3" s="63"/>
      <c r="M3" s="63"/>
      <c r="N3" s="63"/>
      <c r="O3" s="63"/>
      <c r="P3" s="63"/>
    </row>
    <row r="4" spans="1:16" ht="18.5" x14ac:dyDescent="0.35">
      <c r="A4" s="62" t="s">
        <v>8</v>
      </c>
      <c r="B4" s="63" t="s">
        <v>340</v>
      </c>
      <c r="C4" s="63"/>
      <c r="D4" s="63"/>
      <c r="E4" s="63"/>
      <c r="F4" s="63"/>
      <c r="G4" s="63"/>
      <c r="H4" s="63"/>
      <c r="I4" s="63"/>
      <c r="J4" s="63"/>
      <c r="K4" s="63"/>
      <c r="L4" s="63"/>
      <c r="M4" s="63"/>
      <c r="N4" s="63"/>
      <c r="O4" s="63"/>
      <c r="P4" s="63"/>
    </row>
    <row r="5" spans="1:16" x14ac:dyDescent="0.35">
      <c r="A5" s="66"/>
      <c r="B5" s="66"/>
      <c r="C5" s="67"/>
      <c r="D5" s="66"/>
      <c r="E5" s="66"/>
      <c r="F5" s="66"/>
      <c r="G5" s="66"/>
      <c r="H5" s="66"/>
      <c r="I5" s="66"/>
      <c r="J5" s="66"/>
      <c r="K5" s="66"/>
      <c r="L5" s="66"/>
      <c r="M5" s="66"/>
      <c r="N5" s="66"/>
      <c r="O5" s="66"/>
      <c r="P5" s="66"/>
    </row>
    <row r="6" spans="1:16" ht="22.5" customHeight="1"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ht="58" customHeight="1" x14ac:dyDescent="0.35">
      <c r="A7" s="41">
        <v>1</v>
      </c>
      <c r="B7" s="41" t="str">
        <f>CONCATENATE($B$2, ".", A7)</f>
        <v>1A.1</v>
      </c>
      <c r="C7" s="50" t="s">
        <v>37</v>
      </c>
      <c r="D7" s="41" t="s">
        <v>486</v>
      </c>
      <c r="E7" s="41" t="s">
        <v>128</v>
      </c>
      <c r="F7" s="41" t="s">
        <v>36</v>
      </c>
      <c r="G7" s="41" t="s">
        <v>36</v>
      </c>
      <c r="H7" s="41" t="s">
        <v>36</v>
      </c>
      <c r="I7" s="41" t="s">
        <v>9</v>
      </c>
      <c r="J7" s="42" t="s">
        <v>36</v>
      </c>
      <c r="K7" s="42" t="s">
        <v>36</v>
      </c>
      <c r="L7" s="42" t="s">
        <v>36</v>
      </c>
      <c r="M7" s="42" t="s">
        <v>36</v>
      </c>
      <c r="N7" s="42" t="s">
        <v>36</v>
      </c>
      <c r="O7" s="42" t="s">
        <v>36</v>
      </c>
      <c r="P7" s="41"/>
    </row>
    <row r="8" spans="1:16" ht="29" customHeight="1" x14ac:dyDescent="0.35">
      <c r="A8" s="41">
        <v>2</v>
      </c>
      <c r="B8" s="41" t="str">
        <f t="shared" ref="B8:B9" si="0">CONCATENATE($B$2, ".", A8)</f>
        <v>1A.2</v>
      </c>
      <c r="C8" s="50" t="s">
        <v>37</v>
      </c>
      <c r="D8" s="41" t="s">
        <v>487</v>
      </c>
      <c r="E8" s="41" t="s">
        <v>28</v>
      </c>
      <c r="F8" s="41" t="s">
        <v>36</v>
      </c>
      <c r="G8" s="41" t="s">
        <v>36</v>
      </c>
      <c r="H8" s="41" t="s">
        <v>36</v>
      </c>
      <c r="I8" s="41" t="s">
        <v>9</v>
      </c>
      <c r="J8" s="42" t="s">
        <v>36</v>
      </c>
      <c r="K8" s="42" t="s">
        <v>36</v>
      </c>
      <c r="L8" s="42" t="s">
        <v>36</v>
      </c>
      <c r="M8" s="42" t="s">
        <v>36</v>
      </c>
      <c r="N8" s="42" t="s">
        <v>36</v>
      </c>
      <c r="O8" s="42" t="s">
        <v>36</v>
      </c>
      <c r="P8" s="41"/>
    </row>
    <row r="9" spans="1:16" ht="33.5" customHeight="1" x14ac:dyDescent="0.35">
      <c r="A9" s="41">
        <v>3</v>
      </c>
      <c r="B9" s="41" t="str">
        <f t="shared" si="0"/>
        <v>1A.3</v>
      </c>
      <c r="C9" s="50" t="s">
        <v>39</v>
      </c>
      <c r="D9" s="41" t="s">
        <v>329</v>
      </c>
      <c r="E9" s="41" t="s">
        <v>32</v>
      </c>
      <c r="F9" s="41" t="s">
        <v>339</v>
      </c>
      <c r="G9" s="41" t="s">
        <v>36</v>
      </c>
      <c r="H9" s="41" t="s">
        <v>448</v>
      </c>
      <c r="I9" s="41" t="s">
        <v>9</v>
      </c>
      <c r="J9" s="42" t="s">
        <v>36</v>
      </c>
      <c r="K9" s="42" t="s">
        <v>53</v>
      </c>
      <c r="L9" s="42" t="s">
        <v>337</v>
      </c>
      <c r="M9" s="42" t="s">
        <v>36</v>
      </c>
      <c r="N9" s="42" t="s">
        <v>36</v>
      </c>
      <c r="O9" s="42" t="s">
        <v>394</v>
      </c>
      <c r="P9" s="41"/>
    </row>
    <row r="10" spans="1:16" ht="43.5" x14ac:dyDescent="0.35">
      <c r="A10" s="41">
        <v>4</v>
      </c>
      <c r="B10" s="41" t="str">
        <f t="shared" ref="B10:B13" si="1">CONCATENATE($B$2, ".", A10)</f>
        <v>1A.4</v>
      </c>
      <c r="C10" s="50" t="s">
        <v>39</v>
      </c>
      <c r="D10" s="41" t="s">
        <v>330</v>
      </c>
      <c r="E10" s="41" t="s">
        <v>32</v>
      </c>
      <c r="F10" s="41" t="s">
        <v>51</v>
      </c>
      <c r="G10" s="41" t="s">
        <v>36</v>
      </c>
      <c r="H10" s="41" t="s">
        <v>52</v>
      </c>
      <c r="I10" s="41" t="s">
        <v>9</v>
      </c>
      <c r="J10" s="42" t="s">
        <v>36</v>
      </c>
      <c r="K10" s="41" t="s">
        <v>53</v>
      </c>
      <c r="L10" s="42" t="s">
        <v>56</v>
      </c>
      <c r="M10" s="42" t="s">
        <v>106</v>
      </c>
      <c r="N10" s="42" t="s">
        <v>36</v>
      </c>
      <c r="O10" s="42" t="s">
        <v>455</v>
      </c>
    </row>
    <row r="11" spans="1:16" ht="43.5" x14ac:dyDescent="0.35">
      <c r="A11" s="41">
        <v>5</v>
      </c>
      <c r="B11" s="41" t="str">
        <f t="shared" si="1"/>
        <v>1A.5</v>
      </c>
      <c r="C11" s="50" t="s">
        <v>39</v>
      </c>
      <c r="D11" s="41" t="s">
        <v>449</v>
      </c>
      <c r="E11" s="41" t="s">
        <v>29</v>
      </c>
      <c r="F11" s="41" t="s">
        <v>450</v>
      </c>
      <c r="G11" s="41" t="s">
        <v>36</v>
      </c>
      <c r="H11" s="41" t="s">
        <v>36</v>
      </c>
      <c r="I11" s="41" t="s">
        <v>9</v>
      </c>
      <c r="J11" s="42" t="s">
        <v>451</v>
      </c>
      <c r="K11" s="41" t="s">
        <v>36</v>
      </c>
      <c r="L11" s="41" t="s">
        <v>36</v>
      </c>
      <c r="M11" s="41" t="s">
        <v>452</v>
      </c>
      <c r="N11" s="41" t="s">
        <v>453</v>
      </c>
      <c r="O11" s="41" t="s">
        <v>454</v>
      </c>
    </row>
    <row r="12" spans="1:16" ht="72.5" x14ac:dyDescent="0.35">
      <c r="A12" s="41">
        <v>6</v>
      </c>
      <c r="B12" s="41" t="str">
        <f t="shared" si="1"/>
        <v>1A.6</v>
      </c>
      <c r="C12" s="50" t="s">
        <v>39</v>
      </c>
      <c r="D12" s="41" t="s">
        <v>331</v>
      </c>
      <c r="E12" s="41" t="s">
        <v>32</v>
      </c>
      <c r="F12" s="41" t="s">
        <v>50</v>
      </c>
      <c r="G12" s="41" t="s">
        <v>36</v>
      </c>
      <c r="H12" s="41" t="s">
        <v>54</v>
      </c>
      <c r="I12" s="41" t="s">
        <v>9</v>
      </c>
      <c r="J12" s="42" t="s">
        <v>36</v>
      </c>
      <c r="K12" s="41" t="s">
        <v>53</v>
      </c>
      <c r="L12" s="41" t="s">
        <v>336</v>
      </c>
      <c r="M12" s="41" t="s">
        <v>55</v>
      </c>
      <c r="N12" s="42" t="s">
        <v>36</v>
      </c>
      <c r="O12" s="42" t="s">
        <v>456</v>
      </c>
    </row>
    <row r="13" spans="1:16" ht="43.5" x14ac:dyDescent="0.35">
      <c r="A13" s="41">
        <v>7</v>
      </c>
      <c r="B13" s="41" t="str">
        <f t="shared" si="1"/>
        <v>1A.7</v>
      </c>
      <c r="C13" s="50" t="s">
        <v>39</v>
      </c>
      <c r="D13" s="41" t="s">
        <v>449</v>
      </c>
      <c r="E13" s="41" t="s">
        <v>29</v>
      </c>
      <c r="F13" s="41" t="s">
        <v>450</v>
      </c>
      <c r="G13" s="41" t="s">
        <v>36</v>
      </c>
      <c r="H13" s="41" t="s">
        <v>36</v>
      </c>
      <c r="I13" s="41" t="s">
        <v>9</v>
      </c>
      <c r="J13" s="42" t="s">
        <v>451</v>
      </c>
      <c r="K13" s="41" t="s">
        <v>36</v>
      </c>
      <c r="L13" s="41" t="s">
        <v>36</v>
      </c>
      <c r="M13" s="41" t="s">
        <v>452</v>
      </c>
      <c r="N13" s="41" t="s">
        <v>453</v>
      </c>
      <c r="O13" s="41" t="s">
        <v>454</v>
      </c>
    </row>
    <row r="14" spans="1:16" ht="101.5" x14ac:dyDescent="0.35">
      <c r="A14" s="41">
        <v>8</v>
      </c>
      <c r="B14" s="41" t="str">
        <f t="shared" ref="B14" si="2">CONCATENATE($B$2, ".", A14)</f>
        <v>1A.8</v>
      </c>
      <c r="C14" s="50" t="s">
        <v>39</v>
      </c>
      <c r="D14" s="41" t="s">
        <v>332</v>
      </c>
      <c r="E14" s="41" t="s">
        <v>34</v>
      </c>
      <c r="F14" s="41" t="s">
        <v>392</v>
      </c>
      <c r="G14" s="41" t="s">
        <v>338</v>
      </c>
      <c r="H14" s="41" t="s">
        <v>36</v>
      </c>
      <c r="I14" s="41" t="s">
        <v>9</v>
      </c>
      <c r="J14" s="42" t="s">
        <v>393</v>
      </c>
      <c r="K14" s="41" t="s">
        <v>36</v>
      </c>
      <c r="L14" s="41" t="s">
        <v>36</v>
      </c>
      <c r="M14" s="41" t="s">
        <v>36</v>
      </c>
      <c r="N14" s="41" t="s">
        <v>36</v>
      </c>
      <c r="O14" s="41" t="s">
        <v>396</v>
      </c>
      <c r="P14" s="41"/>
    </row>
    <row r="15" spans="1:16" x14ac:dyDescent="0.35">
      <c r="A15" s="41">
        <v>9</v>
      </c>
      <c r="B15" s="41" t="str">
        <f t="shared" ref="B15:B18" si="3">CONCATENATE($B$2, ".", A15)</f>
        <v>1A.9</v>
      </c>
      <c r="C15" s="50" t="s">
        <v>39</v>
      </c>
      <c r="D15" s="41" t="s">
        <v>395</v>
      </c>
      <c r="E15" s="41" t="s">
        <v>32</v>
      </c>
      <c r="F15" s="41" t="s">
        <v>51</v>
      </c>
      <c r="G15" s="41" t="s">
        <v>36</v>
      </c>
      <c r="H15" s="41" t="s">
        <v>435</v>
      </c>
      <c r="I15" s="41" t="s">
        <v>9</v>
      </c>
      <c r="J15" s="42" t="s">
        <v>36</v>
      </c>
      <c r="K15" s="41" t="s">
        <v>87</v>
      </c>
      <c r="L15" s="41" t="s">
        <v>36</v>
      </c>
      <c r="M15" s="41" t="s">
        <v>436</v>
      </c>
      <c r="N15" s="41" t="s">
        <v>36</v>
      </c>
      <c r="O15" s="41" t="s">
        <v>36</v>
      </c>
      <c r="P15" s="41"/>
    </row>
    <row r="16" spans="1:16" x14ac:dyDescent="0.35">
      <c r="A16" s="41">
        <v>10</v>
      </c>
      <c r="B16" s="41" t="str">
        <f t="shared" si="3"/>
        <v>1A.10</v>
      </c>
      <c r="C16" s="50" t="s">
        <v>39</v>
      </c>
      <c r="D16" s="41" t="s">
        <v>333</v>
      </c>
      <c r="E16" s="41" t="s">
        <v>28</v>
      </c>
      <c r="F16" s="41" t="s">
        <v>36</v>
      </c>
      <c r="G16" s="41" t="s">
        <v>36</v>
      </c>
      <c r="H16" s="41" t="s">
        <v>36</v>
      </c>
      <c r="I16" s="41" t="s">
        <v>9</v>
      </c>
      <c r="J16" s="42" t="s">
        <v>36</v>
      </c>
      <c r="K16" s="41" t="s">
        <v>36</v>
      </c>
      <c r="L16" s="41" t="s">
        <v>36</v>
      </c>
      <c r="M16" s="41" t="s">
        <v>36</v>
      </c>
      <c r="N16" s="41" t="s">
        <v>36</v>
      </c>
      <c r="O16" s="41" t="s">
        <v>36</v>
      </c>
      <c r="P16" s="41"/>
    </row>
    <row r="17" spans="1:16" ht="29" x14ac:dyDescent="0.35">
      <c r="A17" s="41">
        <v>11</v>
      </c>
      <c r="B17" s="41" t="str">
        <f t="shared" si="3"/>
        <v>1A.11</v>
      </c>
      <c r="C17" s="50" t="s">
        <v>44</v>
      </c>
      <c r="D17" s="41" t="s">
        <v>334</v>
      </c>
      <c r="E17" s="41" t="s">
        <v>42</v>
      </c>
      <c r="F17" s="41" t="s">
        <v>36</v>
      </c>
      <c r="G17" s="41" t="s">
        <v>36</v>
      </c>
      <c r="H17" s="41" t="s">
        <v>36</v>
      </c>
      <c r="I17" s="41" t="s">
        <v>9</v>
      </c>
      <c r="J17" s="42" t="s">
        <v>36</v>
      </c>
      <c r="K17" s="41" t="s">
        <v>36</v>
      </c>
      <c r="L17" s="41" t="s">
        <v>36</v>
      </c>
      <c r="M17" s="41" t="s">
        <v>36</v>
      </c>
      <c r="N17" s="41" t="s">
        <v>36</v>
      </c>
      <c r="O17" s="41" t="s">
        <v>360</v>
      </c>
      <c r="P17" s="41" t="s">
        <v>434</v>
      </c>
    </row>
    <row r="18" spans="1:16" ht="58" x14ac:dyDescent="0.35">
      <c r="A18" s="41">
        <v>12</v>
      </c>
      <c r="B18" s="41" t="str">
        <f t="shared" si="3"/>
        <v>1A.12</v>
      </c>
      <c r="C18" s="50" t="s">
        <v>44</v>
      </c>
      <c r="D18" s="41" t="s">
        <v>335</v>
      </c>
      <c r="E18" s="41" t="s">
        <v>105</v>
      </c>
      <c r="F18" s="41" t="s">
        <v>36</v>
      </c>
      <c r="G18" s="41" t="s">
        <v>36</v>
      </c>
      <c r="H18" s="41" t="s">
        <v>36</v>
      </c>
      <c r="I18" s="41" t="s">
        <v>9</v>
      </c>
      <c r="J18" s="42" t="s">
        <v>36</v>
      </c>
      <c r="K18" s="41" t="s">
        <v>36</v>
      </c>
      <c r="L18" s="41" t="s">
        <v>36</v>
      </c>
      <c r="M18" s="41" t="s">
        <v>36</v>
      </c>
      <c r="N18" s="41" t="s">
        <v>36</v>
      </c>
      <c r="O18" s="41" t="s">
        <v>382</v>
      </c>
      <c r="P18" s="41" t="s">
        <v>489</v>
      </c>
    </row>
    <row r="19" spans="1:16" ht="43.5" x14ac:dyDescent="0.35">
      <c r="A19" s="41">
        <v>13</v>
      </c>
      <c r="B19" s="41" t="str">
        <f>CONCATENATE($B$2, ".", A19)</f>
        <v>1A.13</v>
      </c>
      <c r="C19" s="50" t="s">
        <v>37</v>
      </c>
      <c r="D19" s="41" t="s">
        <v>358</v>
      </c>
      <c r="E19" s="41" t="s">
        <v>42</v>
      </c>
      <c r="F19" s="41" t="s">
        <v>36</v>
      </c>
      <c r="G19" s="41" t="s">
        <v>36</v>
      </c>
      <c r="H19" s="41" t="s">
        <v>36</v>
      </c>
      <c r="I19" s="41" t="s">
        <v>9</v>
      </c>
      <c r="J19" s="41" t="s">
        <v>36</v>
      </c>
      <c r="K19" s="41" t="s">
        <v>36</v>
      </c>
      <c r="L19" s="41" t="s">
        <v>36</v>
      </c>
      <c r="M19" s="41" t="s">
        <v>437</v>
      </c>
      <c r="N19" s="41" t="s">
        <v>36</v>
      </c>
      <c r="O19" s="41" t="s">
        <v>359</v>
      </c>
      <c r="P19" s="41" t="s">
        <v>488</v>
      </c>
    </row>
  </sheetData>
  <mergeCells count="3">
    <mergeCell ref="B1:C1"/>
    <mergeCell ref="B2:C2"/>
    <mergeCell ref="B3:C3"/>
  </mergeCells>
  <conditionalFormatting sqref="C7:C12 C14:C19">
    <cfRule type="cellIs" dxfId="559" priority="21" operator="equal">
      <formula>"WIP (see comments)"</formula>
    </cfRule>
    <cfRule type="cellIs" dxfId="558" priority="22" operator="equal">
      <formula>"Removed"</formula>
    </cfRule>
    <cfRule type="cellIs" dxfId="557" priority="23" operator="equal">
      <formula>"Updated"</formula>
    </cfRule>
    <cfRule type="cellIs" dxfId="556" priority="24" operator="equal">
      <formula>"New"</formula>
    </cfRule>
  </conditionalFormatting>
  <conditionalFormatting sqref="E1:P1 A1:B4 D2:P4 A5:P9 N10:O10 C19 C16:O18 P17:P18 F11:O11 F10:L10 C12:L12 N12:O12 C10:E11 A10:B13 A14:O15 A16:B19">
    <cfRule type="cellIs" dxfId="555" priority="20" operator="equal">
      <formula>"n/a"</formula>
    </cfRule>
  </conditionalFormatting>
  <conditionalFormatting sqref="D1">
    <cfRule type="cellIs" dxfId="554" priority="19" operator="equal">
      <formula>"n/a"</formula>
    </cfRule>
  </conditionalFormatting>
  <conditionalFormatting sqref="M12">
    <cfRule type="cellIs" dxfId="553" priority="16" operator="equal">
      <formula>"n/a"</formula>
    </cfRule>
  </conditionalFormatting>
  <conditionalFormatting sqref="M10">
    <cfRule type="cellIs" dxfId="552" priority="15" operator="equal">
      <formula>"n/a"</formula>
    </cfRule>
  </conditionalFormatting>
  <conditionalFormatting sqref="P14:P15">
    <cfRule type="cellIs" dxfId="551" priority="14" operator="equal">
      <formula>"n/a"</formula>
    </cfRule>
  </conditionalFormatting>
  <conditionalFormatting sqref="P16">
    <cfRule type="cellIs" dxfId="550" priority="13" operator="equal">
      <formula>"n/a"</formula>
    </cfRule>
  </conditionalFormatting>
  <conditionalFormatting sqref="D19:P19">
    <cfRule type="cellIs" dxfId="549" priority="8" operator="equal">
      <formula>"n/a"</formula>
    </cfRule>
  </conditionalFormatting>
  <conditionalFormatting sqref="C13">
    <cfRule type="cellIs" dxfId="548" priority="2" operator="equal">
      <formula>"WIP (see comments)"</formula>
    </cfRule>
    <cfRule type="cellIs" dxfId="547" priority="3" operator="equal">
      <formula>"Removed"</formula>
    </cfRule>
    <cfRule type="cellIs" dxfId="546" priority="4" operator="equal">
      <formula>"Updated"</formula>
    </cfRule>
    <cfRule type="cellIs" dxfId="545" priority="5" operator="equal">
      <formula>"New"</formula>
    </cfRule>
  </conditionalFormatting>
  <conditionalFormatting sqref="C13:O13">
    <cfRule type="cellIs" dxfId="544" priority="1" operator="equal">
      <formula>"n/a"</formula>
    </cfRule>
  </conditionalFormatting>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C7:C15 C16:C19</xm:sqref>
        </x14:dataValidation>
        <x14:dataValidation type="list" allowBlank="1" showInputMessage="1" showErrorMessage="1">
          <x14:formula1>
            <xm:f>'List Values'!$A$5:$A$33</xm:f>
          </x14:formula1>
          <xm:sqref>E7:E15 E16:E19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22.6328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261</v>
      </c>
      <c r="C1" s="34"/>
      <c r="D1" s="31"/>
    </row>
    <row r="2" spans="1:16" s="32" customFormat="1" ht="18.5" x14ac:dyDescent="0.35">
      <c r="A2" s="30" t="s">
        <v>7</v>
      </c>
      <c r="B2" s="86">
        <v>2</v>
      </c>
      <c r="C2" s="37"/>
      <c r="D2" s="86" t="s">
        <v>755</v>
      </c>
    </row>
    <row r="3" spans="1:16" s="32" customFormat="1" ht="18.5" x14ac:dyDescent="0.35">
      <c r="A3" s="30" t="s">
        <v>43</v>
      </c>
      <c r="B3" s="86" t="s">
        <v>469</v>
      </c>
      <c r="C3" s="37"/>
      <c r="D3" s="86" t="s">
        <v>497</v>
      </c>
    </row>
    <row r="4" spans="1:16" s="32" customFormat="1" ht="18.5" x14ac:dyDescent="0.35">
      <c r="A4" s="30" t="s">
        <v>8</v>
      </c>
      <c r="B4" s="32" t="s">
        <v>46</v>
      </c>
      <c r="C4" s="37"/>
      <c r="D4" s="32" t="s">
        <v>498</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2" si="0">CONCATENATE($B$2, ".", A7)</f>
        <v>2.1</v>
      </c>
      <c r="C7" s="36" t="s">
        <v>44</v>
      </c>
      <c r="D7" s="41" t="s">
        <v>505</v>
      </c>
      <c r="E7" s="6" t="s">
        <v>28</v>
      </c>
      <c r="F7" s="6" t="s">
        <v>36</v>
      </c>
      <c r="G7" s="6" t="s">
        <v>36</v>
      </c>
      <c r="H7" s="6" t="s">
        <v>36</v>
      </c>
      <c r="I7" s="41" t="s">
        <v>9</v>
      </c>
      <c r="J7" s="5" t="s">
        <v>36</v>
      </c>
      <c r="K7" s="5" t="s">
        <v>36</v>
      </c>
      <c r="L7" s="5" t="s">
        <v>36</v>
      </c>
      <c r="M7" s="5" t="s">
        <v>36</v>
      </c>
      <c r="N7" s="5" t="s">
        <v>36</v>
      </c>
      <c r="O7" s="5" t="s">
        <v>36</v>
      </c>
      <c r="P7" s="6" t="s">
        <v>225</v>
      </c>
    </row>
    <row r="8" spans="1:16" x14ac:dyDescent="0.35">
      <c r="A8" s="6">
        <v>2</v>
      </c>
      <c r="B8" s="6" t="str">
        <f t="shared" si="0"/>
        <v>2.2</v>
      </c>
      <c r="C8" s="36" t="s">
        <v>39</v>
      </c>
      <c r="D8" s="41" t="s">
        <v>36</v>
      </c>
      <c r="E8" s="41" t="s">
        <v>48</v>
      </c>
      <c r="F8" s="6" t="s">
        <v>36</v>
      </c>
      <c r="G8" s="6" t="s">
        <v>36</v>
      </c>
      <c r="H8" s="6" t="s">
        <v>36</v>
      </c>
      <c r="I8" s="41" t="s">
        <v>9</v>
      </c>
      <c r="J8" s="5" t="s">
        <v>36</v>
      </c>
      <c r="K8" s="5" t="s">
        <v>36</v>
      </c>
      <c r="L8" s="5" t="s">
        <v>36</v>
      </c>
      <c r="M8" s="5" t="s">
        <v>36</v>
      </c>
      <c r="N8" s="5" t="s">
        <v>36</v>
      </c>
      <c r="O8" s="5" t="s">
        <v>36</v>
      </c>
    </row>
    <row r="9" spans="1:16" ht="116" x14ac:dyDescent="0.35">
      <c r="A9" s="6">
        <v>3</v>
      </c>
      <c r="B9" s="6" t="str">
        <f t="shared" si="0"/>
        <v>2.3</v>
      </c>
      <c r="C9" s="36" t="s">
        <v>44</v>
      </c>
      <c r="D9" s="41" t="s">
        <v>697</v>
      </c>
      <c r="E9" s="41" t="s">
        <v>31</v>
      </c>
      <c r="F9" s="6" t="s">
        <v>698</v>
      </c>
      <c r="G9" s="6" t="s">
        <v>702</v>
      </c>
      <c r="H9" s="6" t="s">
        <v>36</v>
      </c>
      <c r="I9" s="41" t="s">
        <v>9</v>
      </c>
      <c r="J9" s="5" t="s">
        <v>699</v>
      </c>
      <c r="K9" s="5" t="s">
        <v>53</v>
      </c>
      <c r="L9" s="5" t="s">
        <v>36</v>
      </c>
      <c r="M9" s="5" t="s">
        <v>36</v>
      </c>
      <c r="N9" s="5" t="s">
        <v>36</v>
      </c>
      <c r="O9" s="5" t="s">
        <v>700</v>
      </c>
      <c r="P9" s="6" t="s">
        <v>225</v>
      </c>
    </row>
    <row r="10" spans="1:16" ht="87" x14ac:dyDescent="0.35">
      <c r="A10" s="6">
        <v>4</v>
      </c>
      <c r="B10" s="6" t="str">
        <f t="shared" si="0"/>
        <v>2.4</v>
      </c>
      <c r="C10" s="36" t="s">
        <v>44</v>
      </c>
      <c r="D10" s="41" t="s">
        <v>756</v>
      </c>
      <c r="E10" s="41" t="s">
        <v>31</v>
      </c>
      <c r="F10" s="6" t="s">
        <v>698</v>
      </c>
      <c r="G10" s="6" t="s">
        <v>757</v>
      </c>
      <c r="H10" s="6" t="s">
        <v>36</v>
      </c>
      <c r="I10" s="41" t="s">
        <v>9</v>
      </c>
      <c r="J10" s="5" t="s">
        <v>699</v>
      </c>
      <c r="K10" s="5" t="s">
        <v>53</v>
      </c>
      <c r="L10" s="5" t="s">
        <v>36</v>
      </c>
      <c r="M10" s="5" t="s">
        <v>36</v>
      </c>
      <c r="N10" s="5" t="s">
        <v>36</v>
      </c>
      <c r="O10" s="5" t="s">
        <v>36</v>
      </c>
      <c r="P10" s="6" t="s">
        <v>225</v>
      </c>
    </row>
    <row r="11" spans="1:16" ht="72.5" x14ac:dyDescent="0.35">
      <c r="A11" s="6">
        <v>5</v>
      </c>
      <c r="B11" s="6" t="str">
        <f>CONCATENATE($B$2, ".", A11)</f>
        <v>2.5</v>
      </c>
      <c r="C11" s="36" t="s">
        <v>44</v>
      </c>
      <c r="D11" s="41" t="s">
        <v>59</v>
      </c>
      <c r="E11" s="6" t="s">
        <v>42</v>
      </c>
      <c r="F11" s="6" t="s">
        <v>36</v>
      </c>
      <c r="G11" s="6" t="s">
        <v>36</v>
      </c>
      <c r="H11" s="6" t="s">
        <v>36</v>
      </c>
      <c r="I11" s="41" t="s">
        <v>9</v>
      </c>
      <c r="J11" s="6" t="s">
        <v>36</v>
      </c>
      <c r="K11" s="6" t="s">
        <v>36</v>
      </c>
      <c r="L11" s="6" t="s">
        <v>36</v>
      </c>
      <c r="M11" s="6" t="s">
        <v>36</v>
      </c>
      <c r="N11" s="6" t="s">
        <v>36</v>
      </c>
      <c r="O11" s="6" t="s">
        <v>758</v>
      </c>
      <c r="P11" s="6" t="s">
        <v>754</v>
      </c>
    </row>
    <row r="12" spans="1:16" ht="29" x14ac:dyDescent="0.35">
      <c r="A12" s="6">
        <v>6</v>
      </c>
      <c r="B12" s="6" t="str">
        <f t="shared" si="0"/>
        <v>2.6</v>
      </c>
      <c r="C12" s="36" t="s">
        <v>44</v>
      </c>
      <c r="D12" s="41" t="s">
        <v>58</v>
      </c>
      <c r="E12" s="6" t="s">
        <v>42</v>
      </c>
      <c r="F12" s="6" t="s">
        <v>36</v>
      </c>
      <c r="G12" s="6" t="s">
        <v>36</v>
      </c>
      <c r="H12" s="6" t="s">
        <v>36</v>
      </c>
      <c r="I12" s="6" t="s">
        <v>9</v>
      </c>
      <c r="J12" s="6" t="s">
        <v>36</v>
      </c>
      <c r="K12" s="6" t="s">
        <v>36</v>
      </c>
      <c r="L12" s="6" t="s">
        <v>36</v>
      </c>
      <c r="M12" s="6" t="s">
        <v>36</v>
      </c>
      <c r="N12" s="6" t="s">
        <v>36</v>
      </c>
      <c r="O12" s="6" t="s">
        <v>701</v>
      </c>
    </row>
  </sheetData>
  <conditionalFormatting sqref="C7:C1048576">
    <cfRule type="cellIs" dxfId="543" priority="7" operator="equal">
      <formula>"WIP (see comments)"</formula>
    </cfRule>
    <cfRule type="cellIs" dxfId="542" priority="8" operator="equal">
      <formula>"Removed"</formula>
    </cfRule>
    <cfRule type="cellIs" dxfId="541" priority="9" operator="equal">
      <formula>"Updated"</formula>
    </cfRule>
    <cfRule type="cellIs" dxfId="540" priority="10" operator="equal">
      <formula>"New"</formula>
    </cfRule>
  </conditionalFormatting>
  <conditionalFormatting sqref="A1:XFD8 A11:XFD1048576 Q10:XFD10 C10 E10 A9:J9 L9:XFD9">
    <cfRule type="cellIs" dxfId="539" priority="6" operator="equal">
      <formula>"n/a"</formula>
    </cfRule>
  </conditionalFormatting>
  <conditionalFormatting sqref="A10:B10 D10 F10:P10 K9">
    <cfRule type="cellIs" dxfId="538" priority="1" operator="equal">
      <formula>"n/a"</formula>
    </cfRule>
  </conditionalFormatting>
  <dataValidations count="1">
    <dataValidation type="list" allowBlank="1" showInputMessage="1" showErrorMessage="1" sqref="C13: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Values'!$A$5:$A$32</xm:f>
          </x14:formula1>
          <xm:sqref>E7:E12</xm:sqref>
        </x14:dataValidation>
        <x14:dataValidation type="list" allowBlank="1" showInputMessage="1" showErrorMessage="1">
          <x14:formula1>
            <xm:f>'List Values'!$B$5:$B$9</xm:f>
          </x14:formula1>
          <xm:sqref>C7:C12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17.7265625" style="41" customWidth="1"/>
    <col min="8" max="8" width="27.81640625" style="41" customWidth="1"/>
    <col min="9" max="9" width="34.81640625" style="41" customWidth="1"/>
    <col min="10" max="10" width="13.26953125" style="41" bestFit="1" customWidth="1"/>
    <col min="11" max="11" width="10.7265625" style="41" bestFit="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6</v>
      </c>
      <c r="B1" s="131" t="s">
        <v>45</v>
      </c>
      <c r="C1" s="131"/>
      <c r="D1" s="31"/>
    </row>
    <row r="2" spans="1:16" s="63" customFormat="1" ht="18.5" x14ac:dyDescent="0.35">
      <c r="A2" s="62" t="s">
        <v>7</v>
      </c>
      <c r="B2" s="131">
        <v>3</v>
      </c>
      <c r="C2" s="131"/>
      <c r="D2" s="64"/>
    </row>
    <row r="3" spans="1:16" s="63" customFormat="1" ht="18.5" x14ac:dyDescent="0.35">
      <c r="A3" s="62" t="s">
        <v>43</v>
      </c>
      <c r="B3" s="131" t="s">
        <v>268</v>
      </c>
      <c r="C3" s="131"/>
      <c r="D3" s="64" t="s">
        <v>290</v>
      </c>
    </row>
    <row r="4" spans="1:16" s="63" customFormat="1" ht="18.5" x14ac:dyDescent="0.35">
      <c r="A4" s="62" t="s">
        <v>8</v>
      </c>
      <c r="B4" s="131" t="s">
        <v>46</v>
      </c>
      <c r="C4" s="131"/>
    </row>
    <row r="5" spans="1:16" s="66" customFormat="1" x14ac:dyDescent="0.35">
      <c r="C5" s="67"/>
    </row>
    <row r="6" spans="1:16" s="68" customFormat="1" ht="15"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x14ac:dyDescent="0.35">
      <c r="A7" s="41">
        <v>1</v>
      </c>
      <c r="B7" s="41" t="str">
        <f t="shared" ref="B7:B14" si="0">CONCATENATE($B$2, ".", A7)</f>
        <v>3.1</v>
      </c>
      <c r="C7" s="50" t="s">
        <v>39</v>
      </c>
      <c r="D7" s="41" t="s">
        <v>491</v>
      </c>
      <c r="E7" s="41" t="s">
        <v>28</v>
      </c>
      <c r="F7" s="41" t="s">
        <v>36</v>
      </c>
      <c r="G7" s="41" t="s">
        <v>36</v>
      </c>
      <c r="H7" s="41" t="s">
        <v>36</v>
      </c>
      <c r="I7" s="41" t="s">
        <v>9</v>
      </c>
      <c r="J7" s="42" t="s">
        <v>36</v>
      </c>
      <c r="K7" s="42" t="s">
        <v>36</v>
      </c>
      <c r="L7" s="42" t="s">
        <v>36</v>
      </c>
      <c r="M7" s="42" t="s">
        <v>36</v>
      </c>
      <c r="N7" s="42" t="s">
        <v>36</v>
      </c>
      <c r="O7" s="42" t="s">
        <v>36</v>
      </c>
    </row>
    <row r="8" spans="1:16" ht="29" x14ac:dyDescent="0.35">
      <c r="A8" s="41">
        <v>2</v>
      </c>
      <c r="B8" s="41" t="str">
        <f t="shared" si="0"/>
        <v>3.2</v>
      </c>
      <c r="C8" s="50" t="s">
        <v>44</v>
      </c>
      <c r="D8" s="41" t="s">
        <v>36</v>
      </c>
      <c r="E8" s="41" t="s">
        <v>48</v>
      </c>
      <c r="F8" s="41" t="s">
        <v>36</v>
      </c>
      <c r="G8" s="41" t="s">
        <v>36</v>
      </c>
      <c r="H8" s="41" t="s">
        <v>36</v>
      </c>
      <c r="I8" s="41" t="s">
        <v>9</v>
      </c>
      <c r="J8" s="42" t="s">
        <v>36</v>
      </c>
      <c r="K8" s="42" t="s">
        <v>36</v>
      </c>
      <c r="L8" s="42" t="s">
        <v>36</v>
      </c>
      <c r="M8" s="42" t="s">
        <v>36</v>
      </c>
      <c r="N8" s="42" t="s">
        <v>36</v>
      </c>
      <c r="O8" s="42" t="s">
        <v>36</v>
      </c>
      <c r="P8" s="41" t="s">
        <v>485</v>
      </c>
    </row>
    <row r="9" spans="1:16" ht="56.25" customHeight="1" x14ac:dyDescent="0.35">
      <c r="A9" s="41">
        <v>3</v>
      </c>
      <c r="B9" s="41" t="str">
        <f t="shared" si="0"/>
        <v>3.3</v>
      </c>
      <c r="C9" s="50" t="s">
        <v>37</v>
      </c>
      <c r="D9" s="41" t="s">
        <v>492</v>
      </c>
      <c r="E9" s="41" t="s">
        <v>105</v>
      </c>
      <c r="F9" s="41" t="s">
        <v>36</v>
      </c>
      <c r="G9" s="41" t="s">
        <v>36</v>
      </c>
      <c r="H9" s="41" t="s">
        <v>36</v>
      </c>
      <c r="I9" s="41" t="s">
        <v>9</v>
      </c>
      <c r="J9" s="42" t="s">
        <v>36</v>
      </c>
      <c r="K9" s="42" t="s">
        <v>36</v>
      </c>
      <c r="L9" s="42" t="s">
        <v>36</v>
      </c>
      <c r="M9" s="42" t="s">
        <v>36</v>
      </c>
      <c r="N9" s="42" t="s">
        <v>36</v>
      </c>
      <c r="O9" s="42" t="s">
        <v>101</v>
      </c>
    </row>
    <row r="10" spans="1:16" ht="120.75" customHeight="1" x14ac:dyDescent="0.35">
      <c r="A10" s="41">
        <v>4</v>
      </c>
      <c r="B10" s="41" t="str">
        <f t="shared" si="0"/>
        <v>3.4</v>
      </c>
      <c r="C10" s="50" t="s">
        <v>37</v>
      </c>
      <c r="D10" s="41" t="s">
        <v>49</v>
      </c>
      <c r="E10" s="41" t="s">
        <v>32</v>
      </c>
      <c r="F10" s="41" t="s">
        <v>51</v>
      </c>
      <c r="G10" s="41" t="s">
        <v>493</v>
      </c>
      <c r="H10" s="41" t="s">
        <v>52</v>
      </c>
      <c r="I10" s="41" t="s">
        <v>9</v>
      </c>
      <c r="J10" s="42" t="s">
        <v>36</v>
      </c>
      <c r="K10" s="42" t="s">
        <v>53</v>
      </c>
      <c r="L10" s="42" t="s">
        <v>56</v>
      </c>
      <c r="M10" s="42" t="s">
        <v>106</v>
      </c>
      <c r="N10" s="42" t="s">
        <v>56</v>
      </c>
      <c r="O10" s="42" t="s">
        <v>36</v>
      </c>
    </row>
    <row r="11" spans="1:16" ht="149.25" customHeight="1" x14ac:dyDescent="0.35">
      <c r="A11" s="41">
        <v>5</v>
      </c>
      <c r="B11" s="41" t="str">
        <f t="shared" si="0"/>
        <v>3.5</v>
      </c>
      <c r="C11" s="50" t="s">
        <v>37</v>
      </c>
      <c r="D11" s="41" t="s">
        <v>107</v>
      </c>
      <c r="E11" s="41" t="s">
        <v>32</v>
      </c>
      <c r="F11" s="41" t="s">
        <v>50</v>
      </c>
      <c r="G11" s="41" t="s">
        <v>494</v>
      </c>
      <c r="H11" s="41" t="s">
        <v>54</v>
      </c>
      <c r="I11" s="41" t="s">
        <v>9</v>
      </c>
      <c r="J11" s="42" t="s">
        <v>36</v>
      </c>
      <c r="K11" s="41" t="s">
        <v>53</v>
      </c>
      <c r="L11" s="41" t="s">
        <v>57</v>
      </c>
      <c r="M11" s="41" t="s">
        <v>55</v>
      </c>
      <c r="N11" s="41" t="s">
        <v>57</v>
      </c>
      <c r="O11" s="42" t="s">
        <v>36</v>
      </c>
    </row>
    <row r="12" spans="1:16" ht="149.25" customHeight="1" x14ac:dyDescent="0.35">
      <c r="A12" s="41">
        <v>6</v>
      </c>
      <c r="B12" s="41" t="str">
        <f t="shared" si="0"/>
        <v>3.6</v>
      </c>
      <c r="C12" s="50" t="s">
        <v>39</v>
      </c>
      <c r="D12" s="41" t="s">
        <v>36</v>
      </c>
      <c r="E12" s="41" t="s">
        <v>189</v>
      </c>
      <c r="F12" s="41" t="s">
        <v>36</v>
      </c>
      <c r="G12" s="41" t="s">
        <v>36</v>
      </c>
      <c r="H12" s="41" t="s">
        <v>36</v>
      </c>
      <c r="I12" s="41" t="s">
        <v>190</v>
      </c>
      <c r="J12" s="42" t="s">
        <v>36</v>
      </c>
      <c r="K12" s="41" t="s">
        <v>53</v>
      </c>
      <c r="L12" s="41" t="s">
        <v>191</v>
      </c>
      <c r="M12" s="41" t="s">
        <v>36</v>
      </c>
      <c r="N12" s="41" t="s">
        <v>192</v>
      </c>
      <c r="O12" s="42"/>
    </row>
    <row r="13" spans="1:16" ht="105" customHeight="1" x14ac:dyDescent="0.35">
      <c r="A13" s="41">
        <v>7</v>
      </c>
      <c r="B13" s="41" t="str">
        <f>CONCATENATE($B$2, ".", A13)</f>
        <v>3.7</v>
      </c>
      <c r="C13" s="50" t="s">
        <v>37</v>
      </c>
      <c r="D13" s="41" t="s">
        <v>59</v>
      </c>
      <c r="E13" s="41" t="s">
        <v>42</v>
      </c>
      <c r="F13" s="41" t="s">
        <v>36</v>
      </c>
      <c r="G13" s="41" t="s">
        <v>36</v>
      </c>
      <c r="H13" s="41" t="s">
        <v>36</v>
      </c>
      <c r="I13" s="41" t="s">
        <v>495</v>
      </c>
      <c r="J13" s="41" t="s">
        <v>36</v>
      </c>
      <c r="K13" s="41" t="s">
        <v>36</v>
      </c>
      <c r="L13" s="41" t="s">
        <v>36</v>
      </c>
      <c r="M13" s="41" t="s">
        <v>36</v>
      </c>
      <c r="N13" s="41" t="s">
        <v>36</v>
      </c>
      <c r="O13" s="41" t="s">
        <v>496</v>
      </c>
    </row>
    <row r="14" spans="1:16" ht="29" x14ac:dyDescent="0.35">
      <c r="A14" s="41">
        <v>8</v>
      </c>
      <c r="B14" s="41" t="str">
        <f t="shared" si="0"/>
        <v>3.8</v>
      </c>
      <c r="C14" s="50" t="s">
        <v>37</v>
      </c>
      <c r="D14" s="41" t="s">
        <v>58</v>
      </c>
      <c r="E14" s="41" t="s">
        <v>42</v>
      </c>
      <c r="F14" s="41" t="s">
        <v>36</v>
      </c>
      <c r="G14" s="41" t="s">
        <v>36</v>
      </c>
      <c r="H14" s="41" t="s">
        <v>36</v>
      </c>
      <c r="I14" s="41" t="s">
        <v>9</v>
      </c>
      <c r="J14" s="41" t="s">
        <v>36</v>
      </c>
      <c r="K14" s="41" t="s">
        <v>36</v>
      </c>
      <c r="L14" s="41" t="s">
        <v>36</v>
      </c>
      <c r="M14" s="41" t="s">
        <v>36</v>
      </c>
      <c r="N14" s="41" t="s">
        <v>36</v>
      </c>
      <c r="O14" s="41" t="s">
        <v>357</v>
      </c>
    </row>
  </sheetData>
  <mergeCells count="4">
    <mergeCell ref="B1:C1"/>
    <mergeCell ref="B2:C2"/>
    <mergeCell ref="B3:C3"/>
    <mergeCell ref="B4:C4"/>
  </mergeCells>
  <conditionalFormatting sqref="C7:C1048576">
    <cfRule type="cellIs" dxfId="537" priority="18" operator="equal">
      <formula>"WIP (see comments)"</formula>
    </cfRule>
    <cfRule type="cellIs" dxfId="536" priority="19" operator="equal">
      <formula>"Removed"</formula>
    </cfRule>
    <cfRule type="cellIs" dxfId="535" priority="20" operator="equal">
      <formula>"Updated"</formula>
    </cfRule>
    <cfRule type="cellIs" dxfId="534" priority="21" operator="equal">
      <formula>"New"</formula>
    </cfRule>
  </conditionalFormatting>
  <conditionalFormatting sqref="A5:XFD9 Q10:XFD10 A12:XFD1048576 A11:N11 P11:XFD11 A1:B1 E1:XFD1 C8:C14 A2:A4 D2:XFD4">
    <cfRule type="cellIs" dxfId="533" priority="9" operator="equal">
      <formula>"n/a"</formula>
    </cfRule>
  </conditionalFormatting>
  <conditionalFormatting sqref="A10:B10 D10:P10">
    <cfRule type="cellIs" dxfId="532" priority="4" operator="equal">
      <formula>"n/a"</formula>
    </cfRule>
  </conditionalFormatting>
  <conditionalFormatting sqref="O11">
    <cfRule type="cellIs" dxfId="531" priority="3" operator="equal">
      <formula>"n/a"</formula>
    </cfRule>
  </conditionalFormatting>
  <conditionalFormatting sqref="D1">
    <cfRule type="cellIs" dxfId="530" priority="2" operator="equal">
      <formula>"n/a"</formula>
    </cfRule>
  </conditionalFormatting>
  <conditionalFormatting sqref="B2:B4">
    <cfRule type="cellIs" dxfId="529"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2" t="s">
        <v>249</v>
      </c>
      <c r="C1" s="132"/>
      <c r="D1" s="31"/>
    </row>
    <row r="2" spans="1:16" s="32" customFormat="1" ht="18.5" x14ac:dyDescent="0.35">
      <c r="A2" s="30" t="s">
        <v>7</v>
      </c>
      <c r="B2" s="133">
        <v>4</v>
      </c>
      <c r="C2" s="133"/>
      <c r="D2" s="38"/>
    </row>
    <row r="3" spans="1:16" s="32" customFormat="1" ht="18.5" x14ac:dyDescent="0.35">
      <c r="A3" s="30" t="s">
        <v>43</v>
      </c>
      <c r="B3" s="133" t="s">
        <v>285</v>
      </c>
      <c r="C3" s="133"/>
      <c r="D3" s="87" t="s">
        <v>291</v>
      </c>
    </row>
    <row r="4" spans="1:16" s="32" customFormat="1" ht="18.5" x14ac:dyDescent="0.35">
      <c r="A4" s="30" t="s">
        <v>8</v>
      </c>
      <c r="B4" s="133" t="s">
        <v>219</v>
      </c>
      <c r="C4" s="133"/>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2" si="0">CONCATENATE($B$2, ".", A7)</f>
        <v>4.1</v>
      </c>
      <c r="C7" s="50" t="s">
        <v>39</v>
      </c>
      <c r="D7" s="42" t="s">
        <v>286</v>
      </c>
      <c r="E7" s="42" t="s">
        <v>128</v>
      </c>
      <c r="F7" s="5" t="s">
        <v>36</v>
      </c>
      <c r="G7" s="5" t="s">
        <v>36</v>
      </c>
      <c r="H7" s="88" t="s">
        <v>36</v>
      </c>
      <c r="I7" s="42" t="s">
        <v>9</v>
      </c>
      <c r="J7" s="5" t="s">
        <v>36</v>
      </c>
      <c r="K7" s="5" t="s">
        <v>36</v>
      </c>
      <c r="L7" s="5" t="s">
        <v>36</v>
      </c>
      <c r="M7" s="5" t="s">
        <v>36</v>
      </c>
      <c r="N7" s="5" t="s">
        <v>36</v>
      </c>
      <c r="O7" s="5"/>
    </row>
    <row r="8" spans="1:16" ht="91" customHeight="1" x14ac:dyDescent="0.35">
      <c r="A8" s="6">
        <v>2</v>
      </c>
      <c r="B8" s="6" t="str">
        <f t="shared" si="0"/>
        <v>4.2</v>
      </c>
      <c r="C8" s="50" t="s">
        <v>39</v>
      </c>
      <c r="D8" s="47" t="s">
        <v>289</v>
      </c>
      <c r="E8" s="42" t="s">
        <v>33</v>
      </c>
      <c r="F8" s="5" t="s">
        <v>36</v>
      </c>
      <c r="G8" s="5" t="s">
        <v>36</v>
      </c>
      <c r="H8" s="88" t="s">
        <v>36</v>
      </c>
      <c r="I8" s="42" t="s">
        <v>9</v>
      </c>
      <c r="J8" s="5" t="s">
        <v>36</v>
      </c>
      <c r="K8" s="5" t="s">
        <v>36</v>
      </c>
      <c r="L8" s="5" t="s">
        <v>36</v>
      </c>
      <c r="M8" s="5" t="s">
        <v>36</v>
      </c>
      <c r="N8" s="5" t="s">
        <v>36</v>
      </c>
      <c r="O8" s="5"/>
    </row>
    <row r="9" spans="1:16" ht="13" customHeight="1" x14ac:dyDescent="0.35">
      <c r="A9" s="6">
        <v>3</v>
      </c>
      <c r="B9" s="6" t="str">
        <f t="shared" si="0"/>
        <v>4.3</v>
      </c>
      <c r="C9" s="50" t="s">
        <v>39</v>
      </c>
      <c r="D9" s="5" t="s">
        <v>174</v>
      </c>
      <c r="E9" s="42" t="s">
        <v>32</v>
      </c>
      <c r="F9" s="5" t="s">
        <v>36</v>
      </c>
      <c r="G9" s="5" t="s">
        <v>36</v>
      </c>
      <c r="H9" s="88" t="s">
        <v>36</v>
      </c>
      <c r="I9" s="42" t="s">
        <v>9</v>
      </c>
      <c r="J9" s="5" t="s">
        <v>36</v>
      </c>
      <c r="K9" s="5" t="s">
        <v>36</v>
      </c>
      <c r="L9" s="5" t="s">
        <v>36</v>
      </c>
      <c r="M9" s="5" t="s">
        <v>36</v>
      </c>
      <c r="N9" s="5" t="s">
        <v>36</v>
      </c>
      <c r="O9" s="5"/>
    </row>
    <row r="10" spans="1:16" ht="71.5" customHeight="1" x14ac:dyDescent="0.35">
      <c r="A10" s="6">
        <v>4</v>
      </c>
      <c r="B10" s="6" t="str">
        <f t="shared" si="0"/>
        <v>4.4</v>
      </c>
      <c r="C10" s="50" t="s">
        <v>39</v>
      </c>
      <c r="D10" s="5" t="s">
        <v>287</v>
      </c>
      <c r="E10" s="5" t="s">
        <v>42</v>
      </c>
      <c r="F10" s="5" t="s">
        <v>36</v>
      </c>
      <c r="G10" s="5" t="s">
        <v>36</v>
      </c>
      <c r="H10" s="88" t="s">
        <v>36</v>
      </c>
      <c r="I10" s="42" t="s">
        <v>9</v>
      </c>
      <c r="J10" s="5" t="s">
        <v>36</v>
      </c>
      <c r="K10" s="5" t="s">
        <v>36</v>
      </c>
      <c r="L10" s="5" t="s">
        <v>36</v>
      </c>
      <c r="M10" s="5" t="s">
        <v>36</v>
      </c>
      <c r="N10" s="5" t="s">
        <v>36</v>
      </c>
      <c r="O10" s="42" t="s">
        <v>176</v>
      </c>
    </row>
    <row r="11" spans="1:16" ht="29" x14ac:dyDescent="0.35">
      <c r="A11" s="6">
        <v>5</v>
      </c>
      <c r="B11" s="6" t="str">
        <f t="shared" si="0"/>
        <v>4.5</v>
      </c>
      <c r="C11" s="50" t="s">
        <v>37</v>
      </c>
      <c r="D11" s="5" t="s">
        <v>59</v>
      </c>
      <c r="E11" s="5" t="s">
        <v>42</v>
      </c>
      <c r="F11" s="5" t="s">
        <v>36</v>
      </c>
      <c r="G11" s="5" t="s">
        <v>36</v>
      </c>
      <c r="H11" s="88" t="s">
        <v>36</v>
      </c>
      <c r="I11" s="42" t="s">
        <v>9</v>
      </c>
      <c r="J11" s="5" t="s">
        <v>36</v>
      </c>
      <c r="K11" s="5" t="s">
        <v>36</v>
      </c>
      <c r="L11" s="5" t="s">
        <v>36</v>
      </c>
      <c r="M11" s="5" t="s">
        <v>36</v>
      </c>
      <c r="N11" s="5" t="s">
        <v>36</v>
      </c>
      <c r="O11" s="41" t="s">
        <v>643</v>
      </c>
    </row>
    <row r="12" spans="1:16" x14ac:dyDescent="0.35">
      <c r="A12" s="6">
        <v>6</v>
      </c>
      <c r="B12" s="6" t="str">
        <f t="shared" si="0"/>
        <v>4.6</v>
      </c>
      <c r="C12" s="50" t="s">
        <v>37</v>
      </c>
      <c r="D12" s="41" t="s">
        <v>58</v>
      </c>
      <c r="E12" s="41" t="s">
        <v>42</v>
      </c>
      <c r="F12" s="41" t="s">
        <v>36</v>
      </c>
      <c r="G12" s="41" t="s">
        <v>36</v>
      </c>
      <c r="H12" s="50" t="s">
        <v>36</v>
      </c>
      <c r="I12" s="41" t="s">
        <v>9</v>
      </c>
      <c r="J12" s="41" t="s">
        <v>36</v>
      </c>
      <c r="K12" s="41" t="s">
        <v>36</v>
      </c>
      <c r="L12" s="41" t="s">
        <v>36</v>
      </c>
      <c r="M12" s="41" t="s">
        <v>36</v>
      </c>
      <c r="N12" s="41" t="s">
        <v>36</v>
      </c>
      <c r="O12" s="41" t="s">
        <v>288</v>
      </c>
    </row>
  </sheetData>
  <mergeCells count="4">
    <mergeCell ref="B1:C1"/>
    <mergeCell ref="B2:C2"/>
    <mergeCell ref="B3:C3"/>
    <mergeCell ref="B4:C4"/>
  </mergeCells>
  <conditionalFormatting sqref="C13:C1048576">
    <cfRule type="cellIs" dxfId="528" priority="15" operator="equal">
      <formula>"WIP (see comments)"</formula>
    </cfRule>
    <cfRule type="cellIs" dxfId="527" priority="16" operator="equal">
      <formula>"Removed"</formula>
    </cfRule>
    <cfRule type="cellIs" dxfId="526" priority="17" operator="equal">
      <formula>"Updated"</formula>
    </cfRule>
    <cfRule type="cellIs" dxfId="525" priority="18" operator="equal">
      <formula>"New"</formula>
    </cfRule>
  </conditionalFormatting>
  <conditionalFormatting sqref="A1:B4 D1:XFD2 A5:XFD6 A13:XFD1048576 P7:XFD12 A7:B12 D4:XFD4 E3:XFD3">
    <cfRule type="cellIs" dxfId="524" priority="14" operator="equal">
      <formula>"n/a"</formula>
    </cfRule>
  </conditionalFormatting>
  <conditionalFormatting sqref="C7:C12">
    <cfRule type="cellIs" dxfId="523" priority="10" operator="equal">
      <formula>"WIP (see comments)"</formula>
    </cfRule>
    <cfRule type="cellIs" dxfId="522" priority="11" operator="equal">
      <formula>"Removed"</formula>
    </cfRule>
    <cfRule type="cellIs" dxfId="521" priority="12" operator="equal">
      <formula>"Updated"</formula>
    </cfRule>
    <cfRule type="cellIs" dxfId="520" priority="13" operator="equal">
      <formula>"New"</formula>
    </cfRule>
  </conditionalFormatting>
  <conditionalFormatting sqref="C7:C12">
    <cfRule type="cellIs" dxfId="519" priority="9" operator="equal">
      <formula>"n/a"</formula>
    </cfRule>
  </conditionalFormatting>
  <conditionalFormatting sqref="D8:D9">
    <cfRule type="cellIs" dxfId="518" priority="8" operator="equal">
      <formula>"-"</formula>
    </cfRule>
  </conditionalFormatting>
  <conditionalFormatting sqref="D8:O9">
    <cfRule type="cellIs" dxfId="517" priority="7" operator="equal">
      <formula>"n/a"</formula>
    </cfRule>
  </conditionalFormatting>
  <conditionalFormatting sqref="D7:O7">
    <cfRule type="cellIs" dxfId="516" priority="6" operator="equal">
      <formula>"n/a"</formula>
    </cfRule>
  </conditionalFormatting>
  <conditionalFormatting sqref="D11:N11">
    <cfRule type="cellIs" dxfId="515" priority="5" operator="equal">
      <formula>"n/a"</formula>
    </cfRule>
  </conditionalFormatting>
  <conditionalFormatting sqref="D10:O10">
    <cfRule type="cellIs" dxfId="514" priority="4" operator="equal">
      <formula>"n/a"</formula>
    </cfRule>
  </conditionalFormatting>
  <conditionalFormatting sqref="D12:O12">
    <cfRule type="cellIs" dxfId="513" priority="3" operator="equal">
      <formula>"n/a"</formula>
    </cfRule>
  </conditionalFormatting>
  <conditionalFormatting sqref="O11">
    <cfRule type="cellIs" dxfId="512" priority="2" operator="equal">
      <formula>"n/a"</formula>
    </cfRule>
  </conditionalFormatting>
  <conditionalFormatting sqref="D3">
    <cfRule type="cellIs" dxfId="511"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Values'!$A$5:$A$33</xm:f>
          </x14:formula1>
          <xm:sqref>E13:E1048576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'List Values'!$A$5:$A$32</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2" t="s">
        <v>234</v>
      </c>
      <c r="C1" s="132"/>
      <c r="D1" s="31"/>
    </row>
    <row r="2" spans="1:16" s="32" customFormat="1" ht="18.5" x14ac:dyDescent="0.35">
      <c r="A2" s="30" t="s">
        <v>7</v>
      </c>
      <c r="B2" s="133" t="s">
        <v>341</v>
      </c>
      <c r="C2" s="133"/>
      <c r="D2" s="38"/>
    </row>
    <row r="3" spans="1:16" s="32" customFormat="1" ht="18.5" x14ac:dyDescent="0.35">
      <c r="A3" s="30" t="s">
        <v>43</v>
      </c>
      <c r="B3" s="133" t="s">
        <v>277</v>
      </c>
      <c r="C3" s="133"/>
      <c r="D3" s="38"/>
    </row>
    <row r="4" spans="1:16" s="32" customFormat="1" ht="18.5" x14ac:dyDescent="0.35">
      <c r="A4" s="30" t="s">
        <v>8</v>
      </c>
      <c r="B4" s="133"/>
      <c r="C4" s="133"/>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4" si="0">CONCATENATE($B$2, ".", A7)</f>
        <v>DEPRECATED.1</v>
      </c>
      <c r="C7" s="50" t="s">
        <v>40</v>
      </c>
      <c r="D7" s="41" t="s">
        <v>269</v>
      </c>
      <c r="E7" s="41" t="s">
        <v>33</v>
      </c>
      <c r="F7" s="41" t="s">
        <v>36</v>
      </c>
      <c r="G7" s="41" t="s">
        <v>36</v>
      </c>
      <c r="H7" s="41" t="s">
        <v>36</v>
      </c>
      <c r="I7" s="41" t="s">
        <v>9</v>
      </c>
      <c r="J7" s="42" t="s">
        <v>36</v>
      </c>
      <c r="K7" s="42" t="s">
        <v>36</v>
      </c>
      <c r="L7" s="42" t="s">
        <v>36</v>
      </c>
      <c r="M7" s="42" t="s">
        <v>36</v>
      </c>
      <c r="N7" s="42" t="s">
        <v>36</v>
      </c>
      <c r="O7" s="42" t="s">
        <v>36</v>
      </c>
      <c r="P7" s="41" t="s">
        <v>225</v>
      </c>
    </row>
    <row r="8" spans="1:16" ht="72.5" x14ac:dyDescent="0.35">
      <c r="A8" s="6">
        <v>2</v>
      </c>
      <c r="B8" s="6" t="str">
        <f t="shared" si="0"/>
        <v>DEPRECATED.2</v>
      </c>
      <c r="C8" s="50" t="s">
        <v>40</v>
      </c>
      <c r="D8" s="41" t="s">
        <v>270</v>
      </c>
      <c r="E8" s="41" t="s">
        <v>33</v>
      </c>
      <c r="F8" s="41" t="s">
        <v>36</v>
      </c>
      <c r="G8" s="41" t="s">
        <v>36</v>
      </c>
      <c r="H8" s="41" t="s">
        <v>36</v>
      </c>
      <c r="I8" s="41" t="s">
        <v>9</v>
      </c>
      <c r="J8" s="42" t="s">
        <v>36</v>
      </c>
      <c r="K8" s="42" t="s">
        <v>36</v>
      </c>
      <c r="L8" s="42" t="s">
        <v>36</v>
      </c>
      <c r="M8" s="42" t="s">
        <v>36</v>
      </c>
      <c r="N8" s="42" t="s">
        <v>36</v>
      </c>
      <c r="O8" s="42" t="s">
        <v>36</v>
      </c>
      <c r="P8" s="41" t="s">
        <v>225</v>
      </c>
    </row>
    <row r="9" spans="1:16" ht="43.5" x14ac:dyDescent="0.35">
      <c r="A9" s="6">
        <v>3</v>
      </c>
      <c r="B9" s="6" t="str">
        <f t="shared" si="0"/>
        <v>DEPRECATED.3</v>
      </c>
      <c r="C9" s="50" t="s">
        <v>40</v>
      </c>
      <c r="D9" s="49" t="s">
        <v>271</v>
      </c>
      <c r="E9" s="41" t="s">
        <v>29</v>
      </c>
      <c r="F9" s="41" t="s">
        <v>62</v>
      </c>
      <c r="G9" s="41" t="s">
        <v>264</v>
      </c>
      <c r="H9" s="41" t="s">
        <v>36</v>
      </c>
      <c r="I9" s="41" t="s">
        <v>9</v>
      </c>
      <c r="J9" s="42" t="s">
        <v>102</v>
      </c>
      <c r="K9" s="42" t="s">
        <v>87</v>
      </c>
      <c r="L9" s="42"/>
      <c r="M9" s="42" t="s">
        <v>36</v>
      </c>
      <c r="N9" s="42" t="s">
        <v>36</v>
      </c>
      <c r="O9" s="42" t="s">
        <v>36</v>
      </c>
      <c r="P9" s="41" t="s">
        <v>266</v>
      </c>
    </row>
    <row r="10" spans="1:16" ht="29" x14ac:dyDescent="0.35">
      <c r="A10" s="6">
        <v>4</v>
      </c>
      <c r="B10" s="6" t="str">
        <f t="shared" si="0"/>
        <v>DEPRECATED.4</v>
      </c>
      <c r="C10" s="50" t="s">
        <v>40</v>
      </c>
      <c r="D10" s="55" t="s">
        <v>272</v>
      </c>
      <c r="E10" s="41" t="s">
        <v>29</v>
      </c>
      <c r="F10" s="41" t="s">
        <v>62</v>
      </c>
      <c r="G10" s="41" t="s">
        <v>264</v>
      </c>
      <c r="H10" s="41" t="s">
        <v>36</v>
      </c>
      <c r="I10" s="41" t="s">
        <v>9</v>
      </c>
      <c r="J10" s="42" t="s">
        <v>102</v>
      </c>
      <c r="K10" s="42" t="s">
        <v>87</v>
      </c>
      <c r="L10" s="42"/>
      <c r="M10" s="42" t="s">
        <v>36</v>
      </c>
      <c r="N10" s="42" t="s">
        <v>36</v>
      </c>
      <c r="O10" s="42" t="s">
        <v>36</v>
      </c>
      <c r="P10" s="41" t="s">
        <v>266</v>
      </c>
    </row>
    <row r="11" spans="1:16" ht="72.5" x14ac:dyDescent="0.35">
      <c r="A11" s="6">
        <v>5</v>
      </c>
      <c r="B11" s="6" t="str">
        <f>CONCATENATE($B$2, ".", A11)</f>
        <v>DEPRECATED.5</v>
      </c>
      <c r="C11" s="50" t="s">
        <v>40</v>
      </c>
      <c r="D11" s="49" t="s">
        <v>276</v>
      </c>
      <c r="E11" s="41" t="s">
        <v>29</v>
      </c>
      <c r="F11" s="41" t="s">
        <v>62</v>
      </c>
      <c r="G11" s="41" t="s">
        <v>264</v>
      </c>
      <c r="H11" s="41" t="s">
        <v>36</v>
      </c>
      <c r="I11" s="41" t="s">
        <v>9</v>
      </c>
      <c r="J11" s="42" t="s">
        <v>102</v>
      </c>
      <c r="K11" s="42" t="s">
        <v>87</v>
      </c>
      <c r="L11" s="42"/>
      <c r="M11" s="42" t="s">
        <v>36</v>
      </c>
      <c r="N11" s="42" t="s">
        <v>36</v>
      </c>
      <c r="O11" s="42" t="s">
        <v>36</v>
      </c>
      <c r="P11" s="41" t="s">
        <v>266</v>
      </c>
    </row>
    <row r="12" spans="1:16" ht="29" x14ac:dyDescent="0.35">
      <c r="A12" s="6">
        <v>6</v>
      </c>
      <c r="B12" s="6" t="str">
        <f t="shared" si="0"/>
        <v>DEPRECATED.6</v>
      </c>
      <c r="C12" s="50" t="s">
        <v>40</v>
      </c>
      <c r="D12" s="49" t="s">
        <v>273</v>
      </c>
      <c r="E12" s="41" t="s">
        <v>29</v>
      </c>
      <c r="F12" s="41" t="s">
        <v>62</v>
      </c>
      <c r="G12" s="41" t="s">
        <v>264</v>
      </c>
      <c r="H12" s="41" t="s">
        <v>36</v>
      </c>
      <c r="I12" s="41" t="s">
        <v>9</v>
      </c>
      <c r="J12" s="42" t="s">
        <v>102</v>
      </c>
      <c r="K12" s="42" t="s">
        <v>87</v>
      </c>
      <c r="L12" s="42"/>
      <c r="M12" s="42" t="s">
        <v>36</v>
      </c>
      <c r="N12" s="42" t="s">
        <v>36</v>
      </c>
      <c r="O12" s="42" t="s">
        <v>274</v>
      </c>
      <c r="P12" s="41" t="s">
        <v>266</v>
      </c>
    </row>
    <row r="13" spans="1:16" ht="73.5" customHeight="1" x14ac:dyDescent="0.35">
      <c r="A13" s="6">
        <v>7</v>
      </c>
      <c r="B13" s="6" t="str">
        <f t="shared" si="0"/>
        <v>DEPRECATED.7</v>
      </c>
      <c r="C13" s="50" t="s">
        <v>40</v>
      </c>
      <c r="D13" s="41" t="s">
        <v>59</v>
      </c>
      <c r="E13" s="41" t="s">
        <v>42</v>
      </c>
      <c r="F13" s="41" t="s">
        <v>36</v>
      </c>
      <c r="G13" s="41" t="s">
        <v>36</v>
      </c>
      <c r="H13" s="41" t="s">
        <v>36</v>
      </c>
      <c r="I13" s="41" t="s">
        <v>9</v>
      </c>
      <c r="J13" s="41" t="s">
        <v>36</v>
      </c>
      <c r="K13" s="41" t="s">
        <v>36</v>
      </c>
      <c r="L13" s="41" t="s">
        <v>36</v>
      </c>
      <c r="M13" s="41" t="s">
        <v>36</v>
      </c>
      <c r="N13" s="41" t="s">
        <v>36</v>
      </c>
      <c r="O13" s="41" t="s">
        <v>275</v>
      </c>
      <c r="P13" s="41"/>
    </row>
    <row r="14" spans="1:16" ht="54" customHeight="1" x14ac:dyDescent="0.35">
      <c r="A14" s="6">
        <v>8</v>
      </c>
      <c r="B14" s="6" t="str">
        <f t="shared" si="0"/>
        <v>DEPRECATED.8</v>
      </c>
      <c r="C14" s="50" t="s">
        <v>40</v>
      </c>
      <c r="D14" s="41" t="s">
        <v>58</v>
      </c>
      <c r="E14" s="41" t="s">
        <v>42</v>
      </c>
      <c r="F14" s="41" t="s">
        <v>36</v>
      </c>
      <c r="G14" s="41" t="s">
        <v>36</v>
      </c>
      <c r="H14" s="41" t="s">
        <v>36</v>
      </c>
      <c r="I14" s="41" t="s">
        <v>9</v>
      </c>
      <c r="J14" s="41" t="s">
        <v>36</v>
      </c>
      <c r="K14" s="41" t="s">
        <v>36</v>
      </c>
      <c r="L14" s="41" t="s">
        <v>36</v>
      </c>
      <c r="M14" s="41" t="s">
        <v>36</v>
      </c>
      <c r="N14" s="41" t="s">
        <v>36</v>
      </c>
      <c r="O14" s="41" t="s">
        <v>265</v>
      </c>
      <c r="P14" s="41"/>
    </row>
    <row r="16" spans="1:16" x14ac:dyDescent="0.35">
      <c r="D16" s="41"/>
    </row>
  </sheetData>
  <mergeCells count="4">
    <mergeCell ref="B1:C1"/>
    <mergeCell ref="B2:C2"/>
    <mergeCell ref="B3:C3"/>
    <mergeCell ref="B4:C4"/>
  </mergeCells>
  <conditionalFormatting sqref="C15:C1048576">
    <cfRule type="cellIs" dxfId="510" priority="34" operator="equal">
      <formula>"WIP (see comments)"</formula>
    </cfRule>
    <cfRule type="cellIs" dxfId="509" priority="35" operator="equal">
      <formula>"Removed"</formula>
    </cfRule>
    <cfRule type="cellIs" dxfId="508" priority="36" operator="equal">
      <formula>"Updated"</formula>
    </cfRule>
    <cfRule type="cellIs" dxfId="507" priority="37" operator="equal">
      <formula>"New"</formula>
    </cfRule>
  </conditionalFormatting>
  <conditionalFormatting sqref="A5:XFD6 A1:B4 D1:XFD4 A7:B14 D7:D8 D11 A15:XFD1048576 Q7:XFD14">
    <cfRule type="cellIs" dxfId="506" priority="33" operator="equal">
      <formula>"n/a"</formula>
    </cfRule>
  </conditionalFormatting>
  <conditionalFormatting sqref="E7:P8">
    <cfRule type="cellIs" dxfId="505" priority="17" operator="equal">
      <formula>"n/a"</formula>
    </cfRule>
  </conditionalFormatting>
  <conditionalFormatting sqref="D9">
    <cfRule type="cellIs" dxfId="504" priority="16" operator="equal">
      <formula>"n/a"</formula>
    </cfRule>
  </conditionalFormatting>
  <conditionalFormatting sqref="P9:P12">
    <cfRule type="cellIs" dxfId="503" priority="15" operator="equal">
      <formula>"n/a"</formula>
    </cfRule>
  </conditionalFormatting>
  <conditionalFormatting sqref="D12:F12 H12:O12">
    <cfRule type="cellIs" dxfId="502" priority="14" operator="equal">
      <formula>"n/a"</formula>
    </cfRule>
  </conditionalFormatting>
  <conditionalFormatting sqref="G12">
    <cfRule type="cellIs" dxfId="501" priority="13" operator="equal">
      <formula>"n/a"</formula>
    </cfRule>
  </conditionalFormatting>
  <conditionalFormatting sqref="E9:F9 H9:O9">
    <cfRule type="cellIs" dxfId="500" priority="12" operator="equal">
      <formula>"n/a"</formula>
    </cfRule>
  </conditionalFormatting>
  <conditionalFormatting sqref="G9">
    <cfRule type="cellIs" dxfId="499" priority="11" operator="equal">
      <formula>"n/a"</formula>
    </cfRule>
  </conditionalFormatting>
  <conditionalFormatting sqref="E10:F10 H10:O10">
    <cfRule type="cellIs" dxfId="498" priority="10" operator="equal">
      <formula>"n/a"</formula>
    </cfRule>
  </conditionalFormatting>
  <conditionalFormatting sqref="G10">
    <cfRule type="cellIs" dxfId="497" priority="9" operator="equal">
      <formula>"n/a"</formula>
    </cfRule>
  </conditionalFormatting>
  <conditionalFormatting sqref="E11:F11 H11:O11">
    <cfRule type="cellIs" dxfId="496" priority="8" operator="equal">
      <formula>"n/a"</formula>
    </cfRule>
  </conditionalFormatting>
  <conditionalFormatting sqref="G11">
    <cfRule type="cellIs" dxfId="495" priority="7" operator="equal">
      <formula>"n/a"</formula>
    </cfRule>
  </conditionalFormatting>
  <conditionalFormatting sqref="D13:P14">
    <cfRule type="cellIs" dxfId="494" priority="6" operator="equal">
      <formula>"n/a"</formula>
    </cfRule>
  </conditionalFormatting>
  <conditionalFormatting sqref="C7:C14">
    <cfRule type="cellIs" dxfId="493" priority="2" operator="equal">
      <formula>"WIP (see comments)"</formula>
    </cfRule>
    <cfRule type="cellIs" dxfId="492" priority="3" operator="equal">
      <formula>"Removed"</formula>
    </cfRule>
    <cfRule type="cellIs" dxfId="491" priority="4" operator="equal">
      <formula>"Updated"</formula>
    </cfRule>
    <cfRule type="cellIs" dxfId="490" priority="5" operator="equal">
      <formula>"New"</formula>
    </cfRule>
  </conditionalFormatting>
  <conditionalFormatting sqref="C7:C14">
    <cfRule type="cellIs" dxfId="489"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Values'!$A$5:$A$33</xm:f>
          </x14:formula1>
          <xm:sqref>E7:E14</xm:sqref>
        </x14:dataValidation>
        <x14:dataValidation type="list" allowBlank="1" showInputMessage="1" showErrorMessage="1">
          <x14:formula1>
            <xm:f>'List Values'!$B$5:$B$12</xm:f>
          </x14:formula1>
          <xm:sqref>C7:C14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2" t="s">
        <v>258</v>
      </c>
      <c r="C1" s="132"/>
      <c r="D1" s="31"/>
    </row>
    <row r="2" spans="1:16" s="32" customFormat="1" ht="18.5" x14ac:dyDescent="0.35">
      <c r="A2" s="30" t="s">
        <v>7</v>
      </c>
      <c r="B2" s="133" t="s">
        <v>341</v>
      </c>
      <c r="C2" s="133"/>
      <c r="D2" s="86"/>
    </row>
    <row r="3" spans="1:16" s="32" customFormat="1" ht="18.5" x14ac:dyDescent="0.35">
      <c r="A3" s="30" t="s">
        <v>43</v>
      </c>
      <c r="B3" s="133" t="s">
        <v>259</v>
      </c>
      <c r="C3" s="133"/>
      <c r="D3" s="86"/>
    </row>
    <row r="4" spans="1:16" s="32" customFormat="1" ht="18.5" x14ac:dyDescent="0.35">
      <c r="A4" s="30" t="s">
        <v>8</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6">
        <v>1</v>
      </c>
      <c r="B7" s="6" t="str">
        <f t="shared" ref="B7:B14" si="0">CONCATENATE($B$2, ".", A7)</f>
        <v>DEPRECATED.1</v>
      </c>
      <c r="C7" s="50" t="s">
        <v>40</v>
      </c>
      <c r="D7" s="41" t="s">
        <v>278</v>
      </c>
      <c r="E7" s="41" t="s">
        <v>33</v>
      </c>
      <c r="F7" s="41" t="s">
        <v>36</v>
      </c>
      <c r="G7" s="41" t="s">
        <v>36</v>
      </c>
      <c r="H7" s="50" t="s">
        <v>36</v>
      </c>
      <c r="I7" s="41" t="s">
        <v>9</v>
      </c>
      <c r="J7" s="42" t="s">
        <v>36</v>
      </c>
      <c r="K7" s="42" t="s">
        <v>36</v>
      </c>
      <c r="L7" s="42" t="s">
        <v>36</v>
      </c>
      <c r="M7" s="42" t="s">
        <v>36</v>
      </c>
      <c r="N7" s="42" t="s">
        <v>36</v>
      </c>
      <c r="O7" s="42"/>
      <c r="P7" s="41"/>
    </row>
    <row r="8" spans="1:16" ht="29" x14ac:dyDescent="0.35">
      <c r="A8" s="6">
        <v>2</v>
      </c>
      <c r="B8" s="6" t="str">
        <f t="shared" si="0"/>
        <v>DEPRECATED.2</v>
      </c>
      <c r="C8" s="50" t="s">
        <v>40</v>
      </c>
      <c r="D8" s="41" t="s">
        <v>279</v>
      </c>
      <c r="E8" s="41" t="s">
        <v>33</v>
      </c>
      <c r="F8" s="41" t="s">
        <v>36</v>
      </c>
      <c r="G8" s="41" t="s">
        <v>264</v>
      </c>
      <c r="H8" s="50" t="s">
        <v>36</v>
      </c>
      <c r="I8" s="41" t="s">
        <v>9</v>
      </c>
      <c r="J8" s="42" t="s">
        <v>36</v>
      </c>
      <c r="K8" s="42" t="s">
        <v>36</v>
      </c>
      <c r="L8" s="42" t="s">
        <v>36</v>
      </c>
      <c r="M8" s="42" t="s">
        <v>36</v>
      </c>
      <c r="N8" s="42" t="s">
        <v>36</v>
      </c>
      <c r="O8" s="5"/>
    </row>
    <row r="9" spans="1:16" ht="29" x14ac:dyDescent="0.35">
      <c r="A9" s="6">
        <v>3</v>
      </c>
      <c r="B9" s="6" t="str">
        <f t="shared" si="0"/>
        <v>DEPRECATED.3</v>
      </c>
      <c r="C9" s="50" t="s">
        <v>40</v>
      </c>
      <c r="D9" s="41" t="s">
        <v>280</v>
      </c>
      <c r="E9" s="41" t="s">
        <v>33</v>
      </c>
      <c r="F9" s="41" t="s">
        <v>36</v>
      </c>
      <c r="G9" s="41" t="s">
        <v>264</v>
      </c>
      <c r="H9" s="50" t="s">
        <v>36</v>
      </c>
      <c r="I9" s="41" t="s">
        <v>9</v>
      </c>
      <c r="J9" s="42" t="s">
        <v>36</v>
      </c>
      <c r="K9" s="42" t="s">
        <v>36</v>
      </c>
      <c r="L9" s="42" t="s">
        <v>36</v>
      </c>
      <c r="M9" s="42" t="s">
        <v>36</v>
      </c>
      <c r="N9" s="42" t="s">
        <v>36</v>
      </c>
      <c r="O9" s="5"/>
    </row>
    <row r="10" spans="1:16" ht="29" x14ac:dyDescent="0.35">
      <c r="A10" s="6">
        <v>4</v>
      </c>
      <c r="B10" s="6" t="str">
        <f t="shared" si="0"/>
        <v>DEPRECATED.4</v>
      </c>
      <c r="C10" s="50" t="s">
        <v>40</v>
      </c>
      <c r="D10" s="41" t="s">
        <v>281</v>
      </c>
      <c r="E10" s="41" t="s">
        <v>33</v>
      </c>
      <c r="F10" s="41" t="s">
        <v>36</v>
      </c>
      <c r="G10" s="41" t="s">
        <v>264</v>
      </c>
      <c r="H10" s="50" t="s">
        <v>36</v>
      </c>
      <c r="I10" s="41" t="s">
        <v>9</v>
      </c>
      <c r="J10" s="42" t="s">
        <v>36</v>
      </c>
      <c r="K10" s="42" t="s">
        <v>36</v>
      </c>
      <c r="L10" s="42" t="s">
        <v>36</v>
      </c>
      <c r="M10" s="42" t="s">
        <v>36</v>
      </c>
      <c r="N10" s="42" t="s">
        <v>36</v>
      </c>
      <c r="O10" s="5"/>
    </row>
    <row r="11" spans="1:16" ht="29" x14ac:dyDescent="0.35">
      <c r="A11" s="6">
        <v>5</v>
      </c>
      <c r="B11" s="6" t="str">
        <f>CONCATENATE($B$2, ".", A11)</f>
        <v>DEPRECATED.5</v>
      </c>
      <c r="C11" s="50" t="s">
        <v>40</v>
      </c>
      <c r="D11" s="41" t="s">
        <v>282</v>
      </c>
      <c r="E11" s="41" t="s">
        <v>33</v>
      </c>
      <c r="F11" s="41" t="s">
        <v>36</v>
      </c>
      <c r="G11" s="41" t="s">
        <v>264</v>
      </c>
      <c r="H11" s="50" t="s">
        <v>36</v>
      </c>
      <c r="I11" s="41" t="s">
        <v>9</v>
      </c>
      <c r="J11" s="42" t="s">
        <v>36</v>
      </c>
      <c r="K11" s="42" t="s">
        <v>36</v>
      </c>
      <c r="L11" s="42" t="s">
        <v>36</v>
      </c>
      <c r="M11" s="42" t="s">
        <v>36</v>
      </c>
      <c r="N11" s="42" t="s">
        <v>36</v>
      </c>
    </row>
    <row r="12" spans="1:16" ht="29" x14ac:dyDescent="0.35">
      <c r="A12" s="6">
        <v>6</v>
      </c>
      <c r="B12" s="6" t="str">
        <f t="shared" si="0"/>
        <v>DEPRECATED.6</v>
      </c>
      <c r="C12" s="50" t="s">
        <v>40</v>
      </c>
      <c r="D12" s="41" t="s">
        <v>283</v>
      </c>
      <c r="E12" s="41" t="s">
        <v>33</v>
      </c>
      <c r="F12" s="41" t="s">
        <v>36</v>
      </c>
      <c r="G12" s="41" t="s">
        <v>264</v>
      </c>
      <c r="H12" s="50" t="s">
        <v>36</v>
      </c>
      <c r="I12" s="41" t="s">
        <v>9</v>
      </c>
      <c r="J12" s="42" t="s">
        <v>36</v>
      </c>
      <c r="K12" s="42" t="s">
        <v>36</v>
      </c>
      <c r="L12" s="42" t="s">
        <v>36</v>
      </c>
      <c r="M12" s="42" t="s">
        <v>36</v>
      </c>
      <c r="N12" s="42" t="s">
        <v>36</v>
      </c>
    </row>
    <row r="13" spans="1:16" ht="91.5" customHeight="1" x14ac:dyDescent="0.35">
      <c r="A13" s="6">
        <v>7</v>
      </c>
      <c r="B13" s="6" t="str">
        <f t="shared" si="0"/>
        <v>DEPRECATED.7</v>
      </c>
      <c r="C13" s="50" t="s">
        <v>40</v>
      </c>
      <c r="D13" s="41"/>
    </row>
    <row r="14" spans="1:16" ht="91.5" customHeight="1" x14ac:dyDescent="0.35">
      <c r="A14" s="6">
        <v>8</v>
      </c>
      <c r="B14" s="6" t="str">
        <f t="shared" si="0"/>
        <v>DEPRECATED.8</v>
      </c>
      <c r="C14" s="50" t="s">
        <v>40</v>
      </c>
      <c r="D14" s="41"/>
    </row>
  </sheetData>
  <mergeCells count="3">
    <mergeCell ref="B1:C1"/>
    <mergeCell ref="B2:C2"/>
    <mergeCell ref="B3:C3"/>
  </mergeCells>
  <conditionalFormatting sqref="C15:C1048576">
    <cfRule type="cellIs" dxfId="488" priority="13" operator="equal">
      <formula>"WIP (see comments)"</formula>
    </cfRule>
    <cfRule type="cellIs" dxfId="487" priority="14" operator="equal">
      <formula>"Removed"</formula>
    </cfRule>
    <cfRule type="cellIs" dxfId="486" priority="15" operator="equal">
      <formula>"Updated"</formula>
    </cfRule>
    <cfRule type="cellIs" dxfId="485" priority="16" operator="equal">
      <formula>"New"</formula>
    </cfRule>
  </conditionalFormatting>
  <conditionalFormatting sqref="A5:XFD6 A1:B4 D1:XFD4 A15:XFD1048576 A7:B14 D13:XFD14 Q7:XFD7 D7:D12 O8:XFD12">
    <cfRule type="cellIs" dxfId="484" priority="12" operator="equal">
      <formula>"n/a"</formula>
    </cfRule>
  </conditionalFormatting>
  <conditionalFormatting sqref="E7:P7 E8:N12">
    <cfRule type="cellIs" dxfId="483" priority="6" operator="equal">
      <formula>"n/a"</formula>
    </cfRule>
  </conditionalFormatting>
  <conditionalFormatting sqref="C7:C14">
    <cfRule type="cellIs" dxfId="482" priority="2" operator="equal">
      <formula>"WIP (see comments)"</formula>
    </cfRule>
    <cfRule type="cellIs" dxfId="481" priority="3" operator="equal">
      <formula>"Removed"</formula>
    </cfRule>
    <cfRule type="cellIs" dxfId="480" priority="4" operator="equal">
      <formula>"Updated"</formula>
    </cfRule>
    <cfRule type="cellIs" dxfId="479" priority="5" operator="equal">
      <formula>"New"</formula>
    </cfRule>
  </conditionalFormatting>
  <conditionalFormatting sqref="C7:C14">
    <cfRule type="cellIs" dxfId="478"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Values'!$A$5:$A$33</xm:f>
          </x14:formula1>
          <xm:sqref>E7:E12</xm:sqref>
        </x14:dataValidation>
        <x14:dataValidation type="list" allowBlank="1" showInputMessage="1" showErrorMessage="1">
          <x14:formula1>
            <xm:f>'List Values'!$B$5:$B$12</xm:f>
          </x14:formula1>
          <xm:sqref>C7:C14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2" t="s">
        <v>235</v>
      </c>
      <c r="C1" s="132"/>
      <c r="D1" s="31"/>
      <c r="H1" s="37"/>
    </row>
    <row r="2" spans="1:16" s="32" customFormat="1" ht="18.5" x14ac:dyDescent="0.35">
      <c r="A2" s="30" t="s">
        <v>7</v>
      </c>
      <c r="B2" s="38">
        <v>5</v>
      </c>
      <c r="C2" s="37"/>
      <c r="D2" s="38"/>
      <c r="H2" s="37"/>
    </row>
    <row r="3" spans="1:16" s="32" customFormat="1" ht="18.5" x14ac:dyDescent="0.35">
      <c r="A3" s="30" t="s">
        <v>43</v>
      </c>
      <c r="B3" s="38" t="s">
        <v>317</v>
      </c>
      <c r="C3" s="37"/>
      <c r="D3" s="38" t="s">
        <v>321</v>
      </c>
      <c r="H3" s="37"/>
    </row>
    <row r="4" spans="1:16" s="32" customFormat="1" ht="18.5" x14ac:dyDescent="0.35">
      <c r="A4" s="30" t="s">
        <v>8</v>
      </c>
      <c r="B4" s="133" t="s">
        <v>46</v>
      </c>
      <c r="C4" s="133"/>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41" customFormat="1" x14ac:dyDescent="0.35">
      <c r="A7" s="41">
        <v>1</v>
      </c>
      <c r="B7" s="41" t="str">
        <f t="shared" ref="B7:B8" si="0">CONCATENATE($B$2, ".", A7)</f>
        <v>5.1</v>
      </c>
      <c r="C7" s="50" t="s">
        <v>39</v>
      </c>
      <c r="D7" s="41" t="s">
        <v>366</v>
      </c>
      <c r="E7" s="41" t="s">
        <v>128</v>
      </c>
      <c r="F7" s="41" t="s">
        <v>36</v>
      </c>
      <c r="G7" s="41" t="s">
        <v>36</v>
      </c>
      <c r="H7" s="50" t="s">
        <v>36</v>
      </c>
      <c r="I7" s="41" t="s">
        <v>9</v>
      </c>
      <c r="J7" s="42" t="s">
        <v>36</v>
      </c>
      <c r="K7" s="42" t="s">
        <v>36</v>
      </c>
      <c r="L7" s="42" t="s">
        <v>36</v>
      </c>
      <c r="M7" s="42" t="s">
        <v>36</v>
      </c>
      <c r="N7" s="42" t="s">
        <v>36</v>
      </c>
      <c r="O7" s="42" t="s">
        <v>36</v>
      </c>
    </row>
    <row r="8" spans="1:16" s="41" customFormat="1" ht="29" x14ac:dyDescent="0.35">
      <c r="A8" s="41">
        <v>2</v>
      </c>
      <c r="B8" s="41" t="str">
        <f t="shared" si="0"/>
        <v>5.2</v>
      </c>
      <c r="C8" s="50" t="s">
        <v>44</v>
      </c>
      <c r="D8" s="41" t="s">
        <v>36</v>
      </c>
      <c r="E8" s="41" t="s">
        <v>48</v>
      </c>
      <c r="F8" s="41" t="s">
        <v>36</v>
      </c>
      <c r="G8" s="41" t="s">
        <v>36</v>
      </c>
      <c r="H8" s="50" t="s">
        <v>36</v>
      </c>
      <c r="I8" s="41" t="s">
        <v>9</v>
      </c>
      <c r="J8" s="42" t="s">
        <v>36</v>
      </c>
      <c r="K8" s="42" t="s">
        <v>36</v>
      </c>
      <c r="L8" s="42" t="s">
        <v>36</v>
      </c>
      <c r="M8" s="42" t="s">
        <v>36</v>
      </c>
      <c r="N8" s="42" t="s">
        <v>36</v>
      </c>
      <c r="O8" s="42" t="s">
        <v>36</v>
      </c>
      <c r="P8" s="41" t="s">
        <v>383</v>
      </c>
    </row>
    <row r="9" spans="1:16" s="41" customFormat="1" ht="43.5" x14ac:dyDescent="0.35">
      <c r="A9" s="41">
        <v>3</v>
      </c>
      <c r="B9" s="41" t="str">
        <f>CONCATENATE($B$2, ".", A9)</f>
        <v>5.3</v>
      </c>
      <c r="C9" s="50" t="s">
        <v>39</v>
      </c>
      <c r="D9" s="41" t="s">
        <v>388</v>
      </c>
      <c r="E9" s="41" t="s">
        <v>28</v>
      </c>
      <c r="F9" s="41" t="s">
        <v>36</v>
      </c>
      <c r="G9" s="41" t="s">
        <v>36</v>
      </c>
      <c r="H9" s="50" t="s">
        <v>36</v>
      </c>
      <c r="I9" s="41" t="s">
        <v>9</v>
      </c>
      <c r="J9" s="42" t="s">
        <v>36</v>
      </c>
      <c r="K9" s="42" t="s">
        <v>36</v>
      </c>
      <c r="L9" s="42" t="s">
        <v>36</v>
      </c>
      <c r="M9" s="42" t="s">
        <v>36</v>
      </c>
      <c r="N9" s="42" t="s">
        <v>36</v>
      </c>
      <c r="O9" s="42" t="s">
        <v>36</v>
      </c>
    </row>
    <row r="10" spans="1:16" s="41" customFormat="1" ht="72.5" x14ac:dyDescent="0.35">
      <c r="A10" s="41">
        <v>4</v>
      </c>
      <c r="B10" s="41" t="str">
        <f t="shared" ref="B10:B11" si="1">CONCATENATE($B$2, ".", A10)</f>
        <v>5.4</v>
      </c>
      <c r="C10" s="50" t="s">
        <v>39</v>
      </c>
      <c r="D10" s="49" t="s">
        <v>322</v>
      </c>
      <c r="E10" s="41" t="s">
        <v>33</v>
      </c>
      <c r="F10" s="41" t="s">
        <v>36</v>
      </c>
      <c r="G10" s="41" t="s">
        <v>36</v>
      </c>
      <c r="H10" s="50" t="s">
        <v>36</v>
      </c>
      <c r="I10" s="41" t="s">
        <v>9</v>
      </c>
      <c r="J10" s="42" t="s">
        <v>36</v>
      </c>
      <c r="K10" s="42" t="s">
        <v>36</v>
      </c>
      <c r="L10" s="42" t="s">
        <v>36</v>
      </c>
      <c r="M10" s="42" t="s">
        <v>36</v>
      </c>
      <c r="N10" s="42" t="s">
        <v>36</v>
      </c>
      <c r="O10" s="42"/>
    </row>
    <row r="11" spans="1:16" s="41" customFormat="1" ht="29" x14ac:dyDescent="0.35">
      <c r="A11" s="41">
        <v>5</v>
      </c>
      <c r="B11" s="41" t="str">
        <f t="shared" si="1"/>
        <v>5.5</v>
      </c>
      <c r="C11" s="50" t="s">
        <v>39</v>
      </c>
      <c r="D11" s="42" t="s">
        <v>387</v>
      </c>
      <c r="E11" s="41" t="s">
        <v>29</v>
      </c>
      <c r="F11" s="41" t="s">
        <v>62</v>
      </c>
      <c r="G11" s="41" t="s">
        <v>36</v>
      </c>
      <c r="H11" s="50" t="s">
        <v>36</v>
      </c>
      <c r="I11" s="41" t="s">
        <v>9</v>
      </c>
      <c r="J11" s="42" t="s">
        <v>102</v>
      </c>
      <c r="K11" s="42" t="s">
        <v>53</v>
      </c>
      <c r="L11" s="42" t="s">
        <v>390</v>
      </c>
      <c r="M11" s="42" t="s">
        <v>36</v>
      </c>
      <c r="N11" s="42" t="s">
        <v>36</v>
      </c>
      <c r="O11" s="42" t="s">
        <v>104</v>
      </c>
    </row>
    <row r="12" spans="1:16" s="41" customFormat="1" ht="29" x14ac:dyDescent="0.35">
      <c r="A12" s="41">
        <v>6</v>
      </c>
      <c r="B12" s="41" t="str">
        <f t="shared" ref="B12:B13" si="2">CONCATENATE($B$2, ".", A12)</f>
        <v>5.6</v>
      </c>
      <c r="C12" s="50" t="s">
        <v>39</v>
      </c>
      <c r="D12" s="41" t="s">
        <v>59</v>
      </c>
      <c r="E12" s="41" t="s">
        <v>42</v>
      </c>
      <c r="F12" s="41" t="s">
        <v>36</v>
      </c>
      <c r="G12" s="41" t="s">
        <v>36</v>
      </c>
      <c r="H12" s="50" t="s">
        <v>36</v>
      </c>
      <c r="I12" s="41" t="s">
        <v>9</v>
      </c>
      <c r="J12" s="41" t="s">
        <v>36</v>
      </c>
      <c r="K12" s="41" t="s">
        <v>36</v>
      </c>
      <c r="L12" s="41" t="s">
        <v>36</v>
      </c>
      <c r="M12" s="41" t="s">
        <v>36</v>
      </c>
      <c r="N12" s="41" t="s">
        <v>36</v>
      </c>
      <c r="O12" s="41" t="s">
        <v>325</v>
      </c>
    </row>
    <row r="13" spans="1:16" s="41" customFormat="1" ht="29" x14ac:dyDescent="0.35">
      <c r="A13" s="41">
        <v>7</v>
      </c>
      <c r="B13" s="41" t="str">
        <f t="shared" si="2"/>
        <v>5.7</v>
      </c>
      <c r="C13" s="50" t="s">
        <v>37</v>
      </c>
      <c r="D13" s="41" t="s">
        <v>58</v>
      </c>
      <c r="E13" s="41" t="s">
        <v>42</v>
      </c>
      <c r="F13" s="41" t="s">
        <v>36</v>
      </c>
      <c r="G13" s="41" t="s">
        <v>36</v>
      </c>
      <c r="H13" s="50" t="s">
        <v>36</v>
      </c>
      <c r="I13" s="41" t="s">
        <v>9</v>
      </c>
      <c r="J13" s="41" t="s">
        <v>36</v>
      </c>
      <c r="K13" s="41" t="s">
        <v>36</v>
      </c>
      <c r="L13" s="41" t="s">
        <v>36</v>
      </c>
      <c r="M13" s="41" t="s">
        <v>36</v>
      </c>
      <c r="N13" s="41" t="s">
        <v>36</v>
      </c>
      <c r="O13" s="41" t="s">
        <v>499</v>
      </c>
    </row>
    <row r="14" spans="1:16" x14ac:dyDescent="0.35">
      <c r="I14" s="41"/>
      <c r="J14" s="5"/>
      <c r="K14" s="5"/>
      <c r="L14" s="42"/>
      <c r="M14" s="42"/>
      <c r="N14" s="42"/>
      <c r="O14" s="42"/>
    </row>
    <row r="15" spans="1:16" x14ac:dyDescent="0.35">
      <c r="D15" s="6" t="s">
        <v>70</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C1"/>
    <mergeCell ref="B4:C4"/>
  </mergeCells>
  <conditionalFormatting sqref="C7:C1048576">
    <cfRule type="cellIs" dxfId="477" priority="16" operator="equal">
      <formula>"WIP (see comments)"</formula>
    </cfRule>
    <cfRule type="cellIs" dxfId="476" priority="17" operator="equal">
      <formula>"Removed"</formula>
    </cfRule>
    <cfRule type="cellIs" dxfId="475" priority="18" operator="equal">
      <formula>"Updated"</formula>
    </cfRule>
    <cfRule type="cellIs" dxfId="474" priority="19" operator="equal">
      <formula>"New"</formula>
    </cfRule>
  </conditionalFormatting>
  <conditionalFormatting sqref="A2:XFD3 A4 D4:XFD4 A1:B1 E1:XFD1 A5:XFD1048576">
    <cfRule type="cellIs" dxfId="473" priority="11" operator="equal">
      <formula>"n/a"</formula>
    </cfRule>
  </conditionalFormatting>
  <conditionalFormatting sqref="B4">
    <cfRule type="cellIs" dxfId="472" priority="10" operator="equal">
      <formula>"n/a"</formula>
    </cfRule>
  </conditionalFormatting>
  <dataValidations count="1">
    <dataValidation type="list" allowBlank="1" showInputMessage="1" showErrorMessage="1" sqref="C14: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3"/>
  <sheetViews>
    <sheetView workbookViewId="0">
      <pane xSplit="4" ySplit="6" topLeftCell="E7" activePane="bottomRight" state="frozen"/>
      <selection pane="topRight" activeCell="E1" sqref="E1"/>
      <selection pane="bottomLeft" activeCell="A7" sqref="A7"/>
      <selection pane="bottomRight" activeCell="E12" sqref="E1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323</v>
      </c>
      <c r="C1" s="40"/>
      <c r="D1" s="31"/>
    </row>
    <row r="2" spans="1:16" s="32" customFormat="1" ht="18.5" x14ac:dyDescent="0.35">
      <c r="A2" s="30" t="s">
        <v>7</v>
      </c>
      <c r="B2" s="38">
        <v>6</v>
      </c>
      <c r="C2" s="37"/>
      <c r="D2" s="38"/>
    </row>
    <row r="3" spans="1:16" s="32" customFormat="1" ht="18.5" x14ac:dyDescent="0.35">
      <c r="A3" s="30" t="s">
        <v>43</v>
      </c>
      <c r="B3" s="38" t="s">
        <v>324</v>
      </c>
      <c r="C3" s="37"/>
      <c r="D3" s="38" t="s">
        <v>369</v>
      </c>
    </row>
    <row r="4" spans="1:16" s="32" customFormat="1" ht="18.5" x14ac:dyDescent="0.35">
      <c r="A4" s="30" t="s">
        <v>8</v>
      </c>
      <c r="B4" s="133" t="s">
        <v>46</v>
      </c>
      <c r="C4" s="133"/>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51" customFormat="1" x14ac:dyDescent="0.35">
      <c r="A7" s="51">
        <v>1</v>
      </c>
      <c r="B7" s="51" t="str">
        <f>CONCATENATE($B$2, ".", A7)</f>
        <v>6.1</v>
      </c>
      <c r="C7" s="77" t="s">
        <v>39</v>
      </c>
      <c r="D7" s="53" t="s">
        <v>367</v>
      </c>
      <c r="E7" s="51" t="s">
        <v>128</v>
      </c>
      <c r="F7" s="51" t="s">
        <v>36</v>
      </c>
      <c r="G7" s="51" t="s">
        <v>36</v>
      </c>
      <c r="H7" s="51" t="s">
        <v>36</v>
      </c>
      <c r="I7" s="53" t="s">
        <v>9</v>
      </c>
      <c r="J7" s="51" t="s">
        <v>36</v>
      </c>
      <c r="K7" s="51" t="s">
        <v>36</v>
      </c>
      <c r="L7" s="51" t="s">
        <v>36</v>
      </c>
      <c r="M7" s="51" t="s">
        <v>36</v>
      </c>
      <c r="N7" s="51" t="s">
        <v>36</v>
      </c>
      <c r="O7" s="51" t="s">
        <v>36</v>
      </c>
    </row>
    <row r="8" spans="1:16" s="51" customFormat="1" ht="29" x14ac:dyDescent="0.35">
      <c r="A8" s="51">
        <v>2</v>
      </c>
      <c r="B8" s="51" t="str">
        <f t="shared" ref="B8:B9" si="0">CONCATENATE($B$2, ".", A8)</f>
        <v>6.2</v>
      </c>
      <c r="C8" s="77" t="s">
        <v>44</v>
      </c>
      <c r="D8" s="53" t="s">
        <v>36</v>
      </c>
      <c r="E8" s="53" t="s">
        <v>48</v>
      </c>
      <c r="F8" s="51" t="s">
        <v>36</v>
      </c>
      <c r="G8" s="51" t="s">
        <v>36</v>
      </c>
      <c r="H8" s="51" t="s">
        <v>36</v>
      </c>
      <c r="I8" s="53" t="s">
        <v>9</v>
      </c>
      <c r="J8" s="51" t="s">
        <v>36</v>
      </c>
      <c r="K8" s="51" t="s">
        <v>36</v>
      </c>
      <c r="L8" s="51" t="s">
        <v>36</v>
      </c>
      <c r="M8" s="51" t="s">
        <v>36</v>
      </c>
      <c r="N8" s="51" t="s">
        <v>36</v>
      </c>
      <c r="O8" s="51" t="s">
        <v>36</v>
      </c>
      <c r="P8" s="41" t="s">
        <v>383</v>
      </c>
    </row>
    <row r="9" spans="1:16" s="51" customFormat="1" ht="53" customHeight="1" x14ac:dyDescent="0.35">
      <c r="A9" s="51">
        <v>3</v>
      </c>
      <c r="B9" s="51" t="str">
        <f t="shared" si="0"/>
        <v>6.3</v>
      </c>
      <c r="C9" s="93" t="s">
        <v>37</v>
      </c>
      <c r="D9" s="53" t="s">
        <v>500</v>
      </c>
      <c r="E9" s="53" t="s">
        <v>28</v>
      </c>
      <c r="F9" s="51" t="s">
        <v>36</v>
      </c>
      <c r="G9" s="51" t="s">
        <v>36</v>
      </c>
      <c r="H9" s="51" t="s">
        <v>36</v>
      </c>
      <c r="I9" s="53" t="s">
        <v>9</v>
      </c>
      <c r="J9" s="51" t="s">
        <v>36</v>
      </c>
      <c r="K9" s="51" t="s">
        <v>36</v>
      </c>
      <c r="L9" s="51" t="s">
        <v>36</v>
      </c>
      <c r="M9" s="51" t="s">
        <v>36</v>
      </c>
      <c r="N9" s="51" t="s">
        <v>36</v>
      </c>
      <c r="O9" s="51" t="s">
        <v>36</v>
      </c>
      <c r="P9" s="41"/>
    </row>
    <row r="10" spans="1:16" s="41" customFormat="1" ht="203" x14ac:dyDescent="0.35">
      <c r="A10" s="51">
        <v>4</v>
      </c>
      <c r="B10" s="41" t="str">
        <f t="shared" ref="B10:B11" si="1">CONCATENATE($B$2, ".", A10)</f>
        <v>6.4</v>
      </c>
      <c r="C10" s="50" t="s">
        <v>37</v>
      </c>
      <c r="D10" s="49" t="s">
        <v>397</v>
      </c>
      <c r="E10" s="41" t="s">
        <v>344</v>
      </c>
      <c r="F10" s="41" t="s">
        <v>36</v>
      </c>
      <c r="G10" s="53" t="s">
        <v>501</v>
      </c>
      <c r="H10" s="50" t="s">
        <v>36</v>
      </c>
      <c r="I10" s="41" t="s">
        <v>9</v>
      </c>
      <c r="J10" s="42" t="s">
        <v>36</v>
      </c>
      <c r="K10" s="42" t="s">
        <v>36</v>
      </c>
      <c r="L10" s="42" t="s">
        <v>36</v>
      </c>
      <c r="M10" s="42" t="s">
        <v>36</v>
      </c>
      <c r="N10" s="42" t="s">
        <v>36</v>
      </c>
      <c r="O10" s="42" t="s">
        <v>389</v>
      </c>
    </row>
    <row r="11" spans="1:16" s="41" customFormat="1" ht="101.5" x14ac:dyDescent="0.35">
      <c r="A11" s="51">
        <v>5</v>
      </c>
      <c r="B11" s="41" t="str">
        <f t="shared" si="1"/>
        <v>6.5</v>
      </c>
      <c r="C11" s="50" t="s">
        <v>37</v>
      </c>
      <c r="D11" s="49" t="s">
        <v>502</v>
      </c>
      <c r="E11" s="41" t="s">
        <v>29</v>
      </c>
      <c r="F11" s="41" t="s">
        <v>62</v>
      </c>
      <c r="G11" s="53" t="s">
        <v>368</v>
      </c>
      <c r="H11" s="50" t="s">
        <v>36</v>
      </c>
      <c r="I11" s="41" t="s">
        <v>9</v>
      </c>
      <c r="J11" s="5" t="s">
        <v>166</v>
      </c>
      <c r="K11" s="42" t="s">
        <v>391</v>
      </c>
      <c r="L11" s="42" t="s">
        <v>36</v>
      </c>
      <c r="M11" s="42" t="s">
        <v>36</v>
      </c>
      <c r="N11" s="42" t="s">
        <v>399</v>
      </c>
      <c r="O11" s="42" t="s">
        <v>457</v>
      </c>
    </row>
    <row r="12" spans="1:16" s="41" customFormat="1" ht="58" x14ac:dyDescent="0.35">
      <c r="A12" s="51">
        <v>6</v>
      </c>
      <c r="B12" s="41" t="str">
        <f t="shared" ref="B12:B14" si="2">CONCATENATE($B$2, ".", A12)</f>
        <v>6.6</v>
      </c>
      <c r="C12" s="50" t="s">
        <v>37</v>
      </c>
      <c r="D12" s="41" t="s">
        <v>59</v>
      </c>
      <c r="E12" s="41" t="s">
        <v>42</v>
      </c>
      <c r="F12" s="41" t="s">
        <v>36</v>
      </c>
      <c r="G12" s="41" t="s">
        <v>36</v>
      </c>
      <c r="H12" s="50" t="s">
        <v>36</v>
      </c>
      <c r="I12" s="41" t="s">
        <v>9</v>
      </c>
      <c r="J12" s="41" t="s">
        <v>36</v>
      </c>
      <c r="K12" s="41" t="s">
        <v>36</v>
      </c>
      <c r="L12" s="41" t="s">
        <v>36</v>
      </c>
      <c r="M12" s="41" t="s">
        <v>36</v>
      </c>
      <c r="N12" s="41" t="s">
        <v>36</v>
      </c>
      <c r="O12" s="41" t="s">
        <v>503</v>
      </c>
    </row>
    <row r="13" spans="1:16" ht="76.5" customHeight="1" x14ac:dyDescent="0.35">
      <c r="A13" s="51">
        <v>7</v>
      </c>
      <c r="B13" s="41" t="str">
        <f t="shared" si="2"/>
        <v>6.7</v>
      </c>
      <c r="C13" s="77" t="s">
        <v>39</v>
      </c>
      <c r="D13" s="6" t="s">
        <v>398</v>
      </c>
      <c r="E13" s="41" t="s">
        <v>105</v>
      </c>
      <c r="F13" s="6" t="s">
        <v>36</v>
      </c>
      <c r="G13" s="51" t="s">
        <v>36</v>
      </c>
      <c r="H13" s="51" t="s">
        <v>36</v>
      </c>
      <c r="I13" s="53" t="s">
        <v>9</v>
      </c>
      <c r="J13" s="5" t="s">
        <v>36</v>
      </c>
      <c r="K13" s="41" t="s">
        <v>36</v>
      </c>
      <c r="L13" s="41" t="s">
        <v>36</v>
      </c>
      <c r="M13" s="51" t="s">
        <v>36</v>
      </c>
      <c r="N13" s="51" t="s">
        <v>400</v>
      </c>
      <c r="O13" s="41" t="s">
        <v>401</v>
      </c>
    </row>
    <row r="14" spans="1:16" s="41" customFormat="1" x14ac:dyDescent="0.35">
      <c r="A14" s="51">
        <v>8</v>
      </c>
      <c r="B14" s="41" t="str">
        <f t="shared" si="2"/>
        <v>6.8</v>
      </c>
      <c r="C14" s="50" t="s">
        <v>39</v>
      </c>
      <c r="D14" s="41" t="s">
        <v>58</v>
      </c>
      <c r="E14" s="41" t="s">
        <v>42</v>
      </c>
      <c r="F14" s="41" t="s">
        <v>36</v>
      </c>
      <c r="G14" s="41" t="s">
        <v>36</v>
      </c>
      <c r="H14" s="51" t="s">
        <v>36</v>
      </c>
      <c r="I14" s="41" t="s">
        <v>9</v>
      </c>
      <c r="J14" s="41" t="s">
        <v>36</v>
      </c>
      <c r="K14" s="41" t="s">
        <v>36</v>
      </c>
      <c r="L14" s="41" t="s">
        <v>36</v>
      </c>
      <c r="M14" s="41" t="s">
        <v>36</v>
      </c>
      <c r="N14" s="41" t="s">
        <v>36</v>
      </c>
      <c r="O14" s="41" t="s">
        <v>402</v>
      </c>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sheetData>
  <mergeCells count="1">
    <mergeCell ref="B4:C4"/>
  </mergeCells>
  <conditionalFormatting sqref="C7:C9 C15:C1048576 C11:C13">
    <cfRule type="cellIs" dxfId="471" priority="31" operator="equal">
      <formula>"WIP (see comments)"</formula>
    </cfRule>
    <cfRule type="cellIs" dxfId="470" priority="32" operator="equal">
      <formula>"Removed"</formula>
    </cfRule>
    <cfRule type="cellIs" dxfId="469" priority="33" operator="equal">
      <formula>"Updated"</formula>
    </cfRule>
    <cfRule type="cellIs" dxfId="468" priority="34" operator="equal">
      <formula>"New"</formula>
    </cfRule>
  </conditionalFormatting>
  <conditionalFormatting sqref="A2:XFD3 A15:XFD1048576 M13:N13 A1:B1 D1:XFD1 A4:B4 D4:XFD4 A5:XFD7 C13:D13 F13:J13 Q8:XFD9 A10:A14 P13:XFD13 H14 A8:O9">
    <cfRule type="cellIs" dxfId="467" priority="26" operator="equal">
      <formula>"n/a"</formula>
    </cfRule>
  </conditionalFormatting>
  <conditionalFormatting sqref="C14">
    <cfRule type="cellIs" dxfId="466" priority="11" operator="equal">
      <formula>"WIP (see comments)"</formula>
    </cfRule>
    <cfRule type="cellIs" dxfId="465" priority="12" operator="equal">
      <formula>"Removed"</formula>
    </cfRule>
    <cfRule type="cellIs" dxfId="464" priority="13" operator="equal">
      <formula>"Updated"</formula>
    </cfRule>
    <cfRule type="cellIs" dxfId="463" priority="14" operator="equal">
      <formula>"New"</formula>
    </cfRule>
  </conditionalFormatting>
  <conditionalFormatting sqref="C12:D12 B11:I11 C14:D14 Q14:XFD14 F14:G14 E12:E14 B12:B14 K11:XFD11 O13 I14:O14 K13:L13 F12:XFD12">
    <cfRule type="cellIs" dxfId="462" priority="10" operator="equal">
      <formula>"n/a"</formula>
    </cfRule>
  </conditionalFormatting>
  <conditionalFormatting sqref="C10">
    <cfRule type="cellIs" dxfId="461" priority="6" operator="equal">
      <formula>"WIP (see comments)"</formula>
    </cfRule>
    <cfRule type="cellIs" dxfId="460" priority="7" operator="equal">
      <formula>"Removed"</formula>
    </cfRule>
    <cfRule type="cellIs" dxfId="459" priority="8" operator="equal">
      <formula>"Updated"</formula>
    </cfRule>
    <cfRule type="cellIs" dxfId="458" priority="9" operator="equal">
      <formula>"New"</formula>
    </cfRule>
  </conditionalFormatting>
  <conditionalFormatting sqref="B10:XFD10">
    <cfRule type="cellIs" dxfId="457" priority="5" operator="equal">
      <formula>"n/a"</formula>
    </cfRule>
  </conditionalFormatting>
  <conditionalFormatting sqref="J11">
    <cfRule type="cellIs" dxfId="456" priority="4" operator="equal">
      <formula>"n/a"</formula>
    </cfRule>
  </conditionalFormatting>
  <conditionalFormatting sqref="P8:P9">
    <cfRule type="cellIs" dxfId="455" priority="2" operator="equal">
      <formula>"n/a"</formula>
    </cfRule>
  </conditionalFormatting>
  <conditionalFormatting sqref="P14">
    <cfRule type="cellIs" dxfId="454" priority="1" operator="equal">
      <formula>"n/a"</formula>
    </cfRule>
  </conditionalFormatting>
  <dataValidations count="1">
    <dataValidation type="list" allowBlank="1" showInputMessage="1" showErrorMessage="1" sqref="E15:E1048576">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Values'!$A$5:$A$34</xm:f>
          </x14:formula1>
          <xm:sqref>E7:E9</xm:sqref>
        </x14:dataValidation>
        <x14:dataValidation type="list" allowBlank="1" showInputMessage="1" showErrorMessage="1">
          <x14:formula1>
            <xm:f>'List Values'!$B$5:$B$11</xm:f>
          </x14:formula1>
          <xm:sqref>C7:C9 C13 C15:C1048576</xm:sqref>
        </x14:dataValidation>
        <x14:dataValidation type="list" allowBlank="1" showInputMessage="1" showErrorMessage="1">
          <x14:formula1>
            <xm:f>'List Values'!$B$5:$B$12</xm:f>
          </x14:formula1>
          <xm:sqref>C14 C10:C12</xm:sqref>
        </x14:dataValidation>
        <x14:dataValidation type="list" allowBlank="1" showInputMessage="1" showErrorMessage="1">
          <x14:formula1>
            <xm:f>'List Values'!$A$5:$A$33</xm:f>
          </x14:formula1>
          <xm:sqref>E10:E14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5.7265625" style="71" customWidth="1"/>
    <col min="4" max="4" width="45.1796875" style="5" customWidth="1"/>
    <col min="5" max="5" width="28.7265625" style="5" customWidth="1"/>
    <col min="6" max="6" width="34.26953125" style="5" customWidth="1"/>
    <col min="7" max="7" width="29.26953125" style="5" customWidth="1"/>
    <col min="8" max="8" width="11.54296875" style="7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7" s="32" customFormat="1" ht="18.5" x14ac:dyDescent="0.35">
      <c r="A1" s="30" t="s">
        <v>6</v>
      </c>
      <c r="B1" s="132" t="s">
        <v>236</v>
      </c>
      <c r="C1" s="132"/>
      <c r="D1" s="31"/>
      <c r="H1" s="37"/>
    </row>
    <row r="2" spans="1:17" s="32" customFormat="1" ht="18.5" x14ac:dyDescent="0.35">
      <c r="A2" s="30" t="s">
        <v>7</v>
      </c>
      <c r="B2" s="38">
        <v>7</v>
      </c>
      <c r="C2" s="37"/>
      <c r="D2" s="38"/>
      <c r="H2" s="37"/>
    </row>
    <row r="3" spans="1:17" s="32" customFormat="1" ht="18.5" x14ac:dyDescent="0.35">
      <c r="A3" s="30" t="s">
        <v>43</v>
      </c>
      <c r="B3" s="38" t="s">
        <v>633</v>
      </c>
      <c r="C3" s="37"/>
      <c r="D3" s="38" t="s">
        <v>70</v>
      </c>
      <c r="H3" s="37"/>
    </row>
    <row r="4" spans="1:17" s="32" customFormat="1" ht="18.5" x14ac:dyDescent="0.35">
      <c r="A4" s="30" t="s">
        <v>8</v>
      </c>
      <c r="B4" s="32" t="s">
        <v>662</v>
      </c>
      <c r="H4" s="37"/>
    </row>
    <row r="5" spans="1:17" s="45" customFormat="1" x14ac:dyDescent="0.35">
      <c r="C5" s="46"/>
      <c r="H5" s="46"/>
    </row>
    <row r="6" spans="1:17"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7" ht="30" customHeight="1" x14ac:dyDescent="0.35">
      <c r="A7" s="6">
        <v>1</v>
      </c>
      <c r="B7" s="6" t="str">
        <f t="shared" ref="B7:B12" si="0">CONCATENATE($B$2, ".", A7)</f>
        <v>7.1</v>
      </c>
      <c r="C7" s="36" t="s">
        <v>44</v>
      </c>
      <c r="D7" s="41" t="s">
        <v>140</v>
      </c>
      <c r="E7" s="6" t="s">
        <v>28</v>
      </c>
      <c r="F7" s="6" t="s">
        <v>36</v>
      </c>
      <c r="G7" s="6" t="s">
        <v>36</v>
      </c>
      <c r="H7" s="36" t="s">
        <v>36</v>
      </c>
      <c r="I7" s="41" t="s">
        <v>9</v>
      </c>
      <c r="J7" s="5" t="s">
        <v>36</v>
      </c>
      <c r="K7" s="5" t="s">
        <v>36</v>
      </c>
      <c r="L7" s="5" t="s">
        <v>36</v>
      </c>
      <c r="M7" s="5" t="s">
        <v>36</v>
      </c>
      <c r="N7" s="5" t="s">
        <v>36</v>
      </c>
      <c r="O7" s="5" t="s">
        <v>36</v>
      </c>
    </row>
    <row r="8" spans="1:17" ht="30" customHeight="1" x14ac:dyDescent="0.35">
      <c r="A8" s="6">
        <v>2</v>
      </c>
      <c r="B8" s="6" t="str">
        <f t="shared" si="0"/>
        <v>7.2</v>
      </c>
      <c r="C8" s="36" t="s">
        <v>44</v>
      </c>
      <c r="D8" s="41" t="s">
        <v>36</v>
      </c>
      <c r="E8" s="41" t="s">
        <v>48</v>
      </c>
      <c r="F8" s="6" t="s">
        <v>36</v>
      </c>
      <c r="G8" s="6" t="s">
        <v>36</v>
      </c>
      <c r="H8" s="36" t="s">
        <v>36</v>
      </c>
      <c r="I8" s="41" t="s">
        <v>9</v>
      </c>
      <c r="J8" s="5" t="s">
        <v>36</v>
      </c>
      <c r="K8" s="5" t="s">
        <v>36</v>
      </c>
      <c r="L8" s="5" t="s">
        <v>36</v>
      </c>
      <c r="M8" s="5" t="s">
        <v>36</v>
      </c>
      <c r="N8" s="5" t="s">
        <v>36</v>
      </c>
      <c r="O8" s="5" t="s">
        <v>36</v>
      </c>
    </row>
    <row r="9" spans="1:17" ht="80.5" customHeight="1" x14ac:dyDescent="0.35">
      <c r="A9" s="6">
        <v>3</v>
      </c>
      <c r="B9" s="6" t="str">
        <f t="shared" si="0"/>
        <v>7.3</v>
      </c>
      <c r="C9" s="36" t="s">
        <v>44</v>
      </c>
      <c r="D9" s="41" t="s">
        <v>759</v>
      </c>
      <c r="E9" s="41" t="s">
        <v>33</v>
      </c>
      <c r="F9" s="6" t="s">
        <v>36</v>
      </c>
      <c r="G9" s="6" t="s">
        <v>36</v>
      </c>
      <c r="H9" s="36" t="s">
        <v>36</v>
      </c>
      <c r="I9" s="41" t="s">
        <v>9</v>
      </c>
      <c r="J9" s="5" t="s">
        <v>36</v>
      </c>
      <c r="K9" s="5" t="s">
        <v>36</v>
      </c>
      <c r="L9" s="5" t="s">
        <v>36</v>
      </c>
      <c r="M9" s="5" t="s">
        <v>36</v>
      </c>
      <c r="N9" s="5" t="s">
        <v>36</v>
      </c>
      <c r="O9" s="5" t="s">
        <v>36</v>
      </c>
    </row>
    <row r="10" spans="1:17" s="41" customFormat="1" ht="87" x14ac:dyDescent="0.35">
      <c r="A10" s="6">
        <v>4</v>
      </c>
      <c r="B10" s="6" t="str">
        <f t="shared" si="0"/>
        <v>7.4</v>
      </c>
      <c r="C10" s="36" t="s">
        <v>44</v>
      </c>
      <c r="D10" s="6" t="s">
        <v>36</v>
      </c>
      <c r="E10" s="6" t="s">
        <v>663</v>
      </c>
      <c r="F10" s="6" t="s">
        <v>36</v>
      </c>
      <c r="G10" s="6" t="s">
        <v>36</v>
      </c>
      <c r="H10" s="36" t="s">
        <v>36</v>
      </c>
      <c r="I10" s="41" t="s">
        <v>9</v>
      </c>
      <c r="J10" s="5" t="s">
        <v>36</v>
      </c>
      <c r="K10" s="5" t="s">
        <v>167</v>
      </c>
      <c r="L10" s="53" t="s">
        <v>760</v>
      </c>
      <c r="M10" s="5" t="s">
        <v>36</v>
      </c>
      <c r="N10" s="5" t="s">
        <v>36</v>
      </c>
      <c r="O10" s="42" t="s">
        <v>761</v>
      </c>
      <c r="P10" s="96" t="s">
        <v>666</v>
      </c>
      <c r="Q10" s="120" t="s">
        <v>667</v>
      </c>
    </row>
    <row r="11" spans="1:17" ht="43.5" x14ac:dyDescent="0.35">
      <c r="A11" s="6">
        <v>5</v>
      </c>
      <c r="B11" s="6" t="str">
        <f t="shared" si="0"/>
        <v>7.5</v>
      </c>
      <c r="C11" s="36" t="s">
        <v>44</v>
      </c>
      <c r="D11" s="6" t="s">
        <v>58</v>
      </c>
      <c r="E11" s="6" t="s">
        <v>42</v>
      </c>
      <c r="F11" s="6" t="s">
        <v>36</v>
      </c>
      <c r="G11" s="6" t="s">
        <v>36</v>
      </c>
      <c r="H11" s="36" t="s">
        <v>36</v>
      </c>
      <c r="I11" s="41" t="s">
        <v>9</v>
      </c>
      <c r="J11" s="5" t="s">
        <v>36</v>
      </c>
      <c r="K11" s="5" t="s">
        <v>36</v>
      </c>
      <c r="L11" s="53" t="s">
        <v>36</v>
      </c>
      <c r="M11" s="5" t="s">
        <v>36</v>
      </c>
      <c r="N11" s="5" t="s">
        <v>36</v>
      </c>
      <c r="O11" s="42" t="s">
        <v>664</v>
      </c>
      <c r="P11" s="5" t="s">
        <v>665</v>
      </c>
    </row>
    <row r="12" spans="1:17" ht="30" customHeight="1" x14ac:dyDescent="0.35">
      <c r="A12" s="6">
        <v>6</v>
      </c>
      <c r="B12" s="6" t="str">
        <f t="shared" si="0"/>
        <v>7.6</v>
      </c>
      <c r="C12" s="36" t="s">
        <v>44</v>
      </c>
      <c r="D12" s="41" t="s">
        <v>59</v>
      </c>
      <c r="E12" s="41" t="s">
        <v>42</v>
      </c>
      <c r="F12" s="41" t="s">
        <v>36</v>
      </c>
      <c r="G12" s="41" t="s">
        <v>36</v>
      </c>
      <c r="H12" s="50" t="s">
        <v>36</v>
      </c>
      <c r="I12" s="41" t="s">
        <v>9</v>
      </c>
      <c r="J12" s="41" t="s">
        <v>36</v>
      </c>
      <c r="K12" s="41" t="s">
        <v>36</v>
      </c>
      <c r="L12" s="41" t="s">
        <v>36</v>
      </c>
      <c r="M12" s="41" t="s">
        <v>36</v>
      </c>
      <c r="N12" s="41" t="s">
        <v>36</v>
      </c>
      <c r="O12" s="41" t="s">
        <v>762</v>
      </c>
      <c r="P12" s="5" t="s">
        <v>763</v>
      </c>
    </row>
    <row r="13" spans="1:17" ht="43.5" x14ac:dyDescent="0.35">
      <c r="A13" s="6">
        <v>7</v>
      </c>
      <c r="B13" s="6" t="str">
        <f t="shared" ref="B13" si="1">CONCATENATE($B$2, ".", A13)</f>
        <v>7.7</v>
      </c>
      <c r="C13" s="36" t="s">
        <v>44</v>
      </c>
      <c r="D13" s="41" t="s">
        <v>165</v>
      </c>
      <c r="E13" s="41" t="s">
        <v>105</v>
      </c>
      <c r="F13" s="41" t="s">
        <v>36</v>
      </c>
      <c r="G13" s="41" t="s">
        <v>36</v>
      </c>
      <c r="H13" s="50" t="s">
        <v>36</v>
      </c>
      <c r="I13" s="41" t="s">
        <v>9</v>
      </c>
      <c r="J13" s="41" t="s">
        <v>36</v>
      </c>
      <c r="K13" s="41" t="s">
        <v>36</v>
      </c>
      <c r="L13" s="41" t="s">
        <v>36</v>
      </c>
      <c r="M13" s="41" t="s">
        <v>36</v>
      </c>
      <c r="N13" s="41" t="s">
        <v>36</v>
      </c>
      <c r="O13" s="41" t="s">
        <v>764</v>
      </c>
    </row>
  </sheetData>
  <autoFilter ref="A6:P6"/>
  <mergeCells count="1">
    <mergeCell ref="B1:C1"/>
  </mergeCells>
  <conditionalFormatting sqref="C14:C1048576">
    <cfRule type="cellIs" dxfId="453" priority="42" operator="equal">
      <formula>"WIP (see comments)"</formula>
    </cfRule>
    <cfRule type="cellIs" dxfId="452" priority="43" operator="equal">
      <formula>"Removed"</formula>
    </cfRule>
    <cfRule type="cellIs" dxfId="451" priority="44" operator="equal">
      <formula>"Updated"</formula>
    </cfRule>
    <cfRule type="cellIs" dxfId="450" priority="45" operator="equal">
      <formula>"New"</formula>
    </cfRule>
  </conditionalFormatting>
  <conditionalFormatting sqref="A2:XFD3 A14:XFD1048576 A1:B1 E1:XFD1 A5:XFD6 A4:B4 D4:XFD4 P11:XFD13">
    <cfRule type="cellIs" dxfId="449" priority="41" operator="equal">
      <formula>"n/a"</formula>
    </cfRule>
  </conditionalFormatting>
  <conditionalFormatting sqref="P7:XFD7">
    <cfRule type="cellIs" dxfId="448" priority="34" operator="equal">
      <formula>"n/a"</formula>
    </cfRule>
  </conditionalFormatting>
  <conditionalFormatting sqref="P8:XFD9">
    <cfRule type="cellIs" dxfId="447" priority="33" operator="equal">
      <formula>"n/a"</formula>
    </cfRule>
  </conditionalFormatting>
  <conditionalFormatting sqref="P10:XFD10">
    <cfRule type="cellIs" dxfId="446" priority="23" operator="equal">
      <formula>"n/a"</formula>
    </cfRule>
  </conditionalFormatting>
  <conditionalFormatting sqref="D12:N13">
    <cfRule type="cellIs" dxfId="445" priority="8" operator="equal">
      <formula>"n/a"</formula>
    </cfRule>
  </conditionalFormatting>
  <conditionalFormatting sqref="D1">
    <cfRule type="cellIs" dxfId="444" priority="21" operator="equal">
      <formula>"n/a"</formula>
    </cfRule>
  </conditionalFormatting>
  <conditionalFormatting sqref="C7:C13">
    <cfRule type="cellIs" dxfId="443" priority="17" operator="equal">
      <formula>"WIP (see comments)"</formula>
    </cfRule>
    <cfRule type="cellIs" dxfId="442" priority="18" operator="equal">
      <formula>"Removed"</formula>
    </cfRule>
    <cfRule type="cellIs" dxfId="441" priority="19" operator="equal">
      <formula>"Updated"</formula>
    </cfRule>
    <cfRule type="cellIs" dxfId="440" priority="20" operator="equal">
      <formula>"New"</formula>
    </cfRule>
  </conditionalFormatting>
  <conditionalFormatting sqref="A10:J10 M10:N11 A11:C13 A7:O9 D11:J11">
    <cfRule type="cellIs" dxfId="439" priority="16" operator="equal">
      <formula>"n/a"</formula>
    </cfRule>
  </conditionalFormatting>
  <conditionalFormatting sqref="K10:L11">
    <cfRule type="cellIs" dxfId="438" priority="15" operator="equal">
      <formula>"n/a"</formula>
    </cfRule>
  </conditionalFormatting>
  <conditionalFormatting sqref="O10">
    <cfRule type="cellIs" dxfId="437" priority="14" operator="equal">
      <formula>"n/a"</formula>
    </cfRule>
  </conditionalFormatting>
  <conditionalFormatting sqref="O11">
    <cfRule type="cellIs" dxfId="436" priority="7" operator="equal">
      <formula>"n/a"</formula>
    </cfRule>
  </conditionalFormatting>
  <dataValidations count="2">
    <dataValidation type="list" allowBlank="1" showInputMessage="1" showErrorMessage="1" sqref="C14:C1048576">
      <formula1>$B$5:$B$10</formula1>
    </dataValidation>
    <dataValidation type="list" allowBlank="1" showInputMessage="1" showErrorMessage="1" sqref="E14:E1048576">
      <formula1>$A$5:$A$24</formula1>
    </dataValidation>
  </dataValidations>
  <hyperlinks>
    <hyperlink ref="Q10"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E7:E13</xm:sqref>
        </x14:dataValidation>
        <x14:dataValidation type="list" allowBlank="1" showInputMessage="1" showErrorMessage="1">
          <x14:formula1>
            <xm:f>'List Values'!$B$5:$B$12</xm:f>
          </x14:formula1>
          <xm:sqref>C7:C13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6"/>
  <sheetViews>
    <sheetView zoomScale="90" zoomScaleNormal="90" workbookViewId="0">
      <pane xSplit="4" ySplit="6" topLeftCell="K26" activePane="bottomRight" state="frozen"/>
      <selection pane="topRight" activeCell="E1" sqref="E1"/>
      <selection pane="bottomLeft" activeCell="A7" sqref="A7"/>
      <selection pane="bottomRight" activeCell="P36" sqref="P36"/>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6</v>
      </c>
      <c r="B1" s="131" t="s">
        <v>252</v>
      </c>
      <c r="C1" s="131"/>
      <c r="D1" s="31"/>
    </row>
    <row r="2" spans="1:16" s="63" customFormat="1" ht="18.5" x14ac:dyDescent="0.35">
      <c r="A2" s="62" t="s">
        <v>7</v>
      </c>
      <c r="B2" s="64">
        <v>8</v>
      </c>
      <c r="C2" s="65"/>
      <c r="D2" s="64"/>
    </row>
    <row r="3" spans="1:16" s="63" customFormat="1" ht="18.5" x14ac:dyDescent="0.35">
      <c r="A3" s="62" t="s">
        <v>43</v>
      </c>
      <c r="B3" s="64" t="s">
        <v>326</v>
      </c>
      <c r="C3" s="65"/>
      <c r="D3" s="64"/>
    </row>
    <row r="4" spans="1:16" s="63" customFormat="1" ht="18.5" x14ac:dyDescent="0.35">
      <c r="A4" s="62" t="s">
        <v>8</v>
      </c>
      <c r="B4" s="130" t="s">
        <v>46</v>
      </c>
      <c r="C4" s="130"/>
    </row>
    <row r="5" spans="1:16" s="66" customFormat="1" x14ac:dyDescent="0.35">
      <c r="C5" s="67"/>
    </row>
    <row r="6" spans="1:16" s="68" customFormat="1" ht="15"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x14ac:dyDescent="0.35">
      <c r="A7" s="41">
        <v>1</v>
      </c>
      <c r="B7" s="41" t="str">
        <f t="shared" ref="B7:B20" si="0">CONCATENATE($B$2, ".", A7)</f>
        <v>8.1</v>
      </c>
      <c r="C7" s="50" t="s">
        <v>41</v>
      </c>
      <c r="D7" s="41" t="s">
        <v>536</v>
      </c>
      <c r="E7" s="41" t="s">
        <v>128</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si="0"/>
        <v>8.2</v>
      </c>
      <c r="C8" s="50" t="s">
        <v>41</v>
      </c>
      <c r="D8" s="41" t="s">
        <v>36</v>
      </c>
      <c r="E8" s="41" t="s">
        <v>48</v>
      </c>
      <c r="F8" s="41" t="s">
        <v>36</v>
      </c>
      <c r="G8" s="41" t="s">
        <v>36</v>
      </c>
      <c r="H8" s="41" t="s">
        <v>36</v>
      </c>
      <c r="I8" s="41" t="s">
        <v>9</v>
      </c>
      <c r="J8" s="42" t="s">
        <v>36</v>
      </c>
      <c r="K8" s="42" t="s">
        <v>36</v>
      </c>
      <c r="L8" s="42" t="s">
        <v>36</v>
      </c>
      <c r="M8" s="42" t="s">
        <v>36</v>
      </c>
      <c r="N8" s="42" t="s">
        <v>36</v>
      </c>
      <c r="O8" s="42" t="s">
        <v>36</v>
      </c>
    </row>
    <row r="9" spans="1:16" ht="43.5" x14ac:dyDescent="0.35">
      <c r="A9" s="41">
        <v>3</v>
      </c>
      <c r="B9" s="41" t="str">
        <f t="shared" si="0"/>
        <v>8.3</v>
      </c>
      <c r="C9" s="50" t="s">
        <v>41</v>
      </c>
      <c r="D9" s="41" t="s">
        <v>537</v>
      </c>
      <c r="E9" s="41" t="s">
        <v>32</v>
      </c>
      <c r="F9" s="41" t="s">
        <v>51</v>
      </c>
      <c r="G9" s="41" t="s">
        <v>36</v>
      </c>
      <c r="H9" s="43">
        <v>65</v>
      </c>
      <c r="I9" s="41" t="s">
        <v>9</v>
      </c>
      <c r="J9" s="42" t="s">
        <v>113</v>
      </c>
      <c r="K9" s="42" t="s">
        <v>53</v>
      </c>
      <c r="L9" s="42" t="s">
        <v>538</v>
      </c>
      <c r="M9" s="42" t="s">
        <v>550</v>
      </c>
      <c r="N9" s="42" t="s">
        <v>36</v>
      </c>
      <c r="O9" s="42" t="s">
        <v>842</v>
      </c>
    </row>
    <row r="10" spans="1:16" x14ac:dyDescent="0.35">
      <c r="A10" s="41">
        <v>4</v>
      </c>
      <c r="B10" s="41" t="str">
        <f t="shared" ref="B10:B13" si="1">CONCATENATE($B$2, ".", A10)</f>
        <v>8.4</v>
      </c>
      <c r="C10" s="50" t="s">
        <v>41</v>
      </c>
      <c r="D10" s="41" t="s">
        <v>737</v>
      </c>
      <c r="E10" s="41" t="s">
        <v>32</v>
      </c>
      <c r="F10" s="41" t="s">
        <v>51</v>
      </c>
      <c r="G10" s="41" t="s">
        <v>36</v>
      </c>
      <c r="H10" s="43">
        <v>60</v>
      </c>
      <c r="I10" s="41" t="s">
        <v>9</v>
      </c>
      <c r="J10" s="42" t="s">
        <v>113</v>
      </c>
      <c r="K10" s="42" t="s">
        <v>87</v>
      </c>
      <c r="L10" s="42" t="s">
        <v>36</v>
      </c>
      <c r="M10" s="42" t="s">
        <v>550</v>
      </c>
      <c r="N10" s="42" t="s">
        <v>36</v>
      </c>
      <c r="O10" s="42" t="s">
        <v>842</v>
      </c>
    </row>
    <row r="11" spans="1:16" ht="72.5" x14ac:dyDescent="0.35">
      <c r="A11" s="41">
        <v>5</v>
      </c>
      <c r="B11" s="41" t="str">
        <f>CONCATENATE($B$2, ".", A11)</f>
        <v>8.5</v>
      </c>
      <c r="C11" s="95" t="s">
        <v>41</v>
      </c>
      <c r="D11" s="41" t="s">
        <v>562</v>
      </c>
      <c r="E11" s="41" t="s">
        <v>32</v>
      </c>
      <c r="F11" s="41" t="s">
        <v>50</v>
      </c>
      <c r="G11" s="41" t="s">
        <v>36</v>
      </c>
      <c r="H11" s="41" t="s">
        <v>54</v>
      </c>
      <c r="I11" s="41" t="s">
        <v>9</v>
      </c>
      <c r="J11" s="42" t="s">
        <v>113</v>
      </c>
      <c r="K11" s="41" t="s">
        <v>53</v>
      </c>
      <c r="L11" s="41" t="s">
        <v>564</v>
      </c>
      <c r="M11" s="41" t="s">
        <v>55</v>
      </c>
      <c r="N11" s="41" t="s">
        <v>36</v>
      </c>
      <c r="O11" s="42" t="s">
        <v>842</v>
      </c>
    </row>
    <row r="12" spans="1:16" ht="43.5" x14ac:dyDescent="0.35">
      <c r="A12" s="41">
        <v>6</v>
      </c>
      <c r="B12" s="41" t="str">
        <f>CONCATENATE($B$2, ".", A12)</f>
        <v>8.6</v>
      </c>
      <c r="C12" s="95" t="s">
        <v>41</v>
      </c>
      <c r="D12" s="41" t="s">
        <v>563</v>
      </c>
      <c r="E12" s="41" t="s">
        <v>32</v>
      </c>
      <c r="F12" s="41" t="s">
        <v>51</v>
      </c>
      <c r="G12" s="41" t="s">
        <v>36</v>
      </c>
      <c r="H12" s="41" t="s">
        <v>52</v>
      </c>
      <c r="I12" s="41" t="s">
        <v>9</v>
      </c>
      <c r="J12" s="42" t="s">
        <v>113</v>
      </c>
      <c r="K12" s="42" t="s">
        <v>53</v>
      </c>
      <c r="L12" s="42" t="s">
        <v>565</v>
      </c>
      <c r="M12" s="42" t="s">
        <v>106</v>
      </c>
      <c r="N12" s="42" t="s">
        <v>36</v>
      </c>
      <c r="O12" s="42" t="s">
        <v>842</v>
      </c>
    </row>
    <row r="13" spans="1:16" ht="145" x14ac:dyDescent="0.35">
      <c r="A13" s="41">
        <v>7</v>
      </c>
      <c r="B13" s="41" t="str">
        <f t="shared" si="1"/>
        <v>8.7</v>
      </c>
      <c r="C13" s="95" t="s">
        <v>41</v>
      </c>
      <c r="D13" s="41" t="s">
        <v>539</v>
      </c>
      <c r="E13" s="41" t="s">
        <v>76</v>
      </c>
      <c r="F13" s="41" t="s">
        <v>51</v>
      </c>
      <c r="G13" s="41" t="s">
        <v>36</v>
      </c>
      <c r="H13" s="43">
        <v>35</v>
      </c>
      <c r="I13" s="41" t="s">
        <v>9</v>
      </c>
      <c r="J13" s="42" t="s">
        <v>113</v>
      </c>
      <c r="K13" s="42" t="s">
        <v>540</v>
      </c>
      <c r="L13" s="42" t="s">
        <v>551</v>
      </c>
      <c r="M13" s="42" t="s">
        <v>36</v>
      </c>
      <c r="N13" s="42" t="s">
        <v>541</v>
      </c>
      <c r="O13" s="42" t="s">
        <v>544</v>
      </c>
    </row>
    <row r="14" spans="1:16" ht="72.5" x14ac:dyDescent="0.35">
      <c r="A14" s="41">
        <v>8</v>
      </c>
      <c r="B14" s="41" t="str">
        <f t="shared" ref="B14" si="2">CONCATENATE($B$2, ".", A14)</f>
        <v>8.8</v>
      </c>
      <c r="C14" s="95" t="s">
        <v>41</v>
      </c>
      <c r="D14" s="41" t="s">
        <v>557</v>
      </c>
      <c r="E14" s="41" t="s">
        <v>29</v>
      </c>
      <c r="F14" s="41" t="s">
        <v>450</v>
      </c>
      <c r="G14" s="41" t="s">
        <v>36</v>
      </c>
      <c r="H14" s="43" t="s">
        <v>36</v>
      </c>
      <c r="I14" s="41" t="s">
        <v>9</v>
      </c>
      <c r="J14" s="42" t="s">
        <v>451</v>
      </c>
      <c r="K14" s="42" t="s">
        <v>87</v>
      </c>
      <c r="L14" s="42" t="s">
        <v>36</v>
      </c>
      <c r="M14" s="42" t="s">
        <v>36</v>
      </c>
      <c r="N14" s="42" t="s">
        <v>36</v>
      </c>
      <c r="O14" s="42" t="s">
        <v>838</v>
      </c>
    </row>
    <row r="15" spans="1:16" x14ac:dyDescent="0.35">
      <c r="A15" s="102" t="s">
        <v>861</v>
      </c>
      <c r="B15" s="98"/>
      <c r="C15" s="99"/>
      <c r="D15" s="98"/>
      <c r="E15" s="98"/>
      <c r="F15" s="98"/>
      <c r="G15" s="98"/>
      <c r="H15" s="100"/>
      <c r="I15" s="98"/>
      <c r="J15" s="101"/>
      <c r="K15" s="101"/>
      <c r="L15" s="101"/>
      <c r="M15" s="101"/>
      <c r="N15" s="101"/>
      <c r="O15" s="101"/>
      <c r="P15" s="98"/>
    </row>
    <row r="16" spans="1:16" ht="43.5" x14ac:dyDescent="0.35">
      <c r="A16" s="41">
        <v>9</v>
      </c>
      <c r="B16" s="41" t="str">
        <f t="shared" si="0"/>
        <v>8.9</v>
      </c>
      <c r="C16" s="95" t="s">
        <v>41</v>
      </c>
      <c r="D16" s="41" t="s">
        <v>542</v>
      </c>
      <c r="E16" s="41" t="s">
        <v>32</v>
      </c>
      <c r="F16" s="41" t="s">
        <v>51</v>
      </c>
      <c r="G16" s="41" t="s">
        <v>36</v>
      </c>
      <c r="H16" s="43">
        <v>10</v>
      </c>
      <c r="I16" s="41" t="s">
        <v>572</v>
      </c>
      <c r="J16" s="42" t="s">
        <v>113</v>
      </c>
      <c r="K16" s="42" t="s">
        <v>79</v>
      </c>
      <c r="L16" s="42" t="s">
        <v>545</v>
      </c>
      <c r="M16" s="42" t="s">
        <v>550</v>
      </c>
      <c r="N16" s="42" t="s">
        <v>36</v>
      </c>
      <c r="O16" s="42" t="s">
        <v>547</v>
      </c>
      <c r="P16" s="41" t="s">
        <v>570</v>
      </c>
    </row>
    <row r="17" spans="1:16" ht="43.5" x14ac:dyDescent="0.35">
      <c r="A17" s="41">
        <v>10</v>
      </c>
      <c r="B17" s="41" t="str">
        <f t="shared" si="0"/>
        <v>8.10</v>
      </c>
      <c r="C17" s="95" t="s">
        <v>41</v>
      </c>
      <c r="D17" s="41" t="s">
        <v>543</v>
      </c>
      <c r="E17" s="41" t="s">
        <v>32</v>
      </c>
      <c r="F17" s="41" t="s">
        <v>51</v>
      </c>
      <c r="G17" s="41" t="s">
        <v>36</v>
      </c>
      <c r="H17" s="43">
        <v>35</v>
      </c>
      <c r="I17" s="41" t="s">
        <v>572</v>
      </c>
      <c r="J17" s="42" t="s">
        <v>113</v>
      </c>
      <c r="K17" s="42" t="s">
        <v>79</v>
      </c>
      <c r="L17" s="42" t="s">
        <v>546</v>
      </c>
      <c r="M17" s="42" t="s">
        <v>550</v>
      </c>
      <c r="N17" s="42" t="s">
        <v>36</v>
      </c>
      <c r="O17" s="42" t="s">
        <v>547</v>
      </c>
      <c r="P17" s="41" t="s">
        <v>570</v>
      </c>
    </row>
    <row r="18" spans="1:16" ht="29" x14ac:dyDescent="0.35">
      <c r="A18" s="41">
        <v>11</v>
      </c>
      <c r="B18" s="41" t="str">
        <f t="shared" si="0"/>
        <v>8.11</v>
      </c>
      <c r="C18" s="95" t="s">
        <v>41</v>
      </c>
      <c r="D18" s="41" t="s">
        <v>72</v>
      </c>
      <c r="E18" s="41" t="s">
        <v>32</v>
      </c>
      <c r="F18" s="41" t="s">
        <v>51</v>
      </c>
      <c r="G18" s="41" t="s">
        <v>36</v>
      </c>
      <c r="H18" s="43">
        <v>10</v>
      </c>
      <c r="I18" s="41" t="s">
        <v>572</v>
      </c>
      <c r="J18" s="42" t="s">
        <v>113</v>
      </c>
      <c r="K18" s="42" t="s">
        <v>81</v>
      </c>
      <c r="L18" s="42" t="s">
        <v>36</v>
      </c>
      <c r="M18" s="42" t="s">
        <v>550</v>
      </c>
      <c r="N18" s="42" t="s">
        <v>36</v>
      </c>
      <c r="O18" s="42" t="s">
        <v>547</v>
      </c>
    </row>
    <row r="19" spans="1:16" ht="43.5" x14ac:dyDescent="0.35">
      <c r="A19" s="41">
        <v>12</v>
      </c>
      <c r="B19" s="41" t="str">
        <f t="shared" si="0"/>
        <v>8.12</v>
      </c>
      <c r="C19" s="95" t="s">
        <v>41</v>
      </c>
      <c r="D19" s="41" t="s">
        <v>73</v>
      </c>
      <c r="E19" s="41" t="s">
        <v>32</v>
      </c>
      <c r="F19" s="41" t="s">
        <v>51</v>
      </c>
      <c r="G19" s="41" t="s">
        <v>36</v>
      </c>
      <c r="H19" s="43">
        <v>20</v>
      </c>
      <c r="I19" s="41" t="s">
        <v>572</v>
      </c>
      <c r="J19" s="42" t="s">
        <v>113</v>
      </c>
      <c r="K19" s="42" t="s">
        <v>79</v>
      </c>
      <c r="L19" s="42" t="s">
        <v>114</v>
      </c>
      <c r="M19" s="42" t="s">
        <v>550</v>
      </c>
      <c r="N19" s="42" t="s">
        <v>36</v>
      </c>
      <c r="O19" s="42" t="s">
        <v>547</v>
      </c>
    </row>
    <row r="20" spans="1:16" ht="130.5" x14ac:dyDescent="0.35">
      <c r="A20" s="41">
        <v>13</v>
      </c>
      <c r="B20" s="41" t="str">
        <f t="shared" si="0"/>
        <v>8.13</v>
      </c>
      <c r="C20" s="95" t="s">
        <v>41</v>
      </c>
      <c r="D20" s="41" t="s">
        <v>74</v>
      </c>
      <c r="E20" s="41" t="s">
        <v>34</v>
      </c>
      <c r="F20" s="41" t="s">
        <v>51</v>
      </c>
      <c r="G20" s="41" t="s">
        <v>36</v>
      </c>
      <c r="H20" s="43">
        <v>15</v>
      </c>
      <c r="I20" s="41" t="s">
        <v>572</v>
      </c>
      <c r="J20" s="42" t="s">
        <v>113</v>
      </c>
      <c r="K20" s="42" t="s">
        <v>79</v>
      </c>
      <c r="L20" s="42" t="s">
        <v>119</v>
      </c>
      <c r="M20" s="42" t="s">
        <v>561</v>
      </c>
      <c r="N20" s="42" t="s">
        <v>569</v>
      </c>
      <c r="O20" s="42" t="s">
        <v>547</v>
      </c>
    </row>
    <row r="21" spans="1:16" ht="43.5" x14ac:dyDescent="0.35">
      <c r="A21" s="41">
        <v>14</v>
      </c>
      <c r="B21" s="41" t="str">
        <f>CONCATENATE($B$2, ".", A21)</f>
        <v>8.14</v>
      </c>
      <c r="C21" s="95" t="s">
        <v>41</v>
      </c>
      <c r="D21" s="41" t="s">
        <v>75</v>
      </c>
      <c r="E21" s="41" t="s">
        <v>32</v>
      </c>
      <c r="F21" s="41" t="s">
        <v>51</v>
      </c>
      <c r="G21" s="41" t="s">
        <v>36</v>
      </c>
      <c r="H21" s="43">
        <v>7</v>
      </c>
      <c r="I21" s="41" t="s">
        <v>572</v>
      </c>
      <c r="J21" s="42" t="s">
        <v>113</v>
      </c>
      <c r="K21" s="42" t="s">
        <v>79</v>
      </c>
      <c r="L21" s="42" t="s">
        <v>120</v>
      </c>
      <c r="M21" s="42" t="s">
        <v>550</v>
      </c>
      <c r="N21" s="42" t="s">
        <v>36</v>
      </c>
      <c r="O21" s="42" t="s">
        <v>547</v>
      </c>
    </row>
    <row r="22" spans="1:16" x14ac:dyDescent="0.35">
      <c r="A22" s="102"/>
      <c r="B22" s="98"/>
      <c r="C22" s="99"/>
      <c r="D22" s="98"/>
      <c r="E22" s="98"/>
      <c r="F22" s="98"/>
      <c r="G22" s="98"/>
      <c r="H22" s="100"/>
      <c r="I22" s="98"/>
      <c r="J22" s="101"/>
      <c r="K22" s="101"/>
      <c r="L22" s="101"/>
      <c r="M22" s="101"/>
      <c r="N22" s="101"/>
      <c r="O22" s="101"/>
      <c r="P22" s="98"/>
    </row>
    <row r="23" spans="1:16" ht="58" x14ac:dyDescent="0.35">
      <c r="A23" s="41">
        <v>15</v>
      </c>
      <c r="B23" s="41" t="str">
        <f t="shared" ref="B23" si="3">CONCATENATE($B$2, ".", A23)</f>
        <v>8.15</v>
      </c>
      <c r="C23" s="95" t="s">
        <v>41</v>
      </c>
      <c r="D23" s="41" t="s">
        <v>549</v>
      </c>
      <c r="E23" s="41" t="s">
        <v>29</v>
      </c>
      <c r="F23" s="41" t="s">
        <v>450</v>
      </c>
      <c r="G23" s="41" t="s">
        <v>36</v>
      </c>
      <c r="H23" s="43" t="s">
        <v>36</v>
      </c>
      <c r="I23" s="41" t="s">
        <v>9</v>
      </c>
      <c r="J23" s="42" t="s">
        <v>451</v>
      </c>
      <c r="K23" s="42" t="s">
        <v>87</v>
      </c>
      <c r="L23" s="42" t="s">
        <v>36</v>
      </c>
      <c r="M23" s="42" t="s">
        <v>36</v>
      </c>
      <c r="N23" s="42" t="s">
        <v>36</v>
      </c>
      <c r="O23" s="42" t="s">
        <v>839</v>
      </c>
    </row>
    <row r="24" spans="1:16" x14ac:dyDescent="0.35">
      <c r="A24" s="102" t="s">
        <v>862</v>
      </c>
      <c r="B24" s="98"/>
      <c r="C24" s="99"/>
      <c r="D24" s="98"/>
      <c r="E24" s="98"/>
      <c r="F24" s="98"/>
      <c r="G24" s="98"/>
      <c r="H24" s="100"/>
      <c r="I24" s="98"/>
      <c r="J24" s="101"/>
      <c r="K24" s="101"/>
      <c r="L24" s="101"/>
      <c r="M24" s="101"/>
      <c r="N24" s="101"/>
      <c r="O24" s="101"/>
      <c r="P24" s="98"/>
    </row>
    <row r="25" spans="1:16" ht="145" x14ac:dyDescent="0.35">
      <c r="A25" s="41">
        <v>16</v>
      </c>
      <c r="B25" s="41" t="str">
        <f t="shared" ref="B25:B26" si="4">CONCATENATE($B$2, ".", A25)</f>
        <v>8.16</v>
      </c>
      <c r="C25" s="95" t="s">
        <v>41</v>
      </c>
      <c r="D25" s="41" t="s">
        <v>548</v>
      </c>
      <c r="E25" s="41" t="s">
        <v>76</v>
      </c>
      <c r="F25" s="41" t="s">
        <v>51</v>
      </c>
      <c r="G25" s="41" t="s">
        <v>36</v>
      </c>
      <c r="H25" s="43">
        <v>35</v>
      </c>
      <c r="I25" s="41" t="s">
        <v>559</v>
      </c>
      <c r="J25" s="42" t="s">
        <v>113</v>
      </c>
      <c r="K25" s="42" t="s">
        <v>574</v>
      </c>
      <c r="L25" s="42" t="s">
        <v>552</v>
      </c>
      <c r="M25" s="42" t="s">
        <v>36</v>
      </c>
      <c r="N25" s="42" t="s">
        <v>36</v>
      </c>
      <c r="O25" s="42" t="s">
        <v>840</v>
      </c>
    </row>
    <row r="26" spans="1:16" ht="101.5" x14ac:dyDescent="0.35">
      <c r="A26" s="41">
        <v>17</v>
      </c>
      <c r="B26" s="41" t="str">
        <f t="shared" si="4"/>
        <v>8.17</v>
      </c>
      <c r="C26" s="95" t="s">
        <v>41</v>
      </c>
      <c r="D26" s="41" t="s">
        <v>558</v>
      </c>
      <c r="E26" s="41" t="s">
        <v>29</v>
      </c>
      <c r="F26" s="41" t="s">
        <v>450</v>
      </c>
      <c r="G26" s="41" t="s">
        <v>36</v>
      </c>
      <c r="H26" s="43" t="s">
        <v>36</v>
      </c>
      <c r="I26" s="41" t="s">
        <v>559</v>
      </c>
      <c r="J26" s="42" t="s">
        <v>451</v>
      </c>
      <c r="K26" s="42" t="s">
        <v>87</v>
      </c>
      <c r="L26" s="42" t="s">
        <v>36</v>
      </c>
      <c r="M26" s="42" t="s">
        <v>36</v>
      </c>
      <c r="N26" s="42" t="s">
        <v>36</v>
      </c>
      <c r="O26" s="42" t="s">
        <v>841</v>
      </c>
    </row>
    <row r="27" spans="1:16" x14ac:dyDescent="0.35">
      <c r="A27" s="102" t="s">
        <v>863</v>
      </c>
      <c r="B27" s="98"/>
      <c r="C27" s="99"/>
      <c r="D27" s="98"/>
      <c r="E27" s="98"/>
      <c r="F27" s="98"/>
      <c r="G27" s="98"/>
      <c r="H27" s="100"/>
      <c r="I27" s="98"/>
      <c r="J27" s="101"/>
      <c r="K27" s="101"/>
      <c r="L27" s="101"/>
      <c r="M27" s="101"/>
      <c r="N27" s="101"/>
      <c r="O27" s="101"/>
      <c r="P27" s="98"/>
    </row>
    <row r="28" spans="1:16" ht="43.5" x14ac:dyDescent="0.35">
      <c r="A28" s="41">
        <v>18</v>
      </c>
      <c r="B28" s="41" t="str">
        <f>CONCATENATE($B$2, ".", A28)</f>
        <v>8.18</v>
      </c>
      <c r="C28" s="95" t="s">
        <v>41</v>
      </c>
      <c r="D28" s="41" t="s">
        <v>553</v>
      </c>
      <c r="E28" s="41" t="s">
        <v>32</v>
      </c>
      <c r="F28" s="41" t="s">
        <v>51</v>
      </c>
      <c r="G28" s="41" t="s">
        <v>36</v>
      </c>
      <c r="H28" s="43">
        <v>10</v>
      </c>
      <c r="I28" s="41" t="s">
        <v>573</v>
      </c>
      <c r="J28" s="42" t="s">
        <v>113</v>
      </c>
      <c r="K28" s="42" t="s">
        <v>79</v>
      </c>
      <c r="L28" s="42" t="s">
        <v>555</v>
      </c>
      <c r="M28" s="42" t="s">
        <v>36</v>
      </c>
      <c r="N28" s="42" t="s">
        <v>36</v>
      </c>
      <c r="O28" s="42" t="s">
        <v>843</v>
      </c>
      <c r="P28" s="41" t="s">
        <v>571</v>
      </c>
    </row>
    <row r="29" spans="1:16" ht="43.5" x14ac:dyDescent="0.35">
      <c r="A29" s="41">
        <v>19</v>
      </c>
      <c r="B29" s="41" t="str">
        <f t="shared" ref="B29:B32" si="5">CONCATENATE($B$2, ".", A29)</f>
        <v>8.19</v>
      </c>
      <c r="C29" s="95" t="s">
        <v>41</v>
      </c>
      <c r="D29" s="41" t="s">
        <v>554</v>
      </c>
      <c r="E29" s="41" t="s">
        <v>32</v>
      </c>
      <c r="F29" s="41" t="s">
        <v>51</v>
      </c>
      <c r="G29" s="41" t="s">
        <v>36</v>
      </c>
      <c r="H29" s="43">
        <v>35</v>
      </c>
      <c r="I29" s="41" t="s">
        <v>573</v>
      </c>
      <c r="J29" s="42" t="s">
        <v>113</v>
      </c>
      <c r="K29" s="42" t="s">
        <v>79</v>
      </c>
      <c r="L29" s="42" t="s">
        <v>556</v>
      </c>
      <c r="M29" s="42" t="s">
        <v>36</v>
      </c>
      <c r="N29" s="42" t="s">
        <v>36</v>
      </c>
      <c r="O29" s="42" t="s">
        <v>843</v>
      </c>
      <c r="P29" s="41" t="s">
        <v>571</v>
      </c>
    </row>
    <row r="30" spans="1:16" ht="29" x14ac:dyDescent="0.35">
      <c r="A30" s="41">
        <v>20</v>
      </c>
      <c r="B30" s="41" t="str">
        <f t="shared" si="5"/>
        <v>8.20</v>
      </c>
      <c r="C30" s="95" t="s">
        <v>41</v>
      </c>
      <c r="D30" s="41" t="s">
        <v>72</v>
      </c>
      <c r="E30" s="41" t="s">
        <v>32</v>
      </c>
      <c r="F30" s="41" t="s">
        <v>51</v>
      </c>
      <c r="G30" s="41" t="s">
        <v>36</v>
      </c>
      <c r="H30" s="43">
        <v>10</v>
      </c>
      <c r="I30" s="41" t="s">
        <v>573</v>
      </c>
      <c r="J30" s="42" t="s">
        <v>113</v>
      </c>
      <c r="K30" s="42" t="s">
        <v>81</v>
      </c>
      <c r="L30" s="42" t="s">
        <v>36</v>
      </c>
      <c r="M30" s="42" t="s">
        <v>36</v>
      </c>
      <c r="N30" s="42" t="s">
        <v>36</v>
      </c>
      <c r="O30" s="42" t="s">
        <v>843</v>
      </c>
    </row>
    <row r="31" spans="1:16" ht="43.5" x14ac:dyDescent="0.35">
      <c r="A31" s="41">
        <v>21</v>
      </c>
      <c r="B31" s="41" t="str">
        <f t="shared" si="5"/>
        <v>8.21</v>
      </c>
      <c r="C31" s="95" t="s">
        <v>41</v>
      </c>
      <c r="D31" s="41" t="s">
        <v>73</v>
      </c>
      <c r="E31" s="41" t="s">
        <v>32</v>
      </c>
      <c r="F31" s="41" t="s">
        <v>51</v>
      </c>
      <c r="G31" s="41" t="s">
        <v>36</v>
      </c>
      <c r="H31" s="43">
        <v>20</v>
      </c>
      <c r="I31" s="41" t="s">
        <v>573</v>
      </c>
      <c r="J31" s="42" t="s">
        <v>113</v>
      </c>
      <c r="K31" s="42" t="s">
        <v>79</v>
      </c>
      <c r="L31" s="42" t="s">
        <v>114</v>
      </c>
      <c r="M31" s="42" t="s">
        <v>36</v>
      </c>
      <c r="N31" s="42" t="s">
        <v>36</v>
      </c>
      <c r="O31" s="42" t="s">
        <v>843</v>
      </c>
    </row>
    <row r="32" spans="1:16" ht="43.5" x14ac:dyDescent="0.35">
      <c r="A32" s="41">
        <v>22</v>
      </c>
      <c r="B32" s="41" t="str">
        <f t="shared" si="5"/>
        <v>8.22</v>
      </c>
      <c r="C32" s="95" t="s">
        <v>41</v>
      </c>
      <c r="D32" s="41" t="s">
        <v>74</v>
      </c>
      <c r="E32" s="41" t="s">
        <v>34</v>
      </c>
      <c r="F32" s="41" t="s">
        <v>51</v>
      </c>
      <c r="G32" s="41" t="s">
        <v>36</v>
      </c>
      <c r="H32" s="43">
        <v>15</v>
      </c>
      <c r="I32" s="41" t="s">
        <v>573</v>
      </c>
      <c r="J32" s="42" t="s">
        <v>113</v>
      </c>
      <c r="K32" s="42" t="s">
        <v>79</v>
      </c>
      <c r="L32" s="42" t="s">
        <v>119</v>
      </c>
      <c r="M32" s="42" t="s">
        <v>560</v>
      </c>
      <c r="N32" s="42" t="s">
        <v>36</v>
      </c>
      <c r="O32" s="42" t="s">
        <v>843</v>
      </c>
    </row>
    <row r="33" spans="1:16" ht="43.5" x14ac:dyDescent="0.35">
      <c r="A33" s="41">
        <v>23</v>
      </c>
      <c r="B33" s="41" t="str">
        <f>CONCATENATE($B$2, ".", A33)</f>
        <v>8.23</v>
      </c>
      <c r="C33" s="95" t="s">
        <v>41</v>
      </c>
      <c r="D33" s="41" t="s">
        <v>75</v>
      </c>
      <c r="E33" s="41" t="s">
        <v>32</v>
      </c>
      <c r="F33" s="41" t="s">
        <v>51</v>
      </c>
      <c r="G33" s="41" t="s">
        <v>36</v>
      </c>
      <c r="H33" s="43">
        <v>7</v>
      </c>
      <c r="I33" s="41" t="s">
        <v>573</v>
      </c>
      <c r="J33" s="42" t="s">
        <v>113</v>
      </c>
      <c r="K33" s="42" t="s">
        <v>79</v>
      </c>
      <c r="L33" s="42" t="s">
        <v>120</v>
      </c>
      <c r="M33" s="42" t="s">
        <v>36</v>
      </c>
      <c r="N33" s="42" t="s">
        <v>36</v>
      </c>
      <c r="O33" s="42" t="s">
        <v>843</v>
      </c>
    </row>
    <row r="34" spans="1:16" x14ac:dyDescent="0.35">
      <c r="A34" s="102"/>
      <c r="B34" s="98"/>
      <c r="C34" s="99"/>
      <c r="D34" s="98"/>
      <c r="E34" s="98"/>
      <c r="F34" s="98"/>
      <c r="G34" s="98"/>
      <c r="H34" s="100"/>
      <c r="I34" s="98"/>
      <c r="J34" s="101"/>
      <c r="K34" s="101"/>
      <c r="L34" s="101"/>
      <c r="M34" s="101"/>
      <c r="N34" s="101"/>
      <c r="O34" s="101"/>
      <c r="P34" s="98"/>
    </row>
    <row r="35" spans="1:16" ht="29" x14ac:dyDescent="0.35">
      <c r="A35" s="41">
        <v>24</v>
      </c>
      <c r="B35" s="41" t="str">
        <f t="shared" ref="B35:B36" si="6">CONCATENATE($B$2, ".", A35)</f>
        <v>8.24</v>
      </c>
      <c r="C35" s="50" t="s">
        <v>41</v>
      </c>
      <c r="D35" s="41" t="s">
        <v>59</v>
      </c>
      <c r="E35" s="41" t="s">
        <v>42</v>
      </c>
      <c r="F35" s="41" t="s">
        <v>36</v>
      </c>
      <c r="G35" s="41" t="s">
        <v>36</v>
      </c>
      <c r="H35" s="41" t="s">
        <v>36</v>
      </c>
      <c r="I35" s="41" t="s">
        <v>9</v>
      </c>
      <c r="J35" s="41" t="s">
        <v>36</v>
      </c>
      <c r="K35" s="41" t="s">
        <v>36</v>
      </c>
      <c r="L35" s="41" t="s">
        <v>36</v>
      </c>
      <c r="M35" s="41" t="s">
        <v>36</v>
      </c>
      <c r="N35" s="41" t="s">
        <v>36</v>
      </c>
      <c r="O35" s="42" t="s">
        <v>567</v>
      </c>
    </row>
    <row r="36" spans="1:16" ht="29" x14ac:dyDescent="0.35">
      <c r="A36" s="41">
        <v>25</v>
      </c>
      <c r="B36" s="41" t="str">
        <f t="shared" si="6"/>
        <v>8.25</v>
      </c>
      <c r="C36" s="50" t="s">
        <v>41</v>
      </c>
      <c r="D36" s="41" t="s">
        <v>58</v>
      </c>
      <c r="E36" s="41" t="s">
        <v>42</v>
      </c>
      <c r="F36" s="41" t="s">
        <v>36</v>
      </c>
      <c r="G36" s="41" t="s">
        <v>36</v>
      </c>
      <c r="H36" s="41" t="s">
        <v>36</v>
      </c>
      <c r="I36" s="41" t="s">
        <v>9</v>
      </c>
      <c r="J36" s="41" t="s">
        <v>36</v>
      </c>
      <c r="K36" s="41" t="s">
        <v>36</v>
      </c>
      <c r="L36" s="41" t="s">
        <v>36</v>
      </c>
      <c r="M36" s="41" t="s">
        <v>36</v>
      </c>
      <c r="N36" s="41" t="s">
        <v>36</v>
      </c>
      <c r="O36" s="42" t="s">
        <v>568</v>
      </c>
    </row>
  </sheetData>
  <mergeCells count="2">
    <mergeCell ref="B1:C1"/>
    <mergeCell ref="B4:C4"/>
  </mergeCells>
  <conditionalFormatting sqref="C28:C33 C35:C1048576 C7:C12">
    <cfRule type="cellIs" dxfId="435" priority="104" operator="equal">
      <formula>"WIP (see comments)"</formula>
    </cfRule>
    <cfRule type="cellIs" dxfId="434" priority="105" operator="equal">
      <formula>"Removed"</formula>
    </cfRule>
    <cfRule type="cellIs" dxfId="433" priority="106" operator="equal">
      <formula>"Updated"</formula>
    </cfRule>
    <cfRule type="cellIs" dxfId="432" priority="107" operator="equal">
      <formula>"New"</formula>
    </cfRule>
  </conditionalFormatting>
  <conditionalFormatting sqref="A1:B1 E1:XFD1 A2:XFD3 A4:B4 D4:XFD4 Q16:XFD21 A37:XFD1048576 P13:XFD15 Q25:XFD26 B28:N28 C29:C33 C35:XFD36 B11:C12 Q11:XFD12 Q28:XFD28 A5:XFD10">
    <cfRule type="cellIs" dxfId="431" priority="91" operator="equal">
      <formula>"n/a"</formula>
    </cfRule>
  </conditionalFormatting>
  <conditionalFormatting sqref="D1">
    <cfRule type="cellIs" dxfId="430" priority="78" operator="equal">
      <formula>"n/a"</formula>
    </cfRule>
  </conditionalFormatting>
  <conditionalFormatting sqref="B16:B21 D16:P21">
    <cfRule type="cellIs" dxfId="429" priority="77" operator="equal">
      <formula>"n/a"</formula>
    </cfRule>
  </conditionalFormatting>
  <conditionalFormatting sqref="C16:C21">
    <cfRule type="cellIs" dxfId="428" priority="73" operator="equal">
      <formula>"WIP (see comments)"</formula>
    </cfRule>
    <cfRule type="cellIs" dxfId="427" priority="74" operator="equal">
      <formula>"Removed"</formula>
    </cfRule>
    <cfRule type="cellIs" dxfId="426" priority="75" operator="equal">
      <formula>"Updated"</formula>
    </cfRule>
    <cfRule type="cellIs" dxfId="425" priority="76" operator="equal">
      <formula>"New"</formula>
    </cfRule>
  </conditionalFormatting>
  <conditionalFormatting sqref="C16:C21">
    <cfRule type="cellIs" dxfId="424" priority="72" operator="equal">
      <formula>"n/a"</formula>
    </cfRule>
  </conditionalFormatting>
  <conditionalFormatting sqref="Q29:XFD33">
    <cfRule type="cellIs" dxfId="423" priority="71" operator="equal">
      <formula>"n/a"</formula>
    </cfRule>
  </conditionalFormatting>
  <conditionalFormatting sqref="D29:H33 B29:B33 B35:B36 J29:N33 P30:P33">
    <cfRule type="cellIs" dxfId="422" priority="70" operator="equal">
      <formula>"n/a"</formula>
    </cfRule>
  </conditionalFormatting>
  <conditionalFormatting sqref="D13:O15 B13:B15">
    <cfRule type="cellIs" dxfId="421" priority="64" operator="equal">
      <formula>"n/a"</formula>
    </cfRule>
  </conditionalFormatting>
  <conditionalFormatting sqref="C13:C15">
    <cfRule type="cellIs" dxfId="420" priority="60" operator="equal">
      <formula>"WIP (see comments)"</formula>
    </cfRule>
    <cfRule type="cellIs" dxfId="419" priority="61" operator="equal">
      <formula>"Removed"</formula>
    </cfRule>
    <cfRule type="cellIs" dxfId="418" priority="62" operator="equal">
      <formula>"Updated"</formula>
    </cfRule>
    <cfRule type="cellIs" dxfId="417" priority="63" operator="equal">
      <formula>"New"</formula>
    </cfRule>
  </conditionalFormatting>
  <conditionalFormatting sqref="C13:C15">
    <cfRule type="cellIs" dxfId="416" priority="59" operator="equal">
      <formula>"n/a"</formula>
    </cfRule>
  </conditionalFormatting>
  <conditionalFormatting sqref="P27:XFD27">
    <cfRule type="cellIs" dxfId="415" priority="58" operator="equal">
      <formula>"n/a"</formula>
    </cfRule>
  </conditionalFormatting>
  <conditionalFormatting sqref="D27:O27 B27">
    <cfRule type="cellIs" dxfId="414" priority="57" operator="equal">
      <formula>"n/a"</formula>
    </cfRule>
  </conditionalFormatting>
  <conditionalFormatting sqref="C27">
    <cfRule type="cellIs" dxfId="413" priority="53" operator="equal">
      <formula>"WIP (see comments)"</formula>
    </cfRule>
    <cfRule type="cellIs" dxfId="412" priority="54" operator="equal">
      <formula>"Removed"</formula>
    </cfRule>
    <cfRule type="cellIs" dxfId="411" priority="55" operator="equal">
      <formula>"Updated"</formula>
    </cfRule>
    <cfRule type="cellIs" dxfId="410" priority="56" operator="equal">
      <formula>"New"</formula>
    </cfRule>
  </conditionalFormatting>
  <conditionalFormatting sqref="C27">
    <cfRule type="cellIs" dxfId="409" priority="52" operator="equal">
      <formula>"n/a"</formula>
    </cfRule>
  </conditionalFormatting>
  <conditionalFormatting sqref="C25:C26">
    <cfRule type="cellIs" dxfId="408" priority="38" operator="equal">
      <formula>"n/a"</formula>
    </cfRule>
  </conditionalFormatting>
  <conditionalFormatting sqref="C23">
    <cfRule type="cellIs" dxfId="407" priority="30" operator="equal">
      <formula>"n/a"</formula>
    </cfRule>
  </conditionalFormatting>
  <conditionalFormatting sqref="P22:XFD22">
    <cfRule type="cellIs" dxfId="406" priority="51" operator="equal">
      <formula>"n/a"</formula>
    </cfRule>
  </conditionalFormatting>
  <conditionalFormatting sqref="D22:O22 B22">
    <cfRule type="cellIs" dxfId="405" priority="50" operator="equal">
      <formula>"n/a"</formula>
    </cfRule>
  </conditionalFormatting>
  <conditionalFormatting sqref="C22">
    <cfRule type="cellIs" dxfId="404" priority="46" operator="equal">
      <formula>"WIP (see comments)"</formula>
    </cfRule>
    <cfRule type="cellIs" dxfId="403" priority="47" operator="equal">
      <formula>"Removed"</formula>
    </cfRule>
    <cfRule type="cellIs" dxfId="402" priority="48" operator="equal">
      <formula>"Updated"</formula>
    </cfRule>
    <cfRule type="cellIs" dxfId="401" priority="49" operator="equal">
      <formula>"New"</formula>
    </cfRule>
  </conditionalFormatting>
  <conditionalFormatting sqref="C22">
    <cfRule type="cellIs" dxfId="400" priority="45" operator="equal">
      <formula>"n/a"</formula>
    </cfRule>
  </conditionalFormatting>
  <conditionalFormatting sqref="P25:P26">
    <cfRule type="cellIs" dxfId="399" priority="44" operator="equal">
      <formula>"n/a"</formula>
    </cfRule>
  </conditionalFormatting>
  <conditionalFormatting sqref="B25:B26 D25:O26">
    <cfRule type="cellIs" dxfId="398" priority="43" operator="equal">
      <formula>"n/a"</formula>
    </cfRule>
  </conditionalFormatting>
  <conditionalFormatting sqref="C25:C26">
    <cfRule type="cellIs" dxfId="397" priority="39" operator="equal">
      <formula>"WIP (see comments)"</formula>
    </cfRule>
    <cfRule type="cellIs" dxfId="396" priority="40" operator="equal">
      <formula>"Removed"</formula>
    </cfRule>
    <cfRule type="cellIs" dxfId="395" priority="41" operator="equal">
      <formula>"Updated"</formula>
    </cfRule>
    <cfRule type="cellIs" dxfId="394" priority="42" operator="equal">
      <formula>"New"</formula>
    </cfRule>
  </conditionalFormatting>
  <conditionalFormatting sqref="O11">
    <cfRule type="cellIs" dxfId="393" priority="8" operator="equal">
      <formula>"n/a"</formula>
    </cfRule>
  </conditionalFormatting>
  <conditionalFormatting sqref="Q23:XFD23">
    <cfRule type="cellIs" dxfId="392" priority="37" operator="equal">
      <formula>"n/a"</formula>
    </cfRule>
  </conditionalFormatting>
  <conditionalFormatting sqref="P23">
    <cfRule type="cellIs" dxfId="391" priority="36" operator="equal">
      <formula>"n/a"</formula>
    </cfRule>
  </conditionalFormatting>
  <conditionalFormatting sqref="D23:O23 B23">
    <cfRule type="cellIs" dxfId="390" priority="35" operator="equal">
      <formula>"n/a"</formula>
    </cfRule>
  </conditionalFormatting>
  <conditionalFormatting sqref="C23">
    <cfRule type="cellIs" dxfId="389" priority="31" operator="equal">
      <formula>"WIP (see comments)"</formula>
    </cfRule>
    <cfRule type="cellIs" dxfId="388" priority="32" operator="equal">
      <formula>"Removed"</formula>
    </cfRule>
    <cfRule type="cellIs" dxfId="387" priority="33" operator="equal">
      <formula>"Updated"</formula>
    </cfRule>
    <cfRule type="cellIs" dxfId="386" priority="34" operator="equal">
      <formula>"New"</formula>
    </cfRule>
  </conditionalFormatting>
  <conditionalFormatting sqref="P24:XFD24">
    <cfRule type="cellIs" dxfId="385" priority="29" operator="equal">
      <formula>"n/a"</formula>
    </cfRule>
  </conditionalFormatting>
  <conditionalFormatting sqref="D24:O24 B24">
    <cfRule type="cellIs" dxfId="384" priority="28" operator="equal">
      <formula>"n/a"</formula>
    </cfRule>
  </conditionalFormatting>
  <conditionalFormatting sqref="C24">
    <cfRule type="cellIs" dxfId="383" priority="24" operator="equal">
      <formula>"WIP (see comments)"</formula>
    </cfRule>
    <cfRule type="cellIs" dxfId="382" priority="25" operator="equal">
      <formula>"Removed"</formula>
    </cfRule>
    <cfRule type="cellIs" dxfId="381" priority="26" operator="equal">
      <formula>"Updated"</formula>
    </cfRule>
    <cfRule type="cellIs" dxfId="380" priority="27" operator="equal">
      <formula>"New"</formula>
    </cfRule>
  </conditionalFormatting>
  <conditionalFormatting sqref="C24">
    <cfRule type="cellIs" dxfId="379" priority="23" operator="equal">
      <formula>"n/a"</formula>
    </cfRule>
  </conditionalFormatting>
  <conditionalFormatting sqref="P34:XFD34">
    <cfRule type="cellIs" dxfId="378" priority="17" operator="equal">
      <formula>"n/a"</formula>
    </cfRule>
  </conditionalFormatting>
  <conditionalFormatting sqref="D34:O34 B34">
    <cfRule type="cellIs" dxfId="377" priority="16" operator="equal">
      <formula>"n/a"</formula>
    </cfRule>
  </conditionalFormatting>
  <conditionalFormatting sqref="C34">
    <cfRule type="cellIs" dxfId="376" priority="12" operator="equal">
      <formula>"WIP (see comments)"</formula>
    </cfRule>
    <cfRule type="cellIs" dxfId="375" priority="13" operator="equal">
      <formula>"Removed"</formula>
    </cfRule>
    <cfRule type="cellIs" dxfId="374" priority="14" operator="equal">
      <formula>"Updated"</formula>
    </cfRule>
    <cfRule type="cellIs" dxfId="373" priority="15" operator="equal">
      <formula>"New"</formula>
    </cfRule>
  </conditionalFormatting>
  <conditionalFormatting sqref="C34">
    <cfRule type="cellIs" dxfId="372" priority="11" operator="equal">
      <formula>"n/a"</formula>
    </cfRule>
  </conditionalFormatting>
  <conditionalFormatting sqref="D11:N11 P11">
    <cfRule type="cellIs" dxfId="371" priority="10" operator="equal">
      <formula>"n/a"</formula>
    </cfRule>
  </conditionalFormatting>
  <conditionalFormatting sqref="D12:P12">
    <cfRule type="cellIs" dxfId="370" priority="9" operator="equal">
      <formula>"n/a"</formula>
    </cfRule>
  </conditionalFormatting>
  <conditionalFormatting sqref="P28:P29">
    <cfRule type="cellIs" dxfId="369" priority="7" operator="equal">
      <formula>"n/a"</formula>
    </cfRule>
  </conditionalFormatting>
  <conditionalFormatting sqref="I29">
    <cfRule type="cellIs" dxfId="368" priority="6" operator="equal">
      <formula>"n/a"</formula>
    </cfRule>
  </conditionalFormatting>
  <conditionalFormatting sqref="I30">
    <cfRule type="cellIs" dxfId="367" priority="5" operator="equal">
      <formula>"n/a"</formula>
    </cfRule>
  </conditionalFormatting>
  <conditionalFormatting sqref="I31">
    <cfRule type="cellIs" dxfId="366" priority="4" operator="equal">
      <formula>"n/a"</formula>
    </cfRule>
  </conditionalFormatting>
  <conditionalFormatting sqref="I32">
    <cfRule type="cellIs" dxfId="365" priority="3" operator="equal">
      <formula>"n/a"</formula>
    </cfRule>
  </conditionalFormatting>
  <conditionalFormatting sqref="I33">
    <cfRule type="cellIs" dxfId="364" priority="2" operator="equal">
      <formula>"n/a"</formula>
    </cfRule>
  </conditionalFormatting>
  <conditionalFormatting sqref="O28:O33">
    <cfRule type="cellIs" dxfId="36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C35:C1048576 C7:C10</xm:sqref>
        </x14:dataValidation>
        <x14:dataValidation type="list" allowBlank="1" showInputMessage="1" showErrorMessage="1">
          <x14:formula1>
            <xm:f>'List Values'!$B$5:$B$11</xm:f>
          </x14:formula1>
          <xm:sqref>C11:C34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5"/>
  <sheetViews>
    <sheetView zoomScaleNormal="100" workbookViewId="0">
      <pane xSplit="4" ySplit="6" topLeftCell="L22" activePane="bottomRight" state="frozen"/>
      <selection pane="topRight" activeCell="E1" sqref="E1"/>
      <selection pane="bottomLeft" activeCell="A7" sqref="A7"/>
      <selection pane="bottomRight" activeCell="P13" sqref="P13"/>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3" customFormat="1" ht="18.5" x14ac:dyDescent="0.35">
      <c r="A1" s="62" t="s">
        <v>6</v>
      </c>
      <c r="B1" s="131" t="s">
        <v>237</v>
      </c>
      <c r="C1" s="131"/>
      <c r="D1" s="131"/>
    </row>
    <row r="2" spans="1:16" s="63" customFormat="1" ht="18.5" x14ac:dyDescent="0.35">
      <c r="A2" s="62" t="s">
        <v>7</v>
      </c>
      <c r="B2" s="64">
        <v>9</v>
      </c>
      <c r="C2" s="65"/>
      <c r="D2" s="64"/>
    </row>
    <row r="3" spans="1:16" s="63" customFormat="1" ht="18.5" x14ac:dyDescent="0.35">
      <c r="A3" s="62" t="s">
        <v>43</v>
      </c>
      <c r="B3" s="64" t="s">
        <v>566</v>
      </c>
      <c r="C3" s="65"/>
      <c r="D3" s="64"/>
    </row>
    <row r="4" spans="1:16" s="63" customFormat="1" ht="18.5" x14ac:dyDescent="0.35">
      <c r="A4" s="62" t="s">
        <v>8</v>
      </c>
      <c r="B4" s="130" t="s">
        <v>46</v>
      </c>
      <c r="C4" s="130"/>
    </row>
    <row r="5" spans="1:16" s="66" customFormat="1" x14ac:dyDescent="0.35">
      <c r="C5" s="67"/>
    </row>
    <row r="6" spans="1:16" s="68" customFormat="1" ht="15" thickBot="1" x14ac:dyDescent="0.4">
      <c r="A6" s="68" t="s">
        <v>10</v>
      </c>
      <c r="B6" s="68" t="s">
        <v>11</v>
      </c>
      <c r="C6" s="69" t="s">
        <v>25</v>
      </c>
      <c r="D6" s="68" t="s">
        <v>24</v>
      </c>
      <c r="E6" s="68" t="s">
        <v>12</v>
      </c>
      <c r="F6" s="68" t="s">
        <v>13</v>
      </c>
      <c r="G6" s="68" t="s">
        <v>14</v>
      </c>
      <c r="H6" s="68" t="s">
        <v>15</v>
      </c>
      <c r="I6" s="68" t="s">
        <v>16</v>
      </c>
      <c r="J6" s="68" t="s">
        <v>17</v>
      </c>
      <c r="K6" s="68" t="s">
        <v>18</v>
      </c>
      <c r="L6" s="68" t="s">
        <v>19</v>
      </c>
      <c r="M6" s="68" t="s">
        <v>20</v>
      </c>
      <c r="N6" s="68" t="s">
        <v>21</v>
      </c>
      <c r="O6" s="68" t="s">
        <v>22</v>
      </c>
      <c r="P6" s="68" t="s">
        <v>23</v>
      </c>
    </row>
    <row r="7" spans="1:16" x14ac:dyDescent="0.35">
      <c r="A7" s="41">
        <v>1</v>
      </c>
      <c r="B7" s="41" t="str">
        <f t="shared" ref="B7:B12" si="0">CONCATENATE($B$2, ".", A7)</f>
        <v>9.1</v>
      </c>
      <c r="C7" s="50" t="s">
        <v>41</v>
      </c>
      <c r="D7" s="41" t="s">
        <v>237</v>
      </c>
      <c r="E7" s="41" t="s">
        <v>128</v>
      </c>
      <c r="F7" s="41" t="s">
        <v>36</v>
      </c>
      <c r="G7" s="41" t="s">
        <v>36</v>
      </c>
      <c r="H7" s="41" t="s">
        <v>36</v>
      </c>
      <c r="I7" s="41" t="s">
        <v>9</v>
      </c>
      <c r="J7" s="42" t="s">
        <v>36</v>
      </c>
      <c r="K7" s="42" t="s">
        <v>36</v>
      </c>
      <c r="L7" s="42" t="s">
        <v>36</v>
      </c>
      <c r="M7" s="42" t="s">
        <v>36</v>
      </c>
      <c r="N7" s="42" t="s">
        <v>36</v>
      </c>
      <c r="O7" s="42" t="s">
        <v>36</v>
      </c>
    </row>
    <row r="8" spans="1:16" x14ac:dyDescent="0.35">
      <c r="A8" s="41">
        <v>2</v>
      </c>
      <c r="B8" s="41" t="str">
        <f t="shared" si="0"/>
        <v>9.2</v>
      </c>
      <c r="C8" s="50" t="s">
        <v>41</v>
      </c>
      <c r="D8" s="41" t="s">
        <v>36</v>
      </c>
      <c r="E8" s="41" t="s">
        <v>48</v>
      </c>
      <c r="F8" s="41" t="s">
        <v>36</v>
      </c>
      <c r="G8" s="41" t="s">
        <v>36</v>
      </c>
      <c r="H8" s="41" t="s">
        <v>36</v>
      </c>
      <c r="I8" s="41" t="s">
        <v>9</v>
      </c>
      <c r="J8" s="42" t="s">
        <v>36</v>
      </c>
      <c r="K8" s="42" t="s">
        <v>36</v>
      </c>
      <c r="L8" s="42" t="s">
        <v>36</v>
      </c>
      <c r="M8" s="42" t="s">
        <v>36</v>
      </c>
      <c r="N8" s="42" t="s">
        <v>36</v>
      </c>
      <c r="O8" s="42" t="s">
        <v>36</v>
      </c>
      <c r="P8" s="41" t="s">
        <v>516</v>
      </c>
    </row>
    <row r="9" spans="1:16" ht="145" x14ac:dyDescent="0.35">
      <c r="A9" s="41">
        <v>3</v>
      </c>
      <c r="B9" s="41" t="str">
        <f t="shared" si="0"/>
        <v>9.3</v>
      </c>
      <c r="C9" s="50" t="s">
        <v>41</v>
      </c>
      <c r="D9" s="41" t="s">
        <v>575</v>
      </c>
      <c r="E9" s="41" t="s">
        <v>31</v>
      </c>
      <c r="F9" s="41" t="s">
        <v>576</v>
      </c>
      <c r="G9" s="41" t="s">
        <v>579</v>
      </c>
      <c r="H9" s="41" t="s">
        <v>36</v>
      </c>
      <c r="I9" s="41" t="s">
        <v>9</v>
      </c>
      <c r="J9" s="42" t="s">
        <v>577</v>
      </c>
      <c r="K9" s="42" t="s">
        <v>53</v>
      </c>
      <c r="L9" s="42" t="s">
        <v>578</v>
      </c>
      <c r="M9" s="42" t="s">
        <v>36</v>
      </c>
      <c r="N9" s="42" t="s">
        <v>36</v>
      </c>
      <c r="O9" s="42" t="s">
        <v>36</v>
      </c>
      <c r="P9" s="41" t="s">
        <v>614</v>
      </c>
    </row>
    <row r="10" spans="1:16" x14ac:dyDescent="0.35">
      <c r="A10" s="41">
        <v>4</v>
      </c>
      <c r="B10" s="41" t="str">
        <f t="shared" ref="B10" si="1">CONCATENATE($B$2, ".", A10)</f>
        <v>9.4</v>
      </c>
      <c r="C10" s="50" t="s">
        <v>41</v>
      </c>
      <c r="D10" s="41" t="s">
        <v>773</v>
      </c>
      <c r="E10" s="41" t="s">
        <v>28</v>
      </c>
      <c r="F10" s="41" t="s">
        <v>36</v>
      </c>
      <c r="G10" s="41" t="s">
        <v>36</v>
      </c>
      <c r="H10" s="41" t="s">
        <v>36</v>
      </c>
      <c r="I10" s="41" t="s">
        <v>9</v>
      </c>
      <c r="J10" s="42" t="s">
        <v>36</v>
      </c>
      <c r="K10" s="42" t="s">
        <v>36</v>
      </c>
      <c r="L10" s="42" t="s">
        <v>36</v>
      </c>
      <c r="M10" s="42" t="s">
        <v>36</v>
      </c>
      <c r="N10" s="42" t="s">
        <v>36</v>
      </c>
      <c r="O10" s="42" t="s">
        <v>36</v>
      </c>
    </row>
    <row r="11" spans="1:16" ht="87" x14ac:dyDescent="0.35">
      <c r="A11" s="41">
        <v>5</v>
      </c>
      <c r="B11" s="41" t="str">
        <f t="shared" si="0"/>
        <v>9.5</v>
      </c>
      <c r="C11" s="50" t="s">
        <v>41</v>
      </c>
      <c r="D11" s="41" t="s">
        <v>580</v>
      </c>
      <c r="E11" s="41" t="s">
        <v>34</v>
      </c>
      <c r="F11" s="41" t="s">
        <v>770</v>
      </c>
      <c r="G11" s="41" t="s">
        <v>589</v>
      </c>
      <c r="H11" s="41" t="s">
        <v>36</v>
      </c>
      <c r="I11" s="41" t="s">
        <v>9</v>
      </c>
      <c r="J11" s="42" t="s">
        <v>577</v>
      </c>
      <c r="K11" s="42" t="s">
        <v>53</v>
      </c>
      <c r="L11" s="42" t="s">
        <v>591</v>
      </c>
      <c r="M11" s="42" t="s">
        <v>776</v>
      </c>
      <c r="N11" s="42" t="s">
        <v>36</v>
      </c>
      <c r="O11" s="42" t="s">
        <v>864</v>
      </c>
    </row>
    <row r="12" spans="1:16" ht="87" x14ac:dyDescent="0.35">
      <c r="A12" s="41">
        <v>6</v>
      </c>
      <c r="B12" s="41" t="str">
        <f t="shared" si="0"/>
        <v>9.6</v>
      </c>
      <c r="C12" s="50" t="s">
        <v>41</v>
      </c>
      <c r="D12" s="41" t="s">
        <v>765</v>
      </c>
      <c r="E12" s="41" t="s">
        <v>34</v>
      </c>
      <c r="F12" s="41" t="s">
        <v>771</v>
      </c>
      <c r="G12" s="41" t="s">
        <v>766</v>
      </c>
      <c r="H12" s="41" t="s">
        <v>36</v>
      </c>
      <c r="I12" s="41" t="s">
        <v>9</v>
      </c>
      <c r="J12" s="42" t="s">
        <v>577</v>
      </c>
      <c r="K12" s="42" t="s">
        <v>53</v>
      </c>
      <c r="L12" s="42" t="s">
        <v>767</v>
      </c>
      <c r="M12" s="42" t="s">
        <v>777</v>
      </c>
      <c r="N12" s="42" t="s">
        <v>36</v>
      </c>
      <c r="O12" s="42" t="s">
        <v>779</v>
      </c>
    </row>
    <row r="13" spans="1:16" ht="87" x14ac:dyDescent="0.35">
      <c r="A13" s="41">
        <v>7</v>
      </c>
      <c r="B13" s="41" t="str">
        <f t="shared" ref="B13" si="2">CONCATENATE($B$2, ".", A13)</f>
        <v>9.7</v>
      </c>
      <c r="C13" s="50" t="s">
        <v>41</v>
      </c>
      <c r="D13" s="41" t="s">
        <v>581</v>
      </c>
      <c r="E13" s="41" t="s">
        <v>34</v>
      </c>
      <c r="F13" s="41" t="s">
        <v>772</v>
      </c>
      <c r="G13" s="41" t="s">
        <v>590</v>
      </c>
      <c r="H13" s="41" t="s">
        <v>36</v>
      </c>
      <c r="I13" s="41" t="s">
        <v>9</v>
      </c>
      <c r="J13" s="42" t="s">
        <v>577</v>
      </c>
      <c r="K13" s="42" t="s">
        <v>53</v>
      </c>
      <c r="L13" s="42" t="s">
        <v>592</v>
      </c>
      <c r="M13" s="42" t="s">
        <v>778</v>
      </c>
      <c r="N13" s="42" t="s">
        <v>36</v>
      </c>
      <c r="O13" s="42" t="s">
        <v>791</v>
      </c>
      <c r="P13" s="41" t="s">
        <v>865</v>
      </c>
    </row>
    <row r="14" spans="1:16" x14ac:dyDescent="0.35">
      <c r="A14" s="41">
        <v>8</v>
      </c>
      <c r="B14" s="41" t="str">
        <f t="shared" ref="B14" si="3">CONCATENATE($B$2, ".", A14)</f>
        <v>9.8</v>
      </c>
      <c r="C14" s="50" t="s">
        <v>41</v>
      </c>
      <c r="D14" s="41" t="s">
        <v>774</v>
      </c>
      <c r="E14" s="41" t="s">
        <v>28</v>
      </c>
      <c r="F14" s="41" t="s">
        <v>36</v>
      </c>
      <c r="G14" s="41" t="s">
        <v>36</v>
      </c>
      <c r="H14" s="41" t="s">
        <v>36</v>
      </c>
      <c r="I14" s="41" t="s">
        <v>9</v>
      </c>
      <c r="J14" s="42" t="s">
        <v>36</v>
      </c>
      <c r="K14" s="42" t="s">
        <v>36</v>
      </c>
      <c r="L14" s="42" t="s">
        <v>36</v>
      </c>
      <c r="M14" s="42" t="s">
        <v>36</v>
      </c>
      <c r="N14" s="42" t="s">
        <v>36</v>
      </c>
      <c r="O14" s="42" t="s">
        <v>36</v>
      </c>
    </row>
    <row r="15" spans="1:16" ht="29" x14ac:dyDescent="0.35">
      <c r="A15" s="41">
        <v>9</v>
      </c>
      <c r="B15" s="41" t="str">
        <f t="shared" ref="B15:B17" si="4">CONCATENATE($B$2, ".", A15)</f>
        <v>9.9</v>
      </c>
      <c r="C15" s="50" t="s">
        <v>41</v>
      </c>
      <c r="D15" s="41" t="s">
        <v>582</v>
      </c>
      <c r="E15" s="41" t="s">
        <v>32</v>
      </c>
      <c r="F15" s="41" t="s">
        <v>583</v>
      </c>
      <c r="G15" s="41" t="s">
        <v>36</v>
      </c>
      <c r="H15" s="41" t="s">
        <v>584</v>
      </c>
      <c r="I15" s="41" t="s">
        <v>9</v>
      </c>
      <c r="J15" s="41" t="s">
        <v>113</v>
      </c>
      <c r="K15" s="41" t="s">
        <v>87</v>
      </c>
      <c r="L15" s="41" t="s">
        <v>36</v>
      </c>
      <c r="M15" s="41" t="s">
        <v>436</v>
      </c>
      <c r="N15" s="41" t="s">
        <v>36</v>
      </c>
      <c r="O15" s="42" t="s">
        <v>585</v>
      </c>
    </row>
    <row r="16" spans="1:16" x14ac:dyDescent="0.35">
      <c r="A16" s="41">
        <v>10</v>
      </c>
      <c r="B16" s="41" t="str">
        <f t="shared" si="4"/>
        <v>9.10</v>
      </c>
      <c r="C16" s="50" t="s">
        <v>41</v>
      </c>
      <c r="D16" s="41" t="s">
        <v>588</v>
      </c>
      <c r="E16" s="41" t="s">
        <v>586</v>
      </c>
      <c r="F16" s="41" t="s">
        <v>593</v>
      </c>
      <c r="G16" s="41" t="s">
        <v>36</v>
      </c>
      <c r="H16" s="41" t="s">
        <v>36</v>
      </c>
      <c r="I16" s="41" t="s">
        <v>9</v>
      </c>
      <c r="J16" s="41" t="s">
        <v>577</v>
      </c>
      <c r="K16" s="41" t="s">
        <v>87</v>
      </c>
      <c r="L16" s="41" t="s">
        <v>36</v>
      </c>
      <c r="M16" s="41" t="s">
        <v>36</v>
      </c>
      <c r="N16" s="41" t="s">
        <v>36</v>
      </c>
      <c r="O16" s="41" t="s">
        <v>36</v>
      </c>
    </row>
    <row r="17" spans="1:16" x14ac:dyDescent="0.35">
      <c r="A17" s="41">
        <v>11</v>
      </c>
      <c r="B17" s="41" t="str">
        <f t="shared" si="4"/>
        <v>9.11</v>
      </c>
      <c r="C17" s="50" t="s">
        <v>41</v>
      </c>
      <c r="D17" s="41" t="s">
        <v>594</v>
      </c>
      <c r="E17" s="41" t="s">
        <v>28</v>
      </c>
      <c r="F17" s="41" t="s">
        <v>36</v>
      </c>
      <c r="G17" s="41" t="s">
        <v>36</v>
      </c>
      <c r="H17" s="41" t="s">
        <v>36</v>
      </c>
      <c r="I17" s="41" t="s">
        <v>9</v>
      </c>
      <c r="J17" s="41" t="s">
        <v>36</v>
      </c>
      <c r="K17" s="41" t="s">
        <v>36</v>
      </c>
      <c r="L17" s="41" t="s">
        <v>36</v>
      </c>
      <c r="M17" s="41" t="s">
        <v>36</v>
      </c>
      <c r="N17" s="41" t="s">
        <v>36</v>
      </c>
      <c r="O17" s="41" t="s">
        <v>36</v>
      </c>
    </row>
    <row r="18" spans="1:16" ht="87" x14ac:dyDescent="0.35">
      <c r="A18" s="41">
        <v>12</v>
      </c>
      <c r="B18" s="41" t="str">
        <f t="shared" ref="B18" si="5">CONCATENATE($B$2, ".", A18)</f>
        <v>9.12</v>
      </c>
      <c r="C18" s="50" t="s">
        <v>41</v>
      </c>
      <c r="D18" s="41" t="s">
        <v>595</v>
      </c>
      <c r="E18" s="41" t="s">
        <v>34</v>
      </c>
      <c r="F18" s="41" t="s">
        <v>597</v>
      </c>
      <c r="G18" s="41" t="s">
        <v>600</v>
      </c>
      <c r="H18" s="41" t="s">
        <v>36</v>
      </c>
      <c r="I18" s="41" t="s">
        <v>9</v>
      </c>
      <c r="J18" s="41" t="s">
        <v>577</v>
      </c>
      <c r="K18" s="41" t="s">
        <v>391</v>
      </c>
      <c r="L18" s="41" t="s">
        <v>596</v>
      </c>
      <c r="M18" s="41" t="s">
        <v>36</v>
      </c>
      <c r="N18" s="41" t="s">
        <v>36</v>
      </c>
      <c r="O18" s="41" t="s">
        <v>601</v>
      </c>
    </row>
    <row r="19" spans="1:16" ht="87" x14ac:dyDescent="0.35">
      <c r="A19" s="41">
        <v>13</v>
      </c>
      <c r="B19" s="41" t="str">
        <f t="shared" ref="B19" si="6">CONCATENATE($B$2, ".", A19)</f>
        <v>9.13</v>
      </c>
      <c r="C19" s="50" t="s">
        <v>41</v>
      </c>
      <c r="D19" s="41" t="s">
        <v>598</v>
      </c>
      <c r="E19" s="41" t="s">
        <v>32</v>
      </c>
      <c r="F19" s="41" t="s">
        <v>51</v>
      </c>
      <c r="G19" s="41" t="s">
        <v>599</v>
      </c>
      <c r="H19" s="43">
        <v>20</v>
      </c>
      <c r="I19" s="41" t="s">
        <v>9</v>
      </c>
      <c r="J19" s="41" t="s">
        <v>113</v>
      </c>
      <c r="K19" s="41" t="s">
        <v>391</v>
      </c>
      <c r="L19" s="41" t="s">
        <v>599</v>
      </c>
      <c r="M19" s="41" t="s">
        <v>436</v>
      </c>
      <c r="N19" s="41" t="s">
        <v>36</v>
      </c>
      <c r="O19" s="41" t="s">
        <v>602</v>
      </c>
      <c r="P19" s="41" t="s">
        <v>604</v>
      </c>
    </row>
    <row r="20" spans="1:16" ht="87" x14ac:dyDescent="0.35">
      <c r="A20" s="41">
        <v>14</v>
      </c>
      <c r="B20" s="41" t="str">
        <f t="shared" ref="B20:B22" si="7">CONCATENATE($B$2, ".", A20)</f>
        <v>9.14</v>
      </c>
      <c r="C20" s="50" t="s">
        <v>41</v>
      </c>
      <c r="D20" s="41" t="s">
        <v>603</v>
      </c>
      <c r="E20" s="41" t="s">
        <v>31</v>
      </c>
      <c r="F20" s="41" t="s">
        <v>60</v>
      </c>
      <c r="G20" s="41" t="s">
        <v>605</v>
      </c>
      <c r="H20" s="41" t="s">
        <v>36</v>
      </c>
      <c r="I20" s="41" t="s">
        <v>9</v>
      </c>
      <c r="J20" s="41" t="s">
        <v>577</v>
      </c>
      <c r="K20" s="41" t="s">
        <v>53</v>
      </c>
      <c r="L20" s="41" t="s">
        <v>606</v>
      </c>
      <c r="M20" s="41" t="s">
        <v>36</v>
      </c>
      <c r="N20" s="41" t="s">
        <v>36</v>
      </c>
      <c r="O20" s="41" t="s">
        <v>768</v>
      </c>
    </row>
    <row r="21" spans="1:16" ht="58" x14ac:dyDescent="0.35">
      <c r="A21" s="41">
        <v>15</v>
      </c>
      <c r="B21" s="41" t="str">
        <f t="shared" si="7"/>
        <v>9.15</v>
      </c>
      <c r="C21" s="50" t="s">
        <v>41</v>
      </c>
      <c r="D21" s="41" t="s">
        <v>609</v>
      </c>
      <c r="E21" s="41" t="s">
        <v>34</v>
      </c>
      <c r="F21" s="41" t="s">
        <v>597</v>
      </c>
      <c r="G21" s="41" t="s">
        <v>36</v>
      </c>
      <c r="H21" s="41" t="s">
        <v>36</v>
      </c>
      <c r="I21" s="41" t="s">
        <v>610</v>
      </c>
      <c r="J21" s="41" t="s">
        <v>577</v>
      </c>
      <c r="K21" s="41" t="s">
        <v>391</v>
      </c>
      <c r="L21" s="41" t="s">
        <v>607</v>
      </c>
      <c r="M21" s="41" t="s">
        <v>36</v>
      </c>
      <c r="N21" s="41" t="s">
        <v>36</v>
      </c>
      <c r="O21" s="41" t="s">
        <v>769</v>
      </c>
    </row>
    <row r="22" spans="1:16" ht="58" x14ac:dyDescent="0.35">
      <c r="A22" s="41">
        <v>16</v>
      </c>
      <c r="B22" s="41" t="str">
        <f t="shared" si="7"/>
        <v>9.16</v>
      </c>
      <c r="C22" s="50" t="s">
        <v>41</v>
      </c>
      <c r="D22" s="41" t="s">
        <v>598</v>
      </c>
      <c r="E22" s="41" t="s">
        <v>32</v>
      </c>
      <c r="F22" s="41" t="s">
        <v>51</v>
      </c>
      <c r="G22" s="41" t="s">
        <v>36</v>
      </c>
      <c r="H22" s="43">
        <v>20</v>
      </c>
      <c r="I22" s="41" t="s">
        <v>610</v>
      </c>
      <c r="J22" s="41" t="s">
        <v>113</v>
      </c>
      <c r="K22" s="41" t="s">
        <v>391</v>
      </c>
      <c r="L22" s="41" t="s">
        <v>608</v>
      </c>
      <c r="M22" s="41" t="s">
        <v>436</v>
      </c>
      <c r="N22" s="41" t="s">
        <v>36</v>
      </c>
      <c r="O22" s="41" t="s">
        <v>769</v>
      </c>
      <c r="P22" s="41" t="s">
        <v>604</v>
      </c>
    </row>
    <row r="23" spans="1:16" ht="101.5" x14ac:dyDescent="0.35">
      <c r="A23" s="41">
        <v>17</v>
      </c>
      <c r="B23" s="41" t="str">
        <f t="shared" ref="B23" si="8">CONCATENATE($B$2, ".", A23)</f>
        <v>9.17</v>
      </c>
      <c r="C23" s="50" t="s">
        <v>41</v>
      </c>
      <c r="D23" s="41" t="s">
        <v>612</v>
      </c>
      <c r="E23" s="41" t="s">
        <v>32</v>
      </c>
      <c r="F23" s="41" t="s">
        <v>51</v>
      </c>
      <c r="G23" s="41" t="s">
        <v>611</v>
      </c>
      <c r="H23" s="43">
        <v>15</v>
      </c>
      <c r="I23" s="41" t="s">
        <v>9</v>
      </c>
      <c r="J23" s="41" t="s">
        <v>113</v>
      </c>
      <c r="K23" s="41" t="s">
        <v>87</v>
      </c>
      <c r="L23" s="41" t="s">
        <v>36</v>
      </c>
      <c r="M23" s="41" t="s">
        <v>436</v>
      </c>
      <c r="N23" s="41" t="s">
        <v>36</v>
      </c>
      <c r="O23" s="41" t="s">
        <v>36</v>
      </c>
    </row>
    <row r="24" spans="1:16" ht="43.5" x14ac:dyDescent="0.35">
      <c r="A24" s="41">
        <v>18</v>
      </c>
      <c r="B24" s="41" t="str">
        <f t="shared" ref="B24:B25" si="9">CONCATENATE($B$2, ".", A24)</f>
        <v>9.18</v>
      </c>
      <c r="C24" s="50" t="s">
        <v>41</v>
      </c>
      <c r="D24" s="41" t="s">
        <v>59</v>
      </c>
      <c r="E24" s="41" t="s">
        <v>42</v>
      </c>
      <c r="F24" s="41" t="s">
        <v>36</v>
      </c>
      <c r="G24" s="41" t="s">
        <v>36</v>
      </c>
      <c r="H24" s="41" t="s">
        <v>36</v>
      </c>
      <c r="I24" s="41" t="s">
        <v>9</v>
      </c>
      <c r="J24" s="41" t="s">
        <v>36</v>
      </c>
      <c r="K24" s="41" t="s">
        <v>36</v>
      </c>
      <c r="L24" s="41" t="s">
        <v>36</v>
      </c>
      <c r="M24" s="41" t="s">
        <v>36</v>
      </c>
      <c r="N24" s="41" t="s">
        <v>36</v>
      </c>
      <c r="O24" s="42" t="s">
        <v>844</v>
      </c>
      <c r="P24" s="41" t="s">
        <v>845</v>
      </c>
    </row>
    <row r="25" spans="1:16" x14ac:dyDescent="0.35">
      <c r="A25" s="41">
        <v>19</v>
      </c>
      <c r="B25" s="41" t="str">
        <f t="shared" si="9"/>
        <v>9.19</v>
      </c>
      <c r="C25" s="50" t="s">
        <v>41</v>
      </c>
      <c r="D25" s="41" t="s">
        <v>58</v>
      </c>
      <c r="E25" s="41" t="s">
        <v>42</v>
      </c>
      <c r="F25" s="41" t="s">
        <v>36</v>
      </c>
      <c r="G25" s="41" t="s">
        <v>36</v>
      </c>
      <c r="H25" s="41" t="s">
        <v>36</v>
      </c>
      <c r="I25" s="41" t="s">
        <v>9</v>
      </c>
      <c r="J25" s="41" t="s">
        <v>36</v>
      </c>
      <c r="K25" s="41" t="s">
        <v>36</v>
      </c>
      <c r="L25" s="41" t="s">
        <v>36</v>
      </c>
      <c r="M25" s="41" t="s">
        <v>36</v>
      </c>
      <c r="N25" s="41" t="s">
        <v>36</v>
      </c>
      <c r="O25" s="42" t="s">
        <v>613</v>
      </c>
    </row>
  </sheetData>
  <mergeCells count="2">
    <mergeCell ref="B4:C4"/>
    <mergeCell ref="B1:D1"/>
  </mergeCells>
  <conditionalFormatting sqref="C8:C1048576">
    <cfRule type="cellIs" dxfId="362" priority="7" operator="equal">
      <formula>"WIP (see comments)"</formula>
    </cfRule>
    <cfRule type="cellIs" dxfId="361" priority="8" operator="equal">
      <formula>"Removed"</formula>
    </cfRule>
    <cfRule type="cellIs" dxfId="360" priority="9" operator="equal">
      <formula>"Updated"</formula>
    </cfRule>
    <cfRule type="cellIs" dxfId="359" priority="10" operator="equal">
      <formula>"New"</formula>
    </cfRule>
  </conditionalFormatting>
  <conditionalFormatting sqref="C7:C25">
    <cfRule type="cellIs" dxfId="358" priority="3" operator="equal">
      <formula>"WIP (see comments)"</formula>
    </cfRule>
    <cfRule type="cellIs" dxfId="357" priority="4" operator="equal">
      <formula>"Removed"</formula>
    </cfRule>
    <cfRule type="cellIs" dxfId="356" priority="5" operator="equal">
      <formula>"Updated"</formula>
    </cfRule>
    <cfRule type="cellIs" dxfId="355" priority="6" operator="equal">
      <formula>"New"</formula>
    </cfRule>
  </conditionalFormatting>
  <conditionalFormatting sqref="A1:B1 E1:XFD1 A2:XFD3 A4:B4 D4:XFD4 A27:XFD1048576 A26:N26 P26:XFD26 A5:XFD25">
    <cfRule type="cellIs" dxfId="354"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2" t="s">
        <v>239</v>
      </c>
      <c r="C1" s="132"/>
      <c r="D1" s="132"/>
    </row>
    <row r="2" spans="1:16" s="32" customFormat="1" ht="18.5" x14ac:dyDescent="0.35">
      <c r="A2" s="30" t="s">
        <v>7</v>
      </c>
      <c r="B2" s="38">
        <v>10</v>
      </c>
      <c r="C2" s="37"/>
      <c r="D2" s="38"/>
    </row>
    <row r="3" spans="1:16" s="32" customFormat="1" ht="18.5" x14ac:dyDescent="0.35">
      <c r="A3" s="30" t="s">
        <v>43</v>
      </c>
      <c r="B3" s="38" t="s">
        <v>292</v>
      </c>
      <c r="C3" s="37"/>
      <c r="D3" s="87" t="s">
        <v>298</v>
      </c>
    </row>
    <row r="4" spans="1:16" s="32" customFormat="1" ht="18.5" x14ac:dyDescent="0.35">
      <c r="A4" s="30" t="s">
        <v>8</v>
      </c>
      <c r="B4" s="133" t="s">
        <v>46</v>
      </c>
      <c r="C4" s="133"/>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51" customFormat="1" x14ac:dyDescent="0.35">
      <c r="A7" s="51">
        <v>1</v>
      </c>
      <c r="B7" s="51" t="str">
        <f>CONCATENATE($B$2, ".", A7)</f>
        <v>10.1</v>
      </c>
      <c r="C7" s="52" t="s">
        <v>37</v>
      </c>
      <c r="D7" s="53" t="s">
        <v>367</v>
      </c>
      <c r="E7" s="51" t="s">
        <v>28</v>
      </c>
      <c r="F7" s="51" t="s">
        <v>36</v>
      </c>
      <c r="G7" s="51" t="s">
        <v>36</v>
      </c>
      <c r="H7" s="51" t="s">
        <v>36</v>
      </c>
      <c r="I7" s="53" t="s">
        <v>9</v>
      </c>
      <c r="J7" s="51" t="s">
        <v>36</v>
      </c>
      <c r="K7" s="51" t="s">
        <v>36</v>
      </c>
      <c r="L7" s="51" t="s">
        <v>36</v>
      </c>
      <c r="M7" s="51" t="s">
        <v>36</v>
      </c>
      <c r="N7" s="51" t="s">
        <v>36</v>
      </c>
      <c r="O7" s="51" t="s">
        <v>36</v>
      </c>
    </row>
    <row r="8" spans="1:16" s="51" customFormat="1" ht="29" x14ac:dyDescent="0.35">
      <c r="A8" s="51">
        <v>2</v>
      </c>
      <c r="B8" s="51" t="str">
        <f t="shared" ref="B8:B13" si="0">CONCATENATE($B$2, ".", A8)</f>
        <v>10.2</v>
      </c>
      <c r="C8" s="89" t="s">
        <v>44</v>
      </c>
      <c r="D8" s="53" t="s">
        <v>36</v>
      </c>
      <c r="E8" s="53" t="s">
        <v>48</v>
      </c>
      <c r="F8" s="51" t="s">
        <v>36</v>
      </c>
      <c r="G8" s="51" t="s">
        <v>36</v>
      </c>
      <c r="H8" s="51" t="s">
        <v>36</v>
      </c>
      <c r="I8" s="53" t="s">
        <v>9</v>
      </c>
      <c r="J8" s="51" t="s">
        <v>36</v>
      </c>
      <c r="K8" s="51" t="s">
        <v>36</v>
      </c>
      <c r="L8" s="51" t="s">
        <v>36</v>
      </c>
      <c r="M8" s="51" t="s">
        <v>36</v>
      </c>
      <c r="N8" s="51" t="s">
        <v>36</v>
      </c>
      <c r="O8" s="51" t="s">
        <v>36</v>
      </c>
      <c r="P8" s="51" t="s">
        <v>485</v>
      </c>
    </row>
    <row r="9" spans="1:16" s="51" customFormat="1" ht="84.75" customHeight="1" x14ac:dyDescent="0.35">
      <c r="A9" s="51">
        <v>3</v>
      </c>
      <c r="B9" s="51" t="str">
        <f t="shared" si="0"/>
        <v>10.3</v>
      </c>
      <c r="C9" s="89" t="s">
        <v>37</v>
      </c>
      <c r="D9" s="53" t="s">
        <v>504</v>
      </c>
      <c r="E9" s="53" t="s">
        <v>33</v>
      </c>
      <c r="F9" s="51" t="s">
        <v>36</v>
      </c>
      <c r="G9" s="51" t="s">
        <v>36</v>
      </c>
      <c r="H9" s="51" t="s">
        <v>36</v>
      </c>
      <c r="I9" s="53" t="s">
        <v>9</v>
      </c>
      <c r="J9" s="51" t="s">
        <v>36</v>
      </c>
      <c r="K9" s="51" t="s">
        <v>36</v>
      </c>
      <c r="L9" s="51" t="s">
        <v>36</v>
      </c>
      <c r="M9" s="51" t="s">
        <v>36</v>
      </c>
      <c r="N9" s="51" t="s">
        <v>36</v>
      </c>
      <c r="O9" s="51" t="s">
        <v>36</v>
      </c>
    </row>
    <row r="10" spans="1:16" ht="99" customHeight="1" x14ac:dyDescent="0.35">
      <c r="A10" s="6">
        <v>4</v>
      </c>
      <c r="B10" s="51" t="str">
        <f t="shared" si="0"/>
        <v>10.4</v>
      </c>
      <c r="C10" s="89" t="s">
        <v>39</v>
      </c>
      <c r="D10" s="6" t="s">
        <v>36</v>
      </c>
      <c r="E10" s="6" t="s">
        <v>164</v>
      </c>
      <c r="F10" s="51" t="s">
        <v>36</v>
      </c>
      <c r="G10" s="51" t="s">
        <v>36</v>
      </c>
      <c r="H10" s="51" t="s">
        <v>36</v>
      </c>
      <c r="I10" s="53" t="s">
        <v>9</v>
      </c>
      <c r="J10" s="51" t="s">
        <v>36</v>
      </c>
      <c r="K10" s="134" t="s">
        <v>167</v>
      </c>
      <c r="L10" s="135" t="s">
        <v>168</v>
      </c>
      <c r="M10" s="51" t="s">
        <v>36</v>
      </c>
      <c r="N10" s="51" t="s">
        <v>36</v>
      </c>
      <c r="O10" s="42" t="s">
        <v>169</v>
      </c>
    </row>
    <row r="11" spans="1:16" ht="57.75" customHeight="1" x14ac:dyDescent="0.35">
      <c r="A11" s="6">
        <v>5</v>
      </c>
      <c r="B11" s="6" t="str">
        <f t="shared" si="0"/>
        <v>10.5</v>
      </c>
      <c r="C11" s="89" t="s">
        <v>39</v>
      </c>
      <c r="D11" s="6" t="s">
        <v>165</v>
      </c>
      <c r="E11" s="6" t="s">
        <v>29</v>
      </c>
      <c r="F11" s="6" t="s">
        <v>62</v>
      </c>
      <c r="G11" s="51" t="s">
        <v>36</v>
      </c>
      <c r="H11" s="51" t="s">
        <v>36</v>
      </c>
      <c r="I11" s="53" t="s">
        <v>9</v>
      </c>
      <c r="J11" s="5" t="s">
        <v>166</v>
      </c>
      <c r="K11" s="134"/>
      <c r="L11" s="135"/>
      <c r="M11" s="51" t="s">
        <v>36</v>
      </c>
      <c r="N11" s="51" t="s">
        <v>36</v>
      </c>
      <c r="O11" s="42" t="s">
        <v>170</v>
      </c>
    </row>
    <row r="12" spans="1:16" ht="57.75" customHeight="1" x14ac:dyDescent="0.35">
      <c r="A12" s="6">
        <v>6</v>
      </c>
      <c r="B12" s="6" t="str">
        <f t="shared" si="0"/>
        <v>10.6</v>
      </c>
      <c r="C12" s="89" t="s">
        <v>39</v>
      </c>
      <c r="D12" s="6" t="s">
        <v>193</v>
      </c>
      <c r="E12" s="6" t="s">
        <v>33</v>
      </c>
      <c r="F12" s="6" t="s">
        <v>36</v>
      </c>
      <c r="G12" s="51" t="s">
        <v>36</v>
      </c>
      <c r="H12" s="51" t="s">
        <v>36</v>
      </c>
      <c r="I12" s="53" t="s">
        <v>9</v>
      </c>
      <c r="J12" s="5" t="s">
        <v>36</v>
      </c>
      <c r="K12" s="5" t="s">
        <v>36</v>
      </c>
      <c r="L12" s="5" t="s">
        <v>36</v>
      </c>
      <c r="M12" s="5" t="s">
        <v>36</v>
      </c>
      <c r="N12" s="5" t="s">
        <v>36</v>
      </c>
      <c r="O12" s="5" t="s">
        <v>36</v>
      </c>
    </row>
    <row r="13" spans="1:16" ht="57.75" customHeight="1" x14ac:dyDescent="0.35">
      <c r="A13" s="6">
        <v>7</v>
      </c>
      <c r="B13" s="6" t="str">
        <f t="shared" si="0"/>
        <v>10.7</v>
      </c>
      <c r="C13" s="89" t="s">
        <v>39</v>
      </c>
      <c r="D13" s="6" t="s">
        <v>215</v>
      </c>
      <c r="E13" s="6" t="s">
        <v>127</v>
      </c>
      <c r="F13" s="6" t="s">
        <v>36</v>
      </c>
      <c r="G13" s="51" t="s">
        <v>36</v>
      </c>
      <c r="H13" s="51" t="s">
        <v>36</v>
      </c>
      <c r="I13" s="53" t="s">
        <v>9</v>
      </c>
      <c r="J13" s="5" t="s">
        <v>36</v>
      </c>
      <c r="K13" s="5" t="s">
        <v>36</v>
      </c>
      <c r="L13" s="5" t="s">
        <v>36</v>
      </c>
      <c r="M13" s="5" t="s">
        <v>36</v>
      </c>
      <c r="N13" s="5" t="s">
        <v>36</v>
      </c>
      <c r="O13" s="5" t="s">
        <v>36</v>
      </c>
    </row>
    <row r="14" spans="1:16" ht="29" x14ac:dyDescent="0.35">
      <c r="A14" s="6">
        <v>8</v>
      </c>
      <c r="B14" s="6" t="str">
        <f>CONCATENATE($B$2, ".", A14)</f>
        <v>10.8</v>
      </c>
      <c r="C14" s="89" t="s">
        <v>39</v>
      </c>
      <c r="D14" s="6" t="s">
        <v>59</v>
      </c>
      <c r="E14" s="6" t="s">
        <v>42</v>
      </c>
      <c r="F14" s="6" t="s">
        <v>36</v>
      </c>
      <c r="G14" s="6" t="s">
        <v>36</v>
      </c>
      <c r="H14" s="6" t="s">
        <v>36</v>
      </c>
      <c r="I14" s="6" t="s">
        <v>9</v>
      </c>
      <c r="J14" s="6" t="s">
        <v>36</v>
      </c>
      <c r="K14" s="6" t="s">
        <v>36</v>
      </c>
      <c r="L14" s="6" t="s">
        <v>36</v>
      </c>
      <c r="M14" s="6" t="s">
        <v>36</v>
      </c>
      <c r="N14" s="6" t="s">
        <v>36</v>
      </c>
      <c r="O14" s="6" t="s">
        <v>297</v>
      </c>
    </row>
    <row r="15" spans="1:16" ht="29" x14ac:dyDescent="0.35">
      <c r="A15" s="6">
        <v>9</v>
      </c>
      <c r="B15" s="6" t="str">
        <f t="shared" ref="B15" si="1">CONCATENATE($B$2, ".", A15)</f>
        <v>10.9</v>
      </c>
      <c r="C15" s="89" t="s">
        <v>39</v>
      </c>
      <c r="D15" s="6" t="s">
        <v>58</v>
      </c>
      <c r="E15" s="6" t="s">
        <v>42</v>
      </c>
      <c r="F15" s="6" t="s">
        <v>36</v>
      </c>
      <c r="G15" s="6" t="s">
        <v>36</v>
      </c>
      <c r="H15" s="6" t="s">
        <v>36</v>
      </c>
      <c r="I15" s="6" t="s">
        <v>9</v>
      </c>
      <c r="J15" s="6" t="s">
        <v>36</v>
      </c>
      <c r="K15" s="6" t="s">
        <v>36</v>
      </c>
      <c r="L15" s="6" t="s">
        <v>36</v>
      </c>
      <c r="M15" s="6" t="s">
        <v>36</v>
      </c>
      <c r="N15" s="6" t="s">
        <v>36</v>
      </c>
      <c r="O15" s="6" t="s">
        <v>294</v>
      </c>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row r="24" spans="9:15" x14ac:dyDescent="0.35">
      <c r="I24" s="41"/>
      <c r="J24" s="5"/>
      <c r="K24" s="5"/>
      <c r="L24" s="42"/>
      <c r="M24" s="42"/>
      <c r="N24" s="42"/>
      <c r="O24" s="42"/>
    </row>
  </sheetData>
  <mergeCells count="4">
    <mergeCell ref="K10:K11"/>
    <mergeCell ref="L10:L11"/>
    <mergeCell ref="B1:D1"/>
    <mergeCell ref="B4:C4"/>
  </mergeCells>
  <conditionalFormatting sqref="C16:C1048576">
    <cfRule type="cellIs" dxfId="353" priority="48" operator="equal">
      <formula>"WIP (see comments)"</formula>
    </cfRule>
    <cfRule type="cellIs" dxfId="352" priority="49" operator="equal">
      <formula>"Removed"</formula>
    </cfRule>
    <cfRule type="cellIs" dxfId="351" priority="50" operator="equal">
      <formula>"Updated"</formula>
    </cfRule>
    <cfRule type="cellIs" dxfId="350" priority="51" operator="equal">
      <formula>"New"</formula>
    </cfRule>
  </conditionalFormatting>
  <conditionalFormatting sqref="C7:C15">
    <cfRule type="cellIs" dxfId="349" priority="32" operator="equal">
      <formula>"WIP (see comments)"</formula>
    </cfRule>
    <cfRule type="cellIs" dxfId="348" priority="33" operator="equal">
      <formula>"Removed"</formula>
    </cfRule>
    <cfRule type="cellIs" dxfId="347" priority="34" operator="equal">
      <formula>"Updated"</formula>
    </cfRule>
    <cfRule type="cellIs" dxfId="346" priority="35" operator="equal">
      <formula>"New"</formula>
    </cfRule>
  </conditionalFormatting>
  <conditionalFormatting sqref="A2:XFD2 A16:XFD1048576 M11:XFD11 D11:J11 A8:B13 D8:XFD10 P12:XFD13 A1:B1 E1:XFD1 A5:XFD7 A4:B4 D4:XFD4 C8:C15 A3:C3 E3:XFD3">
    <cfRule type="cellIs" dxfId="345" priority="30" operator="equal">
      <formula>"n/a"</formula>
    </cfRule>
  </conditionalFormatting>
  <conditionalFormatting sqref="A14:B15 D14:XFD15">
    <cfRule type="cellIs" dxfId="344" priority="16" operator="equal">
      <formula>"n/a"</formula>
    </cfRule>
  </conditionalFormatting>
  <conditionalFormatting sqref="J13:K13 J12 D12:I13">
    <cfRule type="cellIs" dxfId="343" priority="11" operator="equal">
      <formula>"n/a"</formula>
    </cfRule>
  </conditionalFormatting>
  <conditionalFormatting sqref="K12">
    <cfRule type="cellIs" dxfId="342" priority="10" operator="equal">
      <formula>"n/a"</formula>
    </cfRule>
  </conditionalFormatting>
  <conditionalFormatting sqref="L13">
    <cfRule type="cellIs" dxfId="341" priority="9" operator="equal">
      <formula>"n/a"</formula>
    </cfRule>
  </conditionalFormatting>
  <conditionalFormatting sqref="L12">
    <cfRule type="cellIs" dxfId="340" priority="8" operator="equal">
      <formula>"n/a"</formula>
    </cfRule>
  </conditionalFormatting>
  <conditionalFormatting sqref="M13">
    <cfRule type="cellIs" dxfId="339" priority="7" operator="equal">
      <formula>"n/a"</formula>
    </cfRule>
  </conditionalFormatting>
  <conditionalFormatting sqref="M12">
    <cfRule type="cellIs" dxfId="338" priority="6" operator="equal">
      <formula>"n/a"</formula>
    </cfRule>
  </conditionalFormatting>
  <conditionalFormatting sqref="N13">
    <cfRule type="cellIs" dxfId="337" priority="5" operator="equal">
      <formula>"n/a"</formula>
    </cfRule>
  </conditionalFormatting>
  <conditionalFormatting sqref="N12">
    <cfRule type="cellIs" dxfId="336" priority="4" operator="equal">
      <formula>"n/a"</formula>
    </cfRule>
  </conditionalFormatting>
  <conditionalFormatting sqref="O13">
    <cfRule type="cellIs" dxfId="335" priority="3" operator="equal">
      <formula>"n/a"</formula>
    </cfRule>
  </conditionalFormatting>
  <conditionalFormatting sqref="O12">
    <cfRule type="cellIs" dxfId="334" priority="2" operator="equal">
      <formula>"n/a"</formula>
    </cfRule>
  </conditionalFormatting>
  <conditionalFormatting sqref="D3">
    <cfRule type="cellIs" dxfId="33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Values'!$A$5:$A$34</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5"/>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2" t="s">
        <v>238</v>
      </c>
      <c r="C1" s="132"/>
      <c r="D1" s="31"/>
    </row>
    <row r="2" spans="1:16" s="32" customFormat="1" ht="18.5" x14ac:dyDescent="0.35">
      <c r="A2" s="30" t="s">
        <v>7</v>
      </c>
      <c r="B2" s="38">
        <v>11</v>
      </c>
      <c r="C2" s="37"/>
      <c r="D2" s="38"/>
    </row>
    <row r="3" spans="1:16" s="32" customFormat="1" ht="18.5" x14ac:dyDescent="0.35">
      <c r="A3" s="30" t="s">
        <v>43</v>
      </c>
      <c r="B3" s="38" t="s">
        <v>293</v>
      </c>
      <c r="C3" s="37"/>
      <c r="D3" s="87" t="s">
        <v>299</v>
      </c>
    </row>
    <row r="4" spans="1:16" s="32" customFormat="1" ht="18.5" x14ac:dyDescent="0.35">
      <c r="A4" s="30" t="s">
        <v>8</v>
      </c>
      <c r="B4" s="133" t="s">
        <v>46</v>
      </c>
      <c r="C4" s="133"/>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41" customFormat="1" x14ac:dyDescent="0.35">
      <c r="A7" s="41">
        <v>1</v>
      </c>
      <c r="B7" s="41" t="str">
        <f t="shared" ref="B7:B16" si="0">CONCATENATE($B$2, ".", A7)</f>
        <v>11.1</v>
      </c>
      <c r="C7" s="89" t="s">
        <v>37</v>
      </c>
      <c r="D7" s="41" t="s">
        <v>506</v>
      </c>
      <c r="E7" s="41" t="s">
        <v>28</v>
      </c>
      <c r="F7" s="41" t="s">
        <v>36</v>
      </c>
      <c r="G7" s="41" t="s">
        <v>36</v>
      </c>
      <c r="H7" s="41" t="s">
        <v>36</v>
      </c>
      <c r="I7" s="41" t="s">
        <v>9</v>
      </c>
      <c r="J7" s="42" t="s">
        <v>36</v>
      </c>
      <c r="K7" s="42" t="s">
        <v>36</v>
      </c>
      <c r="L7" s="42" t="s">
        <v>36</v>
      </c>
      <c r="M7" s="42" t="s">
        <v>36</v>
      </c>
      <c r="N7" s="42" t="s">
        <v>36</v>
      </c>
      <c r="O7" s="42" t="s">
        <v>36</v>
      </c>
    </row>
    <row r="8" spans="1:16" s="41" customFormat="1" ht="29" x14ac:dyDescent="0.35">
      <c r="A8" s="41">
        <v>2</v>
      </c>
      <c r="B8" s="41" t="str">
        <f t="shared" si="0"/>
        <v>11.2</v>
      </c>
      <c r="C8" s="89" t="s">
        <v>44</v>
      </c>
      <c r="D8" s="41" t="s">
        <v>36</v>
      </c>
      <c r="E8" s="41" t="s">
        <v>48</v>
      </c>
      <c r="F8" s="41" t="s">
        <v>36</v>
      </c>
      <c r="G8" s="41" t="s">
        <v>36</v>
      </c>
      <c r="H8" s="41" t="s">
        <v>36</v>
      </c>
      <c r="I8" s="41" t="s">
        <v>9</v>
      </c>
      <c r="J8" s="42" t="s">
        <v>36</v>
      </c>
      <c r="K8" s="42" t="s">
        <v>36</v>
      </c>
      <c r="L8" s="42" t="s">
        <v>36</v>
      </c>
      <c r="M8" s="42" t="s">
        <v>36</v>
      </c>
      <c r="N8" s="42" t="s">
        <v>36</v>
      </c>
      <c r="O8" s="42" t="s">
        <v>36</v>
      </c>
      <c r="P8" s="41" t="s">
        <v>485</v>
      </c>
    </row>
    <row r="9" spans="1:16" s="41" customFormat="1" ht="43.5" x14ac:dyDescent="0.35">
      <c r="A9" s="41">
        <v>3</v>
      </c>
      <c r="B9" s="41" t="str">
        <f t="shared" si="0"/>
        <v>11.3</v>
      </c>
      <c r="C9" s="89" t="s">
        <v>39</v>
      </c>
      <c r="D9" s="41" t="s">
        <v>108</v>
      </c>
      <c r="E9" s="41" t="s">
        <v>32</v>
      </c>
      <c r="F9" s="41" t="s">
        <v>51</v>
      </c>
      <c r="G9" s="41" t="s">
        <v>36</v>
      </c>
      <c r="H9" s="43">
        <v>50</v>
      </c>
      <c r="I9" s="41" t="s">
        <v>9</v>
      </c>
      <c r="J9" s="42" t="s">
        <v>65</v>
      </c>
      <c r="K9" s="42" t="s">
        <v>53</v>
      </c>
      <c r="L9" s="42" t="s">
        <v>67</v>
      </c>
      <c r="M9" s="42" t="s">
        <v>36</v>
      </c>
      <c r="N9" s="42" t="s">
        <v>36</v>
      </c>
      <c r="O9" s="42" t="s">
        <v>69</v>
      </c>
    </row>
    <row r="10" spans="1:16" s="41" customFormat="1" ht="43.5" x14ac:dyDescent="0.35">
      <c r="A10" s="41">
        <v>4</v>
      </c>
      <c r="B10" s="41" t="str">
        <f t="shared" si="0"/>
        <v>11.4</v>
      </c>
      <c r="C10" s="89" t="s">
        <v>39</v>
      </c>
      <c r="D10" s="41" t="s">
        <v>109</v>
      </c>
      <c r="E10" s="41" t="s">
        <v>32</v>
      </c>
      <c r="F10" s="41" t="s">
        <v>51</v>
      </c>
      <c r="G10" s="41" t="s">
        <v>36</v>
      </c>
      <c r="H10" s="43">
        <v>50</v>
      </c>
      <c r="I10" s="41" t="s">
        <v>9</v>
      </c>
      <c r="J10" s="42" t="s">
        <v>66</v>
      </c>
      <c r="K10" s="42" t="s">
        <v>53</v>
      </c>
      <c r="L10" s="42" t="s">
        <v>68</v>
      </c>
      <c r="M10" s="42" t="s">
        <v>36</v>
      </c>
      <c r="N10" s="42" t="s">
        <v>36</v>
      </c>
      <c r="O10" s="42" t="s">
        <v>69</v>
      </c>
    </row>
    <row r="11" spans="1:16" s="41" customFormat="1" ht="128.25" customHeight="1" x14ac:dyDescent="0.35">
      <c r="A11" s="41">
        <v>5</v>
      </c>
      <c r="B11" s="41" t="str">
        <f t="shared" si="0"/>
        <v>11.5</v>
      </c>
      <c r="C11" s="89" t="s">
        <v>39</v>
      </c>
      <c r="D11" s="41" t="s">
        <v>110</v>
      </c>
      <c r="E11" s="41" t="s">
        <v>76</v>
      </c>
      <c r="F11" s="41" t="s">
        <v>51</v>
      </c>
      <c r="G11" s="41" t="s">
        <v>36</v>
      </c>
      <c r="H11" s="43">
        <v>35</v>
      </c>
      <c r="I11" s="41" t="s">
        <v>9</v>
      </c>
      <c r="J11" s="42" t="s">
        <v>71</v>
      </c>
      <c r="K11" s="42" t="s">
        <v>80</v>
      </c>
      <c r="L11" s="42" t="s">
        <v>77</v>
      </c>
      <c r="M11" s="42" t="s">
        <v>36</v>
      </c>
      <c r="N11" s="42" t="s">
        <v>207</v>
      </c>
      <c r="O11" s="42" t="s">
        <v>198</v>
      </c>
    </row>
    <row r="12" spans="1:16" s="41" customFormat="1" ht="58" x14ac:dyDescent="0.35">
      <c r="A12" s="41">
        <v>6</v>
      </c>
      <c r="B12" s="41" t="str">
        <f t="shared" si="0"/>
        <v>11.6</v>
      </c>
      <c r="C12" s="89" t="s">
        <v>39</v>
      </c>
      <c r="D12" s="41" t="s">
        <v>78</v>
      </c>
      <c r="E12" s="41" t="s">
        <v>32</v>
      </c>
      <c r="F12" s="41" t="s">
        <v>51</v>
      </c>
      <c r="G12" s="41" t="s">
        <v>36</v>
      </c>
      <c r="H12" s="43">
        <v>10</v>
      </c>
      <c r="I12" s="41" t="s">
        <v>509</v>
      </c>
      <c r="J12" s="42" t="s">
        <v>113</v>
      </c>
      <c r="K12" s="42" t="s">
        <v>79</v>
      </c>
      <c r="L12" s="42" t="s">
        <v>117</v>
      </c>
      <c r="M12" s="42" t="s">
        <v>36</v>
      </c>
      <c r="N12" s="42" t="s">
        <v>36</v>
      </c>
      <c r="O12" s="42"/>
    </row>
    <row r="13" spans="1:16" s="41" customFormat="1" ht="58" x14ac:dyDescent="0.35">
      <c r="A13" s="41">
        <v>7</v>
      </c>
      <c r="B13" s="41" t="str">
        <f t="shared" si="0"/>
        <v>11.7</v>
      </c>
      <c r="C13" s="89" t="s">
        <v>39</v>
      </c>
      <c r="D13" s="41" t="s">
        <v>121</v>
      </c>
      <c r="E13" s="41" t="s">
        <v>32</v>
      </c>
      <c r="F13" s="41" t="s">
        <v>51</v>
      </c>
      <c r="G13" s="41" t="s">
        <v>36</v>
      </c>
      <c r="H13" s="43">
        <v>35</v>
      </c>
      <c r="I13" s="41" t="s">
        <v>509</v>
      </c>
      <c r="J13" s="42" t="s">
        <v>113</v>
      </c>
      <c r="K13" s="42" t="s">
        <v>79</v>
      </c>
      <c r="L13" s="42" t="s">
        <v>118</v>
      </c>
      <c r="M13" s="42" t="s">
        <v>36</v>
      </c>
      <c r="N13" s="42" t="s">
        <v>36</v>
      </c>
      <c r="O13" s="42"/>
    </row>
    <row r="14" spans="1:16" s="41" customFormat="1" ht="29" x14ac:dyDescent="0.35">
      <c r="A14" s="41">
        <v>8</v>
      </c>
      <c r="B14" s="41" t="str">
        <f t="shared" si="0"/>
        <v>11.8</v>
      </c>
      <c r="C14" s="89" t="s">
        <v>39</v>
      </c>
      <c r="D14" s="41" t="s">
        <v>72</v>
      </c>
      <c r="E14" s="41" t="s">
        <v>32</v>
      </c>
      <c r="F14" s="41" t="s">
        <v>51</v>
      </c>
      <c r="G14" s="41" t="s">
        <v>36</v>
      </c>
      <c r="H14" s="43">
        <v>10</v>
      </c>
      <c r="I14" s="41" t="s">
        <v>509</v>
      </c>
      <c r="J14" s="42" t="s">
        <v>113</v>
      </c>
      <c r="K14" s="42" t="s">
        <v>81</v>
      </c>
      <c r="L14" s="42" t="s">
        <v>36</v>
      </c>
      <c r="M14" s="42" t="s">
        <v>36</v>
      </c>
      <c r="N14" s="42" t="s">
        <v>36</v>
      </c>
      <c r="O14" s="42"/>
    </row>
    <row r="15" spans="1:16" s="41" customFormat="1" ht="58" x14ac:dyDescent="0.35">
      <c r="A15" s="41">
        <v>9</v>
      </c>
      <c r="B15" s="41" t="str">
        <f t="shared" si="0"/>
        <v>11.9</v>
      </c>
      <c r="C15" s="89" t="s">
        <v>39</v>
      </c>
      <c r="D15" s="41" t="s">
        <v>73</v>
      </c>
      <c r="E15" s="41" t="s">
        <v>32</v>
      </c>
      <c r="F15" s="41" t="s">
        <v>51</v>
      </c>
      <c r="G15" s="41" t="s">
        <v>36</v>
      </c>
      <c r="H15" s="43">
        <v>20</v>
      </c>
      <c r="I15" s="41" t="s">
        <v>509</v>
      </c>
      <c r="J15" s="42" t="s">
        <v>113</v>
      </c>
      <c r="K15" s="42" t="s">
        <v>79</v>
      </c>
      <c r="L15" s="42" t="s">
        <v>114</v>
      </c>
      <c r="M15" s="42" t="s">
        <v>36</v>
      </c>
      <c r="N15" s="42" t="s">
        <v>36</v>
      </c>
      <c r="O15" s="42"/>
    </row>
    <row r="16" spans="1:16" s="41" customFormat="1" ht="96.75" customHeight="1" x14ac:dyDescent="0.35">
      <c r="A16" s="41">
        <v>10</v>
      </c>
      <c r="B16" s="41" t="str">
        <f t="shared" si="0"/>
        <v>11.10</v>
      </c>
      <c r="C16" s="89" t="s">
        <v>39</v>
      </c>
      <c r="D16" s="41" t="s">
        <v>74</v>
      </c>
      <c r="E16" s="41" t="s">
        <v>34</v>
      </c>
      <c r="F16" s="41" t="s">
        <v>51</v>
      </c>
      <c r="G16" s="41" t="s">
        <v>36</v>
      </c>
      <c r="H16" s="43">
        <v>15</v>
      </c>
      <c r="I16" s="41" t="s">
        <v>509</v>
      </c>
      <c r="J16" s="42" t="s">
        <v>113</v>
      </c>
      <c r="K16" s="42" t="s">
        <v>79</v>
      </c>
      <c r="L16" s="42" t="s">
        <v>119</v>
      </c>
      <c r="M16" s="42" t="s">
        <v>82</v>
      </c>
      <c r="N16" s="42" t="s">
        <v>122</v>
      </c>
      <c r="O16" s="42"/>
    </row>
    <row r="17" spans="1:15" s="41" customFormat="1" ht="58" x14ac:dyDescent="0.35">
      <c r="A17" s="41">
        <v>11</v>
      </c>
      <c r="B17" s="41" t="str">
        <f>CONCATENATE($B$2, ".", A17)</f>
        <v>11.11</v>
      </c>
      <c r="C17" s="89" t="s">
        <v>39</v>
      </c>
      <c r="D17" s="41" t="s">
        <v>75</v>
      </c>
      <c r="E17" s="41" t="s">
        <v>32</v>
      </c>
      <c r="F17" s="41" t="s">
        <v>51</v>
      </c>
      <c r="G17" s="41" t="s">
        <v>36</v>
      </c>
      <c r="H17" s="43">
        <v>7</v>
      </c>
      <c r="I17" s="41" t="s">
        <v>509</v>
      </c>
      <c r="J17" s="42" t="s">
        <v>113</v>
      </c>
      <c r="K17" s="42" t="s">
        <v>79</v>
      </c>
      <c r="L17" s="42" t="s">
        <v>120</v>
      </c>
      <c r="M17" s="42" t="s">
        <v>36</v>
      </c>
      <c r="N17" s="42" t="s">
        <v>36</v>
      </c>
      <c r="O17" s="42"/>
    </row>
    <row r="18" spans="1:15" s="41" customFormat="1" ht="66" customHeight="1" x14ac:dyDescent="0.35">
      <c r="A18" s="41">
        <v>12</v>
      </c>
      <c r="B18" s="41" t="str">
        <f t="shared" ref="B18:B24" si="1">CONCATENATE($B$2, ".", A18)</f>
        <v>11.12</v>
      </c>
      <c r="C18" s="89" t="s">
        <v>39</v>
      </c>
      <c r="D18" s="41" t="s">
        <v>83</v>
      </c>
      <c r="E18" s="41" t="s">
        <v>31</v>
      </c>
      <c r="F18" s="41" t="s">
        <v>60</v>
      </c>
      <c r="G18" s="41" t="s">
        <v>36</v>
      </c>
      <c r="H18" s="41" t="s">
        <v>36</v>
      </c>
      <c r="I18" s="41" t="s">
        <v>9</v>
      </c>
      <c r="J18" s="42" t="s">
        <v>64</v>
      </c>
      <c r="K18" s="42" t="s">
        <v>53</v>
      </c>
      <c r="L18" s="42" t="s">
        <v>84</v>
      </c>
      <c r="M18" s="42" t="s">
        <v>36</v>
      </c>
      <c r="N18" s="42" t="s">
        <v>36</v>
      </c>
      <c r="O18" s="42" t="s">
        <v>36</v>
      </c>
    </row>
    <row r="19" spans="1:15" s="41" customFormat="1" ht="81.75" customHeight="1" x14ac:dyDescent="0.35">
      <c r="A19" s="41">
        <v>13</v>
      </c>
      <c r="B19" s="41" t="str">
        <f t="shared" si="1"/>
        <v>11.13</v>
      </c>
      <c r="C19" s="89" t="s">
        <v>39</v>
      </c>
      <c r="D19" s="41" t="s">
        <v>111</v>
      </c>
      <c r="E19" s="41" t="s">
        <v>76</v>
      </c>
      <c r="F19" s="41" t="s">
        <v>51</v>
      </c>
      <c r="G19" s="41" t="s">
        <v>36</v>
      </c>
      <c r="H19" s="43">
        <v>35</v>
      </c>
      <c r="I19" s="41" t="s">
        <v>507</v>
      </c>
      <c r="J19" s="42" t="s">
        <v>113</v>
      </c>
      <c r="K19" s="42" t="s">
        <v>216</v>
      </c>
      <c r="L19" s="42" t="s">
        <v>85</v>
      </c>
      <c r="M19" s="42" t="s">
        <v>36</v>
      </c>
      <c r="N19" s="42" t="s">
        <v>36</v>
      </c>
      <c r="O19" s="42" t="s">
        <v>199</v>
      </c>
    </row>
    <row r="20" spans="1:15" s="41" customFormat="1" ht="49.5" customHeight="1" x14ac:dyDescent="0.35">
      <c r="A20" s="41">
        <v>14</v>
      </c>
      <c r="B20" s="41" t="str">
        <f t="shared" si="1"/>
        <v>11.14</v>
      </c>
      <c r="C20" s="89" t="s">
        <v>39</v>
      </c>
      <c r="D20" s="41" t="s">
        <v>78</v>
      </c>
      <c r="E20" s="41" t="s">
        <v>32</v>
      </c>
      <c r="F20" s="41" t="s">
        <v>51</v>
      </c>
      <c r="G20" s="41" t="s">
        <v>36</v>
      </c>
      <c r="H20" s="43">
        <v>10</v>
      </c>
      <c r="I20" s="41" t="s">
        <v>508</v>
      </c>
      <c r="J20" s="42" t="s">
        <v>113</v>
      </c>
      <c r="K20" s="42" t="s">
        <v>81</v>
      </c>
      <c r="L20" s="42" t="s">
        <v>36</v>
      </c>
      <c r="M20" s="42" t="s">
        <v>36</v>
      </c>
      <c r="N20" s="42" t="s">
        <v>36</v>
      </c>
      <c r="O20" s="42"/>
    </row>
    <row r="21" spans="1:15" s="41" customFormat="1" ht="54" customHeight="1" x14ac:dyDescent="0.35">
      <c r="A21" s="41">
        <v>15</v>
      </c>
      <c r="B21" s="41" t="str">
        <f t="shared" si="1"/>
        <v>11.15</v>
      </c>
      <c r="C21" s="89" t="s">
        <v>39</v>
      </c>
      <c r="D21" s="41" t="s">
        <v>121</v>
      </c>
      <c r="E21" s="41" t="s">
        <v>32</v>
      </c>
      <c r="F21" s="41" t="s">
        <v>51</v>
      </c>
      <c r="G21" s="41" t="s">
        <v>36</v>
      </c>
      <c r="H21" s="43">
        <v>35</v>
      </c>
      <c r="I21" s="41" t="s">
        <v>508</v>
      </c>
      <c r="J21" s="42" t="s">
        <v>113</v>
      </c>
      <c r="K21" s="42" t="s">
        <v>79</v>
      </c>
      <c r="L21" s="42" t="s">
        <v>118</v>
      </c>
      <c r="M21" s="42" t="s">
        <v>36</v>
      </c>
      <c r="N21" s="42" t="s">
        <v>36</v>
      </c>
      <c r="O21" s="42"/>
    </row>
    <row r="22" spans="1:15" s="41" customFormat="1" ht="54" customHeight="1" x14ac:dyDescent="0.35">
      <c r="A22" s="41">
        <v>16</v>
      </c>
      <c r="B22" s="41" t="str">
        <f t="shared" si="1"/>
        <v>11.16</v>
      </c>
      <c r="C22" s="89" t="s">
        <v>39</v>
      </c>
      <c r="D22" s="41" t="s">
        <v>72</v>
      </c>
      <c r="E22" s="41" t="s">
        <v>32</v>
      </c>
      <c r="F22" s="41" t="s">
        <v>51</v>
      </c>
      <c r="G22" s="41" t="s">
        <v>36</v>
      </c>
      <c r="H22" s="43">
        <v>10</v>
      </c>
      <c r="I22" s="41" t="s">
        <v>508</v>
      </c>
      <c r="J22" s="42" t="s">
        <v>113</v>
      </c>
      <c r="K22" s="42" t="s">
        <v>81</v>
      </c>
      <c r="L22" s="42" t="s">
        <v>36</v>
      </c>
      <c r="M22" s="42" t="s">
        <v>36</v>
      </c>
      <c r="N22" s="42" t="s">
        <v>36</v>
      </c>
      <c r="O22" s="42"/>
    </row>
    <row r="23" spans="1:15" s="41" customFormat="1" ht="50.25" customHeight="1" x14ac:dyDescent="0.35">
      <c r="A23" s="41">
        <v>17</v>
      </c>
      <c r="B23" s="41" t="str">
        <f t="shared" si="1"/>
        <v>11.17</v>
      </c>
      <c r="C23" s="89" t="s">
        <v>39</v>
      </c>
      <c r="D23" s="41" t="s">
        <v>73</v>
      </c>
      <c r="E23" s="41" t="s">
        <v>32</v>
      </c>
      <c r="F23" s="41" t="s">
        <v>51</v>
      </c>
      <c r="G23" s="41" t="s">
        <v>36</v>
      </c>
      <c r="H23" s="43">
        <v>20</v>
      </c>
      <c r="I23" s="41" t="s">
        <v>508</v>
      </c>
      <c r="J23" s="42" t="s">
        <v>113</v>
      </c>
      <c r="K23" s="42" t="s">
        <v>79</v>
      </c>
      <c r="L23" s="42" t="s">
        <v>114</v>
      </c>
      <c r="M23" s="42" t="s">
        <v>36</v>
      </c>
      <c r="N23" s="42" t="s">
        <v>36</v>
      </c>
      <c r="O23" s="42"/>
    </row>
    <row r="24" spans="1:15" s="41" customFormat="1" ht="72.5" x14ac:dyDescent="0.35">
      <c r="A24" s="41">
        <v>18</v>
      </c>
      <c r="B24" s="41" t="str">
        <f t="shared" si="1"/>
        <v>11.18</v>
      </c>
      <c r="C24" s="89" t="s">
        <v>39</v>
      </c>
      <c r="D24" s="41" t="s">
        <v>74</v>
      </c>
      <c r="E24" s="41" t="s">
        <v>34</v>
      </c>
      <c r="F24" s="41" t="s">
        <v>51</v>
      </c>
      <c r="G24" s="41" t="s">
        <v>36</v>
      </c>
      <c r="H24" s="43">
        <v>15</v>
      </c>
      <c r="I24" s="41" t="s">
        <v>508</v>
      </c>
      <c r="J24" s="42" t="s">
        <v>113</v>
      </c>
      <c r="K24" s="42" t="s">
        <v>79</v>
      </c>
      <c r="L24" s="42" t="s">
        <v>119</v>
      </c>
      <c r="M24" s="42" t="s">
        <v>154</v>
      </c>
      <c r="N24" s="42"/>
      <c r="O24" s="42"/>
    </row>
    <row r="25" spans="1:15" s="41" customFormat="1" ht="58" x14ac:dyDescent="0.35">
      <c r="A25" s="41">
        <v>19</v>
      </c>
      <c r="B25" s="41" t="str">
        <f>CONCATENATE($B$2, ".", A25)</f>
        <v>11.19</v>
      </c>
      <c r="C25" s="89" t="s">
        <v>39</v>
      </c>
      <c r="D25" s="41" t="s">
        <v>75</v>
      </c>
      <c r="E25" s="41" t="s">
        <v>32</v>
      </c>
      <c r="F25" s="41" t="s">
        <v>51</v>
      </c>
      <c r="G25" s="41" t="s">
        <v>36</v>
      </c>
      <c r="H25" s="43">
        <v>7</v>
      </c>
      <c r="I25" s="41" t="s">
        <v>508</v>
      </c>
      <c r="J25" s="42" t="s">
        <v>113</v>
      </c>
      <c r="K25" s="42" t="s">
        <v>79</v>
      </c>
      <c r="L25" s="42" t="s">
        <v>120</v>
      </c>
      <c r="M25" s="42" t="s">
        <v>36</v>
      </c>
      <c r="N25" s="42" t="s">
        <v>36</v>
      </c>
      <c r="O25" s="42"/>
    </row>
    <row r="26" spans="1:15" s="41" customFormat="1" ht="58" x14ac:dyDescent="0.35">
      <c r="A26" s="41">
        <v>20</v>
      </c>
      <c r="B26" s="41" t="str">
        <f t="shared" ref="B26:B32" si="2">CONCATENATE($B$2, ".", A26)</f>
        <v>11.20</v>
      </c>
      <c r="C26" s="89" t="s">
        <v>39</v>
      </c>
      <c r="D26" s="41" t="s">
        <v>177</v>
      </c>
      <c r="E26" s="41" t="s">
        <v>31</v>
      </c>
      <c r="F26" s="41" t="s">
        <v>60</v>
      </c>
      <c r="G26" s="41" t="s">
        <v>36</v>
      </c>
      <c r="H26" s="41" t="s">
        <v>36</v>
      </c>
      <c r="I26" s="41" t="s">
        <v>9</v>
      </c>
      <c r="J26" s="42" t="s">
        <v>64</v>
      </c>
      <c r="K26" s="42" t="s">
        <v>53</v>
      </c>
      <c r="L26" s="42" t="s">
        <v>112</v>
      </c>
      <c r="M26" s="42" t="s">
        <v>36</v>
      </c>
      <c r="N26" s="42" t="s">
        <v>36</v>
      </c>
      <c r="O26" s="42" t="s">
        <v>36</v>
      </c>
    </row>
    <row r="27" spans="1:15" s="41" customFormat="1" ht="81.75" customHeight="1" x14ac:dyDescent="0.35">
      <c r="A27" s="41">
        <v>21</v>
      </c>
      <c r="B27" s="41" t="str">
        <f t="shared" si="2"/>
        <v>11.21</v>
      </c>
      <c r="C27" s="89" t="s">
        <v>39</v>
      </c>
      <c r="D27" s="41" t="s">
        <v>86</v>
      </c>
      <c r="E27" s="41" t="s">
        <v>76</v>
      </c>
      <c r="F27" s="41" t="s">
        <v>51</v>
      </c>
      <c r="G27" s="41" t="s">
        <v>36</v>
      </c>
      <c r="H27" s="43">
        <v>35</v>
      </c>
      <c r="I27" s="41" t="s">
        <v>510</v>
      </c>
      <c r="J27" s="42" t="s">
        <v>113</v>
      </c>
      <c r="K27" s="42" t="s">
        <v>217</v>
      </c>
      <c r="L27" s="42" t="s">
        <v>88</v>
      </c>
      <c r="M27" s="42" t="s">
        <v>36</v>
      </c>
      <c r="N27" s="42" t="s">
        <v>36</v>
      </c>
      <c r="O27" s="42" t="s">
        <v>200</v>
      </c>
    </row>
    <row r="28" spans="1:15" s="41" customFormat="1" ht="49.5" customHeight="1" x14ac:dyDescent="0.35">
      <c r="A28" s="41">
        <v>22</v>
      </c>
      <c r="B28" s="41" t="str">
        <f t="shared" si="2"/>
        <v>11.22</v>
      </c>
      <c r="C28" s="89" t="s">
        <v>39</v>
      </c>
      <c r="D28" s="41" t="s">
        <v>78</v>
      </c>
      <c r="E28" s="41" t="s">
        <v>32</v>
      </c>
      <c r="F28" s="41" t="s">
        <v>51</v>
      </c>
      <c r="G28" s="41" t="s">
        <v>36</v>
      </c>
      <c r="H28" s="43">
        <v>10</v>
      </c>
      <c r="I28" s="41" t="s">
        <v>511</v>
      </c>
      <c r="J28" s="42" t="s">
        <v>113</v>
      </c>
      <c r="K28" s="43" t="s">
        <v>87</v>
      </c>
      <c r="L28" s="43" t="s">
        <v>36</v>
      </c>
      <c r="M28" s="42" t="s">
        <v>36</v>
      </c>
      <c r="N28" s="42" t="s">
        <v>36</v>
      </c>
      <c r="O28" s="42"/>
    </row>
    <row r="29" spans="1:15" s="41" customFormat="1" ht="58" x14ac:dyDescent="0.35">
      <c r="A29" s="41">
        <v>23</v>
      </c>
      <c r="B29" s="41" t="str">
        <f t="shared" si="2"/>
        <v>11.23</v>
      </c>
      <c r="C29" s="89" t="s">
        <v>39</v>
      </c>
      <c r="D29" s="41" t="s">
        <v>123</v>
      </c>
      <c r="E29" s="41" t="s">
        <v>32</v>
      </c>
      <c r="F29" s="41" t="s">
        <v>51</v>
      </c>
      <c r="G29" s="41" t="s">
        <v>36</v>
      </c>
      <c r="H29" s="43">
        <v>35</v>
      </c>
      <c r="I29" s="41" t="s">
        <v>511</v>
      </c>
      <c r="J29" s="42" t="s">
        <v>113</v>
      </c>
      <c r="K29" s="42" t="s">
        <v>79</v>
      </c>
      <c r="L29" s="42" t="s">
        <v>115</v>
      </c>
      <c r="M29" s="42" t="s">
        <v>36</v>
      </c>
      <c r="N29" s="42" t="s">
        <v>36</v>
      </c>
      <c r="O29" s="42"/>
    </row>
    <row r="30" spans="1:15" s="41" customFormat="1" ht="54" customHeight="1" x14ac:dyDescent="0.35">
      <c r="A30" s="41">
        <v>24</v>
      </c>
      <c r="B30" s="41" t="str">
        <f t="shared" si="2"/>
        <v>11.24</v>
      </c>
      <c r="C30" s="89" t="s">
        <v>39</v>
      </c>
      <c r="D30" s="41" t="s">
        <v>72</v>
      </c>
      <c r="E30" s="41" t="s">
        <v>32</v>
      </c>
      <c r="F30" s="41" t="s">
        <v>51</v>
      </c>
      <c r="G30" s="41" t="s">
        <v>36</v>
      </c>
      <c r="H30" s="43">
        <v>10</v>
      </c>
      <c r="I30" s="41" t="s">
        <v>511</v>
      </c>
      <c r="J30" s="42" t="s">
        <v>113</v>
      </c>
      <c r="K30" s="42" t="s">
        <v>81</v>
      </c>
      <c r="L30" s="42" t="s">
        <v>36</v>
      </c>
      <c r="M30" s="42" t="s">
        <v>36</v>
      </c>
      <c r="N30" s="42" t="s">
        <v>36</v>
      </c>
      <c r="O30" s="42"/>
    </row>
    <row r="31" spans="1:15" s="41" customFormat="1" ht="50.25" customHeight="1" x14ac:dyDescent="0.35">
      <c r="A31" s="41">
        <v>25</v>
      </c>
      <c r="B31" s="41" t="str">
        <f t="shared" si="2"/>
        <v>11.25</v>
      </c>
      <c r="C31" s="89" t="s">
        <v>39</v>
      </c>
      <c r="D31" s="41" t="s">
        <v>73</v>
      </c>
      <c r="E31" s="41" t="s">
        <v>32</v>
      </c>
      <c r="F31" s="41" t="s">
        <v>51</v>
      </c>
      <c r="G31" s="41" t="s">
        <v>36</v>
      </c>
      <c r="H31" s="43">
        <v>20</v>
      </c>
      <c r="I31" s="41" t="s">
        <v>511</v>
      </c>
      <c r="J31" s="42" t="s">
        <v>113</v>
      </c>
      <c r="K31" s="42" t="s">
        <v>79</v>
      </c>
      <c r="L31" s="42" t="s">
        <v>114</v>
      </c>
      <c r="M31" s="42" t="s">
        <v>36</v>
      </c>
      <c r="N31" s="42" t="s">
        <v>36</v>
      </c>
      <c r="O31" s="42"/>
    </row>
    <row r="32" spans="1:15" s="41" customFormat="1" ht="72.5" x14ac:dyDescent="0.35">
      <c r="A32" s="41">
        <v>26</v>
      </c>
      <c r="B32" s="41" t="str">
        <f t="shared" si="2"/>
        <v>11.26</v>
      </c>
      <c r="C32" s="89" t="s">
        <v>39</v>
      </c>
      <c r="D32" s="41" t="s">
        <v>74</v>
      </c>
      <c r="E32" s="41" t="s">
        <v>34</v>
      </c>
      <c r="F32" s="41" t="s">
        <v>51</v>
      </c>
      <c r="G32" s="41" t="s">
        <v>36</v>
      </c>
      <c r="H32" s="43">
        <v>15</v>
      </c>
      <c r="I32" s="41" t="s">
        <v>511</v>
      </c>
      <c r="J32" s="42" t="s">
        <v>113</v>
      </c>
      <c r="K32" s="42" t="s">
        <v>79</v>
      </c>
      <c r="L32" s="42" t="s">
        <v>116</v>
      </c>
      <c r="M32" s="42" t="s">
        <v>155</v>
      </c>
      <c r="N32" s="42" t="s">
        <v>36</v>
      </c>
      <c r="O32" s="42"/>
    </row>
    <row r="33" spans="1:15" s="41" customFormat="1" ht="58" x14ac:dyDescent="0.35">
      <c r="A33" s="41">
        <v>27</v>
      </c>
      <c r="B33" s="41" t="str">
        <f>CONCATENATE($B$2, ".", A33)</f>
        <v>11.27</v>
      </c>
      <c r="C33" s="89" t="s">
        <v>39</v>
      </c>
      <c r="D33" s="41" t="s">
        <v>75</v>
      </c>
      <c r="E33" s="41" t="s">
        <v>32</v>
      </c>
      <c r="F33" s="41" t="s">
        <v>51</v>
      </c>
      <c r="G33" s="41" t="s">
        <v>36</v>
      </c>
      <c r="H33" s="43">
        <v>7</v>
      </c>
      <c r="I33" s="41" t="s">
        <v>511</v>
      </c>
      <c r="J33" s="42" t="s">
        <v>113</v>
      </c>
      <c r="K33" s="42" t="s">
        <v>79</v>
      </c>
      <c r="L33" s="42" t="s">
        <v>120</v>
      </c>
      <c r="M33" s="42"/>
      <c r="N33" s="42"/>
      <c r="O33" s="42"/>
    </row>
    <row r="34" spans="1:15" ht="29" x14ac:dyDescent="0.35">
      <c r="A34" s="41">
        <v>28</v>
      </c>
      <c r="B34" s="41" t="str">
        <f t="shared" ref="B34:B35" si="3">CONCATENATE($B$2, ".", A34)</f>
        <v>11.28</v>
      </c>
      <c r="C34" s="89" t="s">
        <v>39</v>
      </c>
      <c r="D34" s="6" t="s">
        <v>59</v>
      </c>
      <c r="E34" s="41" t="s">
        <v>42</v>
      </c>
      <c r="F34" s="6" t="s">
        <v>36</v>
      </c>
      <c r="G34" s="6" t="s">
        <v>36</v>
      </c>
      <c r="H34" s="6" t="s">
        <v>36</v>
      </c>
      <c r="I34" s="6" t="s">
        <v>9</v>
      </c>
      <c r="J34" s="6" t="s">
        <v>36</v>
      </c>
      <c r="K34" s="6" t="s">
        <v>36</v>
      </c>
      <c r="L34" s="6" t="s">
        <v>36</v>
      </c>
      <c r="M34" s="6" t="s">
        <v>36</v>
      </c>
      <c r="N34" s="6" t="s">
        <v>36</v>
      </c>
      <c r="O34" s="6" t="s">
        <v>296</v>
      </c>
    </row>
    <row r="35" spans="1:15" x14ac:dyDescent="0.35">
      <c r="A35" s="41">
        <v>29</v>
      </c>
      <c r="B35" s="41" t="str">
        <f t="shared" si="3"/>
        <v>11.29</v>
      </c>
      <c r="C35" s="89" t="s">
        <v>39</v>
      </c>
      <c r="D35" s="6" t="s">
        <v>58</v>
      </c>
      <c r="E35" s="41" t="s">
        <v>42</v>
      </c>
      <c r="F35" s="6" t="s">
        <v>36</v>
      </c>
      <c r="G35" s="6" t="s">
        <v>36</v>
      </c>
      <c r="H35" s="6" t="s">
        <v>36</v>
      </c>
      <c r="I35" s="6" t="s">
        <v>9</v>
      </c>
      <c r="J35" s="6" t="s">
        <v>36</v>
      </c>
      <c r="K35" s="6" t="s">
        <v>36</v>
      </c>
      <c r="L35" s="6" t="s">
        <v>36</v>
      </c>
      <c r="M35" s="6" t="s">
        <v>36</v>
      </c>
      <c r="N35" s="6" t="s">
        <v>36</v>
      </c>
      <c r="O35" s="6" t="s">
        <v>295</v>
      </c>
    </row>
  </sheetData>
  <mergeCells count="2">
    <mergeCell ref="B1:C1"/>
    <mergeCell ref="B4:C4"/>
  </mergeCells>
  <conditionalFormatting sqref="C36:C1048576">
    <cfRule type="cellIs" dxfId="332" priority="47" operator="equal">
      <formula>"WIP (see comments)"</formula>
    </cfRule>
    <cfRule type="cellIs" dxfId="331" priority="48" operator="equal">
      <formula>"Removed"</formula>
    </cfRule>
    <cfRule type="cellIs" dxfId="330" priority="49" operator="equal">
      <formula>"Updated"</formula>
    </cfRule>
    <cfRule type="cellIs" dxfId="329" priority="50" operator="equal">
      <formula>"New"</formula>
    </cfRule>
  </conditionalFormatting>
  <conditionalFormatting sqref="B11:B35 D11:XFD33 E34:E35">
    <cfRule type="cellIs" dxfId="328" priority="22" operator="equal">
      <formula>"n/a"</formula>
    </cfRule>
  </conditionalFormatting>
  <conditionalFormatting sqref="C7:C35">
    <cfRule type="cellIs" dxfId="327" priority="8" operator="equal">
      <formula>"WIP (see comments)"</formula>
    </cfRule>
    <cfRule type="cellIs" dxfId="326" priority="9" operator="equal">
      <formula>"Removed"</formula>
    </cfRule>
    <cfRule type="cellIs" dxfId="325" priority="10" operator="equal">
      <formula>"Updated"</formula>
    </cfRule>
    <cfRule type="cellIs" dxfId="324" priority="11" operator="equal">
      <formula>"New"</formula>
    </cfRule>
  </conditionalFormatting>
  <conditionalFormatting sqref="C7:C35">
    <cfRule type="cellIs" dxfId="323" priority="7" operator="equal">
      <formula>"n/a"</formula>
    </cfRule>
  </conditionalFormatting>
  <conditionalFormatting sqref="D34:D35 F34:O35">
    <cfRule type="cellIs" dxfId="322" priority="2" operator="equal">
      <formula>"n/a"</formula>
    </cfRule>
  </conditionalFormatting>
  <conditionalFormatting sqref="D3">
    <cfRule type="cellIs" dxfId="321" priority="1"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E7:E35</xm:sqref>
        </x14:dataValidation>
        <x14:dataValidation type="list" allowBlank="1" showInputMessage="1" showErrorMessage="1">
          <x14:formula1>
            <xm:f>'List Values'!$B$5:$B$11</xm:f>
          </x14:formula1>
          <xm:sqref>C7:C35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2" t="s">
        <v>240</v>
      </c>
      <c r="C1" s="132"/>
      <c r="D1" s="132"/>
    </row>
    <row r="2" spans="1:16" s="32" customFormat="1" ht="18.5" x14ac:dyDescent="0.35">
      <c r="A2" s="30" t="s">
        <v>7</v>
      </c>
      <c r="B2" s="38">
        <v>12</v>
      </c>
      <c r="C2" s="37"/>
      <c r="D2" s="38"/>
    </row>
    <row r="3" spans="1:16" s="32" customFormat="1" ht="18.5" x14ac:dyDescent="0.35">
      <c r="A3" s="30" t="s">
        <v>43</v>
      </c>
      <c r="B3" s="38" t="s">
        <v>300</v>
      </c>
      <c r="C3" s="37"/>
      <c r="D3" s="87" t="s">
        <v>301</v>
      </c>
      <c r="E3" s="32" t="s">
        <v>70</v>
      </c>
    </row>
    <row r="4" spans="1:16" s="32" customFormat="1" ht="18.5" x14ac:dyDescent="0.35">
      <c r="A4" s="30" t="s">
        <v>8</v>
      </c>
      <c r="B4" s="133" t="s">
        <v>46</v>
      </c>
      <c r="C4" s="133"/>
      <c r="D4" s="32" t="s">
        <v>513</v>
      </c>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s="41" customFormat="1" x14ac:dyDescent="0.35">
      <c r="A7" s="41">
        <v>1</v>
      </c>
      <c r="B7" s="41" t="str">
        <f t="shared" ref="B7:B13" si="0">CONCATENATE($B$2, ".", A7)</f>
        <v>12.1</v>
      </c>
      <c r="C7" s="89" t="s">
        <v>37</v>
      </c>
      <c r="D7" s="41" t="s">
        <v>203</v>
      </c>
      <c r="E7" s="41" t="s">
        <v>28</v>
      </c>
      <c r="F7" s="41" t="s">
        <v>36</v>
      </c>
      <c r="G7" s="41" t="s">
        <v>36</v>
      </c>
      <c r="H7" s="41" t="s">
        <v>36</v>
      </c>
      <c r="I7" s="41" t="s">
        <v>9</v>
      </c>
      <c r="J7" s="42" t="s">
        <v>36</v>
      </c>
      <c r="K7" s="42" t="s">
        <v>36</v>
      </c>
      <c r="L7" s="42" t="s">
        <v>36</v>
      </c>
      <c r="M7" s="42" t="s">
        <v>36</v>
      </c>
      <c r="N7" s="42" t="s">
        <v>36</v>
      </c>
      <c r="O7" s="42" t="s">
        <v>36</v>
      </c>
    </row>
    <row r="8" spans="1:16" s="41" customFormat="1" ht="29" x14ac:dyDescent="0.35">
      <c r="A8" s="41">
        <v>2</v>
      </c>
      <c r="B8" s="41" t="str">
        <f t="shared" si="0"/>
        <v>12.2</v>
      </c>
      <c r="C8" s="89" t="s">
        <v>44</v>
      </c>
      <c r="D8" s="41" t="s">
        <v>36</v>
      </c>
      <c r="E8" s="41" t="s">
        <v>48</v>
      </c>
      <c r="F8" s="41" t="s">
        <v>36</v>
      </c>
      <c r="G8" s="41" t="s">
        <v>36</v>
      </c>
      <c r="H8" s="41" t="s">
        <v>36</v>
      </c>
      <c r="I8" s="41" t="s">
        <v>9</v>
      </c>
      <c r="J8" s="42" t="s">
        <v>36</v>
      </c>
      <c r="K8" s="42" t="s">
        <v>36</v>
      </c>
      <c r="L8" s="42" t="s">
        <v>36</v>
      </c>
      <c r="M8" s="42" t="s">
        <v>36</v>
      </c>
      <c r="N8" s="42" t="s">
        <v>36</v>
      </c>
      <c r="O8" s="42" t="s">
        <v>36</v>
      </c>
    </row>
    <row r="9" spans="1:16" s="41" customFormat="1" ht="80.25" customHeight="1" x14ac:dyDescent="0.35">
      <c r="A9" s="41">
        <v>3</v>
      </c>
      <c r="B9" s="41" t="str">
        <f t="shared" si="0"/>
        <v>12.3</v>
      </c>
      <c r="C9" s="89" t="s">
        <v>39</v>
      </c>
      <c r="D9" s="41" t="s">
        <v>161</v>
      </c>
      <c r="E9" s="41" t="s">
        <v>90</v>
      </c>
      <c r="F9" s="41" t="s">
        <v>91</v>
      </c>
      <c r="G9" s="41" t="s">
        <v>145</v>
      </c>
      <c r="H9" s="41" t="s">
        <v>36</v>
      </c>
      <c r="I9" s="41" t="s">
        <v>9</v>
      </c>
      <c r="J9" s="42" t="s">
        <v>93</v>
      </c>
      <c r="K9" s="42" t="s">
        <v>53</v>
      </c>
      <c r="L9" s="42" t="s">
        <v>143</v>
      </c>
      <c r="M9" s="42" t="s">
        <v>94</v>
      </c>
      <c r="N9" s="42" t="s">
        <v>95</v>
      </c>
      <c r="O9" s="42" t="s">
        <v>96</v>
      </c>
    </row>
    <row r="10" spans="1:16" s="41" customFormat="1" ht="102.75" customHeight="1" x14ac:dyDescent="0.35">
      <c r="A10" s="41">
        <v>4</v>
      </c>
      <c r="B10" s="41" t="str">
        <f t="shared" si="0"/>
        <v>12.4</v>
      </c>
      <c r="C10" s="89" t="s">
        <v>39</v>
      </c>
      <c r="D10" s="41" t="s">
        <v>89</v>
      </c>
      <c r="E10" s="41" t="s">
        <v>32</v>
      </c>
      <c r="F10" s="41" t="s">
        <v>92</v>
      </c>
      <c r="G10" s="41" t="s">
        <v>144</v>
      </c>
      <c r="H10" s="43">
        <v>9</v>
      </c>
      <c r="I10" s="41" t="s">
        <v>9</v>
      </c>
      <c r="J10" s="42" t="s">
        <v>36</v>
      </c>
      <c r="K10" s="42" t="s">
        <v>87</v>
      </c>
      <c r="L10" s="41" t="s">
        <v>36</v>
      </c>
      <c r="M10" s="42" t="s">
        <v>146</v>
      </c>
      <c r="N10" s="42" t="s">
        <v>194</v>
      </c>
      <c r="O10" s="42" t="s">
        <v>36</v>
      </c>
    </row>
    <row r="11" spans="1:16" s="41" customFormat="1" ht="114" customHeight="1" x14ac:dyDescent="0.35">
      <c r="A11" s="41">
        <v>5</v>
      </c>
      <c r="B11" s="41" t="str">
        <f t="shared" si="0"/>
        <v>12.5</v>
      </c>
      <c r="C11" s="89" t="s">
        <v>44</v>
      </c>
      <c r="D11" s="41" t="s">
        <v>98</v>
      </c>
      <c r="E11" s="41" t="s">
        <v>76</v>
      </c>
      <c r="F11" s="41" t="s">
        <v>51</v>
      </c>
      <c r="G11" s="41" t="s">
        <v>163</v>
      </c>
      <c r="H11" s="50">
        <v>200</v>
      </c>
      <c r="I11" s="41" t="s">
        <v>9</v>
      </c>
      <c r="J11" s="42" t="s">
        <v>97</v>
      </c>
      <c r="K11" s="42" t="s">
        <v>53</v>
      </c>
      <c r="L11" s="42" t="s">
        <v>99</v>
      </c>
      <c r="M11" s="42" t="s">
        <v>100</v>
      </c>
      <c r="N11" s="42" t="s">
        <v>36</v>
      </c>
      <c r="O11" s="42" t="s">
        <v>162</v>
      </c>
      <c r="P11" s="41" t="s">
        <v>512</v>
      </c>
    </row>
    <row r="12" spans="1:16" s="41" customFormat="1" ht="29" x14ac:dyDescent="0.35">
      <c r="A12" s="41">
        <v>6</v>
      </c>
      <c r="B12" s="41" t="str">
        <f>CONCATENATE($B$2, ".", A12)</f>
        <v>12.6</v>
      </c>
      <c r="C12" s="89" t="s">
        <v>39</v>
      </c>
      <c r="D12" s="41" t="s">
        <v>59</v>
      </c>
      <c r="E12" s="41" t="s">
        <v>42</v>
      </c>
      <c r="F12" s="41" t="s">
        <v>36</v>
      </c>
      <c r="G12" s="41" t="s">
        <v>36</v>
      </c>
      <c r="H12" s="41" t="s">
        <v>36</v>
      </c>
      <c r="I12" s="41" t="s">
        <v>9</v>
      </c>
      <c r="J12" s="41" t="s">
        <v>36</v>
      </c>
      <c r="K12" s="41" t="s">
        <v>36</v>
      </c>
      <c r="L12" s="41" t="s">
        <v>36</v>
      </c>
      <c r="M12" s="41" t="s">
        <v>36</v>
      </c>
      <c r="N12" s="41" t="s">
        <v>36</v>
      </c>
      <c r="O12" s="41" t="s">
        <v>302</v>
      </c>
    </row>
    <row r="13" spans="1:16" s="41" customFormat="1" ht="29" x14ac:dyDescent="0.35">
      <c r="A13" s="41">
        <v>7</v>
      </c>
      <c r="B13" s="41" t="str">
        <f t="shared" si="0"/>
        <v>12.7</v>
      </c>
      <c r="C13" s="89" t="s">
        <v>39</v>
      </c>
      <c r="D13" s="41" t="s">
        <v>58</v>
      </c>
      <c r="E13" s="41" t="s">
        <v>42</v>
      </c>
      <c r="F13" s="41" t="s">
        <v>36</v>
      </c>
      <c r="G13" s="41" t="s">
        <v>36</v>
      </c>
      <c r="H13" s="41" t="s">
        <v>36</v>
      </c>
      <c r="I13" s="41" t="s">
        <v>9</v>
      </c>
      <c r="J13" s="41" t="s">
        <v>36</v>
      </c>
      <c r="K13" s="41" t="s">
        <v>36</v>
      </c>
      <c r="L13" s="41" t="s">
        <v>36</v>
      </c>
      <c r="M13" s="41" t="s">
        <v>36</v>
      </c>
      <c r="N13" s="41" t="s">
        <v>36</v>
      </c>
      <c r="O13" s="41" t="s">
        <v>297</v>
      </c>
    </row>
    <row r="14" spans="1:16" x14ac:dyDescent="0.35">
      <c r="I14" s="41"/>
      <c r="J14" s="5"/>
      <c r="K14" s="5"/>
      <c r="L14" s="42"/>
      <c r="M14" s="42"/>
      <c r="N14" s="42"/>
      <c r="O14" s="42"/>
    </row>
    <row r="15" spans="1:16" x14ac:dyDescent="0.35">
      <c r="D15" s="6" t="s">
        <v>70</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mergeCells count="2">
    <mergeCell ref="B1:D1"/>
    <mergeCell ref="B4:C4"/>
  </mergeCells>
  <conditionalFormatting sqref="C14:C1048576">
    <cfRule type="cellIs" dxfId="320" priority="21" operator="equal">
      <formula>"WIP (see comments)"</formula>
    </cfRule>
    <cfRule type="cellIs" dxfId="319" priority="22" operator="equal">
      <formula>"Removed"</formula>
    </cfRule>
    <cfRule type="cellIs" dxfId="318" priority="23" operator="equal">
      <formula>"Updated"</formula>
    </cfRule>
    <cfRule type="cellIs" dxfId="317" priority="24" operator="equal">
      <formula>"New"</formula>
    </cfRule>
  </conditionalFormatting>
  <conditionalFormatting sqref="B4">
    <cfRule type="cellIs" dxfId="316" priority="8" operator="equal">
      <formula>"n/a"</formula>
    </cfRule>
  </conditionalFormatting>
  <conditionalFormatting sqref="D11:O11">
    <cfRule type="cellIs" dxfId="315" priority="7" operator="equal">
      <formula>"n/a"</formula>
    </cfRule>
  </conditionalFormatting>
  <conditionalFormatting sqref="D3">
    <cfRule type="cellIs" dxfId="314" priority="6" operator="equal">
      <formula>"n/a"</formula>
    </cfRule>
  </conditionalFormatting>
  <conditionalFormatting sqref="C7:C13">
    <cfRule type="cellIs" dxfId="313" priority="2" operator="equal">
      <formula>"WIP (see comments)"</formula>
    </cfRule>
    <cfRule type="cellIs" dxfId="312" priority="3" operator="equal">
      <formula>"Removed"</formula>
    </cfRule>
    <cfRule type="cellIs" dxfId="311" priority="4" operator="equal">
      <formula>"Updated"</formula>
    </cfRule>
    <cfRule type="cellIs" dxfId="310" priority="5" operator="equal">
      <formula>"New"</formula>
    </cfRule>
  </conditionalFormatting>
  <conditionalFormatting sqref="C7:C13">
    <cfRule type="cellIs" dxfId="309"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Values'!$B$5:$B$11</xm:f>
          </x14:formula1>
          <xm:sqref>C7:C13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workbookViewId="0">
      <pane xSplit="4" ySplit="6" topLeftCell="L7" activePane="bottomRight" state="frozen"/>
      <selection pane="topRight" activeCell="E1" sqref="E1"/>
      <selection pane="bottomLeft" activeCell="A7" sqref="A7"/>
      <selection pane="bottomRight" activeCell="P24" sqref="P24"/>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241</v>
      </c>
      <c r="C1" s="34"/>
      <c r="D1" s="31"/>
      <c r="H1" s="37"/>
    </row>
    <row r="2" spans="1:16" s="32" customFormat="1" ht="18.5" x14ac:dyDescent="0.35">
      <c r="A2" s="30" t="s">
        <v>7</v>
      </c>
      <c r="B2" s="38">
        <v>13</v>
      </c>
      <c r="C2" s="37"/>
      <c r="D2" s="38"/>
      <c r="H2" s="37"/>
    </row>
    <row r="3" spans="1:16" s="32" customFormat="1" ht="18.5" x14ac:dyDescent="0.35">
      <c r="A3" s="30" t="s">
        <v>43</v>
      </c>
      <c r="B3" s="38" t="s">
        <v>303</v>
      </c>
      <c r="C3" s="37"/>
      <c r="D3" s="87" t="s">
        <v>305</v>
      </c>
      <c r="H3" s="37"/>
    </row>
    <row r="4" spans="1:16" s="32" customFormat="1" ht="18.5" x14ac:dyDescent="0.35">
      <c r="A4" s="30" t="s">
        <v>8</v>
      </c>
      <c r="B4" s="32" t="s">
        <v>46</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41" customFormat="1" x14ac:dyDescent="0.35">
      <c r="A7" s="41">
        <v>1</v>
      </c>
      <c r="B7" s="41" t="str">
        <f t="shared" ref="B7:B15" si="0">CONCATENATE($B$2, ".", A7)</f>
        <v>13.1</v>
      </c>
      <c r="C7" s="89" t="s">
        <v>37</v>
      </c>
      <c r="D7" s="41" t="s">
        <v>366</v>
      </c>
      <c r="E7" s="41" t="s">
        <v>28</v>
      </c>
      <c r="F7" s="41" t="s">
        <v>36</v>
      </c>
      <c r="G7" s="41" t="s">
        <v>36</v>
      </c>
      <c r="H7" s="50" t="s">
        <v>36</v>
      </c>
      <c r="I7" s="41" t="s">
        <v>9</v>
      </c>
      <c r="J7" s="42" t="s">
        <v>36</v>
      </c>
      <c r="K7" s="42" t="s">
        <v>36</v>
      </c>
      <c r="L7" s="42" t="s">
        <v>36</v>
      </c>
      <c r="M7" s="42" t="s">
        <v>36</v>
      </c>
      <c r="N7" s="42" t="s">
        <v>36</v>
      </c>
      <c r="O7" s="42" t="s">
        <v>36</v>
      </c>
    </row>
    <row r="8" spans="1:16" s="41" customFormat="1" ht="29" x14ac:dyDescent="0.35">
      <c r="A8" s="41">
        <v>2</v>
      </c>
      <c r="B8" s="41" t="str">
        <f t="shared" si="0"/>
        <v>13.2</v>
      </c>
      <c r="C8" s="89" t="s">
        <v>44</v>
      </c>
      <c r="D8" s="41" t="s">
        <v>36</v>
      </c>
      <c r="E8" s="41" t="s">
        <v>48</v>
      </c>
      <c r="F8" s="41" t="s">
        <v>36</v>
      </c>
      <c r="G8" s="41" t="s">
        <v>36</v>
      </c>
      <c r="H8" s="50" t="s">
        <v>36</v>
      </c>
      <c r="I8" s="41" t="s">
        <v>9</v>
      </c>
      <c r="J8" s="42" t="s">
        <v>36</v>
      </c>
      <c r="K8" s="42" t="s">
        <v>36</v>
      </c>
      <c r="L8" s="42" t="s">
        <v>36</v>
      </c>
      <c r="M8" s="42" t="s">
        <v>36</v>
      </c>
      <c r="N8" s="42" t="s">
        <v>36</v>
      </c>
      <c r="O8" s="42" t="s">
        <v>36</v>
      </c>
      <c r="P8" s="41" t="s">
        <v>485</v>
      </c>
    </row>
    <row r="9" spans="1:16" s="41" customFormat="1" ht="43.5" x14ac:dyDescent="0.35">
      <c r="A9" s="41">
        <v>3</v>
      </c>
      <c r="B9" s="41" t="str">
        <f>CONCATENATE($B$2, ".", A9)</f>
        <v>13.3</v>
      </c>
      <c r="C9" s="89" t="s">
        <v>39</v>
      </c>
      <c r="D9" s="41" t="s">
        <v>284</v>
      </c>
      <c r="E9" s="41" t="s">
        <v>29</v>
      </c>
      <c r="F9" s="41" t="s">
        <v>62</v>
      </c>
      <c r="G9" s="41" t="s">
        <v>36</v>
      </c>
      <c r="H9" s="50" t="s">
        <v>36</v>
      </c>
      <c r="I9" s="41" t="s">
        <v>9</v>
      </c>
      <c r="J9" s="42" t="s">
        <v>102</v>
      </c>
      <c r="K9" s="42" t="s">
        <v>53</v>
      </c>
      <c r="L9" s="42" t="s">
        <v>103</v>
      </c>
      <c r="M9" s="42" t="s">
        <v>36</v>
      </c>
      <c r="N9" s="42" t="s">
        <v>36</v>
      </c>
      <c r="O9" s="42" t="s">
        <v>104</v>
      </c>
    </row>
    <row r="10" spans="1:16" s="41" customFormat="1" ht="29" x14ac:dyDescent="0.35">
      <c r="A10" s="41">
        <v>4</v>
      </c>
      <c r="B10" s="41" t="str">
        <f t="shared" ref="B10:B12" si="1">CONCATENATE($B$2, ".", A10)</f>
        <v>13.4</v>
      </c>
      <c r="C10" s="89" t="s">
        <v>39</v>
      </c>
      <c r="D10" s="49" t="s">
        <v>156</v>
      </c>
      <c r="E10" s="41" t="s">
        <v>33</v>
      </c>
      <c r="F10" s="41" t="s">
        <v>36</v>
      </c>
      <c r="G10" s="41" t="s">
        <v>159</v>
      </c>
      <c r="H10" s="50" t="s">
        <v>36</v>
      </c>
      <c r="I10" s="41" t="s">
        <v>9</v>
      </c>
      <c r="J10" s="42" t="s">
        <v>36</v>
      </c>
      <c r="K10" s="42" t="s">
        <v>36</v>
      </c>
      <c r="L10" s="42" t="s">
        <v>36</v>
      </c>
      <c r="M10" s="42" t="s">
        <v>36</v>
      </c>
      <c r="N10" s="42" t="s">
        <v>36</v>
      </c>
      <c r="O10" s="42"/>
    </row>
    <row r="11" spans="1:16" s="41" customFormat="1" ht="43.5" x14ac:dyDescent="0.35">
      <c r="A11" s="41">
        <v>5</v>
      </c>
      <c r="B11" s="41" t="str">
        <f t="shared" si="1"/>
        <v>13.5</v>
      </c>
      <c r="C11" s="89" t="s">
        <v>37</v>
      </c>
      <c r="D11" s="49" t="s">
        <v>157</v>
      </c>
      <c r="E11" s="41" t="s">
        <v>33</v>
      </c>
      <c r="F11" s="41" t="s">
        <v>36</v>
      </c>
      <c r="G11" s="41" t="s">
        <v>514</v>
      </c>
      <c r="H11" s="50" t="s">
        <v>36</v>
      </c>
      <c r="I11" s="41" t="s">
        <v>9</v>
      </c>
      <c r="J11" s="42" t="s">
        <v>36</v>
      </c>
      <c r="K11" s="42" t="s">
        <v>36</v>
      </c>
      <c r="L11" s="42" t="s">
        <v>36</v>
      </c>
      <c r="M11" s="42" t="s">
        <v>36</v>
      </c>
      <c r="N11" s="42" t="s">
        <v>36</v>
      </c>
      <c r="O11" s="42"/>
    </row>
    <row r="12" spans="1:16" s="41" customFormat="1" ht="43.5" x14ac:dyDescent="0.35">
      <c r="A12" s="41">
        <v>6</v>
      </c>
      <c r="B12" s="41" t="str">
        <f t="shared" si="1"/>
        <v>13.6</v>
      </c>
      <c r="C12" s="89" t="s">
        <v>37</v>
      </c>
      <c r="D12" s="49" t="s">
        <v>158</v>
      </c>
      <c r="E12" s="41" t="s">
        <v>33</v>
      </c>
      <c r="F12" s="41" t="s">
        <v>36</v>
      </c>
      <c r="G12" s="41" t="s">
        <v>515</v>
      </c>
      <c r="H12" s="50" t="s">
        <v>36</v>
      </c>
      <c r="I12" s="41" t="s">
        <v>9</v>
      </c>
      <c r="J12" s="42" t="s">
        <v>36</v>
      </c>
      <c r="K12" s="42" t="s">
        <v>36</v>
      </c>
      <c r="L12" s="42" t="s">
        <v>36</v>
      </c>
      <c r="M12" s="42" t="s">
        <v>36</v>
      </c>
      <c r="N12" s="42" t="s">
        <v>36</v>
      </c>
      <c r="O12" s="42"/>
    </row>
    <row r="13" spans="1:16" s="41" customFormat="1" ht="54" customHeight="1" x14ac:dyDescent="0.35">
      <c r="A13" s="41">
        <v>7</v>
      </c>
      <c r="B13" s="41" t="str">
        <f t="shared" si="0"/>
        <v>13.7</v>
      </c>
      <c r="C13" s="89" t="s">
        <v>39</v>
      </c>
      <c r="D13" s="41" t="s">
        <v>202</v>
      </c>
      <c r="E13" s="41" t="s">
        <v>105</v>
      </c>
      <c r="F13" s="41" t="s">
        <v>36</v>
      </c>
      <c r="G13" s="41" t="s">
        <v>36</v>
      </c>
      <c r="H13" s="50" t="s">
        <v>36</v>
      </c>
      <c r="I13" s="41" t="s">
        <v>9</v>
      </c>
      <c r="J13" s="42" t="s">
        <v>36</v>
      </c>
      <c r="K13" s="42" t="s">
        <v>36</v>
      </c>
      <c r="L13" s="42" t="s">
        <v>36</v>
      </c>
      <c r="M13" s="42" t="s">
        <v>36</v>
      </c>
      <c r="N13" s="42" t="s">
        <v>36</v>
      </c>
      <c r="O13" s="42" t="s">
        <v>101</v>
      </c>
    </row>
    <row r="14" spans="1:16" s="41" customFormat="1" x14ac:dyDescent="0.35">
      <c r="A14" s="41">
        <v>8</v>
      </c>
      <c r="B14" s="41" t="str">
        <f>CONCATENATE($B$2, ".", A14)</f>
        <v>13.8</v>
      </c>
      <c r="C14" s="89" t="s">
        <v>39</v>
      </c>
      <c r="D14" s="41" t="s">
        <v>59</v>
      </c>
      <c r="E14" s="41" t="s">
        <v>42</v>
      </c>
      <c r="F14" s="41" t="s">
        <v>36</v>
      </c>
      <c r="G14" s="41" t="s">
        <v>36</v>
      </c>
      <c r="H14" s="50" t="s">
        <v>36</v>
      </c>
      <c r="I14" s="41" t="s">
        <v>9</v>
      </c>
      <c r="J14" s="41" t="s">
        <v>36</v>
      </c>
      <c r="K14" s="41" t="s">
        <v>36</v>
      </c>
      <c r="L14" s="41" t="s">
        <v>36</v>
      </c>
      <c r="M14" s="41" t="s">
        <v>36</v>
      </c>
      <c r="N14" s="41" t="s">
        <v>36</v>
      </c>
      <c r="O14" s="41" t="s">
        <v>160</v>
      </c>
    </row>
    <row r="15" spans="1:16" s="41" customFormat="1" ht="29" x14ac:dyDescent="0.35">
      <c r="A15" s="41">
        <v>9</v>
      </c>
      <c r="B15" s="41" t="str">
        <f t="shared" si="0"/>
        <v>13.9</v>
      </c>
      <c r="C15" s="89" t="s">
        <v>39</v>
      </c>
      <c r="D15" s="41" t="s">
        <v>58</v>
      </c>
      <c r="E15" s="41" t="s">
        <v>42</v>
      </c>
      <c r="F15" s="41" t="s">
        <v>36</v>
      </c>
      <c r="G15" s="41" t="s">
        <v>36</v>
      </c>
      <c r="H15" s="50" t="s">
        <v>36</v>
      </c>
      <c r="I15" s="41" t="s">
        <v>9</v>
      </c>
      <c r="J15" s="41" t="s">
        <v>36</v>
      </c>
      <c r="K15" s="41" t="s">
        <v>36</v>
      </c>
      <c r="L15" s="41" t="s">
        <v>36</v>
      </c>
      <c r="M15" s="41" t="s">
        <v>36</v>
      </c>
      <c r="N15" s="41" t="s">
        <v>36</v>
      </c>
      <c r="O15" s="41" t="s">
        <v>304</v>
      </c>
    </row>
    <row r="16" spans="1:16" x14ac:dyDescent="0.35">
      <c r="C16" s="89"/>
      <c r="I16" s="41"/>
      <c r="J16" s="5"/>
      <c r="K16" s="5"/>
      <c r="L16" s="42"/>
      <c r="M16" s="42"/>
      <c r="N16" s="42"/>
      <c r="O16" s="42"/>
    </row>
    <row r="17" spans="4:15" x14ac:dyDescent="0.35">
      <c r="D17" s="6" t="s">
        <v>70</v>
      </c>
      <c r="I17" s="41"/>
      <c r="J17" s="5"/>
      <c r="K17" s="5"/>
      <c r="L17" s="42"/>
      <c r="M17" s="42"/>
      <c r="N17" s="42"/>
      <c r="O17" s="42"/>
    </row>
    <row r="18" spans="4:15" x14ac:dyDescent="0.35">
      <c r="I18" s="41"/>
      <c r="J18" s="5"/>
      <c r="K18" s="5"/>
      <c r="L18" s="42"/>
      <c r="M18" s="42"/>
      <c r="N18" s="42"/>
      <c r="O18" s="42"/>
    </row>
    <row r="19" spans="4:15" x14ac:dyDescent="0.35">
      <c r="I19" s="41"/>
      <c r="J19" s="5"/>
      <c r="K19" s="5"/>
      <c r="L19" s="42"/>
      <c r="M19" s="42"/>
      <c r="N19" s="42"/>
      <c r="O19" s="42"/>
    </row>
    <row r="20" spans="4:15" x14ac:dyDescent="0.35">
      <c r="I20" s="41"/>
      <c r="J20" s="5"/>
      <c r="K20" s="5"/>
      <c r="L20" s="42"/>
      <c r="M20" s="42"/>
      <c r="N20" s="42"/>
      <c r="O20" s="42"/>
    </row>
    <row r="21" spans="4:15" x14ac:dyDescent="0.35">
      <c r="I21" s="41"/>
      <c r="J21" s="5"/>
      <c r="K21" s="5"/>
      <c r="L21" s="42"/>
      <c r="M21" s="42"/>
      <c r="N21" s="42"/>
      <c r="O21" s="42"/>
    </row>
    <row r="22" spans="4:15" x14ac:dyDescent="0.35">
      <c r="I22" s="41"/>
      <c r="J22" s="5"/>
      <c r="K22" s="5"/>
      <c r="L22" s="42"/>
      <c r="M22" s="42"/>
      <c r="N22" s="42"/>
      <c r="O22" s="42"/>
    </row>
    <row r="23" spans="4:15" x14ac:dyDescent="0.35">
      <c r="I23" s="41"/>
      <c r="J23" s="5"/>
      <c r="K23" s="5"/>
      <c r="L23" s="42"/>
      <c r="M23" s="42"/>
      <c r="N23" s="42"/>
      <c r="O23" s="42"/>
    </row>
  </sheetData>
  <autoFilter ref="A6:P15"/>
  <conditionalFormatting sqref="C17:C1048576">
    <cfRule type="cellIs" dxfId="308" priority="29" operator="equal">
      <formula>"WIP (see comments)"</formula>
    </cfRule>
    <cfRule type="cellIs" dxfId="307" priority="30" operator="equal">
      <formula>"Removed"</formula>
    </cfRule>
    <cfRule type="cellIs" dxfId="306" priority="31" operator="equal">
      <formula>"Updated"</formula>
    </cfRule>
    <cfRule type="cellIs" dxfId="305" priority="32" operator="equal">
      <formula>"New"</formula>
    </cfRule>
  </conditionalFormatting>
  <conditionalFormatting sqref="A2:XFD2 A4 C4:XFD4 A1:C1 E1:XFD1 A5:XFD6 A3:C3 E3:XFD3 A17:XFD1048576 A7:B16 D7:XFD16">
    <cfRule type="cellIs" dxfId="304" priority="12" operator="equal">
      <formula>"n/a"</formula>
    </cfRule>
  </conditionalFormatting>
  <conditionalFormatting sqref="B4">
    <cfRule type="cellIs" dxfId="303" priority="11" operator="equal">
      <formula>"n/a"</formula>
    </cfRule>
  </conditionalFormatting>
  <conditionalFormatting sqref="D3">
    <cfRule type="cellIs" dxfId="302" priority="6" operator="equal">
      <formula>"n/a"</formula>
    </cfRule>
  </conditionalFormatting>
  <conditionalFormatting sqref="C7:C16">
    <cfRule type="cellIs" dxfId="301" priority="2" operator="equal">
      <formula>"WIP (see comments)"</formula>
    </cfRule>
    <cfRule type="cellIs" dxfId="300" priority="3" operator="equal">
      <formula>"Removed"</formula>
    </cfRule>
    <cfRule type="cellIs" dxfId="299" priority="4" operator="equal">
      <formula>"Updated"</formula>
    </cfRule>
    <cfRule type="cellIs" dxfId="298" priority="5" operator="equal">
      <formula>"New"</formula>
    </cfRule>
  </conditionalFormatting>
  <conditionalFormatting sqref="C7:C16">
    <cfRule type="cellIs" dxfId="297" priority="1" operator="equal">
      <formula>"n/a"</formula>
    </cfRule>
  </conditionalFormatting>
  <dataValidations count="1">
    <dataValidation type="list" allowBlank="1" showInputMessage="1" showErrorMessage="1" sqref="C17: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Values'!$B$5:$B$11</xm:f>
          </x14:formula1>
          <xm:sqref>C7:C16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E7" activePane="bottomRight" state="frozen"/>
      <selection pane="topRight" activeCell="E1" sqref="E1"/>
      <selection pane="bottomLeft" activeCell="A7" sqref="A7"/>
      <selection pane="bottomRight" activeCell="E13" sqref="E13"/>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242</v>
      </c>
      <c r="C1" s="34"/>
      <c r="D1" s="31"/>
    </row>
    <row r="2" spans="1:16" s="32" customFormat="1" ht="18.5" x14ac:dyDescent="0.35">
      <c r="A2" s="30" t="s">
        <v>7</v>
      </c>
      <c r="B2" s="38">
        <v>14</v>
      </c>
      <c r="C2" s="37"/>
      <c r="D2" s="38"/>
    </row>
    <row r="3" spans="1:16" s="32" customFormat="1" ht="18.5" x14ac:dyDescent="0.35">
      <c r="A3" s="30" t="s">
        <v>43</v>
      </c>
      <c r="B3" s="38" t="s">
        <v>376</v>
      </c>
      <c r="C3" s="37"/>
      <c r="D3" s="90" t="s">
        <v>377</v>
      </c>
    </row>
    <row r="4" spans="1:16" s="32" customFormat="1" ht="18.5" x14ac:dyDescent="0.35">
      <c r="A4" s="30" t="s">
        <v>8</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14.1</v>
      </c>
      <c r="C7" s="36" t="s">
        <v>39</v>
      </c>
      <c r="D7" s="41" t="s">
        <v>203</v>
      </c>
      <c r="E7" s="6" t="s">
        <v>28</v>
      </c>
      <c r="F7" s="6" t="s">
        <v>36</v>
      </c>
      <c r="G7" s="6" t="s">
        <v>36</v>
      </c>
      <c r="H7" s="36" t="s">
        <v>36</v>
      </c>
      <c r="I7" s="41" t="s">
        <v>9</v>
      </c>
      <c r="J7" s="5" t="s">
        <v>36</v>
      </c>
      <c r="K7" s="5" t="s">
        <v>36</v>
      </c>
      <c r="L7" s="5" t="s">
        <v>36</v>
      </c>
      <c r="M7" s="5" t="s">
        <v>36</v>
      </c>
      <c r="N7" s="5" t="s">
        <v>36</v>
      </c>
      <c r="O7" s="5" t="s">
        <v>36</v>
      </c>
    </row>
    <row r="8" spans="1:16" ht="29" x14ac:dyDescent="0.35">
      <c r="A8" s="6">
        <v>2</v>
      </c>
      <c r="B8" s="6" t="str">
        <f t="shared" si="0"/>
        <v>14.2</v>
      </c>
      <c r="C8" s="36" t="s">
        <v>44</v>
      </c>
      <c r="D8" s="41" t="s">
        <v>36</v>
      </c>
      <c r="E8" s="41" t="s">
        <v>48</v>
      </c>
      <c r="F8" s="6" t="s">
        <v>36</v>
      </c>
      <c r="G8" s="6" t="s">
        <v>36</v>
      </c>
      <c r="H8" s="36" t="s">
        <v>36</v>
      </c>
      <c r="I8" s="41" t="s">
        <v>9</v>
      </c>
      <c r="J8" s="5" t="s">
        <v>36</v>
      </c>
      <c r="K8" s="5" t="s">
        <v>36</v>
      </c>
      <c r="L8" s="5" t="s">
        <v>36</v>
      </c>
      <c r="M8" s="5" t="s">
        <v>36</v>
      </c>
      <c r="N8" s="5" t="s">
        <v>36</v>
      </c>
      <c r="O8" s="5" t="s">
        <v>36</v>
      </c>
      <c r="P8" s="6" t="s">
        <v>385</v>
      </c>
    </row>
    <row r="9" spans="1:16" ht="58" x14ac:dyDescent="0.35">
      <c r="A9" s="6">
        <v>3</v>
      </c>
      <c r="B9" s="6" t="str">
        <f t="shared" si="0"/>
        <v>14.3</v>
      </c>
      <c r="C9" s="36" t="s">
        <v>39</v>
      </c>
      <c r="D9" s="41" t="s">
        <v>204</v>
      </c>
      <c r="E9" s="41" t="s">
        <v>33</v>
      </c>
      <c r="F9" s="6" t="s">
        <v>36</v>
      </c>
      <c r="G9" s="6" t="s">
        <v>36</v>
      </c>
      <c r="H9" s="36" t="s">
        <v>36</v>
      </c>
      <c r="I9" s="41" t="s">
        <v>9</v>
      </c>
      <c r="J9" s="5" t="s">
        <v>36</v>
      </c>
      <c r="K9" s="5" t="s">
        <v>36</v>
      </c>
      <c r="L9" s="5" t="s">
        <v>36</v>
      </c>
      <c r="M9" s="5" t="s">
        <v>36</v>
      </c>
      <c r="N9" s="5" t="s">
        <v>36</v>
      </c>
      <c r="O9" s="5" t="s">
        <v>36</v>
      </c>
    </row>
    <row r="10" spans="1:16" ht="29" x14ac:dyDescent="0.35">
      <c r="A10" s="6">
        <v>4</v>
      </c>
      <c r="B10" s="6" t="str">
        <f t="shared" si="0"/>
        <v>14.4</v>
      </c>
      <c r="C10" s="36" t="s">
        <v>39</v>
      </c>
      <c r="D10" s="6" t="s">
        <v>195</v>
      </c>
      <c r="E10" s="137" t="s">
        <v>31</v>
      </c>
      <c r="F10" s="6" t="s">
        <v>62</v>
      </c>
      <c r="G10" s="6" t="s">
        <v>36</v>
      </c>
      <c r="H10" s="36" t="s">
        <v>36</v>
      </c>
      <c r="I10" s="41" t="s">
        <v>9</v>
      </c>
      <c r="J10" s="5" t="s">
        <v>166</v>
      </c>
      <c r="K10" s="134" t="s">
        <v>167</v>
      </c>
      <c r="L10" s="136" t="s">
        <v>196</v>
      </c>
      <c r="M10" s="5" t="s">
        <v>36</v>
      </c>
      <c r="N10" s="5" t="s">
        <v>36</v>
      </c>
      <c r="O10" s="138" t="s">
        <v>197</v>
      </c>
    </row>
    <row r="11" spans="1:16" ht="40.5" customHeight="1" x14ac:dyDescent="0.35">
      <c r="A11" s="6">
        <v>5</v>
      </c>
      <c r="B11" s="6" t="str">
        <f t="shared" ref="B11:B13" si="1">CONCATENATE($B$2, ".", A11)</f>
        <v>14.5</v>
      </c>
      <c r="C11" s="36" t="s">
        <v>39</v>
      </c>
      <c r="D11" s="6" t="s">
        <v>226</v>
      </c>
      <c r="E11" s="137"/>
      <c r="F11" s="6" t="s">
        <v>62</v>
      </c>
      <c r="G11" s="51" t="s">
        <v>36</v>
      </c>
      <c r="H11" s="73" t="s">
        <v>36</v>
      </c>
      <c r="I11" s="53" t="s">
        <v>9</v>
      </c>
      <c r="J11" s="5" t="s">
        <v>166</v>
      </c>
      <c r="K11" s="134"/>
      <c r="L11" s="136"/>
      <c r="M11" s="5" t="s">
        <v>36</v>
      </c>
      <c r="N11" s="5" t="s">
        <v>36</v>
      </c>
      <c r="O11" s="138"/>
    </row>
    <row r="12" spans="1:16" ht="231.75" customHeight="1" x14ac:dyDescent="0.35">
      <c r="A12" s="6">
        <v>6</v>
      </c>
      <c r="B12" s="6" t="str">
        <f t="shared" si="1"/>
        <v>14.6</v>
      </c>
      <c r="C12" s="36" t="s">
        <v>39</v>
      </c>
      <c r="D12" s="36" t="s">
        <v>227</v>
      </c>
      <c r="E12" s="41" t="s">
        <v>205</v>
      </c>
      <c r="F12" s="6" t="s">
        <v>36</v>
      </c>
      <c r="G12" s="6" t="s">
        <v>36</v>
      </c>
      <c r="H12" s="73" t="s">
        <v>36</v>
      </c>
      <c r="I12" s="53" t="s">
        <v>378</v>
      </c>
      <c r="J12" s="5" t="s">
        <v>36</v>
      </c>
      <c r="K12" s="5" t="s">
        <v>36</v>
      </c>
      <c r="L12" s="5" t="s">
        <v>36</v>
      </c>
      <c r="M12" s="5" t="s">
        <v>36</v>
      </c>
      <c r="N12" s="5" t="s">
        <v>36</v>
      </c>
      <c r="O12" s="5" t="s">
        <v>379</v>
      </c>
    </row>
    <row r="13" spans="1:16" ht="88" customHeight="1" x14ac:dyDescent="0.35">
      <c r="A13" s="6">
        <v>7</v>
      </c>
      <c r="B13" s="6" t="str">
        <f t="shared" si="1"/>
        <v>14.7</v>
      </c>
      <c r="C13" s="36" t="s">
        <v>37</v>
      </c>
      <c r="D13" s="41" t="s">
        <v>59</v>
      </c>
      <c r="E13" s="41" t="s">
        <v>42</v>
      </c>
      <c r="F13" s="41" t="s">
        <v>36</v>
      </c>
      <c r="G13" s="41" t="s">
        <v>36</v>
      </c>
      <c r="H13" s="50" t="s">
        <v>36</v>
      </c>
      <c r="I13" s="41" t="s">
        <v>9</v>
      </c>
      <c r="J13" s="41" t="s">
        <v>36</v>
      </c>
      <c r="K13" s="41" t="s">
        <v>36</v>
      </c>
      <c r="L13" s="41" t="s">
        <v>36</v>
      </c>
      <c r="M13" s="41" t="s">
        <v>36</v>
      </c>
      <c r="N13" s="41" t="s">
        <v>36</v>
      </c>
      <c r="O13" s="41" t="s">
        <v>517</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mergeCells count="4">
    <mergeCell ref="K10:K11"/>
    <mergeCell ref="L10:L11"/>
    <mergeCell ref="E10:E11"/>
    <mergeCell ref="O10:O11"/>
  </mergeCells>
  <conditionalFormatting sqref="C7:C1048576">
    <cfRule type="cellIs" dxfId="296" priority="29" operator="equal">
      <formula>"WIP (see comments)"</formula>
    </cfRule>
    <cfRule type="cellIs" dxfId="295" priority="30" operator="equal">
      <formula>"Removed"</formula>
    </cfRule>
    <cfRule type="cellIs" dxfId="294" priority="31" operator="equal">
      <formula>"Updated"</formula>
    </cfRule>
    <cfRule type="cellIs" dxfId="293" priority="32" operator="equal">
      <formula>"New"</formula>
    </cfRule>
  </conditionalFormatting>
  <conditionalFormatting sqref="G10:I10 M10:O10 A10:E10 M11:N11 A7:O9 A11:C13">
    <cfRule type="cellIs" dxfId="292" priority="20" operator="equal">
      <formula>"n/a"</formula>
    </cfRule>
  </conditionalFormatting>
  <conditionalFormatting sqref="D11:D12 F11:J12">
    <cfRule type="cellIs" dxfId="291" priority="19" operator="equal">
      <formula>"n/a"</formula>
    </cfRule>
  </conditionalFormatting>
  <conditionalFormatting sqref="K10:L10">
    <cfRule type="cellIs" dxfId="290" priority="18" operator="equal">
      <formula>"n/a"</formula>
    </cfRule>
  </conditionalFormatting>
  <conditionalFormatting sqref="D13 F13:N13">
    <cfRule type="cellIs" dxfId="289" priority="11" operator="equal">
      <formula>"n/a"</formula>
    </cfRule>
  </conditionalFormatting>
  <conditionalFormatting sqref="F10">
    <cfRule type="cellIs" dxfId="288" priority="9" operator="equal">
      <formula>"n/a"</formula>
    </cfRule>
  </conditionalFormatting>
  <conditionalFormatting sqref="J10">
    <cfRule type="cellIs" dxfId="287" priority="8" operator="equal">
      <formula>"n/a"</formula>
    </cfRule>
  </conditionalFormatting>
  <conditionalFormatting sqref="E12:E13">
    <cfRule type="cellIs" dxfId="286" priority="7" operator="equal">
      <formula>"n/a"</formula>
    </cfRule>
  </conditionalFormatting>
  <conditionalFormatting sqref="K12">
    <cfRule type="cellIs" dxfId="285" priority="6" operator="equal">
      <formula>"n/a"</formula>
    </cfRule>
  </conditionalFormatting>
  <conditionalFormatting sqref="L12">
    <cfRule type="cellIs" dxfId="284" priority="5" operator="equal">
      <formula>"n/a"</formula>
    </cfRule>
  </conditionalFormatting>
  <conditionalFormatting sqref="M12">
    <cfRule type="cellIs" dxfId="283" priority="4" operator="equal">
      <formula>"n/a"</formula>
    </cfRule>
  </conditionalFormatting>
  <conditionalFormatting sqref="N12">
    <cfRule type="cellIs" dxfId="282" priority="3" operator="equal">
      <formula>"n/a"</formula>
    </cfRule>
  </conditionalFormatting>
  <conditionalFormatting sqref="O12">
    <cfRule type="cellIs" dxfId="281" priority="2" operator="equal">
      <formula>"n/a"</formula>
    </cfRule>
  </conditionalFormatting>
  <conditionalFormatting sqref="D3">
    <cfRule type="cellIs" dxfId="280"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Values'!$A$5:$A$33</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 type="list" allowBlank="1" showInputMessage="1" showErrorMessage="1">
          <x14:formula1>
            <xm:f>'List Values'!$A$5:$A$32</xm:f>
          </x14:formula1>
          <xm:sqref>E12:E13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243</v>
      </c>
      <c r="C1" s="34"/>
      <c r="D1" s="31"/>
    </row>
    <row r="2" spans="1:16" s="32" customFormat="1" ht="18.5" x14ac:dyDescent="0.35">
      <c r="A2" s="30" t="s">
        <v>7</v>
      </c>
      <c r="B2" s="38">
        <v>15</v>
      </c>
      <c r="C2" s="37"/>
      <c r="D2" s="38"/>
    </row>
    <row r="3" spans="1:16" s="32" customFormat="1" ht="18.5" x14ac:dyDescent="0.35">
      <c r="A3" s="30" t="s">
        <v>43</v>
      </c>
      <c r="B3" s="38" t="s">
        <v>306</v>
      </c>
      <c r="C3" s="37"/>
      <c r="D3" s="38"/>
    </row>
    <row r="4" spans="1:16" s="32" customFormat="1" ht="18.5" x14ac:dyDescent="0.35">
      <c r="A4" s="30" t="s">
        <v>8</v>
      </c>
      <c r="B4" s="32" t="s">
        <v>172</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x14ac:dyDescent="0.35">
      <c r="A7" s="6">
        <v>1</v>
      </c>
      <c r="B7" s="6" t="str">
        <f t="shared" ref="B7:B11" si="0">CONCATENATE($B$2, ".", A7)</f>
        <v>15.1</v>
      </c>
      <c r="C7" s="36" t="s">
        <v>39</v>
      </c>
      <c r="D7" s="41" t="s">
        <v>140</v>
      </c>
      <c r="E7" s="6" t="s">
        <v>28</v>
      </c>
      <c r="F7" s="6" t="s">
        <v>36</v>
      </c>
      <c r="G7" s="6" t="s">
        <v>36</v>
      </c>
      <c r="H7" s="36" t="s">
        <v>36</v>
      </c>
      <c r="I7" s="41" t="s">
        <v>9</v>
      </c>
      <c r="J7" s="5" t="s">
        <v>36</v>
      </c>
      <c r="K7" s="5" t="s">
        <v>36</v>
      </c>
      <c r="L7" s="5" t="s">
        <v>36</v>
      </c>
      <c r="M7" s="5" t="s">
        <v>36</v>
      </c>
      <c r="N7" s="5" t="s">
        <v>36</v>
      </c>
      <c r="O7" s="5" t="s">
        <v>36</v>
      </c>
    </row>
    <row r="8" spans="1:16" x14ac:dyDescent="0.35">
      <c r="A8" s="6">
        <v>2</v>
      </c>
      <c r="B8" s="6" t="str">
        <f t="shared" si="0"/>
        <v>15.2</v>
      </c>
      <c r="C8" s="36" t="s">
        <v>39</v>
      </c>
      <c r="D8" s="41" t="s">
        <v>36</v>
      </c>
      <c r="E8" s="41" t="s">
        <v>48</v>
      </c>
      <c r="F8" s="6" t="s">
        <v>36</v>
      </c>
      <c r="G8" s="6" t="s">
        <v>36</v>
      </c>
      <c r="H8" s="36" t="s">
        <v>36</v>
      </c>
      <c r="I8" s="41" t="s">
        <v>9</v>
      </c>
      <c r="J8" s="5" t="s">
        <v>36</v>
      </c>
      <c r="K8" s="5" t="s">
        <v>36</v>
      </c>
      <c r="L8" s="5" t="s">
        <v>36</v>
      </c>
      <c r="M8" s="5" t="s">
        <v>36</v>
      </c>
      <c r="N8" s="5" t="s">
        <v>36</v>
      </c>
      <c r="O8" s="5" t="s">
        <v>36</v>
      </c>
    </row>
    <row r="9" spans="1:16" ht="105.75" customHeight="1" x14ac:dyDescent="0.35">
      <c r="A9" s="6">
        <v>3</v>
      </c>
      <c r="B9" s="6" t="str">
        <f t="shared" si="0"/>
        <v>15.3</v>
      </c>
      <c r="C9" s="36" t="s">
        <v>39</v>
      </c>
      <c r="D9" s="6" t="s">
        <v>36</v>
      </c>
      <c r="E9" s="6" t="s">
        <v>663</v>
      </c>
      <c r="F9" s="6" t="s">
        <v>36</v>
      </c>
      <c r="G9" s="6" t="s">
        <v>36</v>
      </c>
      <c r="H9" s="36" t="s">
        <v>36</v>
      </c>
      <c r="I9" s="41" t="s">
        <v>9</v>
      </c>
      <c r="J9" s="5" t="s">
        <v>36</v>
      </c>
      <c r="K9" s="5" t="s">
        <v>167</v>
      </c>
      <c r="L9" s="53" t="s">
        <v>36</v>
      </c>
      <c r="M9" s="5" t="s">
        <v>36</v>
      </c>
      <c r="N9" s="5" t="s">
        <v>36</v>
      </c>
      <c r="O9" s="42" t="s">
        <v>201</v>
      </c>
    </row>
    <row r="10" spans="1:16" ht="105.75" customHeight="1" x14ac:dyDescent="0.35">
      <c r="A10" s="6">
        <v>4</v>
      </c>
      <c r="B10" s="6" t="str">
        <f t="shared" si="0"/>
        <v>15.4</v>
      </c>
      <c r="C10" s="36" t="s">
        <v>39</v>
      </c>
      <c r="D10" s="6" t="s">
        <v>58</v>
      </c>
      <c r="E10" s="6" t="s">
        <v>42</v>
      </c>
      <c r="F10" s="6" t="s">
        <v>36</v>
      </c>
      <c r="G10" s="6" t="s">
        <v>36</v>
      </c>
      <c r="H10" s="36" t="s">
        <v>36</v>
      </c>
      <c r="I10" s="41" t="s">
        <v>218</v>
      </c>
      <c r="J10" s="5" t="s">
        <v>36</v>
      </c>
      <c r="K10" s="5" t="s">
        <v>36</v>
      </c>
      <c r="L10" s="53" t="s">
        <v>36</v>
      </c>
      <c r="M10" s="5" t="s">
        <v>36</v>
      </c>
      <c r="N10" s="5" t="s">
        <v>36</v>
      </c>
      <c r="O10" s="42" t="s">
        <v>477</v>
      </c>
    </row>
    <row r="11" spans="1:16" ht="29" x14ac:dyDescent="0.35">
      <c r="A11" s="6">
        <v>5</v>
      </c>
      <c r="B11" s="6" t="str">
        <f t="shared" si="0"/>
        <v>15.5</v>
      </c>
      <c r="C11" s="36" t="s">
        <v>39</v>
      </c>
      <c r="D11" s="41" t="s">
        <v>59</v>
      </c>
      <c r="E11" s="41" t="s">
        <v>42</v>
      </c>
      <c r="F11" s="41" t="s">
        <v>36</v>
      </c>
      <c r="G11" s="41" t="s">
        <v>36</v>
      </c>
      <c r="H11" s="50" t="s">
        <v>36</v>
      </c>
      <c r="I11" s="41" t="s">
        <v>9</v>
      </c>
      <c r="J11" s="41" t="s">
        <v>36</v>
      </c>
      <c r="K11" s="41" t="s">
        <v>36</v>
      </c>
      <c r="L11" s="41" t="s">
        <v>36</v>
      </c>
      <c r="M11" s="41" t="s">
        <v>36</v>
      </c>
      <c r="N11" s="41" t="s">
        <v>36</v>
      </c>
      <c r="O11" s="41" t="s">
        <v>307</v>
      </c>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sheetData>
  <conditionalFormatting sqref="C12:C1048576">
    <cfRule type="cellIs" dxfId="279" priority="16" operator="equal">
      <formula>"WIP (see comments)"</formula>
    </cfRule>
    <cfRule type="cellIs" dxfId="278" priority="17" operator="equal">
      <formula>"Removed"</formula>
    </cfRule>
    <cfRule type="cellIs" dxfId="277" priority="18" operator="equal">
      <formula>"Updated"</formula>
    </cfRule>
    <cfRule type="cellIs" dxfId="276" priority="19" operator="equal">
      <formula>"New"</formula>
    </cfRule>
  </conditionalFormatting>
  <conditionalFormatting sqref="C7:C10">
    <cfRule type="cellIs" dxfId="275" priority="12" operator="equal">
      <formula>"WIP (see comments)"</formula>
    </cfRule>
    <cfRule type="cellIs" dxfId="274" priority="13" operator="equal">
      <formula>"Removed"</formula>
    </cfRule>
    <cfRule type="cellIs" dxfId="273" priority="14" operator="equal">
      <formula>"Updated"</formula>
    </cfRule>
    <cfRule type="cellIs" dxfId="272" priority="15" operator="equal">
      <formula>"New"</formula>
    </cfRule>
  </conditionalFormatting>
  <conditionalFormatting sqref="A1:XFD8 A12:XFD1048576 P9:XFD10 M9:N10 A9:J9 C10:J10 A10:B11">
    <cfRule type="cellIs" dxfId="271" priority="11" operator="equal">
      <formula>"n/a"</formula>
    </cfRule>
  </conditionalFormatting>
  <conditionalFormatting sqref="K9:L10">
    <cfRule type="cellIs" dxfId="270" priority="9" operator="equal">
      <formula>"n/a"</formula>
    </cfRule>
  </conditionalFormatting>
  <conditionalFormatting sqref="O9">
    <cfRule type="cellIs" dxfId="269" priority="8" operator="equal">
      <formula>"n/a"</formula>
    </cfRule>
  </conditionalFormatting>
  <conditionalFormatting sqref="C11">
    <cfRule type="cellIs" dxfId="268" priority="4" operator="equal">
      <formula>"WIP (see comments)"</formula>
    </cfRule>
    <cfRule type="cellIs" dxfId="267" priority="5" operator="equal">
      <formula>"Removed"</formula>
    </cfRule>
    <cfRule type="cellIs" dxfId="266" priority="6" operator="equal">
      <formula>"Updated"</formula>
    </cfRule>
    <cfRule type="cellIs" dxfId="265" priority="7" operator="equal">
      <formula>"New"</formula>
    </cfRule>
  </conditionalFormatting>
  <conditionalFormatting sqref="P11:XFD11 C11">
    <cfRule type="cellIs" dxfId="264" priority="3" operator="equal">
      <formula>"n/a"</formula>
    </cfRule>
  </conditionalFormatting>
  <conditionalFormatting sqref="D11:N11">
    <cfRule type="cellIs" dxfId="263" priority="2" operator="equal">
      <formula>"n/a"</formula>
    </cfRule>
  </conditionalFormatting>
  <conditionalFormatting sqref="O10">
    <cfRule type="cellIs" dxfId="26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244</v>
      </c>
      <c r="C1" s="34"/>
      <c r="D1" s="31"/>
    </row>
    <row r="2" spans="1:16" s="32" customFormat="1" ht="18.5" x14ac:dyDescent="0.35">
      <c r="A2" s="30" t="s">
        <v>7</v>
      </c>
      <c r="B2" s="38">
        <v>16</v>
      </c>
      <c r="C2" s="37"/>
      <c r="D2" s="38"/>
    </row>
    <row r="3" spans="1:16" s="32" customFormat="1" ht="18.5" x14ac:dyDescent="0.35">
      <c r="A3" s="30" t="s">
        <v>43</v>
      </c>
      <c r="B3" s="38" t="s">
        <v>474</v>
      </c>
      <c r="C3" s="37"/>
      <c r="D3" s="38" t="s">
        <v>475</v>
      </c>
    </row>
    <row r="4" spans="1:16" s="32" customFormat="1" ht="18.5" x14ac:dyDescent="0.35">
      <c r="A4" s="30" t="s">
        <v>8</v>
      </c>
      <c r="B4" s="32" t="s">
        <v>471</v>
      </c>
      <c r="C4" s="37"/>
    </row>
    <row r="5" spans="1:16" s="4" customFormat="1" x14ac:dyDescent="0.35">
      <c r="C5" s="39"/>
    </row>
    <row r="6" spans="1:16" s="33" customFormat="1" ht="15" thickBot="1" x14ac:dyDescent="0.4">
      <c r="A6" s="33" t="s">
        <v>10</v>
      </c>
      <c r="B6" s="33" t="s">
        <v>11</v>
      </c>
      <c r="C6" s="35" t="s">
        <v>25</v>
      </c>
      <c r="D6" s="33" t="s">
        <v>24</v>
      </c>
      <c r="E6" s="33" t="s">
        <v>12</v>
      </c>
      <c r="F6" s="33" t="s">
        <v>13</v>
      </c>
      <c r="G6" s="33" t="s">
        <v>14</v>
      </c>
      <c r="H6" s="33" t="s">
        <v>15</v>
      </c>
      <c r="I6" s="33" t="s">
        <v>16</v>
      </c>
      <c r="J6" s="33" t="s">
        <v>17</v>
      </c>
      <c r="K6" s="33" t="s">
        <v>18</v>
      </c>
      <c r="L6" s="33" t="s">
        <v>19</v>
      </c>
      <c r="M6" s="33" t="s">
        <v>20</v>
      </c>
      <c r="N6" s="33" t="s">
        <v>21</v>
      </c>
      <c r="O6" s="33" t="s">
        <v>22</v>
      </c>
      <c r="P6" s="33" t="s">
        <v>23</v>
      </c>
    </row>
    <row r="7" spans="1:16" ht="29" x14ac:dyDescent="0.35">
      <c r="A7" s="5">
        <v>1</v>
      </c>
      <c r="B7" s="5" t="str">
        <f>CONCATENATE($B$2, ".", A7)</f>
        <v>16.1</v>
      </c>
      <c r="C7" s="72" t="s">
        <v>44</v>
      </c>
      <c r="D7" s="5" t="s">
        <v>36</v>
      </c>
      <c r="E7" s="42" t="s">
        <v>127</v>
      </c>
      <c r="F7" s="5" t="s">
        <v>36</v>
      </c>
      <c r="G7" s="5" t="s">
        <v>36</v>
      </c>
      <c r="H7" s="72" t="s">
        <v>36</v>
      </c>
      <c r="I7" s="42" t="s">
        <v>9</v>
      </c>
      <c r="J7" s="5" t="s">
        <v>36</v>
      </c>
      <c r="K7" s="5" t="s">
        <v>36</v>
      </c>
      <c r="L7" s="5" t="s">
        <v>36</v>
      </c>
      <c r="M7" s="5" t="s">
        <v>36</v>
      </c>
      <c r="N7" s="5" t="s">
        <v>36</v>
      </c>
      <c r="O7" s="42"/>
      <c r="P7" s="5" t="s">
        <v>470</v>
      </c>
    </row>
    <row r="8" spans="1:16" x14ac:dyDescent="0.35">
      <c r="A8" s="5">
        <v>2</v>
      </c>
      <c r="B8" s="5" t="str">
        <f t="shared" ref="B8" si="0">CONCATENATE($B$2, ".", A8)</f>
        <v>16.2</v>
      </c>
      <c r="C8" s="74" t="s">
        <v>208</v>
      </c>
      <c r="D8" s="42" t="s">
        <v>206</v>
      </c>
      <c r="E8" s="42" t="s">
        <v>128</v>
      </c>
      <c r="F8" s="5" t="s">
        <v>36</v>
      </c>
      <c r="G8" s="5" t="s">
        <v>36</v>
      </c>
      <c r="H8" s="72" t="s">
        <v>36</v>
      </c>
      <c r="I8" s="42" t="s">
        <v>9</v>
      </c>
      <c r="J8" s="5" t="s">
        <v>36</v>
      </c>
      <c r="K8" s="5" t="s">
        <v>36</v>
      </c>
      <c r="L8" s="5" t="s">
        <v>36</v>
      </c>
      <c r="M8" s="5" t="s">
        <v>36</v>
      </c>
      <c r="N8" s="5" t="s">
        <v>36</v>
      </c>
      <c r="O8" s="5"/>
      <c r="P8" s="5"/>
    </row>
    <row r="9" spans="1:16" ht="231" customHeight="1" x14ac:dyDescent="0.35">
      <c r="A9" s="6">
        <v>3</v>
      </c>
      <c r="B9" s="6" t="str">
        <f t="shared" ref="B9" si="1">CONCATENATE($B$2, ".", A9)</f>
        <v>16.3</v>
      </c>
      <c r="C9" s="74" t="s">
        <v>44</v>
      </c>
      <c r="D9" s="41" t="s">
        <v>738</v>
      </c>
      <c r="E9" s="41" t="s">
        <v>105</v>
      </c>
      <c r="F9" s="6" t="s">
        <v>36</v>
      </c>
      <c r="G9" s="6" t="s">
        <v>36</v>
      </c>
      <c r="H9" s="36" t="s">
        <v>36</v>
      </c>
      <c r="I9" s="41" t="s">
        <v>9</v>
      </c>
      <c r="J9" s="5" t="s">
        <v>36</v>
      </c>
      <c r="K9" s="5" t="s">
        <v>36</v>
      </c>
      <c r="L9" s="5" t="s">
        <v>36</v>
      </c>
      <c r="M9" s="5" t="s">
        <v>36</v>
      </c>
      <c r="N9" s="5" t="s">
        <v>36</v>
      </c>
      <c r="O9" s="5" t="s">
        <v>472</v>
      </c>
      <c r="P9" s="6" t="s">
        <v>473</v>
      </c>
    </row>
    <row r="10" spans="1:16" x14ac:dyDescent="0.35">
      <c r="I10" s="41"/>
      <c r="J10" s="5"/>
      <c r="K10" s="5"/>
      <c r="L10" s="42"/>
      <c r="M10" s="42"/>
      <c r="N10" s="42"/>
      <c r="O10" s="42"/>
    </row>
    <row r="11" spans="1:16" x14ac:dyDescent="0.35">
      <c r="I11" s="41"/>
      <c r="J11" s="5"/>
      <c r="K11" s="5"/>
      <c r="L11" s="42"/>
      <c r="M11" s="42"/>
      <c r="N11" s="42"/>
      <c r="O11" s="42"/>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sheetData>
  <conditionalFormatting sqref="C7:C1048576">
    <cfRule type="cellIs" dxfId="261" priority="21" operator="equal">
      <formula>"WIP (see comments)"</formula>
    </cfRule>
    <cfRule type="cellIs" dxfId="260" priority="22" operator="equal">
      <formula>"Removed"</formula>
    </cfRule>
    <cfRule type="cellIs" dxfId="259" priority="23" operator="equal">
      <formula>"Updated"</formula>
    </cfRule>
    <cfRule type="cellIs" dxfId="258" priority="24" operator="equal">
      <formula>"New"</formula>
    </cfRule>
  </conditionalFormatting>
  <conditionalFormatting sqref="A9:O9">
    <cfRule type="cellIs" dxfId="257" priority="20" operator="equal">
      <formula>"n/a"</formula>
    </cfRule>
  </conditionalFormatting>
  <conditionalFormatting sqref="A8:P8 E7:O7 A7:C7 C8:C9">
    <cfRule type="cellIs" dxfId="256" priority="4" operator="equal">
      <formula>"n/a"</formula>
    </cfRule>
  </conditionalFormatting>
  <conditionalFormatting sqref="P7">
    <cfRule type="cellIs" dxfId="255" priority="3" operator="equal">
      <formula>"n/a"</formula>
    </cfRule>
  </conditionalFormatting>
  <conditionalFormatting sqref="D7">
    <cfRule type="cellIs" dxfId="254" priority="2" operator="equal">
      <formula>"-"</formula>
    </cfRule>
  </conditionalFormatting>
  <conditionalFormatting sqref="D7">
    <cfRule type="cellIs" dxfId="25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2"/>
  <sheetViews>
    <sheetView workbookViewId="0">
      <pane xSplit="4" ySplit="6" topLeftCell="J7" activePane="bottomRight" state="frozen"/>
      <selection pane="topRight" activeCell="E1" sqref="E1"/>
      <selection pane="bottomLeft" activeCell="A7" sqref="A7"/>
      <selection pane="bottomRight" activeCell="O27" sqref="O2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8"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783</v>
      </c>
      <c r="C1" s="34"/>
      <c r="D1" s="31"/>
      <c r="H1" s="127"/>
    </row>
    <row r="2" spans="1:16" s="32" customFormat="1" ht="18.5" x14ac:dyDescent="0.35">
      <c r="A2" s="30" t="s">
        <v>7</v>
      </c>
      <c r="B2" s="127" t="s">
        <v>782</v>
      </c>
      <c r="C2" s="37"/>
      <c r="D2" s="127"/>
      <c r="H2" s="127"/>
    </row>
    <row r="3" spans="1:16" s="32" customFormat="1" ht="18.5" x14ac:dyDescent="0.35">
      <c r="A3" s="30" t="s">
        <v>43</v>
      </c>
      <c r="B3" s="127" t="s">
        <v>792</v>
      </c>
      <c r="C3" s="37"/>
      <c r="D3" s="127"/>
      <c r="H3" s="127"/>
    </row>
    <row r="4" spans="1:16" s="32" customFormat="1" ht="18.5" x14ac:dyDescent="0.35">
      <c r="A4" s="30" t="s">
        <v>8</v>
      </c>
      <c r="B4" s="32" t="s">
        <v>615</v>
      </c>
      <c r="C4" s="37"/>
      <c r="H4" s="127"/>
    </row>
    <row r="5" spans="1:16" s="4" customFormat="1" x14ac:dyDescent="0.35">
      <c r="C5" s="39"/>
      <c r="H5" s="107"/>
    </row>
    <row r="6" spans="1:16" s="33" customFormat="1" ht="15" thickBot="1" x14ac:dyDescent="0.4">
      <c r="A6" s="33" t="s">
        <v>10</v>
      </c>
      <c r="B6" s="33" t="s">
        <v>11</v>
      </c>
      <c r="C6" s="35" t="s">
        <v>25</v>
      </c>
      <c r="D6" s="33" t="s">
        <v>24</v>
      </c>
      <c r="E6" s="33" t="s">
        <v>12</v>
      </c>
      <c r="F6" s="33" t="s">
        <v>13</v>
      </c>
      <c r="G6" s="33" t="s">
        <v>14</v>
      </c>
      <c r="H6" s="108" t="s">
        <v>15</v>
      </c>
      <c r="I6" s="33" t="s">
        <v>16</v>
      </c>
      <c r="J6" s="33" t="s">
        <v>17</v>
      </c>
      <c r="K6" s="33" t="s">
        <v>18</v>
      </c>
      <c r="L6" s="33" t="s">
        <v>19</v>
      </c>
      <c r="M6" s="33" t="s">
        <v>20</v>
      </c>
      <c r="N6" s="33" t="s">
        <v>21</v>
      </c>
      <c r="O6" s="33" t="s">
        <v>22</v>
      </c>
      <c r="P6" s="33" t="s">
        <v>23</v>
      </c>
    </row>
    <row r="7" spans="1:16" x14ac:dyDescent="0.35">
      <c r="A7" s="6">
        <v>1</v>
      </c>
      <c r="B7" s="6" t="str">
        <f t="shared" ref="B7" si="0">CONCATENATE($B$2, ".", A7)</f>
        <v>17a.1</v>
      </c>
      <c r="C7" s="36" t="s">
        <v>41</v>
      </c>
      <c r="D7" s="41" t="s">
        <v>616</v>
      </c>
      <c r="E7" s="41" t="s">
        <v>28</v>
      </c>
      <c r="F7" s="6" t="s">
        <v>36</v>
      </c>
      <c r="G7" s="6" t="s">
        <v>36</v>
      </c>
      <c r="H7" s="128" t="s">
        <v>36</v>
      </c>
      <c r="I7" s="41" t="s">
        <v>9</v>
      </c>
      <c r="J7" s="5" t="s">
        <v>36</v>
      </c>
      <c r="K7" s="5" t="s">
        <v>36</v>
      </c>
      <c r="L7" s="5" t="s">
        <v>36</v>
      </c>
      <c r="M7" s="5" t="s">
        <v>36</v>
      </c>
      <c r="N7" s="5" t="s">
        <v>36</v>
      </c>
      <c r="O7" s="5" t="s">
        <v>36</v>
      </c>
      <c r="P7" s="6" t="s">
        <v>228</v>
      </c>
    </row>
    <row r="8" spans="1:16" x14ac:dyDescent="0.35">
      <c r="A8" s="6">
        <v>2</v>
      </c>
      <c r="B8" s="6" t="str">
        <f t="shared" ref="B8:B10" si="1">CONCATENATE($B$2, ".", A8)</f>
        <v>17a.2</v>
      </c>
      <c r="C8" s="36" t="s">
        <v>41</v>
      </c>
      <c r="D8" s="41" t="s">
        <v>36</v>
      </c>
      <c r="E8" s="41" t="s">
        <v>47</v>
      </c>
      <c r="F8" s="6" t="s">
        <v>36</v>
      </c>
      <c r="G8" s="6" t="s">
        <v>36</v>
      </c>
      <c r="H8" s="128" t="s">
        <v>36</v>
      </c>
      <c r="I8" s="41" t="s">
        <v>9</v>
      </c>
      <c r="J8" s="5" t="s">
        <v>36</v>
      </c>
      <c r="K8" s="5" t="s">
        <v>36</v>
      </c>
      <c r="L8" s="5" t="s">
        <v>36</v>
      </c>
      <c r="M8" s="5" t="s">
        <v>36</v>
      </c>
      <c r="N8" s="5" t="s">
        <v>36</v>
      </c>
      <c r="O8" s="5" t="s">
        <v>36</v>
      </c>
      <c r="P8" s="6" t="s">
        <v>485</v>
      </c>
    </row>
    <row r="9" spans="1:16" ht="43.5" x14ac:dyDescent="0.35">
      <c r="A9" s="6">
        <v>3</v>
      </c>
      <c r="B9" s="6" t="str">
        <f t="shared" si="1"/>
        <v>17a.3</v>
      </c>
      <c r="C9" s="36" t="s">
        <v>41</v>
      </c>
      <c r="D9" s="55" t="s">
        <v>617</v>
      </c>
      <c r="E9" s="6" t="s">
        <v>31</v>
      </c>
      <c r="F9" s="6" t="s">
        <v>60</v>
      </c>
      <c r="G9" s="6" t="s">
        <v>36</v>
      </c>
      <c r="H9" s="128" t="s">
        <v>36</v>
      </c>
      <c r="I9" s="6" t="s">
        <v>9</v>
      </c>
      <c r="J9" s="6" t="s">
        <v>577</v>
      </c>
      <c r="K9" s="6" t="s">
        <v>53</v>
      </c>
      <c r="L9" s="6" t="s">
        <v>619</v>
      </c>
      <c r="M9" s="6" t="s">
        <v>36</v>
      </c>
      <c r="N9" s="6" t="s">
        <v>36</v>
      </c>
      <c r="O9" s="42" t="s">
        <v>36</v>
      </c>
      <c r="P9" s="6" t="s">
        <v>228</v>
      </c>
    </row>
    <row r="10" spans="1:16" ht="49.5" customHeight="1" x14ac:dyDescent="0.35">
      <c r="A10" s="6">
        <v>4</v>
      </c>
      <c r="B10" s="6" t="str">
        <f t="shared" si="1"/>
        <v>17a.4</v>
      </c>
      <c r="C10" s="36" t="s">
        <v>41</v>
      </c>
      <c r="D10" s="55" t="s">
        <v>618</v>
      </c>
      <c r="E10" s="6" t="s">
        <v>32</v>
      </c>
      <c r="F10" s="6" t="s">
        <v>789</v>
      </c>
      <c r="G10" s="41" t="s">
        <v>36</v>
      </c>
      <c r="H10" s="128" t="s">
        <v>784</v>
      </c>
      <c r="I10" s="6" t="s">
        <v>559</v>
      </c>
      <c r="J10" s="55" t="s">
        <v>790</v>
      </c>
      <c r="K10" s="6" t="s">
        <v>391</v>
      </c>
      <c r="L10" s="6" t="s">
        <v>620</v>
      </c>
      <c r="M10" s="6" t="s">
        <v>36</v>
      </c>
      <c r="N10" s="6" t="s">
        <v>36</v>
      </c>
      <c r="O10" s="42" t="s">
        <v>785</v>
      </c>
      <c r="P10" s="6" t="s">
        <v>228</v>
      </c>
    </row>
    <row r="11" spans="1:16" ht="43.5" x14ac:dyDescent="0.35">
      <c r="A11" s="6">
        <v>5</v>
      </c>
      <c r="B11" s="6" t="str">
        <f t="shared" ref="B11:B12" si="2">CONCATENATE($B$2, ".", A11)</f>
        <v>17a.5</v>
      </c>
      <c r="C11" s="36" t="s">
        <v>41</v>
      </c>
      <c r="D11" s="6" t="s">
        <v>59</v>
      </c>
      <c r="E11" s="6" t="s">
        <v>42</v>
      </c>
      <c r="F11" s="6" t="s">
        <v>36</v>
      </c>
      <c r="G11" s="6" t="s">
        <v>36</v>
      </c>
      <c r="H11" s="128" t="s">
        <v>36</v>
      </c>
      <c r="I11" s="6" t="s">
        <v>9</v>
      </c>
      <c r="J11" s="6" t="s">
        <v>36</v>
      </c>
      <c r="K11" s="6" t="s">
        <v>36</v>
      </c>
      <c r="L11" s="6" t="s">
        <v>36</v>
      </c>
      <c r="M11" s="6" t="s">
        <v>786</v>
      </c>
      <c r="N11" s="6" t="s">
        <v>787</v>
      </c>
      <c r="O11" s="42" t="s">
        <v>788</v>
      </c>
    </row>
    <row r="12" spans="1:16" x14ac:dyDescent="0.35">
      <c r="A12" s="6">
        <v>6</v>
      </c>
      <c r="B12" s="6" t="str">
        <f t="shared" si="2"/>
        <v>17a.6</v>
      </c>
      <c r="C12" s="36" t="s">
        <v>41</v>
      </c>
      <c r="D12" s="41" t="s">
        <v>58</v>
      </c>
      <c r="E12" s="6" t="s">
        <v>42</v>
      </c>
      <c r="F12" s="6" t="s">
        <v>36</v>
      </c>
      <c r="G12" s="6" t="s">
        <v>36</v>
      </c>
      <c r="H12" s="128" t="s">
        <v>36</v>
      </c>
      <c r="I12" s="6" t="s">
        <v>9</v>
      </c>
      <c r="J12" s="6" t="s">
        <v>36</v>
      </c>
      <c r="K12" s="6" t="s">
        <v>36</v>
      </c>
      <c r="L12" s="6" t="s">
        <v>36</v>
      </c>
      <c r="M12" s="41" t="s">
        <v>36</v>
      </c>
      <c r="N12" s="41" t="s">
        <v>36</v>
      </c>
      <c r="O12" s="41" t="s">
        <v>632</v>
      </c>
    </row>
  </sheetData>
  <autoFilter ref="A6:P6"/>
  <conditionalFormatting sqref="C7:C1048576">
    <cfRule type="cellIs" dxfId="252" priority="40" operator="equal">
      <formula>"WIP (see comments)"</formula>
    </cfRule>
    <cfRule type="cellIs" dxfId="251" priority="41" operator="equal">
      <formula>"Removed"</formula>
    </cfRule>
    <cfRule type="cellIs" dxfId="250" priority="42" operator="equal">
      <formula>"Updated"</formula>
    </cfRule>
    <cfRule type="cellIs" dxfId="249" priority="43" operator="equal">
      <formula>"New"</formula>
    </cfRule>
  </conditionalFormatting>
  <conditionalFormatting sqref="P12:XFD12 E12:L12 A7:XFD10 D11:XFD11 A11:C12">
    <cfRule type="cellIs" dxfId="248" priority="35" operator="equal">
      <formula>"n/a"</formula>
    </cfRule>
  </conditionalFormatting>
  <conditionalFormatting sqref="D12 M12:N12">
    <cfRule type="cellIs" dxfId="247" priority="34"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4"/>
  <sheetViews>
    <sheetView workbookViewId="0">
      <pane xSplit="4" ySplit="6" topLeftCell="E25" activePane="bottomRight" state="frozen"/>
      <selection pane="topRight" activeCell="E1" sqref="E1"/>
      <selection pane="bottomLeft" activeCell="A7" sqref="A7"/>
      <selection pane="bottomRight" activeCell="D31" sqref="D3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0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780</v>
      </c>
      <c r="C1" s="34"/>
      <c r="D1" s="31"/>
      <c r="H1" s="103"/>
    </row>
    <row r="2" spans="1:16" s="32" customFormat="1" ht="18.5" x14ac:dyDescent="0.35">
      <c r="A2" s="30" t="s">
        <v>7</v>
      </c>
      <c r="B2" s="84">
        <v>17</v>
      </c>
      <c r="C2" s="37"/>
      <c r="D2" s="84"/>
      <c r="H2" s="103"/>
    </row>
    <row r="3" spans="1:16" s="32" customFormat="1" ht="18.5" x14ac:dyDescent="0.35">
      <c r="A3" s="30" t="s">
        <v>43</v>
      </c>
      <c r="B3" s="84" t="s">
        <v>793</v>
      </c>
      <c r="C3" s="37"/>
      <c r="D3" s="84"/>
      <c r="H3" s="103"/>
    </row>
    <row r="4" spans="1:16" s="32" customFormat="1" ht="18.5" x14ac:dyDescent="0.35">
      <c r="A4" s="30" t="s">
        <v>8</v>
      </c>
      <c r="B4" s="32" t="s">
        <v>615</v>
      </c>
      <c r="C4" s="37"/>
      <c r="H4" s="103"/>
    </row>
    <row r="5" spans="1:16" s="4" customFormat="1" x14ac:dyDescent="0.35">
      <c r="C5" s="39"/>
      <c r="H5" s="107"/>
    </row>
    <row r="6" spans="1:16" s="33" customFormat="1" ht="15" thickBot="1" x14ac:dyDescent="0.4">
      <c r="A6" s="33" t="s">
        <v>10</v>
      </c>
      <c r="B6" s="33" t="s">
        <v>11</v>
      </c>
      <c r="C6" s="35" t="s">
        <v>25</v>
      </c>
      <c r="D6" s="33" t="s">
        <v>24</v>
      </c>
      <c r="E6" s="33" t="s">
        <v>12</v>
      </c>
      <c r="F6" s="33" t="s">
        <v>13</v>
      </c>
      <c r="G6" s="33" t="s">
        <v>14</v>
      </c>
      <c r="H6" s="108" t="s">
        <v>15</v>
      </c>
      <c r="I6" s="33" t="s">
        <v>16</v>
      </c>
      <c r="J6" s="33" t="s">
        <v>17</v>
      </c>
      <c r="K6" s="33" t="s">
        <v>18</v>
      </c>
      <c r="L6" s="33" t="s">
        <v>19</v>
      </c>
      <c r="M6" s="33" t="s">
        <v>20</v>
      </c>
      <c r="N6" s="33" t="s">
        <v>21</v>
      </c>
      <c r="O6" s="33" t="s">
        <v>22</v>
      </c>
      <c r="P6" s="33" t="s">
        <v>23</v>
      </c>
    </row>
    <row r="7" spans="1:16" x14ac:dyDescent="0.35">
      <c r="A7" s="6">
        <v>1</v>
      </c>
      <c r="B7" s="6" t="str">
        <f t="shared" ref="B7:B12" si="0">CONCATENATE($B$2, ".", A7)</f>
        <v>17.1</v>
      </c>
      <c r="C7" s="36" t="s">
        <v>41</v>
      </c>
      <c r="D7" s="41" t="s">
        <v>794</v>
      </c>
      <c r="E7" s="6" t="s">
        <v>128</v>
      </c>
      <c r="F7" s="6" t="s">
        <v>36</v>
      </c>
      <c r="G7" s="6" t="s">
        <v>36</v>
      </c>
      <c r="H7" s="104" t="s">
        <v>36</v>
      </c>
      <c r="I7" s="41" t="s">
        <v>9</v>
      </c>
      <c r="J7" s="5" t="s">
        <v>36</v>
      </c>
      <c r="K7" s="5" t="s">
        <v>36</v>
      </c>
      <c r="L7" s="5" t="s">
        <v>36</v>
      </c>
      <c r="M7" s="5" t="s">
        <v>36</v>
      </c>
      <c r="N7" s="5" t="s">
        <v>36</v>
      </c>
      <c r="O7" s="5" t="s">
        <v>36</v>
      </c>
      <c r="P7" s="6" t="s">
        <v>228</v>
      </c>
    </row>
    <row r="8" spans="1:16" x14ac:dyDescent="0.35">
      <c r="A8" s="6">
        <v>2</v>
      </c>
      <c r="B8" s="6" t="str">
        <f t="shared" si="0"/>
        <v>17.2</v>
      </c>
      <c r="C8" s="36" t="s">
        <v>41</v>
      </c>
      <c r="D8" s="41" t="s">
        <v>36</v>
      </c>
      <c r="E8" s="41" t="s">
        <v>47</v>
      </c>
      <c r="F8" s="6" t="s">
        <v>36</v>
      </c>
      <c r="G8" s="6" t="s">
        <v>36</v>
      </c>
      <c r="H8" s="104" t="s">
        <v>36</v>
      </c>
      <c r="I8" s="41" t="s">
        <v>9</v>
      </c>
      <c r="J8" s="5" t="s">
        <v>36</v>
      </c>
      <c r="K8" s="5" t="s">
        <v>36</v>
      </c>
      <c r="L8" s="5" t="s">
        <v>36</v>
      </c>
      <c r="M8" s="5" t="s">
        <v>36</v>
      </c>
      <c r="N8" s="5" t="s">
        <v>36</v>
      </c>
      <c r="O8" s="5" t="s">
        <v>36</v>
      </c>
      <c r="P8" s="6" t="s">
        <v>485</v>
      </c>
    </row>
    <row r="9" spans="1:16" ht="29" x14ac:dyDescent="0.35">
      <c r="A9" s="6">
        <v>3</v>
      </c>
      <c r="B9" s="6" t="str">
        <f t="shared" ref="B9" si="1">CONCATENATE($B$2, ".", A9)</f>
        <v>17.3</v>
      </c>
      <c r="C9" s="36" t="s">
        <v>44</v>
      </c>
      <c r="D9" s="55" t="s">
        <v>36</v>
      </c>
      <c r="E9" s="6" t="s">
        <v>127</v>
      </c>
      <c r="F9" s="6" t="s">
        <v>36</v>
      </c>
      <c r="G9" s="41" t="s">
        <v>36</v>
      </c>
      <c r="H9" s="128" t="s">
        <v>36</v>
      </c>
      <c r="I9" s="6" t="s">
        <v>9</v>
      </c>
      <c r="J9" s="6" t="s">
        <v>36</v>
      </c>
      <c r="K9" s="6" t="s">
        <v>36</v>
      </c>
      <c r="L9" s="6" t="s">
        <v>36</v>
      </c>
      <c r="M9" s="6" t="s">
        <v>36</v>
      </c>
      <c r="N9" s="6" t="s">
        <v>36</v>
      </c>
      <c r="O9" s="42" t="s">
        <v>799</v>
      </c>
      <c r="P9" s="6" t="s">
        <v>798</v>
      </c>
    </row>
    <row r="10" spans="1:16" ht="48" customHeight="1" x14ac:dyDescent="0.35">
      <c r="A10" s="6">
        <v>4</v>
      </c>
      <c r="B10" s="6" t="str">
        <f t="shared" si="0"/>
        <v>17.4</v>
      </c>
      <c r="C10" s="36" t="s">
        <v>41</v>
      </c>
      <c r="D10" s="55" t="s">
        <v>795</v>
      </c>
      <c r="E10" s="6" t="s">
        <v>35</v>
      </c>
      <c r="F10" s="6" t="s">
        <v>36</v>
      </c>
      <c r="G10" s="41" t="s">
        <v>36</v>
      </c>
      <c r="H10" s="104" t="s">
        <v>36</v>
      </c>
      <c r="I10" s="6" t="s">
        <v>9</v>
      </c>
      <c r="J10" s="6" t="s">
        <v>36</v>
      </c>
      <c r="K10" s="6" t="s">
        <v>36</v>
      </c>
      <c r="L10" s="6" t="s">
        <v>36</v>
      </c>
      <c r="M10" s="6" t="s">
        <v>36</v>
      </c>
      <c r="N10" s="6" t="s">
        <v>36</v>
      </c>
      <c r="O10" s="42" t="s">
        <v>800</v>
      </c>
    </row>
    <row r="11" spans="1:16" ht="61" customHeight="1" x14ac:dyDescent="0.35">
      <c r="A11" s="6">
        <v>5</v>
      </c>
      <c r="B11" s="6" t="str">
        <f t="shared" si="0"/>
        <v>17.5</v>
      </c>
      <c r="C11" s="36" t="s">
        <v>41</v>
      </c>
      <c r="D11" s="55" t="s">
        <v>796</v>
      </c>
      <c r="E11" s="6" t="s">
        <v>33</v>
      </c>
      <c r="F11" s="6" t="s">
        <v>36</v>
      </c>
      <c r="G11" s="41" t="s">
        <v>36</v>
      </c>
      <c r="H11" s="104" t="s">
        <v>36</v>
      </c>
      <c r="I11" s="6" t="s">
        <v>610</v>
      </c>
      <c r="J11" s="6" t="s">
        <v>36</v>
      </c>
      <c r="K11" s="6" t="s">
        <v>36</v>
      </c>
      <c r="L11" s="6" t="s">
        <v>36</v>
      </c>
      <c r="M11" s="6" t="s">
        <v>36</v>
      </c>
      <c r="N11" s="6" t="s">
        <v>36</v>
      </c>
      <c r="O11" s="42" t="s">
        <v>802</v>
      </c>
    </row>
    <row r="12" spans="1:16" ht="66" customHeight="1" x14ac:dyDescent="0.35">
      <c r="A12" s="6">
        <v>6</v>
      </c>
      <c r="B12" s="6" t="str">
        <f t="shared" si="0"/>
        <v>17.6</v>
      </c>
      <c r="C12" s="36" t="s">
        <v>41</v>
      </c>
      <c r="D12" s="49" t="s">
        <v>804</v>
      </c>
      <c r="E12" s="6" t="s">
        <v>33</v>
      </c>
      <c r="F12" s="6" t="s">
        <v>36</v>
      </c>
      <c r="G12" s="6" t="s">
        <v>36</v>
      </c>
      <c r="H12" s="104" t="s">
        <v>36</v>
      </c>
      <c r="I12" s="6" t="s">
        <v>610</v>
      </c>
      <c r="J12" s="6" t="s">
        <v>36</v>
      </c>
      <c r="K12" s="6" t="s">
        <v>36</v>
      </c>
      <c r="L12" s="6" t="s">
        <v>36</v>
      </c>
      <c r="M12" s="6" t="s">
        <v>36</v>
      </c>
      <c r="N12" s="6" t="s">
        <v>36</v>
      </c>
      <c r="O12" s="42" t="s">
        <v>803</v>
      </c>
    </row>
    <row r="13" spans="1:16" ht="34" customHeight="1" x14ac:dyDescent="0.35">
      <c r="A13" s="6">
        <v>7</v>
      </c>
      <c r="B13" s="6" t="str">
        <f t="shared" ref="B13:B20" si="2">CONCATENATE($B$2, ".", A13)</f>
        <v>17.7</v>
      </c>
      <c r="C13" s="36" t="s">
        <v>41</v>
      </c>
      <c r="D13" s="49" t="s">
        <v>805</v>
      </c>
      <c r="E13" s="6" t="s">
        <v>28</v>
      </c>
      <c r="F13" s="6" t="s">
        <v>36</v>
      </c>
      <c r="G13" s="6" t="s">
        <v>36</v>
      </c>
      <c r="H13" s="104" t="s">
        <v>36</v>
      </c>
      <c r="I13" s="6" t="s">
        <v>9</v>
      </c>
      <c r="J13" s="6" t="s">
        <v>36</v>
      </c>
      <c r="K13" s="6" t="s">
        <v>36</v>
      </c>
      <c r="L13" s="6" t="s">
        <v>36</v>
      </c>
      <c r="M13" s="6" t="s">
        <v>36</v>
      </c>
      <c r="N13" s="6" t="s">
        <v>36</v>
      </c>
      <c r="O13" s="42" t="s">
        <v>36</v>
      </c>
      <c r="P13" s="6" t="s">
        <v>228</v>
      </c>
    </row>
    <row r="14" spans="1:16" ht="34" customHeight="1" x14ac:dyDescent="0.35">
      <c r="A14" s="6">
        <v>8</v>
      </c>
      <c r="B14" s="6" t="str">
        <f t="shared" ref="B14:B15" si="3">CONCATENATE($B$2, ".", A14)</f>
        <v>17.8</v>
      </c>
      <c r="C14" s="36" t="s">
        <v>44</v>
      </c>
      <c r="D14" s="49" t="s">
        <v>36</v>
      </c>
      <c r="E14" s="6" t="s">
        <v>127</v>
      </c>
      <c r="F14" s="6" t="s">
        <v>36</v>
      </c>
      <c r="G14" s="41" t="s">
        <v>36</v>
      </c>
      <c r="H14" s="128" t="s">
        <v>36</v>
      </c>
      <c r="I14" s="6" t="s">
        <v>610</v>
      </c>
      <c r="J14" s="6" t="s">
        <v>36</v>
      </c>
      <c r="K14" s="6" t="s">
        <v>36</v>
      </c>
      <c r="L14" s="6" t="s">
        <v>36</v>
      </c>
      <c r="M14" s="6" t="s">
        <v>36</v>
      </c>
      <c r="N14" s="6" t="s">
        <v>36</v>
      </c>
      <c r="O14" s="42" t="s">
        <v>806</v>
      </c>
      <c r="P14" s="6" t="s">
        <v>807</v>
      </c>
    </row>
    <row r="15" spans="1:16" ht="34" customHeight="1" x14ac:dyDescent="0.35">
      <c r="A15" s="6">
        <v>9</v>
      </c>
      <c r="B15" s="6" t="str">
        <f t="shared" si="3"/>
        <v>17.9</v>
      </c>
      <c r="C15" s="36" t="s">
        <v>41</v>
      </c>
      <c r="D15" s="49" t="s">
        <v>796</v>
      </c>
      <c r="E15" s="6" t="s">
        <v>33</v>
      </c>
      <c r="F15" s="6" t="s">
        <v>36</v>
      </c>
      <c r="G15" s="41" t="s">
        <v>36</v>
      </c>
      <c r="H15" s="128" t="s">
        <v>36</v>
      </c>
      <c r="I15" s="6" t="s">
        <v>610</v>
      </c>
      <c r="J15" s="6" t="s">
        <v>36</v>
      </c>
      <c r="K15" s="6" t="s">
        <v>36</v>
      </c>
      <c r="L15" s="6" t="s">
        <v>36</v>
      </c>
      <c r="M15" s="6" t="s">
        <v>36</v>
      </c>
      <c r="N15" s="6" t="s">
        <v>36</v>
      </c>
      <c r="O15" s="42" t="s">
        <v>797</v>
      </c>
    </row>
    <row r="16" spans="1:16" ht="60" customHeight="1" x14ac:dyDescent="0.35">
      <c r="A16" s="6">
        <v>10</v>
      </c>
      <c r="B16" s="6" t="str">
        <f t="shared" ref="B16:B18" si="4">CONCATENATE($B$2, ".", A16)</f>
        <v>17.10</v>
      </c>
      <c r="C16" s="36" t="s">
        <v>41</v>
      </c>
      <c r="D16" s="49" t="s">
        <v>811</v>
      </c>
      <c r="E16" s="6" t="s">
        <v>33</v>
      </c>
      <c r="F16" s="6" t="s">
        <v>36</v>
      </c>
      <c r="G16" s="41" t="s">
        <v>36</v>
      </c>
      <c r="H16" s="128" t="s">
        <v>36</v>
      </c>
      <c r="I16" s="6" t="s">
        <v>610</v>
      </c>
      <c r="J16" s="6" t="s">
        <v>36</v>
      </c>
      <c r="K16" s="6" t="s">
        <v>36</v>
      </c>
      <c r="L16" s="6" t="s">
        <v>36</v>
      </c>
      <c r="M16" s="6" t="s">
        <v>36</v>
      </c>
      <c r="N16" s="6" t="s">
        <v>36</v>
      </c>
      <c r="O16" s="42" t="s">
        <v>797</v>
      </c>
      <c r="P16" s="6" t="s">
        <v>228</v>
      </c>
    </row>
    <row r="17" spans="1:16" ht="34" customHeight="1" x14ac:dyDescent="0.35">
      <c r="A17" s="6">
        <v>11</v>
      </c>
      <c r="B17" s="6" t="str">
        <f t="shared" si="4"/>
        <v>17.11</v>
      </c>
      <c r="C17" s="36" t="s">
        <v>44</v>
      </c>
      <c r="D17" s="49" t="s">
        <v>36</v>
      </c>
      <c r="E17" s="6" t="s">
        <v>127</v>
      </c>
      <c r="F17" s="6" t="s">
        <v>36</v>
      </c>
      <c r="G17" s="41" t="s">
        <v>36</v>
      </c>
      <c r="H17" s="128" t="s">
        <v>36</v>
      </c>
      <c r="I17" s="6" t="s">
        <v>9</v>
      </c>
      <c r="J17" s="6" t="s">
        <v>36</v>
      </c>
      <c r="K17" s="6" t="s">
        <v>36</v>
      </c>
      <c r="L17" s="6" t="s">
        <v>36</v>
      </c>
      <c r="M17" s="6" t="s">
        <v>36</v>
      </c>
      <c r="N17" s="6" t="s">
        <v>36</v>
      </c>
      <c r="O17" s="42" t="s">
        <v>808</v>
      </c>
      <c r="P17" s="6" t="s">
        <v>809</v>
      </c>
    </row>
    <row r="18" spans="1:16" ht="34" customHeight="1" x14ac:dyDescent="0.35">
      <c r="A18" s="6">
        <v>12</v>
      </c>
      <c r="B18" s="6" t="str">
        <f t="shared" si="4"/>
        <v>17.12</v>
      </c>
      <c r="C18" s="36" t="s">
        <v>41</v>
      </c>
      <c r="D18" s="49" t="s">
        <v>801</v>
      </c>
      <c r="E18" s="6" t="s">
        <v>33</v>
      </c>
      <c r="F18" s="6" t="s">
        <v>36</v>
      </c>
      <c r="G18" s="41" t="s">
        <v>36</v>
      </c>
      <c r="H18" s="128" t="s">
        <v>36</v>
      </c>
      <c r="I18" s="6" t="s">
        <v>9</v>
      </c>
      <c r="J18" s="6" t="s">
        <v>36</v>
      </c>
      <c r="K18" s="6" t="s">
        <v>36</v>
      </c>
      <c r="L18" s="6" t="s">
        <v>36</v>
      </c>
      <c r="M18" s="6" t="s">
        <v>36</v>
      </c>
      <c r="N18" s="6" t="s">
        <v>36</v>
      </c>
      <c r="O18" s="42"/>
    </row>
    <row r="19" spans="1:16" ht="60" customHeight="1" x14ac:dyDescent="0.35">
      <c r="A19" s="6">
        <v>13</v>
      </c>
      <c r="B19" s="6" t="str">
        <f t="shared" ref="B19" si="5">CONCATENATE($B$2, ".", A19)</f>
        <v>17.13</v>
      </c>
      <c r="C19" s="36" t="s">
        <v>41</v>
      </c>
      <c r="D19" s="49" t="s">
        <v>810</v>
      </c>
      <c r="E19" s="6" t="s">
        <v>33</v>
      </c>
      <c r="F19" s="6" t="s">
        <v>36</v>
      </c>
      <c r="G19" s="41" t="s">
        <v>36</v>
      </c>
      <c r="H19" s="128" t="s">
        <v>36</v>
      </c>
      <c r="I19" s="6" t="s">
        <v>9</v>
      </c>
      <c r="J19" s="6" t="s">
        <v>36</v>
      </c>
      <c r="K19" s="6" t="s">
        <v>36</v>
      </c>
      <c r="L19" s="6" t="s">
        <v>36</v>
      </c>
      <c r="M19" s="6" t="s">
        <v>36</v>
      </c>
      <c r="N19" s="6" t="s">
        <v>36</v>
      </c>
      <c r="O19" s="42" t="s">
        <v>36</v>
      </c>
      <c r="P19" s="6" t="s">
        <v>228</v>
      </c>
    </row>
    <row r="20" spans="1:16" ht="14.5" customHeight="1" x14ac:dyDescent="0.35">
      <c r="A20" s="6">
        <v>14</v>
      </c>
      <c r="B20" s="6" t="str">
        <f t="shared" si="2"/>
        <v>17.14</v>
      </c>
      <c r="C20" s="36" t="s">
        <v>41</v>
      </c>
      <c r="D20" s="49" t="s">
        <v>621</v>
      </c>
      <c r="E20" s="6" t="s">
        <v>630</v>
      </c>
      <c r="F20" s="6" t="s">
        <v>36</v>
      </c>
      <c r="G20" s="6" t="s">
        <v>36</v>
      </c>
      <c r="H20" s="128" t="s">
        <v>36</v>
      </c>
      <c r="I20" s="6" t="s">
        <v>9</v>
      </c>
      <c r="J20" s="6" t="s">
        <v>36</v>
      </c>
      <c r="K20" s="6" t="s">
        <v>36</v>
      </c>
      <c r="L20" s="6" t="s">
        <v>36</v>
      </c>
      <c r="M20" s="6" t="s">
        <v>36</v>
      </c>
      <c r="N20" s="6" t="s">
        <v>36</v>
      </c>
      <c r="O20" s="42" t="s">
        <v>36</v>
      </c>
      <c r="P20" s="6" t="s">
        <v>228</v>
      </c>
    </row>
    <row r="21" spans="1:16" ht="15" customHeight="1" x14ac:dyDescent="0.35">
      <c r="A21" s="6">
        <v>15</v>
      </c>
      <c r="B21" s="6" t="str">
        <f t="shared" ref="B21:B26" si="6">CONCATENATE($B$2, ".", A21)</f>
        <v>17.15</v>
      </c>
      <c r="C21" s="36" t="s">
        <v>41</v>
      </c>
      <c r="D21" s="49" t="s">
        <v>622</v>
      </c>
      <c r="E21" s="6" t="s">
        <v>630</v>
      </c>
      <c r="F21" s="6" t="s">
        <v>36</v>
      </c>
      <c r="G21" s="6" t="s">
        <v>36</v>
      </c>
      <c r="H21" s="128" t="s">
        <v>36</v>
      </c>
      <c r="I21" s="6" t="s">
        <v>9</v>
      </c>
      <c r="J21" s="6" t="s">
        <v>36</v>
      </c>
      <c r="K21" s="6" t="s">
        <v>36</v>
      </c>
      <c r="L21" s="6" t="s">
        <v>36</v>
      </c>
      <c r="M21" s="6" t="s">
        <v>36</v>
      </c>
      <c r="N21" s="6" t="s">
        <v>36</v>
      </c>
      <c r="O21" s="42" t="s">
        <v>36</v>
      </c>
      <c r="P21" s="6" t="s">
        <v>228</v>
      </c>
    </row>
    <row r="22" spans="1:16" ht="15" customHeight="1" x14ac:dyDescent="0.35">
      <c r="A22" s="6">
        <v>16</v>
      </c>
      <c r="B22" s="6" t="str">
        <f>CONCATENATE($B$2, ".", A22)</f>
        <v>17.16</v>
      </c>
      <c r="C22" s="36" t="s">
        <v>41</v>
      </c>
      <c r="D22" s="49" t="s">
        <v>330</v>
      </c>
      <c r="E22" s="6" t="s">
        <v>630</v>
      </c>
      <c r="F22" s="6" t="s">
        <v>36</v>
      </c>
      <c r="G22" s="6" t="s">
        <v>36</v>
      </c>
      <c r="H22" s="128" t="s">
        <v>36</v>
      </c>
      <c r="I22" s="41" t="s">
        <v>9</v>
      </c>
      <c r="J22" s="6" t="s">
        <v>36</v>
      </c>
      <c r="K22" s="6" t="s">
        <v>36</v>
      </c>
      <c r="L22" s="6" t="s">
        <v>36</v>
      </c>
      <c r="M22" s="6" t="s">
        <v>36</v>
      </c>
      <c r="N22" s="6" t="s">
        <v>36</v>
      </c>
      <c r="O22" s="42" t="s">
        <v>36</v>
      </c>
      <c r="P22" s="6" t="s">
        <v>228</v>
      </c>
    </row>
    <row r="23" spans="1:16" ht="15" customHeight="1" x14ac:dyDescent="0.35">
      <c r="A23" s="6">
        <v>17</v>
      </c>
      <c r="B23" s="6" t="str">
        <f t="shared" si="6"/>
        <v>17.17</v>
      </c>
      <c r="C23" s="36" t="s">
        <v>41</v>
      </c>
      <c r="D23" s="49" t="s">
        <v>628</v>
      </c>
      <c r="E23" s="6" t="s">
        <v>630</v>
      </c>
      <c r="F23" s="6" t="s">
        <v>36</v>
      </c>
      <c r="G23" s="6" t="s">
        <v>36</v>
      </c>
      <c r="H23" s="128" t="s">
        <v>36</v>
      </c>
      <c r="I23" s="6" t="s">
        <v>9</v>
      </c>
      <c r="J23" s="6" t="s">
        <v>36</v>
      </c>
      <c r="K23" s="6" t="s">
        <v>36</v>
      </c>
      <c r="L23" s="6" t="s">
        <v>36</v>
      </c>
      <c r="M23" s="6" t="s">
        <v>36</v>
      </c>
      <c r="N23" s="6" t="s">
        <v>36</v>
      </c>
      <c r="O23" s="42" t="s">
        <v>36</v>
      </c>
      <c r="P23" s="6" t="s">
        <v>228</v>
      </c>
    </row>
    <row r="24" spans="1:16" ht="15" customHeight="1" x14ac:dyDescent="0.35">
      <c r="A24" s="6">
        <v>18</v>
      </c>
      <c r="B24" s="6" t="str">
        <f t="shared" si="6"/>
        <v>17.18</v>
      </c>
      <c r="C24" s="36" t="s">
        <v>41</v>
      </c>
      <c r="D24" s="55" t="s">
        <v>629</v>
      </c>
      <c r="E24" s="6" t="s">
        <v>630</v>
      </c>
      <c r="F24" s="6" t="s">
        <v>36</v>
      </c>
      <c r="G24" s="6" t="s">
        <v>36</v>
      </c>
      <c r="H24" s="128" t="s">
        <v>36</v>
      </c>
      <c r="I24" s="6" t="s">
        <v>9</v>
      </c>
      <c r="J24" s="6" t="s">
        <v>36</v>
      </c>
      <c r="K24" s="6" t="s">
        <v>36</v>
      </c>
      <c r="L24" s="6" t="s">
        <v>36</v>
      </c>
      <c r="M24" s="6" t="s">
        <v>36</v>
      </c>
      <c r="N24" s="6" t="s">
        <v>36</v>
      </c>
      <c r="O24" s="42" t="s">
        <v>36</v>
      </c>
      <c r="P24" s="6" t="s">
        <v>228</v>
      </c>
    </row>
    <row r="25" spans="1:16" ht="13.5" customHeight="1" x14ac:dyDescent="0.35">
      <c r="A25" s="102" t="s">
        <v>830</v>
      </c>
      <c r="B25" s="98"/>
      <c r="C25" s="105"/>
      <c r="D25" s="106"/>
      <c r="E25" s="98"/>
      <c r="F25" s="98"/>
      <c r="G25" s="98"/>
      <c r="H25" s="100"/>
      <c r="I25" s="98"/>
      <c r="J25" s="98"/>
      <c r="K25" s="98"/>
      <c r="L25" s="98"/>
      <c r="M25" s="98"/>
      <c r="N25" s="98"/>
      <c r="O25" s="101"/>
      <c r="P25" s="98"/>
    </row>
    <row r="26" spans="1:16" ht="34" customHeight="1" x14ac:dyDescent="0.35">
      <c r="A26" s="6">
        <v>19</v>
      </c>
      <c r="B26" s="6" t="str">
        <f t="shared" si="6"/>
        <v>17.19</v>
      </c>
      <c r="C26" s="36" t="s">
        <v>41</v>
      </c>
      <c r="D26" s="49" t="s">
        <v>813</v>
      </c>
      <c r="E26" s="6" t="s">
        <v>631</v>
      </c>
      <c r="F26" s="6" t="s">
        <v>623</v>
      </c>
      <c r="G26" s="6" t="s">
        <v>36</v>
      </c>
      <c r="H26" s="128">
        <v>50</v>
      </c>
      <c r="I26" s="6" t="s">
        <v>9</v>
      </c>
      <c r="J26" s="6" t="s">
        <v>113</v>
      </c>
      <c r="K26" s="6" t="s">
        <v>53</v>
      </c>
      <c r="L26" s="6" t="s">
        <v>624</v>
      </c>
      <c r="M26" s="6" t="s">
        <v>36</v>
      </c>
      <c r="N26" s="6" t="s">
        <v>36</v>
      </c>
      <c r="O26" s="42" t="s">
        <v>36</v>
      </c>
      <c r="P26" s="6" t="s">
        <v>228</v>
      </c>
    </row>
    <row r="27" spans="1:16" ht="34" customHeight="1" x14ac:dyDescent="0.35">
      <c r="A27" s="6">
        <v>20</v>
      </c>
      <c r="B27" s="6" t="str">
        <f t="shared" ref="B27" si="7">CONCATENATE($B$2, ".", A27)</f>
        <v>17.20</v>
      </c>
      <c r="C27" s="36" t="s">
        <v>41</v>
      </c>
      <c r="D27" s="49" t="s">
        <v>814</v>
      </c>
      <c r="E27" s="6" t="s">
        <v>631</v>
      </c>
      <c r="F27" s="6" t="s">
        <v>623</v>
      </c>
      <c r="G27" s="6" t="s">
        <v>36</v>
      </c>
      <c r="H27" s="128">
        <v>50</v>
      </c>
      <c r="I27" s="6" t="s">
        <v>9</v>
      </c>
      <c r="J27" s="6" t="s">
        <v>113</v>
      </c>
      <c r="K27" s="6" t="s">
        <v>53</v>
      </c>
      <c r="L27" s="6" t="s">
        <v>625</v>
      </c>
      <c r="M27" s="6" t="s">
        <v>36</v>
      </c>
      <c r="N27" s="6" t="s">
        <v>36</v>
      </c>
      <c r="O27" s="42" t="s">
        <v>36</v>
      </c>
      <c r="P27" s="6" t="s">
        <v>228</v>
      </c>
    </row>
    <row r="28" spans="1:16" ht="34" customHeight="1" x14ac:dyDescent="0.35">
      <c r="A28" s="6">
        <v>21</v>
      </c>
      <c r="B28" s="6" t="str">
        <f>CONCATENATE($B$2, ".", A28)</f>
        <v>17.21</v>
      </c>
      <c r="C28" s="36" t="s">
        <v>41</v>
      </c>
      <c r="D28" s="49" t="s">
        <v>815</v>
      </c>
      <c r="E28" s="6" t="s">
        <v>631</v>
      </c>
      <c r="F28" s="6" t="s">
        <v>51</v>
      </c>
      <c r="G28" s="6" t="s">
        <v>36</v>
      </c>
      <c r="H28" s="43">
        <v>54</v>
      </c>
      <c r="I28" s="41" t="s">
        <v>9</v>
      </c>
      <c r="J28" s="42" t="s">
        <v>36</v>
      </c>
      <c r="K28" s="42" t="s">
        <v>53</v>
      </c>
      <c r="L28" s="42" t="s">
        <v>56</v>
      </c>
      <c r="M28" s="42" t="s">
        <v>106</v>
      </c>
      <c r="N28" s="42" t="s">
        <v>56</v>
      </c>
      <c r="O28" s="42" t="s">
        <v>36</v>
      </c>
      <c r="P28" s="6" t="s">
        <v>228</v>
      </c>
    </row>
    <row r="29" spans="1:16" ht="172.5" customHeight="1" x14ac:dyDescent="0.35">
      <c r="A29" s="6">
        <v>22</v>
      </c>
      <c r="B29" s="6" t="str">
        <f t="shared" ref="B29:B30" si="8">CONCATENATE($B$2, ".", A29)</f>
        <v>17.22</v>
      </c>
      <c r="C29" s="36" t="s">
        <v>41</v>
      </c>
      <c r="D29" s="49" t="s">
        <v>816</v>
      </c>
      <c r="E29" s="6" t="s">
        <v>34</v>
      </c>
      <c r="F29" s="6" t="s">
        <v>812</v>
      </c>
      <c r="G29" s="6" t="s">
        <v>36</v>
      </c>
      <c r="H29" s="128" t="s">
        <v>36</v>
      </c>
      <c r="I29" s="6" t="s">
        <v>9</v>
      </c>
      <c r="J29" s="6" t="s">
        <v>817</v>
      </c>
      <c r="K29" s="6" t="s">
        <v>820</v>
      </c>
      <c r="L29" s="6" t="s">
        <v>627</v>
      </c>
      <c r="M29" s="6" t="s">
        <v>36</v>
      </c>
      <c r="N29" s="6" t="s">
        <v>36</v>
      </c>
      <c r="O29" s="42" t="s">
        <v>819</v>
      </c>
      <c r="P29" s="6" t="s">
        <v>228</v>
      </c>
    </row>
    <row r="30" spans="1:16" ht="60.5" customHeight="1" x14ac:dyDescent="0.35">
      <c r="A30" s="6">
        <v>23</v>
      </c>
      <c r="B30" s="6" t="str">
        <f t="shared" si="8"/>
        <v>17.23</v>
      </c>
      <c r="C30" s="36" t="s">
        <v>41</v>
      </c>
      <c r="D30" s="55" t="s">
        <v>821</v>
      </c>
      <c r="E30" s="6" t="s">
        <v>32</v>
      </c>
      <c r="F30" s="6" t="s">
        <v>789</v>
      </c>
      <c r="G30" s="41" t="s">
        <v>36</v>
      </c>
      <c r="H30" s="128" t="s">
        <v>818</v>
      </c>
      <c r="I30" s="6" t="s">
        <v>9</v>
      </c>
      <c r="J30" s="55" t="s">
        <v>790</v>
      </c>
      <c r="K30" s="6" t="s">
        <v>391</v>
      </c>
      <c r="L30" s="6" t="s">
        <v>626</v>
      </c>
      <c r="M30" s="6" t="s">
        <v>36</v>
      </c>
      <c r="N30" s="6" t="s">
        <v>36</v>
      </c>
      <c r="O30" s="42" t="s">
        <v>822</v>
      </c>
      <c r="P30" s="6" t="s">
        <v>228</v>
      </c>
    </row>
    <row r="31" spans="1:16" ht="13.5" customHeight="1" x14ac:dyDescent="0.35">
      <c r="A31" s="102" t="s">
        <v>829</v>
      </c>
      <c r="B31" s="98"/>
      <c r="C31" s="105"/>
      <c r="D31" s="106"/>
      <c r="E31" s="98"/>
      <c r="F31" s="98"/>
      <c r="G31" s="98"/>
      <c r="H31" s="100"/>
      <c r="I31" s="98"/>
      <c r="J31" s="98"/>
      <c r="K31" s="98"/>
      <c r="L31" s="98"/>
      <c r="M31" s="98"/>
      <c r="N31" s="98"/>
      <c r="O31" s="101"/>
      <c r="P31" s="98"/>
    </row>
    <row r="32" spans="1:16" ht="82.5" customHeight="1" x14ac:dyDescent="0.35">
      <c r="A32" s="6">
        <v>24</v>
      </c>
      <c r="B32" s="6" t="str">
        <f t="shared" ref="B32" si="9">CONCATENATE($B$2, ".", A32)</f>
        <v>17.24</v>
      </c>
      <c r="C32" s="36" t="s">
        <v>41</v>
      </c>
      <c r="D32" s="49" t="s">
        <v>823</v>
      </c>
      <c r="E32" s="6" t="s">
        <v>105</v>
      </c>
      <c r="F32" s="6" t="s">
        <v>36</v>
      </c>
      <c r="G32" s="6" t="s">
        <v>36</v>
      </c>
      <c r="H32" s="104" t="s">
        <v>36</v>
      </c>
      <c r="I32" s="6" t="s">
        <v>9</v>
      </c>
      <c r="J32" s="6" t="s">
        <v>36</v>
      </c>
      <c r="K32" s="6" t="s">
        <v>36</v>
      </c>
      <c r="L32" s="6" t="s">
        <v>36</v>
      </c>
      <c r="M32" s="6" t="s">
        <v>36</v>
      </c>
      <c r="N32" s="6" t="s">
        <v>36</v>
      </c>
      <c r="O32" s="42" t="s">
        <v>824</v>
      </c>
      <c r="P32" s="6" t="s">
        <v>228</v>
      </c>
    </row>
    <row r="33" spans="1:16" ht="72.5" x14ac:dyDescent="0.35">
      <c r="A33" s="6">
        <v>25</v>
      </c>
      <c r="B33" s="6" t="str">
        <f t="shared" ref="B33:B34" si="10">CONCATENATE($B$2, ".", A33)</f>
        <v>17.25</v>
      </c>
      <c r="C33" s="36" t="s">
        <v>41</v>
      </c>
      <c r="D33" s="6" t="s">
        <v>59</v>
      </c>
      <c r="E33" s="6" t="s">
        <v>42</v>
      </c>
      <c r="F33" s="6" t="s">
        <v>36</v>
      </c>
      <c r="G33" s="6" t="s">
        <v>36</v>
      </c>
      <c r="H33" s="104" t="s">
        <v>36</v>
      </c>
      <c r="I33" s="6" t="s">
        <v>9</v>
      </c>
      <c r="J33" s="6" t="s">
        <v>36</v>
      </c>
      <c r="K33" s="6" t="s">
        <v>36</v>
      </c>
      <c r="L33" s="6" t="s">
        <v>36</v>
      </c>
      <c r="M33" s="6" t="s">
        <v>825</v>
      </c>
      <c r="N33" s="6" t="s">
        <v>826</v>
      </c>
      <c r="O33" s="42" t="s">
        <v>827</v>
      </c>
      <c r="P33" s="6" t="s">
        <v>228</v>
      </c>
    </row>
    <row r="34" spans="1:16" x14ac:dyDescent="0.35">
      <c r="A34" s="6">
        <v>26</v>
      </c>
      <c r="B34" s="6" t="str">
        <f t="shared" si="10"/>
        <v>17.26</v>
      </c>
      <c r="C34" s="36" t="s">
        <v>41</v>
      </c>
      <c r="D34" s="41" t="s">
        <v>58</v>
      </c>
      <c r="E34" s="6" t="s">
        <v>42</v>
      </c>
      <c r="F34" s="6" t="s">
        <v>36</v>
      </c>
      <c r="G34" s="6" t="s">
        <v>36</v>
      </c>
      <c r="H34" s="104" t="s">
        <v>36</v>
      </c>
      <c r="I34" s="6" t="s">
        <v>9</v>
      </c>
      <c r="J34" s="6" t="s">
        <v>36</v>
      </c>
      <c r="K34" s="6" t="s">
        <v>36</v>
      </c>
      <c r="L34" s="6" t="s">
        <v>36</v>
      </c>
      <c r="M34" s="41" t="s">
        <v>36</v>
      </c>
      <c r="N34" s="41" t="s">
        <v>36</v>
      </c>
      <c r="O34" s="41" t="s">
        <v>828</v>
      </c>
    </row>
  </sheetData>
  <autoFilter ref="A6:P6"/>
  <conditionalFormatting sqref="C7:C12 C20:C25 C32:C1048576">
    <cfRule type="cellIs" dxfId="246" priority="66" operator="equal">
      <formula>"WIP (see comments)"</formula>
    </cfRule>
    <cfRule type="cellIs" dxfId="245" priority="67" operator="equal">
      <formula>"Removed"</formula>
    </cfRule>
    <cfRule type="cellIs" dxfId="244" priority="68" operator="equal">
      <formula>"Updated"</formula>
    </cfRule>
    <cfRule type="cellIs" dxfId="243" priority="69" operator="equal">
      <formula>"New"</formula>
    </cfRule>
  </conditionalFormatting>
  <conditionalFormatting sqref="P34:XFD34 E34:L34 P22:XFD24 A7:XFD12 A25:XFD25 D33:XFD33 A33:C34">
    <cfRule type="cellIs" dxfId="242" priority="61" operator="equal">
      <formula>"n/a"</formula>
    </cfRule>
  </conditionalFormatting>
  <conditionalFormatting sqref="D34 M34:N34">
    <cfRule type="cellIs" dxfId="241" priority="60" operator="equal">
      <formula>"n/a"</formula>
    </cfRule>
  </conditionalFormatting>
  <conditionalFormatting sqref="C13:C16">
    <cfRule type="cellIs" dxfId="240" priority="56" operator="equal">
      <formula>"WIP (see comments)"</formula>
    </cfRule>
    <cfRule type="cellIs" dxfId="239" priority="57" operator="equal">
      <formula>"Removed"</formula>
    </cfRule>
    <cfRule type="cellIs" dxfId="238" priority="58" operator="equal">
      <formula>"Updated"</formula>
    </cfRule>
    <cfRule type="cellIs" dxfId="237" priority="59" operator="equal">
      <formula>"New"</formula>
    </cfRule>
  </conditionalFormatting>
  <conditionalFormatting sqref="C24 A20:G20 A32:XFD32 A13:XFD13 Q14:XFD14 A14:E16 P15:XFD16 C23:E23 A23:B24 I23 A21:E22 F21:G24 I20:I21 P20:XFD21">
    <cfRule type="cellIs" dxfId="236" priority="55" operator="equal">
      <formula>"n/a"</formula>
    </cfRule>
  </conditionalFormatting>
  <conditionalFormatting sqref="D24:E24 I24">
    <cfRule type="cellIs" dxfId="235" priority="49" operator="equal">
      <formula>"n/a"</formula>
    </cfRule>
  </conditionalFormatting>
  <conditionalFormatting sqref="I22">
    <cfRule type="cellIs" dxfId="234" priority="48" operator="equal">
      <formula>"n/a"</formula>
    </cfRule>
  </conditionalFormatting>
  <conditionalFormatting sqref="F14:P14 F15:O16">
    <cfRule type="cellIs" dxfId="233" priority="21" operator="equal">
      <formula>"n/a"</formula>
    </cfRule>
  </conditionalFormatting>
  <conditionalFormatting sqref="C17:C19">
    <cfRule type="cellIs" dxfId="232" priority="17" operator="equal">
      <formula>"WIP (see comments)"</formula>
    </cfRule>
    <cfRule type="cellIs" dxfId="231" priority="18" operator="equal">
      <formula>"Removed"</formula>
    </cfRule>
    <cfRule type="cellIs" dxfId="230" priority="19" operator="equal">
      <formula>"Updated"</formula>
    </cfRule>
    <cfRule type="cellIs" dxfId="229" priority="20" operator="equal">
      <formula>"New"</formula>
    </cfRule>
  </conditionalFormatting>
  <conditionalFormatting sqref="Q17:XFD17 A17:E19 P18:XFD19">
    <cfRule type="cellIs" dxfId="228" priority="16" operator="equal">
      <formula>"n/a"</formula>
    </cfRule>
  </conditionalFormatting>
  <conditionalFormatting sqref="F17:P17 F18:O19 H20:H24 J20:O24">
    <cfRule type="cellIs" dxfId="227" priority="15" operator="equal">
      <formula>"n/a"</formula>
    </cfRule>
  </conditionalFormatting>
  <conditionalFormatting sqref="C26:C30">
    <cfRule type="cellIs" dxfId="226" priority="11" operator="equal">
      <formula>"WIP (see comments)"</formula>
    </cfRule>
    <cfRule type="cellIs" dxfId="225" priority="12" operator="equal">
      <formula>"Removed"</formula>
    </cfRule>
    <cfRule type="cellIs" dxfId="224" priority="13" operator="equal">
      <formula>"Updated"</formula>
    </cfRule>
    <cfRule type="cellIs" dxfId="223" priority="14" operator="equal">
      <formula>"New"</formula>
    </cfRule>
  </conditionalFormatting>
  <conditionalFormatting sqref="P28:XFD30">
    <cfRule type="cellIs" dxfId="222" priority="10" operator="equal">
      <formula>"n/a"</formula>
    </cfRule>
  </conditionalFormatting>
  <conditionalFormatting sqref="C30 A26:XFD27 A28:G28 O28 C29:O29 A29:B30">
    <cfRule type="cellIs" dxfId="221" priority="9" operator="equal">
      <formula>"n/a"</formula>
    </cfRule>
  </conditionalFormatting>
  <conditionalFormatting sqref="D30:E30 G30:O30">
    <cfRule type="cellIs" dxfId="220" priority="8" operator="equal">
      <formula>"n/a"</formula>
    </cfRule>
  </conditionalFormatting>
  <conditionalFormatting sqref="H28:N28">
    <cfRule type="cellIs" dxfId="219" priority="7" operator="equal">
      <formula>"n/a"</formula>
    </cfRule>
  </conditionalFormatting>
  <conditionalFormatting sqref="F30">
    <cfRule type="cellIs" dxfId="218" priority="6" operator="equal">
      <formula>"n/a"</formula>
    </cfRule>
  </conditionalFormatting>
  <conditionalFormatting sqref="C31">
    <cfRule type="cellIs" dxfId="217" priority="2" operator="equal">
      <formula>"WIP (see comments)"</formula>
    </cfRule>
    <cfRule type="cellIs" dxfId="216" priority="3" operator="equal">
      <formula>"Removed"</formula>
    </cfRule>
    <cfRule type="cellIs" dxfId="215" priority="4" operator="equal">
      <formula>"Updated"</formula>
    </cfRule>
    <cfRule type="cellIs" dxfId="214" priority="5" operator="equal">
      <formula>"New"</formula>
    </cfRule>
  </conditionalFormatting>
  <conditionalFormatting sqref="A31:XFD31">
    <cfRule type="cellIs" dxfId="21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4" ySplit="6" topLeftCell="E7" activePane="bottomRight" state="frozen"/>
      <selection pane="topRight" activeCell="E1" sqref="E1"/>
      <selection pane="bottomLeft" activeCell="A7" sqref="A7"/>
      <selection pane="bottomRight" activeCell="A10" sqref="A10"/>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128"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253</v>
      </c>
      <c r="C1" s="34"/>
      <c r="D1" s="31"/>
      <c r="H1" s="127"/>
    </row>
    <row r="2" spans="1:16" s="32" customFormat="1" ht="18.5" x14ac:dyDescent="0.35">
      <c r="A2" s="30" t="s">
        <v>7</v>
      </c>
      <c r="B2" s="127">
        <v>18</v>
      </c>
      <c r="C2" s="37"/>
      <c r="D2" s="127"/>
      <c r="H2" s="127"/>
    </row>
    <row r="3" spans="1:16" s="32" customFormat="1" ht="18.5" x14ac:dyDescent="0.35">
      <c r="A3" s="30" t="s">
        <v>43</v>
      </c>
      <c r="B3" s="127" t="s">
        <v>458</v>
      </c>
      <c r="C3" s="37"/>
      <c r="D3" s="127"/>
      <c r="H3" s="127"/>
    </row>
    <row r="4" spans="1:16" s="32" customFormat="1" ht="18.5" x14ac:dyDescent="0.35">
      <c r="A4" s="30" t="s">
        <v>8</v>
      </c>
      <c r="B4" s="32" t="s">
        <v>615</v>
      </c>
      <c r="C4" s="37"/>
      <c r="H4" s="127"/>
    </row>
    <row r="5" spans="1:16" s="4" customFormat="1" x14ac:dyDescent="0.35">
      <c r="C5" s="39"/>
      <c r="H5" s="107"/>
    </row>
    <row r="6" spans="1:16" s="33" customFormat="1" ht="15" thickBot="1" x14ac:dyDescent="0.4">
      <c r="A6" s="33" t="s">
        <v>10</v>
      </c>
      <c r="B6" s="33" t="s">
        <v>11</v>
      </c>
      <c r="C6" s="35" t="s">
        <v>25</v>
      </c>
      <c r="D6" s="33" t="s">
        <v>24</v>
      </c>
      <c r="E6" s="33" t="s">
        <v>12</v>
      </c>
      <c r="F6" s="33" t="s">
        <v>13</v>
      </c>
      <c r="G6" s="33" t="s">
        <v>14</v>
      </c>
      <c r="H6" s="108"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18.1</v>
      </c>
      <c r="C7" s="36" t="s">
        <v>41</v>
      </c>
      <c r="D7" s="41" t="s">
        <v>253</v>
      </c>
      <c r="E7" s="6" t="s">
        <v>128</v>
      </c>
      <c r="F7" s="6" t="s">
        <v>36</v>
      </c>
      <c r="G7" s="6" t="s">
        <v>36</v>
      </c>
      <c r="H7" s="128" t="s">
        <v>36</v>
      </c>
      <c r="I7" s="41" t="s">
        <v>9</v>
      </c>
      <c r="J7" s="5" t="s">
        <v>36</v>
      </c>
      <c r="K7" s="5" t="s">
        <v>36</v>
      </c>
      <c r="L7" s="5" t="s">
        <v>36</v>
      </c>
      <c r="M7" s="5" t="s">
        <v>36</v>
      </c>
      <c r="N7" s="5" t="s">
        <v>36</v>
      </c>
      <c r="O7" s="5" t="s">
        <v>36</v>
      </c>
    </row>
    <row r="8" spans="1:16" ht="29" x14ac:dyDescent="0.35">
      <c r="A8" s="6">
        <v>2</v>
      </c>
      <c r="B8" s="6" t="str">
        <f t="shared" si="0"/>
        <v>18.2</v>
      </c>
      <c r="C8" s="36" t="s">
        <v>44</v>
      </c>
      <c r="D8" s="41" t="s">
        <v>36</v>
      </c>
      <c r="E8" s="41" t="s">
        <v>47</v>
      </c>
      <c r="F8" s="6" t="s">
        <v>36</v>
      </c>
      <c r="G8" s="6" t="s">
        <v>36</v>
      </c>
      <c r="H8" s="128" t="s">
        <v>36</v>
      </c>
      <c r="I8" s="41" t="s">
        <v>9</v>
      </c>
      <c r="J8" s="5" t="s">
        <v>36</v>
      </c>
      <c r="K8" s="5" t="s">
        <v>36</v>
      </c>
      <c r="L8" s="5" t="s">
        <v>36</v>
      </c>
      <c r="M8" s="5" t="s">
        <v>36</v>
      </c>
      <c r="N8" s="5" t="s">
        <v>36</v>
      </c>
      <c r="O8" s="5" t="s">
        <v>36</v>
      </c>
    </row>
    <row r="9" spans="1:16" x14ac:dyDescent="0.35">
      <c r="A9" s="6">
        <v>3</v>
      </c>
      <c r="B9" s="6" t="str">
        <f t="shared" si="0"/>
        <v>18.3</v>
      </c>
      <c r="C9" s="36" t="s">
        <v>41</v>
      </c>
      <c r="D9" s="41"/>
      <c r="E9" s="41"/>
      <c r="F9" s="6" t="s">
        <v>36</v>
      </c>
      <c r="G9" s="6" t="s">
        <v>36</v>
      </c>
      <c r="H9" s="128" t="s">
        <v>36</v>
      </c>
      <c r="I9" s="41" t="s">
        <v>9</v>
      </c>
      <c r="J9" s="5" t="s">
        <v>36</v>
      </c>
      <c r="K9" s="5" t="s">
        <v>36</v>
      </c>
      <c r="L9" s="5" t="s">
        <v>36</v>
      </c>
      <c r="M9" s="5" t="s">
        <v>36</v>
      </c>
      <c r="N9" s="5" t="s">
        <v>36</v>
      </c>
      <c r="O9" s="5" t="s">
        <v>36</v>
      </c>
    </row>
    <row r="10" spans="1:16" x14ac:dyDescent="0.35">
      <c r="A10" s="6">
        <v>4</v>
      </c>
      <c r="B10" s="6" t="str">
        <f t="shared" si="0"/>
        <v>18.4</v>
      </c>
      <c r="C10" s="36" t="s">
        <v>41</v>
      </c>
      <c r="D10" s="55"/>
      <c r="G10" s="6" t="s">
        <v>36</v>
      </c>
      <c r="H10" s="128" t="s">
        <v>36</v>
      </c>
      <c r="I10" s="6" t="s">
        <v>9</v>
      </c>
      <c r="M10" s="6" t="s">
        <v>36</v>
      </c>
      <c r="N10" s="6" t="s">
        <v>36</v>
      </c>
      <c r="O10" s="42" t="s">
        <v>36</v>
      </c>
    </row>
    <row r="11" spans="1:16" ht="49.5" customHeight="1" x14ac:dyDescent="0.35">
      <c r="A11" s="6">
        <v>30</v>
      </c>
      <c r="B11" s="6" t="str">
        <f t="shared" ref="B11:B12" si="1">CONCATENATE($B$2, ".", A11)</f>
        <v>18.30</v>
      </c>
      <c r="C11" s="36" t="s">
        <v>41</v>
      </c>
      <c r="D11" s="6" t="s">
        <v>59</v>
      </c>
      <c r="E11" s="6" t="s">
        <v>42</v>
      </c>
      <c r="F11" s="6" t="s">
        <v>36</v>
      </c>
      <c r="G11" s="6" t="s">
        <v>36</v>
      </c>
      <c r="H11" s="128" t="s">
        <v>36</v>
      </c>
      <c r="I11" s="6" t="s">
        <v>9</v>
      </c>
      <c r="J11" s="6" t="s">
        <v>36</v>
      </c>
      <c r="K11" s="6" t="s">
        <v>36</v>
      </c>
      <c r="L11" s="6" t="s">
        <v>36</v>
      </c>
      <c r="O11" s="42" t="s">
        <v>832</v>
      </c>
    </row>
    <row r="12" spans="1:16" ht="48" customHeight="1" x14ac:dyDescent="0.35">
      <c r="A12" s="6">
        <v>31</v>
      </c>
      <c r="B12" s="6" t="str">
        <f t="shared" si="1"/>
        <v>18.31</v>
      </c>
      <c r="C12" s="36" t="s">
        <v>41</v>
      </c>
      <c r="D12" s="41" t="s">
        <v>58</v>
      </c>
      <c r="E12" s="6" t="s">
        <v>42</v>
      </c>
      <c r="F12" s="6" t="s">
        <v>36</v>
      </c>
      <c r="G12" s="6" t="s">
        <v>36</v>
      </c>
      <c r="H12" s="128" t="s">
        <v>36</v>
      </c>
      <c r="I12" s="6" t="s">
        <v>9</v>
      </c>
      <c r="J12" s="6" t="s">
        <v>36</v>
      </c>
      <c r="K12" s="6" t="s">
        <v>36</v>
      </c>
      <c r="L12" s="6" t="s">
        <v>36</v>
      </c>
      <c r="M12" s="41" t="s">
        <v>36</v>
      </c>
      <c r="N12" s="41" t="s">
        <v>36</v>
      </c>
      <c r="O12" s="41" t="s">
        <v>831</v>
      </c>
    </row>
    <row r="13" spans="1:16" ht="61" customHeight="1" x14ac:dyDescent="0.35"/>
    <row r="14" spans="1:16" ht="34" customHeight="1" x14ac:dyDescent="0.35"/>
    <row r="15" spans="1:16" ht="13.5" customHeight="1" x14ac:dyDescent="0.35"/>
    <row r="16" spans="1:16" ht="34" customHeight="1" x14ac:dyDescent="0.35"/>
    <row r="17" ht="34" customHeight="1" x14ac:dyDescent="0.35"/>
    <row r="18" ht="34" customHeight="1" x14ac:dyDescent="0.35"/>
    <row r="19" ht="172.5" customHeight="1" x14ac:dyDescent="0.35"/>
    <row r="20" ht="60.5" customHeight="1" x14ac:dyDescent="0.35"/>
    <row r="21" ht="34" customHeight="1" x14ac:dyDescent="0.35"/>
    <row r="22" ht="82.5" customHeight="1" x14ac:dyDescent="0.35"/>
    <row r="23" ht="147.5" customHeight="1" x14ac:dyDescent="0.35"/>
    <row r="24" ht="34" customHeight="1" x14ac:dyDescent="0.35"/>
    <row r="25" ht="13.5" customHeight="1" x14ac:dyDescent="0.35"/>
  </sheetData>
  <autoFilter ref="A6:P6"/>
  <conditionalFormatting sqref="C11:C1048576">
    <cfRule type="cellIs" dxfId="212" priority="40" operator="equal">
      <formula>"WIP (see comments)"</formula>
    </cfRule>
    <cfRule type="cellIs" dxfId="211" priority="41" operator="equal">
      <formula>"Removed"</formula>
    </cfRule>
    <cfRule type="cellIs" dxfId="210" priority="42" operator="equal">
      <formula>"Updated"</formula>
    </cfRule>
    <cfRule type="cellIs" dxfId="209" priority="43" operator="equal">
      <formula>"New"</formula>
    </cfRule>
  </conditionalFormatting>
  <conditionalFormatting sqref="C7:C10">
    <cfRule type="cellIs" dxfId="208" priority="36" operator="equal">
      <formula>"WIP (see comments)"</formula>
    </cfRule>
    <cfRule type="cellIs" dxfId="207" priority="37" operator="equal">
      <formula>"Removed"</formula>
    </cfRule>
    <cfRule type="cellIs" dxfId="206" priority="38" operator="equal">
      <formula>"Updated"</formula>
    </cfRule>
    <cfRule type="cellIs" dxfId="205" priority="39" operator="equal">
      <formula>"New"</formula>
    </cfRule>
  </conditionalFormatting>
  <conditionalFormatting sqref="Q26:XFD26 Q32:XFD32 Q30:XFD30 Q28:XFD28 Q34:XFD39 A7:XFD15">
    <cfRule type="cellIs" dxfId="204" priority="35" operator="equal">
      <formula>"n/a"</formula>
    </cfRule>
  </conditionalFormatting>
  <conditionalFormatting sqref="D12 M12:N12">
    <cfRule type="cellIs" dxfId="203" priority="34" operator="equal">
      <formula>"n/a"</formula>
    </cfRule>
  </conditionalFormatting>
  <conditionalFormatting sqref="A16:XFD16 A22:XFD24 Q17:XFD21">
    <cfRule type="cellIs" dxfId="202" priority="29" operator="equal">
      <formula>"n/a"</formula>
    </cfRule>
  </conditionalFormatting>
  <conditionalFormatting sqref="A25:XFD25">
    <cfRule type="cellIs" dxfId="201" priority="24" operator="equal">
      <formula>"n/a"</formula>
    </cfRule>
  </conditionalFormatting>
  <conditionalFormatting sqref="Q27:XFD27">
    <cfRule type="cellIs" dxfId="200" priority="16" operator="equal">
      <formula>"n/a"</formula>
    </cfRule>
  </conditionalFormatting>
  <conditionalFormatting sqref="Q29:XFD29">
    <cfRule type="cellIs" dxfId="199" priority="11" operator="equal">
      <formula>"n/a"</formula>
    </cfRule>
  </conditionalFormatting>
  <conditionalFormatting sqref="Q31:XFD31">
    <cfRule type="cellIs" dxfId="198" priority="6" operator="equal">
      <formula>"n/a"</formula>
    </cfRule>
  </conditionalFormatting>
  <conditionalFormatting sqref="Q33:XFD33">
    <cfRule type="cellIs" dxfId="19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4"/>
  <sheetViews>
    <sheetView zoomScaleNormal="100" workbookViewId="0">
      <pane xSplit="4" ySplit="6" topLeftCell="E7" activePane="bottomRight" state="frozen"/>
      <selection pane="topRight" activeCell="E1" sqref="E1"/>
      <selection pane="bottomLeft" activeCell="A7" sqref="A7"/>
      <selection pane="bottomRight" activeCell="C2" sqref="C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2" t="s">
        <v>403</v>
      </c>
      <c r="C1" s="132"/>
      <c r="D1" s="132"/>
      <c r="H1" s="37"/>
    </row>
    <row r="2" spans="1:16" s="32" customFormat="1" ht="18.5" x14ac:dyDescent="0.35">
      <c r="A2" s="30" t="s">
        <v>7</v>
      </c>
      <c r="B2" s="94" t="s">
        <v>781</v>
      </c>
      <c r="C2" s="37"/>
      <c r="D2" s="94"/>
      <c r="H2" s="37"/>
    </row>
    <row r="3" spans="1:16" s="32" customFormat="1" ht="18.5" x14ac:dyDescent="0.35">
      <c r="A3" s="30" t="s">
        <v>43</v>
      </c>
      <c r="B3" s="94" t="s">
        <v>415</v>
      </c>
      <c r="C3" s="37"/>
      <c r="D3" s="94" t="s">
        <v>416</v>
      </c>
      <c r="H3" s="37"/>
    </row>
    <row r="4" spans="1:16" s="32" customFormat="1" ht="18.5" x14ac:dyDescent="0.35">
      <c r="A4" s="30" t="s">
        <v>8</v>
      </c>
      <c r="B4" s="32" t="s">
        <v>404</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6">
        <v>1</v>
      </c>
      <c r="B7" s="6" t="str">
        <f t="shared" ref="B7" si="0">CONCATENATE($B$2, ".", A7)</f>
        <v>19a.1</v>
      </c>
      <c r="C7" s="36" t="s">
        <v>39</v>
      </c>
      <c r="D7" s="49" t="s">
        <v>406</v>
      </c>
      <c r="E7" s="6" t="s">
        <v>35</v>
      </c>
      <c r="F7" s="6" t="s">
        <v>36</v>
      </c>
      <c r="G7" s="6" t="s">
        <v>36</v>
      </c>
      <c r="H7" s="36" t="s">
        <v>36</v>
      </c>
      <c r="I7" s="6" t="s">
        <v>9</v>
      </c>
      <c r="J7" s="6" t="s">
        <v>36</v>
      </c>
      <c r="K7" s="6" t="s">
        <v>36</v>
      </c>
      <c r="L7" s="6" t="s">
        <v>36</v>
      </c>
      <c r="M7" s="6" t="s">
        <v>36</v>
      </c>
      <c r="N7" s="6" t="s">
        <v>36</v>
      </c>
      <c r="O7" s="42" t="s">
        <v>36</v>
      </c>
    </row>
    <row r="8" spans="1:16" ht="29" x14ac:dyDescent="0.35">
      <c r="A8" s="6">
        <v>2</v>
      </c>
      <c r="B8" s="6" t="str">
        <f t="shared" ref="B8:B9" si="1">CONCATENATE($B$2, ".", A8)</f>
        <v>19a.2</v>
      </c>
      <c r="C8" s="36" t="s">
        <v>44</v>
      </c>
      <c r="D8" s="41" t="s">
        <v>36</v>
      </c>
      <c r="E8" s="41" t="s">
        <v>48</v>
      </c>
      <c r="F8" s="6" t="s">
        <v>36</v>
      </c>
      <c r="G8" s="6" t="s">
        <v>36</v>
      </c>
      <c r="H8" s="36" t="s">
        <v>36</v>
      </c>
      <c r="I8" s="41" t="s">
        <v>9</v>
      </c>
      <c r="J8" s="5" t="s">
        <v>36</v>
      </c>
      <c r="K8" s="5" t="s">
        <v>36</v>
      </c>
      <c r="L8" s="5" t="s">
        <v>36</v>
      </c>
      <c r="M8" s="5" t="s">
        <v>36</v>
      </c>
      <c r="N8" s="5" t="s">
        <v>36</v>
      </c>
      <c r="O8" s="5" t="s">
        <v>36</v>
      </c>
    </row>
    <row r="9" spans="1:16" ht="29" x14ac:dyDescent="0.35">
      <c r="A9" s="6">
        <v>3</v>
      </c>
      <c r="B9" s="6" t="str">
        <f t="shared" si="1"/>
        <v>19a.3</v>
      </c>
      <c r="C9" s="36" t="s">
        <v>39</v>
      </c>
      <c r="D9" s="41" t="s">
        <v>405</v>
      </c>
      <c r="E9" s="41" t="s">
        <v>347</v>
      </c>
      <c r="F9" s="6" t="s">
        <v>36</v>
      </c>
      <c r="G9" s="6" t="s">
        <v>36</v>
      </c>
      <c r="H9" s="36" t="s">
        <v>36</v>
      </c>
      <c r="I9" s="41" t="s">
        <v>9</v>
      </c>
      <c r="J9" s="5" t="s">
        <v>36</v>
      </c>
      <c r="K9" s="5" t="s">
        <v>36</v>
      </c>
      <c r="L9" s="5" t="s">
        <v>36</v>
      </c>
      <c r="M9" s="5" t="s">
        <v>36</v>
      </c>
      <c r="N9" s="5" t="s">
        <v>36</v>
      </c>
      <c r="O9" s="5" t="s">
        <v>36</v>
      </c>
    </row>
    <row r="10" spans="1:16" ht="142.5" customHeight="1" x14ac:dyDescent="0.35">
      <c r="A10" s="6">
        <v>4</v>
      </c>
      <c r="B10" s="6" t="str">
        <f t="shared" ref="B10:B14" si="2">CONCATENATE($B$2, ".", A10)</f>
        <v>19a.4</v>
      </c>
      <c r="C10" s="36" t="s">
        <v>39</v>
      </c>
      <c r="D10" s="55" t="s">
        <v>413</v>
      </c>
      <c r="E10" s="6" t="s">
        <v>344</v>
      </c>
      <c r="F10" s="6" t="s">
        <v>36</v>
      </c>
      <c r="G10" s="53" t="s">
        <v>412</v>
      </c>
      <c r="H10" s="36" t="s">
        <v>36</v>
      </c>
      <c r="I10" s="41" t="s">
        <v>9</v>
      </c>
      <c r="J10" s="6" t="s">
        <v>36</v>
      </c>
      <c r="K10" s="6" t="s">
        <v>36</v>
      </c>
      <c r="L10" s="6" t="s">
        <v>36</v>
      </c>
      <c r="M10" s="6" t="s">
        <v>36</v>
      </c>
      <c r="N10" s="6" t="s">
        <v>36</v>
      </c>
      <c r="O10" s="42" t="s">
        <v>407</v>
      </c>
    </row>
    <row r="11" spans="1:16" ht="163.5" customHeight="1" x14ac:dyDescent="0.35">
      <c r="A11" s="6">
        <v>5</v>
      </c>
      <c r="B11" s="6" t="str">
        <f t="shared" si="2"/>
        <v>19a.5</v>
      </c>
      <c r="C11" s="36" t="s">
        <v>39</v>
      </c>
      <c r="D11" s="55" t="s">
        <v>414</v>
      </c>
      <c r="E11" s="6" t="s">
        <v>344</v>
      </c>
      <c r="F11" s="6" t="s">
        <v>36</v>
      </c>
      <c r="G11" s="53" t="s">
        <v>408</v>
      </c>
      <c r="H11" s="36" t="s">
        <v>36</v>
      </c>
      <c r="I11" s="41" t="s">
        <v>9</v>
      </c>
      <c r="J11" s="6" t="s">
        <v>36</v>
      </c>
      <c r="K11" s="6" t="s">
        <v>36</v>
      </c>
      <c r="L11" s="6" t="s">
        <v>36</v>
      </c>
      <c r="M11" s="6" t="s">
        <v>36</v>
      </c>
      <c r="N11" s="6" t="s">
        <v>36</v>
      </c>
      <c r="O11" s="42" t="s">
        <v>407</v>
      </c>
    </row>
    <row r="12" spans="1:16" ht="100" customHeight="1" x14ac:dyDescent="0.35">
      <c r="A12" s="6">
        <v>6</v>
      </c>
      <c r="B12" s="6" t="str">
        <f t="shared" si="2"/>
        <v>19a.6</v>
      </c>
      <c r="C12" s="36" t="s">
        <v>37</v>
      </c>
      <c r="D12" s="6" t="s">
        <v>518</v>
      </c>
      <c r="E12" s="6" t="s">
        <v>344</v>
      </c>
      <c r="F12" s="6" t="s">
        <v>36</v>
      </c>
      <c r="G12" s="6" t="s">
        <v>372</v>
      </c>
      <c r="H12" s="36" t="s">
        <v>36</v>
      </c>
      <c r="I12" s="41" t="s">
        <v>9</v>
      </c>
      <c r="J12" s="6" t="s">
        <v>36</v>
      </c>
      <c r="K12" s="6" t="s">
        <v>53</v>
      </c>
      <c r="L12" s="6" t="s">
        <v>409</v>
      </c>
      <c r="M12" s="6" t="s">
        <v>36</v>
      </c>
      <c r="N12" s="6" t="s">
        <v>36</v>
      </c>
      <c r="O12" s="42" t="s">
        <v>433</v>
      </c>
    </row>
    <row r="13" spans="1:16" ht="58" x14ac:dyDescent="0.35">
      <c r="A13" s="6">
        <v>7</v>
      </c>
      <c r="B13" s="6" t="str">
        <f t="shared" si="2"/>
        <v>19a.7</v>
      </c>
      <c r="C13" s="36" t="s">
        <v>39</v>
      </c>
      <c r="D13" s="41" t="s">
        <v>59</v>
      </c>
      <c r="E13" s="6" t="s">
        <v>42</v>
      </c>
      <c r="F13" s="41" t="s">
        <v>36</v>
      </c>
      <c r="G13" s="41" t="s">
        <v>36</v>
      </c>
      <c r="H13" s="50" t="s">
        <v>36</v>
      </c>
      <c r="I13" s="41" t="s">
        <v>9</v>
      </c>
      <c r="J13" s="41" t="s">
        <v>36</v>
      </c>
      <c r="K13" s="41" t="s">
        <v>36</v>
      </c>
      <c r="L13" s="41" t="s">
        <v>36</v>
      </c>
      <c r="M13" s="41" t="s">
        <v>36</v>
      </c>
      <c r="N13" s="41" t="s">
        <v>36</v>
      </c>
      <c r="O13" s="41" t="s">
        <v>410</v>
      </c>
    </row>
    <row r="14" spans="1:16" ht="29" x14ac:dyDescent="0.35">
      <c r="A14" s="6">
        <v>8</v>
      </c>
      <c r="B14" s="6" t="str">
        <f t="shared" si="2"/>
        <v>19a.8</v>
      </c>
      <c r="C14" s="36" t="s">
        <v>39</v>
      </c>
      <c r="D14" s="41" t="s">
        <v>58</v>
      </c>
      <c r="E14" s="6" t="s">
        <v>42</v>
      </c>
      <c r="F14" s="41" t="s">
        <v>36</v>
      </c>
      <c r="G14" s="41" t="s">
        <v>36</v>
      </c>
      <c r="H14" s="50" t="s">
        <v>36</v>
      </c>
      <c r="I14" s="41" t="s">
        <v>9</v>
      </c>
      <c r="J14" s="41" t="s">
        <v>36</v>
      </c>
      <c r="K14" s="41" t="s">
        <v>36</v>
      </c>
      <c r="L14" s="41" t="s">
        <v>36</v>
      </c>
      <c r="M14" s="41" t="s">
        <v>36</v>
      </c>
      <c r="N14" s="41" t="s">
        <v>36</v>
      </c>
      <c r="O14" s="41" t="s">
        <v>411</v>
      </c>
    </row>
  </sheetData>
  <autoFilter ref="A6:P6"/>
  <mergeCells count="1">
    <mergeCell ref="B1:D1"/>
  </mergeCells>
  <conditionalFormatting sqref="C15:C1048576 C7:C12">
    <cfRule type="cellIs" dxfId="196" priority="12" operator="equal">
      <formula>"WIP (see comments)"</formula>
    </cfRule>
    <cfRule type="cellIs" dxfId="195" priority="13" operator="equal">
      <formula>"Removed"</formula>
    </cfRule>
    <cfRule type="cellIs" dxfId="194" priority="14" operator="equal">
      <formula>"Updated"</formula>
    </cfRule>
    <cfRule type="cellIs" dxfId="193" priority="15" operator="equal">
      <formula>"New"</formula>
    </cfRule>
  </conditionalFormatting>
  <conditionalFormatting sqref="C13:C14">
    <cfRule type="cellIs" dxfId="192" priority="8" operator="equal">
      <formula>"WIP (see comments)"</formula>
    </cfRule>
    <cfRule type="cellIs" dxfId="191" priority="9" operator="equal">
      <formula>"Removed"</formula>
    </cfRule>
    <cfRule type="cellIs" dxfId="190" priority="10" operator="equal">
      <formula>"Updated"</formula>
    </cfRule>
    <cfRule type="cellIs" dxfId="189" priority="11" operator="equal">
      <formula>"New"</formula>
    </cfRule>
  </conditionalFormatting>
  <conditionalFormatting sqref="P13:XFD13 C10:XFD12 C13:C14 A7:XFD9 A10:B14 E13:E14">
    <cfRule type="cellIs" dxfId="188" priority="7" operator="equal">
      <formula>"n/a"</formula>
    </cfRule>
  </conditionalFormatting>
  <conditionalFormatting sqref="D13:D14 F13:N14">
    <cfRule type="cellIs" dxfId="187" priority="6" operator="equal">
      <formula>"n/a"</formula>
    </cfRule>
  </conditionalFormatting>
  <dataValidations count="1">
    <dataValidation type="list" allowBlank="1" showInputMessage="1" showErrorMessage="1" sqref="E15:E1048576">
      <formula1>$A$5:$A$21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E7:E14</xm:sqref>
        </x14:dataValidation>
        <x14:dataValidation type="list" allowBlank="1" showInputMessage="1" showErrorMessage="1">
          <x14:formula1>
            <xm:f>'List Values'!$B$5:$B$12</xm:f>
          </x14:formula1>
          <xm:sqref>C7:C1048576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5"/>
  <sheetViews>
    <sheetView zoomScaleNormal="100" workbookViewId="0">
      <pane xSplit="4" ySplit="6" topLeftCell="E7" activePane="bottomRight" state="frozen"/>
      <selection pane="topRight" activeCell="E1" sqref="E1"/>
      <selection pane="bottomLeft" activeCell="A7" sqref="A7"/>
      <selection pane="bottomRight" activeCell="C2" sqref="C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132" t="s">
        <v>254</v>
      </c>
      <c r="C1" s="132"/>
      <c r="D1" s="132"/>
      <c r="H1" s="37"/>
    </row>
    <row r="2" spans="1:16" s="32" customFormat="1" ht="18.5" x14ac:dyDescent="0.35">
      <c r="A2" s="30" t="s">
        <v>7</v>
      </c>
      <c r="B2" s="38">
        <v>19</v>
      </c>
      <c r="C2" s="37"/>
      <c r="D2" s="38"/>
      <c r="H2" s="37"/>
    </row>
    <row r="3" spans="1:16" s="32" customFormat="1" ht="18.5" x14ac:dyDescent="0.35">
      <c r="A3" s="30" t="s">
        <v>43</v>
      </c>
      <c r="B3" s="38" t="s">
        <v>319</v>
      </c>
      <c r="C3" s="37"/>
      <c r="D3" s="38" t="s">
        <v>375</v>
      </c>
      <c r="H3" s="37"/>
    </row>
    <row r="4" spans="1:16" s="32" customFormat="1" ht="18.5" x14ac:dyDescent="0.35">
      <c r="A4" s="30" t="s">
        <v>8</v>
      </c>
      <c r="B4" s="32" t="s">
        <v>46</v>
      </c>
      <c r="C4" s="37"/>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9" si="0">CONCATENATE($B$2, ".", A7)</f>
        <v>19.1</v>
      </c>
      <c r="C7" s="36" t="s">
        <v>39</v>
      </c>
      <c r="D7" s="41" t="s">
        <v>430</v>
      </c>
      <c r="E7" s="6" t="s">
        <v>128</v>
      </c>
      <c r="F7" s="6" t="s">
        <v>36</v>
      </c>
      <c r="G7" s="6" t="s">
        <v>36</v>
      </c>
      <c r="H7" s="36" t="s">
        <v>36</v>
      </c>
      <c r="I7" s="41" t="s">
        <v>9</v>
      </c>
      <c r="J7" s="5" t="s">
        <v>36</v>
      </c>
      <c r="K7" s="5" t="s">
        <v>36</v>
      </c>
      <c r="L7" s="5" t="s">
        <v>36</v>
      </c>
      <c r="M7" s="5" t="s">
        <v>36</v>
      </c>
      <c r="N7" s="5" t="s">
        <v>36</v>
      </c>
      <c r="O7" s="5" t="s">
        <v>36</v>
      </c>
    </row>
    <row r="8" spans="1:16" ht="29" x14ac:dyDescent="0.35">
      <c r="A8" s="6">
        <v>2</v>
      </c>
      <c r="B8" s="6" t="str">
        <f t="shared" si="0"/>
        <v>19.2</v>
      </c>
      <c r="C8" s="36" t="s">
        <v>44</v>
      </c>
      <c r="D8" s="41" t="s">
        <v>36</v>
      </c>
      <c r="E8" s="41" t="s">
        <v>48</v>
      </c>
      <c r="F8" s="6" t="s">
        <v>36</v>
      </c>
      <c r="G8" s="6" t="s">
        <v>36</v>
      </c>
      <c r="H8" s="36" t="s">
        <v>36</v>
      </c>
      <c r="I8" s="41" t="s">
        <v>9</v>
      </c>
      <c r="J8" s="5" t="s">
        <v>36</v>
      </c>
      <c r="K8" s="5" t="s">
        <v>36</v>
      </c>
      <c r="L8" s="5" t="s">
        <v>36</v>
      </c>
      <c r="M8" s="5" t="s">
        <v>36</v>
      </c>
      <c r="N8" s="5" t="s">
        <v>36</v>
      </c>
      <c r="O8" s="5" t="s">
        <v>36</v>
      </c>
      <c r="P8" s="6" t="s">
        <v>417</v>
      </c>
    </row>
    <row r="9" spans="1:16" ht="29" x14ac:dyDescent="0.35">
      <c r="A9" s="6">
        <v>3</v>
      </c>
      <c r="B9" s="6" t="str">
        <f t="shared" si="0"/>
        <v>19.3</v>
      </c>
      <c r="C9" s="36" t="s">
        <v>39</v>
      </c>
      <c r="D9" s="41" t="s">
        <v>318</v>
      </c>
      <c r="E9" s="41" t="s">
        <v>28</v>
      </c>
      <c r="F9" s="6" t="s">
        <v>36</v>
      </c>
      <c r="G9" s="6" t="s">
        <v>36</v>
      </c>
      <c r="H9" s="36" t="s">
        <v>36</v>
      </c>
      <c r="I9" s="41" t="s">
        <v>9</v>
      </c>
      <c r="J9" s="5" t="s">
        <v>36</v>
      </c>
      <c r="K9" s="5" t="s">
        <v>36</v>
      </c>
      <c r="L9" s="5" t="s">
        <v>36</v>
      </c>
      <c r="M9" s="5" t="s">
        <v>36</v>
      </c>
      <c r="N9" s="5" t="s">
        <v>36</v>
      </c>
      <c r="O9" s="5" t="s">
        <v>418</v>
      </c>
    </row>
    <row r="10" spans="1:16" ht="29" x14ac:dyDescent="0.35">
      <c r="A10" s="6">
        <v>4</v>
      </c>
      <c r="B10" s="6" t="str">
        <f t="shared" ref="B10:B22" si="1">CONCATENATE($B$2, ".", A10)</f>
        <v>19.4</v>
      </c>
      <c r="C10" s="36" t="s">
        <v>39</v>
      </c>
      <c r="D10" s="49" t="s">
        <v>419</v>
      </c>
      <c r="E10" s="6" t="s">
        <v>28</v>
      </c>
      <c r="F10" s="6" t="s">
        <v>36</v>
      </c>
      <c r="G10" s="6" t="s">
        <v>36</v>
      </c>
      <c r="H10" s="36" t="s">
        <v>36</v>
      </c>
      <c r="I10" s="6" t="s">
        <v>9</v>
      </c>
      <c r="J10" s="6" t="s">
        <v>36</v>
      </c>
      <c r="K10" s="6" t="s">
        <v>36</v>
      </c>
      <c r="L10" s="6" t="s">
        <v>36</v>
      </c>
      <c r="M10" s="6" t="s">
        <v>36</v>
      </c>
      <c r="N10" s="6" t="s">
        <v>36</v>
      </c>
      <c r="O10" s="42" t="s">
        <v>36</v>
      </c>
    </row>
    <row r="11" spans="1:16" ht="29" x14ac:dyDescent="0.35">
      <c r="A11" s="6">
        <v>5</v>
      </c>
      <c r="B11" s="6" t="str">
        <f t="shared" si="1"/>
        <v>19.5</v>
      </c>
      <c r="C11" s="36" t="s">
        <v>44</v>
      </c>
      <c r="D11" s="55" t="s">
        <v>421</v>
      </c>
      <c r="E11" s="6" t="s">
        <v>105</v>
      </c>
      <c r="F11" s="6" t="s">
        <v>36</v>
      </c>
      <c r="G11" s="6" t="s">
        <v>36</v>
      </c>
      <c r="H11" s="36" t="s">
        <v>36</v>
      </c>
      <c r="I11" s="6" t="s">
        <v>9</v>
      </c>
      <c r="J11" s="6" t="s">
        <v>36</v>
      </c>
      <c r="K11" s="6" t="s">
        <v>36</v>
      </c>
      <c r="L11" s="6" t="s">
        <v>36</v>
      </c>
      <c r="M11" s="6" t="s">
        <v>36</v>
      </c>
      <c r="N11" s="6" t="s">
        <v>36</v>
      </c>
      <c r="O11" s="42" t="s">
        <v>438</v>
      </c>
      <c r="P11" s="6" t="s">
        <v>229</v>
      </c>
    </row>
    <row r="12" spans="1:16" ht="101.5" x14ac:dyDescent="0.35">
      <c r="A12" s="6">
        <v>6</v>
      </c>
      <c r="B12" s="6" t="str">
        <f t="shared" si="1"/>
        <v>19.6</v>
      </c>
      <c r="C12" s="36" t="s">
        <v>37</v>
      </c>
      <c r="D12" s="55" t="s">
        <v>519</v>
      </c>
      <c r="E12" s="6" t="s">
        <v>105</v>
      </c>
      <c r="F12" s="6" t="s">
        <v>36</v>
      </c>
      <c r="G12" s="6" t="s">
        <v>36</v>
      </c>
      <c r="H12" s="36" t="s">
        <v>36</v>
      </c>
      <c r="I12" s="6" t="s">
        <v>9</v>
      </c>
      <c r="J12" s="6" t="s">
        <v>36</v>
      </c>
      <c r="K12" s="6" t="s">
        <v>36</v>
      </c>
      <c r="L12" s="6" t="s">
        <v>36</v>
      </c>
      <c r="M12" s="6" t="s">
        <v>36</v>
      </c>
      <c r="N12" s="6" t="s">
        <v>36</v>
      </c>
      <c r="O12" s="42" t="s">
        <v>438</v>
      </c>
      <c r="P12" s="6" t="s">
        <v>521</v>
      </c>
    </row>
    <row r="13" spans="1:16" ht="72.5" x14ac:dyDescent="0.35">
      <c r="A13" s="6">
        <v>7</v>
      </c>
      <c r="B13" s="6" t="str">
        <f t="shared" si="1"/>
        <v>19.7</v>
      </c>
      <c r="C13" s="36" t="s">
        <v>44</v>
      </c>
      <c r="D13" s="55" t="s">
        <v>422</v>
      </c>
      <c r="E13" s="6" t="s">
        <v>105</v>
      </c>
      <c r="F13" s="6" t="s">
        <v>36</v>
      </c>
      <c r="G13" s="6" t="s">
        <v>36</v>
      </c>
      <c r="H13" s="36" t="s">
        <v>36</v>
      </c>
      <c r="I13" s="6" t="s">
        <v>391</v>
      </c>
      <c r="J13" s="6" t="s">
        <v>36</v>
      </c>
      <c r="K13" s="6" t="s">
        <v>36</v>
      </c>
      <c r="L13" s="6" t="s">
        <v>36</v>
      </c>
      <c r="M13" s="6" t="s">
        <v>36</v>
      </c>
      <c r="N13" s="6" t="s">
        <v>36</v>
      </c>
      <c r="O13" s="42" t="s">
        <v>439</v>
      </c>
      <c r="P13" s="6" t="s">
        <v>520</v>
      </c>
    </row>
    <row r="14" spans="1:16" ht="87" x14ac:dyDescent="0.35">
      <c r="A14" s="6">
        <v>8</v>
      </c>
      <c r="B14" s="6" t="str">
        <f t="shared" si="1"/>
        <v>19.8</v>
      </c>
      <c r="C14" s="36" t="s">
        <v>44</v>
      </c>
      <c r="D14" s="55" t="s">
        <v>424</v>
      </c>
      <c r="E14" s="6" t="s">
        <v>105</v>
      </c>
      <c r="F14" s="6" t="s">
        <v>36</v>
      </c>
      <c r="G14" s="6" t="s">
        <v>36</v>
      </c>
      <c r="H14" s="36" t="s">
        <v>36</v>
      </c>
      <c r="I14" s="6" t="s">
        <v>391</v>
      </c>
      <c r="J14" s="6" t="s">
        <v>36</v>
      </c>
      <c r="K14" s="6" t="s">
        <v>391</v>
      </c>
      <c r="L14" s="6" t="s">
        <v>36</v>
      </c>
      <c r="M14" s="6" t="s">
        <v>36</v>
      </c>
      <c r="N14" s="6" t="s">
        <v>36</v>
      </c>
      <c r="O14" s="42" t="s">
        <v>440</v>
      </c>
      <c r="P14" s="6" t="s">
        <v>522</v>
      </c>
    </row>
    <row r="15" spans="1:16" ht="87" x14ac:dyDescent="0.35">
      <c r="A15" s="6">
        <v>9</v>
      </c>
      <c r="B15" s="6" t="str">
        <f t="shared" si="1"/>
        <v>19.9</v>
      </c>
      <c r="C15" s="36" t="s">
        <v>44</v>
      </c>
      <c r="D15" s="55" t="s">
        <v>425</v>
      </c>
      <c r="E15" s="6" t="s">
        <v>105</v>
      </c>
      <c r="F15" s="6" t="s">
        <v>36</v>
      </c>
      <c r="G15" s="6" t="s">
        <v>36</v>
      </c>
      <c r="H15" s="36" t="s">
        <v>36</v>
      </c>
      <c r="I15" s="6" t="s">
        <v>391</v>
      </c>
      <c r="J15" s="6" t="s">
        <v>36</v>
      </c>
      <c r="K15" s="6" t="s">
        <v>391</v>
      </c>
      <c r="L15" s="6" t="s">
        <v>36</v>
      </c>
      <c r="M15" s="6" t="s">
        <v>36</v>
      </c>
      <c r="N15" s="6" t="s">
        <v>36</v>
      </c>
      <c r="O15" s="42" t="s">
        <v>441</v>
      </c>
      <c r="P15" s="6" t="s">
        <v>522</v>
      </c>
    </row>
    <row r="16" spans="1:16" ht="87" x14ac:dyDescent="0.35">
      <c r="A16" s="6">
        <v>10</v>
      </c>
      <c r="B16" s="6" t="str">
        <f t="shared" si="1"/>
        <v>19.10</v>
      </c>
      <c r="C16" s="36" t="s">
        <v>44</v>
      </c>
      <c r="D16" s="55" t="s">
        <v>426</v>
      </c>
      <c r="E16" s="6" t="s">
        <v>105</v>
      </c>
      <c r="F16" s="6" t="s">
        <v>36</v>
      </c>
      <c r="G16" s="6" t="s">
        <v>36</v>
      </c>
      <c r="H16" s="36" t="s">
        <v>36</v>
      </c>
      <c r="I16" s="6" t="s">
        <v>391</v>
      </c>
      <c r="J16" s="6" t="s">
        <v>36</v>
      </c>
      <c r="K16" s="6" t="s">
        <v>391</v>
      </c>
      <c r="L16" s="6" t="s">
        <v>36</v>
      </c>
      <c r="M16" s="6" t="s">
        <v>36</v>
      </c>
      <c r="N16" s="6" t="s">
        <v>36</v>
      </c>
      <c r="O16" s="42" t="s">
        <v>442</v>
      </c>
      <c r="P16" s="6" t="s">
        <v>522</v>
      </c>
    </row>
    <row r="17" spans="1:16" ht="87" x14ac:dyDescent="0.35">
      <c r="A17" s="6">
        <v>11</v>
      </c>
      <c r="B17" s="6" t="str">
        <f t="shared" si="1"/>
        <v>19.11</v>
      </c>
      <c r="C17" s="36" t="s">
        <v>44</v>
      </c>
      <c r="D17" s="55" t="s">
        <v>427</v>
      </c>
      <c r="E17" s="6" t="s">
        <v>105</v>
      </c>
      <c r="F17" s="6" t="s">
        <v>36</v>
      </c>
      <c r="G17" s="6" t="s">
        <v>36</v>
      </c>
      <c r="H17" s="36" t="s">
        <v>36</v>
      </c>
      <c r="I17" s="6" t="s">
        <v>391</v>
      </c>
      <c r="J17" s="6" t="s">
        <v>36</v>
      </c>
      <c r="K17" s="6" t="s">
        <v>391</v>
      </c>
      <c r="L17" s="6" t="s">
        <v>36</v>
      </c>
      <c r="M17" s="6" t="s">
        <v>36</v>
      </c>
      <c r="N17" s="6" t="s">
        <v>36</v>
      </c>
      <c r="O17" s="42" t="s">
        <v>443</v>
      </c>
      <c r="P17" s="6" t="s">
        <v>522</v>
      </c>
    </row>
    <row r="18" spans="1:16" ht="87" x14ac:dyDescent="0.35">
      <c r="A18" s="6">
        <v>12</v>
      </c>
      <c r="B18" s="6" t="str">
        <f t="shared" si="1"/>
        <v>19.12</v>
      </c>
      <c r="C18" s="36" t="s">
        <v>44</v>
      </c>
      <c r="D18" s="55" t="s">
        <v>428</v>
      </c>
      <c r="E18" s="6" t="s">
        <v>105</v>
      </c>
      <c r="F18" s="6" t="s">
        <v>36</v>
      </c>
      <c r="G18" s="6" t="s">
        <v>36</v>
      </c>
      <c r="H18" s="36" t="s">
        <v>36</v>
      </c>
      <c r="I18" s="6" t="s">
        <v>391</v>
      </c>
      <c r="J18" s="6" t="s">
        <v>36</v>
      </c>
      <c r="K18" s="6" t="s">
        <v>391</v>
      </c>
      <c r="L18" s="6" t="s">
        <v>36</v>
      </c>
      <c r="M18" s="6" t="s">
        <v>36</v>
      </c>
      <c r="N18" s="6" t="s">
        <v>36</v>
      </c>
      <c r="O18" s="42" t="s">
        <v>444</v>
      </c>
      <c r="P18" s="6" t="s">
        <v>522</v>
      </c>
    </row>
    <row r="19" spans="1:16" ht="87" x14ac:dyDescent="0.35">
      <c r="A19" s="6">
        <v>13</v>
      </c>
      <c r="B19" s="6" t="str">
        <f>CONCATENATE($B$2, ".", A19)</f>
        <v>19.13</v>
      </c>
      <c r="C19" s="36" t="s">
        <v>44</v>
      </c>
      <c r="D19" s="55" t="s">
        <v>429</v>
      </c>
      <c r="E19" s="6" t="s">
        <v>105</v>
      </c>
      <c r="F19" s="6" t="s">
        <v>36</v>
      </c>
      <c r="G19" s="6" t="s">
        <v>36</v>
      </c>
      <c r="H19" s="36" t="s">
        <v>36</v>
      </c>
      <c r="I19" s="6" t="s">
        <v>391</v>
      </c>
      <c r="J19" s="6" t="s">
        <v>36</v>
      </c>
      <c r="K19" s="6" t="s">
        <v>391</v>
      </c>
      <c r="L19" s="6" t="s">
        <v>36</v>
      </c>
      <c r="M19" s="6" t="s">
        <v>36</v>
      </c>
      <c r="N19" s="6" t="s">
        <v>36</v>
      </c>
      <c r="O19" s="42" t="s">
        <v>445</v>
      </c>
      <c r="P19" s="6" t="s">
        <v>522</v>
      </c>
    </row>
    <row r="20" spans="1:16" ht="130.5" x14ac:dyDescent="0.35">
      <c r="A20" s="6">
        <v>14</v>
      </c>
      <c r="B20" s="6" t="str">
        <f t="shared" si="1"/>
        <v>19.14</v>
      </c>
      <c r="C20" s="36" t="s">
        <v>37</v>
      </c>
      <c r="D20" s="55" t="s">
        <v>370</v>
      </c>
      <c r="E20" s="6" t="s">
        <v>344</v>
      </c>
      <c r="F20" s="6" t="s">
        <v>36</v>
      </c>
      <c r="G20" s="6" t="s">
        <v>523</v>
      </c>
      <c r="H20" s="36" t="s">
        <v>36</v>
      </c>
      <c r="I20" s="6" t="s">
        <v>9</v>
      </c>
      <c r="J20" s="6" t="s">
        <v>36</v>
      </c>
      <c r="K20" s="6" t="s">
        <v>36</v>
      </c>
      <c r="L20" s="6" t="s">
        <v>36</v>
      </c>
      <c r="M20" s="6" t="s">
        <v>36</v>
      </c>
      <c r="N20" s="6" t="s">
        <v>36</v>
      </c>
      <c r="O20" s="42" t="s">
        <v>36</v>
      </c>
    </row>
    <row r="21" spans="1:16" ht="72.5" x14ac:dyDescent="0.35">
      <c r="A21" s="6">
        <v>15</v>
      </c>
      <c r="B21" s="6" t="str">
        <f t="shared" si="1"/>
        <v>19.15</v>
      </c>
      <c r="C21" s="36" t="s">
        <v>39</v>
      </c>
      <c r="D21" s="55" t="s">
        <v>374</v>
      </c>
      <c r="E21" s="6" t="s">
        <v>344</v>
      </c>
      <c r="F21" s="6" t="s">
        <v>36</v>
      </c>
      <c r="G21" s="6" t="s">
        <v>373</v>
      </c>
      <c r="H21" s="36" t="s">
        <v>36</v>
      </c>
      <c r="I21" s="6" t="s">
        <v>9</v>
      </c>
      <c r="J21" s="6" t="s">
        <v>36</v>
      </c>
      <c r="K21" s="6" t="s">
        <v>36</v>
      </c>
      <c r="L21" s="6" t="s">
        <v>36</v>
      </c>
      <c r="M21" s="6" t="s">
        <v>36</v>
      </c>
      <c r="N21" s="6" t="s">
        <v>36</v>
      </c>
      <c r="O21" s="42" t="s">
        <v>36</v>
      </c>
    </row>
    <row r="22" spans="1:16" ht="58" x14ac:dyDescent="0.35">
      <c r="A22" s="6">
        <v>16</v>
      </c>
      <c r="B22" s="6" t="str">
        <f t="shared" si="1"/>
        <v>19.16</v>
      </c>
      <c r="C22" s="36" t="s">
        <v>39</v>
      </c>
      <c r="D22" s="49" t="s">
        <v>371</v>
      </c>
      <c r="E22" s="6" t="s">
        <v>344</v>
      </c>
      <c r="F22" s="6" t="s">
        <v>36</v>
      </c>
      <c r="G22" s="6" t="s">
        <v>224</v>
      </c>
      <c r="H22" s="36" t="s">
        <v>36</v>
      </c>
      <c r="I22" s="6" t="s">
        <v>9</v>
      </c>
      <c r="J22" s="6" t="s">
        <v>36</v>
      </c>
      <c r="K22" s="6" t="s">
        <v>36</v>
      </c>
      <c r="L22" s="6" t="s">
        <v>36</v>
      </c>
      <c r="M22" s="6" t="s">
        <v>36</v>
      </c>
      <c r="N22" s="6" t="s">
        <v>36</v>
      </c>
      <c r="O22" s="42" t="s">
        <v>36</v>
      </c>
    </row>
    <row r="23" spans="1:16" ht="29" x14ac:dyDescent="0.35">
      <c r="A23" s="6">
        <v>17</v>
      </c>
      <c r="B23" s="6" t="str">
        <f t="shared" ref="B23" si="2">CONCATENATE($B$2, ".", A23)</f>
        <v>19.17</v>
      </c>
      <c r="C23" s="36" t="s">
        <v>39</v>
      </c>
      <c r="D23" s="6" t="s">
        <v>423</v>
      </c>
      <c r="E23" s="41" t="s">
        <v>29</v>
      </c>
      <c r="F23" s="6" t="s">
        <v>62</v>
      </c>
      <c r="G23" s="6" t="s">
        <v>36</v>
      </c>
      <c r="H23" s="36" t="s">
        <v>36</v>
      </c>
      <c r="I23" s="41" t="s">
        <v>9</v>
      </c>
      <c r="J23" s="5" t="s">
        <v>102</v>
      </c>
      <c r="K23" s="5" t="s">
        <v>53</v>
      </c>
      <c r="L23" s="42" t="s">
        <v>420</v>
      </c>
      <c r="M23" s="5" t="s">
        <v>36</v>
      </c>
      <c r="N23" s="5" t="s">
        <v>36</v>
      </c>
      <c r="O23" s="5" t="s">
        <v>431</v>
      </c>
    </row>
    <row r="24" spans="1:16" ht="29" x14ac:dyDescent="0.35">
      <c r="A24" s="6">
        <v>18</v>
      </c>
      <c r="B24" s="6" t="str">
        <f t="shared" ref="B24:B25" si="3">CONCATENATE($B$2, ".", A24)</f>
        <v>19.18</v>
      </c>
      <c r="C24" s="36" t="s">
        <v>39</v>
      </c>
      <c r="D24" s="41" t="s">
        <v>58</v>
      </c>
      <c r="E24" s="41" t="s">
        <v>42</v>
      </c>
      <c r="F24" s="41" t="s">
        <v>36</v>
      </c>
      <c r="G24" s="41" t="s">
        <v>36</v>
      </c>
      <c r="H24" s="50" t="s">
        <v>36</v>
      </c>
      <c r="I24" s="41" t="s">
        <v>9</v>
      </c>
      <c r="J24" s="41" t="s">
        <v>36</v>
      </c>
      <c r="K24" s="41" t="s">
        <v>36</v>
      </c>
      <c r="L24" s="41" t="s">
        <v>36</v>
      </c>
      <c r="M24" s="41" t="s">
        <v>36</v>
      </c>
      <c r="N24" s="41" t="s">
        <v>36</v>
      </c>
      <c r="O24" s="43" t="s">
        <v>411</v>
      </c>
    </row>
    <row r="25" spans="1:16" ht="58" x14ac:dyDescent="0.35">
      <c r="A25" s="6">
        <v>19</v>
      </c>
      <c r="B25" s="6" t="str">
        <f t="shared" si="3"/>
        <v>19.19</v>
      </c>
      <c r="C25" s="36" t="s">
        <v>39</v>
      </c>
      <c r="D25" s="41" t="s">
        <v>59</v>
      </c>
      <c r="E25" s="41" t="s">
        <v>42</v>
      </c>
      <c r="F25" s="41" t="s">
        <v>36</v>
      </c>
      <c r="G25" s="41" t="s">
        <v>36</v>
      </c>
      <c r="H25" s="50" t="s">
        <v>36</v>
      </c>
      <c r="I25" s="41" t="s">
        <v>9</v>
      </c>
      <c r="J25" s="41" t="s">
        <v>36</v>
      </c>
      <c r="K25" s="41" t="s">
        <v>36</v>
      </c>
      <c r="L25" s="41" t="s">
        <v>36</v>
      </c>
      <c r="M25" s="41" t="s">
        <v>36</v>
      </c>
      <c r="N25" s="41" t="s">
        <v>36</v>
      </c>
      <c r="O25" s="43" t="s">
        <v>432</v>
      </c>
    </row>
  </sheetData>
  <autoFilter ref="A6:P6"/>
  <mergeCells count="1">
    <mergeCell ref="B1:D1"/>
  </mergeCells>
  <conditionalFormatting sqref="C7:C1048576">
    <cfRule type="cellIs" dxfId="186" priority="33" operator="equal">
      <formula>"WIP (see comments)"</formula>
    </cfRule>
    <cfRule type="cellIs" dxfId="185" priority="34" operator="equal">
      <formula>"Removed"</formula>
    </cfRule>
    <cfRule type="cellIs" dxfId="184" priority="35" operator="equal">
      <formula>"Updated"</formula>
    </cfRule>
    <cfRule type="cellIs" dxfId="183" priority="36" operator="equal">
      <formula>"New"</formula>
    </cfRule>
  </conditionalFormatting>
  <conditionalFormatting sqref="P25:XFD25 E23:O23 A7:XFD21 A20:B25 D22:XFD22 C22:C25">
    <cfRule type="cellIs" dxfId="182" priority="12" operator="equal">
      <formula>"n/a"</formula>
    </cfRule>
  </conditionalFormatting>
  <conditionalFormatting sqref="D24:N25">
    <cfRule type="cellIs" dxfId="181" priority="11" operator="equal">
      <formula>"n/a"</formula>
    </cfRule>
  </conditionalFormatting>
  <conditionalFormatting sqref="D23 P23:XFD24">
    <cfRule type="cellIs" dxfId="180" priority="1" operator="equal">
      <formula>"n/a"</formula>
    </cfRule>
  </conditionalFormatting>
  <dataValidations count="1">
    <dataValidation type="list" allowBlank="1" showInputMessage="1" showErrorMessage="1" sqref="E26:E1048576">
      <formula1>$A$5:$A$33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Values'!$A$5:$A$33</xm:f>
          </x14:formula1>
          <xm:sqref>E7:E23</xm:sqref>
        </x14:dataValidation>
        <x14:dataValidation type="list" allowBlank="1" showInputMessage="1" showErrorMessage="1">
          <x14:formula1>
            <xm:f>'List Values'!$B$5:$B$12</xm:f>
          </x14:formula1>
          <xm:sqref>C7:C1048576</xm:sqref>
        </x14:dataValidation>
        <x14:dataValidation type="list" allowBlank="1" showInputMessage="1" showErrorMessage="1">
          <x14:formula1>
            <xm:f>'List Values'!$A$5:$A$32</xm:f>
          </x14:formula1>
          <xm:sqref>E24:E25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2"/>
  <sheetViews>
    <sheetView workbookViewId="0">
      <pane xSplit="4" ySplit="6" topLeftCell="L7" activePane="bottomRight" state="frozen"/>
      <selection pane="topRight" activeCell="E1" sqref="E1"/>
      <selection pane="bottomLeft" activeCell="A7" sqref="A7"/>
      <selection pane="bottomRight" activeCell="D16" sqref="D16"/>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656</v>
      </c>
      <c r="C1" s="40"/>
      <c r="D1" s="31"/>
      <c r="H1" s="37"/>
    </row>
    <row r="2" spans="1:16" s="32" customFormat="1" ht="18.5" x14ac:dyDescent="0.35">
      <c r="A2" s="30" t="s">
        <v>7</v>
      </c>
      <c r="B2" s="112">
        <v>20</v>
      </c>
      <c r="C2" s="37"/>
      <c r="D2" s="112"/>
      <c r="H2" s="37"/>
    </row>
    <row r="3" spans="1:16" s="32" customFormat="1" ht="18.5" x14ac:dyDescent="0.35">
      <c r="A3" s="30" t="s">
        <v>43</v>
      </c>
      <c r="B3" s="112" t="s">
        <v>657</v>
      </c>
      <c r="C3" s="37"/>
      <c r="D3" s="139"/>
      <c r="H3" s="37"/>
    </row>
    <row r="4" spans="1:16" s="32" customFormat="1" ht="18.5" x14ac:dyDescent="0.35">
      <c r="A4" s="30" t="s">
        <v>8</v>
      </c>
      <c r="B4" s="32" t="s">
        <v>851</v>
      </c>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6">
        <v>1</v>
      </c>
      <c r="B7" s="6" t="str">
        <f t="shared" ref="B7:B10" si="0">CONCATENATE($B$2, ".", A7)</f>
        <v>20.1</v>
      </c>
      <c r="C7" s="36" t="s">
        <v>41</v>
      </c>
      <c r="D7" s="6" t="s">
        <v>848</v>
      </c>
      <c r="E7" s="6" t="s">
        <v>128</v>
      </c>
      <c r="F7" s="6" t="s">
        <v>36</v>
      </c>
      <c r="G7" s="6" t="s">
        <v>36</v>
      </c>
      <c r="H7" s="36" t="s">
        <v>36</v>
      </c>
      <c r="I7" s="41" t="s">
        <v>9</v>
      </c>
      <c r="J7" s="5" t="s">
        <v>36</v>
      </c>
      <c r="K7" s="5" t="s">
        <v>36</v>
      </c>
      <c r="L7" s="5" t="s">
        <v>36</v>
      </c>
      <c r="M7" s="5" t="s">
        <v>36</v>
      </c>
      <c r="N7" s="5" t="s">
        <v>36</v>
      </c>
      <c r="O7" s="5" t="s">
        <v>36</v>
      </c>
    </row>
    <row r="8" spans="1:16" x14ac:dyDescent="0.35">
      <c r="A8" s="6">
        <v>2</v>
      </c>
      <c r="B8" s="6" t="str">
        <f t="shared" si="0"/>
        <v>20.2</v>
      </c>
      <c r="C8" s="36" t="s">
        <v>41</v>
      </c>
      <c r="D8" s="41" t="s">
        <v>36</v>
      </c>
      <c r="E8" s="41" t="s">
        <v>48</v>
      </c>
      <c r="F8" s="6" t="s">
        <v>36</v>
      </c>
      <c r="G8" s="6" t="s">
        <v>36</v>
      </c>
      <c r="H8" s="36" t="s">
        <v>36</v>
      </c>
      <c r="I8" s="41" t="s">
        <v>9</v>
      </c>
      <c r="J8" s="5" t="s">
        <v>36</v>
      </c>
      <c r="K8" s="5" t="s">
        <v>36</v>
      </c>
      <c r="L8" s="5" t="s">
        <v>36</v>
      </c>
      <c r="M8" s="5" t="s">
        <v>36</v>
      </c>
      <c r="N8" s="5" t="s">
        <v>36</v>
      </c>
      <c r="O8" s="5" t="s">
        <v>36</v>
      </c>
    </row>
    <row r="9" spans="1:16" ht="30" customHeight="1" x14ac:dyDescent="0.35">
      <c r="A9" s="6">
        <v>3</v>
      </c>
      <c r="B9" s="6" t="str">
        <f>CONCATENATE($B$2, ".", A9)</f>
        <v>20.3</v>
      </c>
      <c r="C9" s="36" t="s">
        <v>41</v>
      </c>
      <c r="D9" s="6" t="s">
        <v>846</v>
      </c>
      <c r="E9" s="6" t="s">
        <v>35</v>
      </c>
      <c r="F9" s="6" t="s">
        <v>36</v>
      </c>
      <c r="G9" s="6" t="s">
        <v>36</v>
      </c>
      <c r="H9" s="36" t="s">
        <v>36</v>
      </c>
      <c r="I9" s="41" t="s">
        <v>9</v>
      </c>
      <c r="J9" s="5" t="s">
        <v>36</v>
      </c>
      <c r="K9" s="5" t="s">
        <v>36</v>
      </c>
      <c r="L9" s="5" t="s">
        <v>36</v>
      </c>
      <c r="M9" s="5" t="s">
        <v>36</v>
      </c>
      <c r="N9" s="5" t="s">
        <v>36</v>
      </c>
      <c r="O9" s="6" t="s">
        <v>857</v>
      </c>
    </row>
    <row r="10" spans="1:16" ht="105.5" customHeight="1" x14ac:dyDescent="0.35">
      <c r="A10" s="6">
        <v>4</v>
      </c>
      <c r="B10" s="6" t="str">
        <f t="shared" si="0"/>
        <v>20.4</v>
      </c>
      <c r="C10" s="36" t="s">
        <v>41</v>
      </c>
      <c r="D10" s="6" t="s">
        <v>847</v>
      </c>
      <c r="E10" s="6" t="s">
        <v>33</v>
      </c>
      <c r="F10" s="6" t="s">
        <v>36</v>
      </c>
      <c r="G10" s="6" t="s">
        <v>36</v>
      </c>
      <c r="H10" s="36" t="s">
        <v>36</v>
      </c>
      <c r="I10" s="41" t="s">
        <v>9</v>
      </c>
      <c r="J10" s="5" t="s">
        <v>36</v>
      </c>
      <c r="K10" s="5" t="s">
        <v>36</v>
      </c>
      <c r="L10" s="5" t="s">
        <v>36</v>
      </c>
      <c r="M10" s="5" t="s">
        <v>36</v>
      </c>
      <c r="N10" s="5" t="s">
        <v>36</v>
      </c>
      <c r="O10" s="6" t="s">
        <v>36</v>
      </c>
    </row>
    <row r="11" spans="1:16" ht="71" customHeight="1" x14ac:dyDescent="0.35">
      <c r="A11" s="6">
        <v>5</v>
      </c>
      <c r="B11" s="6" t="str">
        <f>CONCATENATE($B$2, ".", A11)</f>
        <v>20.5</v>
      </c>
      <c r="C11" s="36" t="s">
        <v>41</v>
      </c>
      <c r="D11" s="6" t="s">
        <v>856</v>
      </c>
      <c r="E11" s="6" t="s">
        <v>35</v>
      </c>
      <c r="F11" s="6" t="s">
        <v>36</v>
      </c>
      <c r="G11" s="6" t="s">
        <v>36</v>
      </c>
      <c r="H11" s="36" t="s">
        <v>36</v>
      </c>
      <c r="I11" s="41" t="s">
        <v>9</v>
      </c>
      <c r="J11" s="5" t="s">
        <v>36</v>
      </c>
      <c r="K11" s="5" t="s">
        <v>36</v>
      </c>
      <c r="L11" s="5" t="s">
        <v>36</v>
      </c>
      <c r="M11" s="5" t="s">
        <v>36</v>
      </c>
      <c r="N11" s="5" t="s">
        <v>36</v>
      </c>
      <c r="O11" s="6" t="s">
        <v>850</v>
      </c>
    </row>
    <row r="12" spans="1:16" ht="58" customHeight="1" x14ac:dyDescent="0.35">
      <c r="A12" s="6">
        <v>6</v>
      </c>
      <c r="B12" s="6" t="str">
        <f>CONCATENATE($B$2, ".", A12)</f>
        <v>20.6</v>
      </c>
      <c r="C12" s="36" t="s">
        <v>41</v>
      </c>
      <c r="D12" s="6" t="s">
        <v>849</v>
      </c>
      <c r="E12" s="6" t="s">
        <v>105</v>
      </c>
      <c r="F12" s="6" t="s">
        <v>36</v>
      </c>
      <c r="G12" s="6" t="s">
        <v>36</v>
      </c>
      <c r="H12" s="36" t="s">
        <v>36</v>
      </c>
      <c r="I12" s="41" t="s">
        <v>9</v>
      </c>
      <c r="J12" s="5" t="s">
        <v>36</v>
      </c>
      <c r="K12" s="5" t="s">
        <v>36</v>
      </c>
      <c r="L12" s="5" t="s">
        <v>36</v>
      </c>
      <c r="M12" s="5" t="s">
        <v>36</v>
      </c>
      <c r="N12" s="5" t="s">
        <v>36</v>
      </c>
      <c r="O12" s="6" t="s">
        <v>694</v>
      </c>
    </row>
    <row r="13" spans="1:16" ht="78" customHeight="1" x14ac:dyDescent="0.35">
      <c r="A13" s="6">
        <v>7</v>
      </c>
      <c r="B13" s="6" t="str">
        <f t="shared" ref="B13:B16" si="1">CONCATENATE($B$2, ".", A13)</f>
        <v>20.7</v>
      </c>
      <c r="C13" s="36" t="s">
        <v>41</v>
      </c>
      <c r="D13" s="6" t="s">
        <v>744</v>
      </c>
      <c r="E13" s="6" t="s">
        <v>28</v>
      </c>
      <c r="F13" s="6" t="s">
        <v>36</v>
      </c>
      <c r="G13" s="6" t="s">
        <v>36</v>
      </c>
      <c r="H13" s="36" t="s">
        <v>36</v>
      </c>
      <c r="I13" s="41" t="s">
        <v>9</v>
      </c>
      <c r="J13" s="5" t="s">
        <v>36</v>
      </c>
      <c r="K13" s="5" t="s">
        <v>36</v>
      </c>
      <c r="L13" s="5" t="s">
        <v>36</v>
      </c>
      <c r="M13" s="5" t="s">
        <v>36</v>
      </c>
      <c r="N13" s="5" t="s">
        <v>36</v>
      </c>
      <c r="O13" s="6" t="s">
        <v>36</v>
      </c>
    </row>
    <row r="14" spans="1:16" ht="16" customHeight="1" x14ac:dyDescent="0.35">
      <c r="A14" s="102" t="s">
        <v>749</v>
      </c>
      <c r="B14" s="121"/>
      <c r="C14" s="122"/>
      <c r="D14" s="121"/>
      <c r="E14" s="121"/>
      <c r="F14" s="121"/>
      <c r="G14" s="121"/>
      <c r="H14" s="122"/>
      <c r="I14" s="121"/>
      <c r="J14" s="121"/>
      <c r="K14" s="121"/>
      <c r="L14" s="121"/>
      <c r="M14" s="121"/>
      <c r="N14" s="121"/>
      <c r="O14" s="121"/>
      <c r="P14" s="121"/>
    </row>
    <row r="15" spans="1:16" ht="78" customHeight="1" x14ac:dyDescent="0.35">
      <c r="A15" s="6">
        <v>8</v>
      </c>
      <c r="B15" s="6" t="str">
        <f>CONCATENATE($B$2, ".", A15)</f>
        <v>20.8</v>
      </c>
      <c r="C15" s="36" t="s">
        <v>41</v>
      </c>
      <c r="D15" s="6" t="s">
        <v>745</v>
      </c>
      <c r="E15" s="6" t="s">
        <v>35</v>
      </c>
      <c r="F15" s="6" t="s">
        <v>36</v>
      </c>
      <c r="G15" s="6" t="s">
        <v>36</v>
      </c>
      <c r="H15" s="36" t="s">
        <v>36</v>
      </c>
      <c r="I15" s="41" t="s">
        <v>9</v>
      </c>
      <c r="J15" s="5" t="s">
        <v>36</v>
      </c>
      <c r="K15" s="5" t="s">
        <v>36</v>
      </c>
      <c r="L15" s="5" t="s">
        <v>36</v>
      </c>
      <c r="M15" s="5" t="s">
        <v>36</v>
      </c>
      <c r="N15" s="5" t="s">
        <v>36</v>
      </c>
      <c r="O15" s="137" t="s">
        <v>750</v>
      </c>
    </row>
    <row r="16" spans="1:16" ht="78" customHeight="1" x14ac:dyDescent="0.35">
      <c r="A16" s="6">
        <v>9</v>
      </c>
      <c r="B16" s="6" t="str">
        <f t="shared" si="1"/>
        <v>20.9</v>
      </c>
      <c r="C16" s="36" t="s">
        <v>41</v>
      </c>
      <c r="D16" s="6" t="s">
        <v>746</v>
      </c>
      <c r="E16" s="6" t="s">
        <v>747</v>
      </c>
      <c r="F16" s="6" t="s">
        <v>852</v>
      </c>
      <c r="G16" s="6" t="s">
        <v>36</v>
      </c>
      <c r="H16" s="36" t="s">
        <v>36</v>
      </c>
      <c r="I16" s="41" t="s">
        <v>9</v>
      </c>
      <c r="J16" s="5" t="s">
        <v>36</v>
      </c>
      <c r="K16" s="5" t="s">
        <v>36</v>
      </c>
      <c r="L16" s="5" t="s">
        <v>36</v>
      </c>
      <c r="M16" s="5" t="s">
        <v>36</v>
      </c>
      <c r="N16" s="5" t="s">
        <v>36</v>
      </c>
      <c r="O16" s="137"/>
    </row>
    <row r="17" spans="1:16" ht="43.5" x14ac:dyDescent="0.35">
      <c r="A17" s="6">
        <v>10</v>
      </c>
      <c r="B17" s="6" t="str">
        <f>CONCATENATE($B$2, ".", A17)</f>
        <v>20.10</v>
      </c>
      <c r="C17" s="36" t="s">
        <v>41</v>
      </c>
      <c r="D17" s="6" t="s">
        <v>853</v>
      </c>
      <c r="E17" s="6" t="s">
        <v>105</v>
      </c>
      <c r="F17" s="6" t="s">
        <v>36</v>
      </c>
      <c r="G17" s="6" t="s">
        <v>36</v>
      </c>
      <c r="H17" s="36" t="s">
        <v>36</v>
      </c>
      <c r="I17" s="41" t="s">
        <v>9</v>
      </c>
      <c r="J17" s="5" t="s">
        <v>36</v>
      </c>
      <c r="K17" s="5" t="s">
        <v>36</v>
      </c>
      <c r="L17" s="5" t="s">
        <v>36</v>
      </c>
      <c r="M17" s="5" t="s">
        <v>36</v>
      </c>
      <c r="N17" s="5" t="s">
        <v>36</v>
      </c>
      <c r="O17" s="6" t="s">
        <v>854</v>
      </c>
    </row>
    <row r="18" spans="1:16" ht="72.5" x14ac:dyDescent="0.35">
      <c r="A18" s="6">
        <v>11</v>
      </c>
      <c r="B18" s="6" t="str">
        <f>CONCATENATE($B$2, ".", A18)</f>
        <v>20.11</v>
      </c>
      <c r="C18" s="36" t="s">
        <v>41</v>
      </c>
      <c r="D18" s="6" t="s">
        <v>855</v>
      </c>
      <c r="E18" s="6" t="s">
        <v>35</v>
      </c>
      <c r="F18" s="6" t="s">
        <v>36</v>
      </c>
      <c r="G18" s="6" t="s">
        <v>36</v>
      </c>
      <c r="H18" s="36" t="s">
        <v>36</v>
      </c>
      <c r="I18" s="41" t="s">
        <v>9</v>
      </c>
      <c r="J18" s="5" t="s">
        <v>36</v>
      </c>
      <c r="K18" s="5" t="s">
        <v>36</v>
      </c>
      <c r="L18" s="5" t="s">
        <v>36</v>
      </c>
      <c r="M18" s="5" t="s">
        <v>36</v>
      </c>
      <c r="N18" s="5" t="s">
        <v>36</v>
      </c>
      <c r="O18" s="6" t="s">
        <v>858</v>
      </c>
    </row>
    <row r="19" spans="1:16" ht="15" customHeight="1" x14ac:dyDescent="0.35">
      <c r="A19" s="102" t="s">
        <v>690</v>
      </c>
      <c r="B19" s="121"/>
      <c r="C19" s="122"/>
      <c r="D19" s="121"/>
      <c r="E19" s="121"/>
      <c r="F19" s="121"/>
      <c r="G19" s="121"/>
      <c r="H19" s="122"/>
      <c r="I19" s="121"/>
      <c r="J19" s="121"/>
      <c r="K19" s="121"/>
      <c r="L19" s="121"/>
      <c r="M19" s="121"/>
      <c r="N19" s="121"/>
      <c r="O19" s="121"/>
      <c r="P19" s="121"/>
    </row>
    <row r="20" spans="1:16" ht="58" x14ac:dyDescent="0.35">
      <c r="A20" s="6">
        <v>12</v>
      </c>
      <c r="B20" s="6" t="str">
        <f>CONCATENATE($B$2, ".", A20)</f>
        <v>20.12</v>
      </c>
      <c r="C20" s="36" t="s">
        <v>41</v>
      </c>
      <c r="D20" s="6" t="s">
        <v>748</v>
      </c>
      <c r="E20" s="6" t="s">
        <v>42</v>
      </c>
      <c r="F20" s="6" t="s">
        <v>36</v>
      </c>
      <c r="G20" s="6" t="s">
        <v>36</v>
      </c>
      <c r="H20" s="36" t="s">
        <v>36</v>
      </c>
      <c r="I20" s="41" t="s">
        <v>9</v>
      </c>
      <c r="J20" s="5" t="s">
        <v>36</v>
      </c>
      <c r="K20" s="5" t="s">
        <v>36</v>
      </c>
      <c r="L20" s="5" t="s">
        <v>36</v>
      </c>
      <c r="M20" s="5" t="s">
        <v>36</v>
      </c>
      <c r="N20" s="5" t="s">
        <v>36</v>
      </c>
      <c r="O20" s="6" t="s">
        <v>859</v>
      </c>
    </row>
    <row r="22" spans="1:16" x14ac:dyDescent="0.35">
      <c r="D22" s="6" t="s">
        <v>70</v>
      </c>
    </row>
  </sheetData>
  <autoFilter ref="A6:P20"/>
  <mergeCells count="1">
    <mergeCell ref="O15:O16"/>
  </mergeCells>
  <conditionalFormatting sqref="C9:C16 C19:C1048576">
    <cfRule type="cellIs" dxfId="179" priority="25" operator="equal">
      <formula>"WIP (see comments)"</formula>
    </cfRule>
    <cfRule type="cellIs" dxfId="178" priority="26" operator="equal">
      <formula>"Removed"</formula>
    </cfRule>
    <cfRule type="cellIs" dxfId="177" priority="27" operator="equal">
      <formula>"Updated"</formula>
    </cfRule>
    <cfRule type="cellIs" dxfId="176" priority="28" operator="equal">
      <formula>"New"</formula>
    </cfRule>
  </conditionalFormatting>
  <conditionalFormatting sqref="A16:N16 P16:XFD16 A19:XFD19 A9:XFD15 C20 F20:P20">
    <cfRule type="cellIs" dxfId="175" priority="24" operator="equal">
      <formula>"n/a"</formula>
    </cfRule>
  </conditionalFormatting>
  <conditionalFormatting sqref="C7:C8">
    <cfRule type="cellIs" dxfId="174" priority="20" operator="equal">
      <formula>"WIP (see comments)"</formula>
    </cfRule>
    <cfRule type="cellIs" dxfId="173" priority="21" operator="equal">
      <formula>"Removed"</formula>
    </cfRule>
    <cfRule type="cellIs" dxfId="172" priority="22" operator="equal">
      <formula>"Updated"</formula>
    </cfRule>
    <cfRule type="cellIs" dxfId="171" priority="23" operator="equal">
      <formula>"New"</formula>
    </cfRule>
  </conditionalFormatting>
  <conditionalFormatting sqref="C7:C8">
    <cfRule type="cellIs" dxfId="170" priority="19" operator="equal">
      <formula>"n/a"</formula>
    </cfRule>
  </conditionalFormatting>
  <conditionalFormatting sqref="D8:P8 F7:O7">
    <cfRule type="cellIs" dxfId="169" priority="14" operator="equal">
      <formula>"n/a"</formula>
    </cfRule>
  </conditionalFormatting>
  <conditionalFormatting sqref="C17">
    <cfRule type="cellIs" dxfId="168" priority="8" operator="equal">
      <formula>"WIP (see comments)"</formula>
    </cfRule>
    <cfRule type="cellIs" dxfId="167" priority="9" operator="equal">
      <formula>"Removed"</formula>
    </cfRule>
    <cfRule type="cellIs" dxfId="166" priority="10" operator="equal">
      <formula>"Updated"</formula>
    </cfRule>
    <cfRule type="cellIs" dxfId="165" priority="11" operator="equal">
      <formula>"New"</formula>
    </cfRule>
  </conditionalFormatting>
  <conditionalFormatting sqref="C17 F17:P17">
    <cfRule type="cellIs" dxfId="164" priority="7" operator="equal">
      <formula>"n/a"</formula>
    </cfRule>
  </conditionalFormatting>
  <conditionalFormatting sqref="C18">
    <cfRule type="cellIs" dxfId="163" priority="3" operator="equal">
      <formula>"WIP (see comments)"</formula>
    </cfRule>
    <cfRule type="cellIs" dxfId="162" priority="4" operator="equal">
      <formula>"Removed"</formula>
    </cfRule>
    <cfRule type="cellIs" dxfId="161" priority="5" operator="equal">
      <formula>"Updated"</formula>
    </cfRule>
    <cfRule type="cellIs" dxfId="160" priority="6" operator="equal">
      <formula>"New"</formula>
    </cfRule>
  </conditionalFormatting>
  <conditionalFormatting sqref="C18 F18:N18 P18">
    <cfRule type="cellIs" dxfId="159" priority="2" operator="equal">
      <formula>"n/a"</formula>
    </cfRule>
  </conditionalFormatting>
  <conditionalFormatting sqref="O18">
    <cfRule type="cellIs" dxfId="15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C7:C20</xm:sqref>
        </x14:dataValidation>
        <x14:dataValidation type="list" allowBlank="1" showInputMessage="1" showErrorMessage="1">
          <x14:formula1>
            <xm:f>'List Values'!$A$5:$A$32</xm:f>
          </x14:formula1>
          <xm:sqref>E7:E20</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pane xSplit="4" ySplit="6" topLeftCell="G16" activePane="bottomRight" state="frozen"/>
      <selection pane="topRight" activeCell="E1" sqref="E1"/>
      <selection pane="bottomLeft" activeCell="A7" sqref="A7"/>
      <selection pane="bottomRight" activeCell="L17" sqref="L1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696</v>
      </c>
      <c r="C1" s="40"/>
      <c r="D1" s="31"/>
      <c r="H1" s="37"/>
    </row>
    <row r="2" spans="1:16" s="32" customFormat="1" ht="18.5" x14ac:dyDescent="0.35">
      <c r="A2" s="30" t="s">
        <v>7</v>
      </c>
      <c r="B2" s="38">
        <v>21</v>
      </c>
      <c r="C2" s="37"/>
      <c r="D2" s="38"/>
      <c r="H2" s="37"/>
    </row>
    <row r="3" spans="1:16" s="32" customFormat="1" ht="18.5" x14ac:dyDescent="0.35">
      <c r="A3" s="30" t="s">
        <v>43</v>
      </c>
      <c r="B3" s="38" t="s">
        <v>634</v>
      </c>
      <c r="C3" s="37"/>
      <c r="D3" s="38"/>
      <c r="H3" s="37"/>
    </row>
    <row r="4" spans="1:16" s="32" customFormat="1" ht="18.5" x14ac:dyDescent="0.35">
      <c r="A4" s="30" t="s">
        <v>8</v>
      </c>
      <c r="B4" s="133" t="s">
        <v>46</v>
      </c>
      <c r="C4" s="133"/>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6">
        <v>1</v>
      </c>
      <c r="B7" s="6" t="str">
        <f>CONCATENATE($B$2, ".", A7)</f>
        <v>21.1</v>
      </c>
      <c r="C7" s="36" t="s">
        <v>44</v>
      </c>
      <c r="D7" s="6" t="s">
        <v>669</v>
      </c>
      <c r="E7" s="6" t="s">
        <v>128</v>
      </c>
      <c r="F7" s="6" t="s">
        <v>36</v>
      </c>
      <c r="G7" s="6" t="s">
        <v>36</v>
      </c>
      <c r="H7" s="36" t="s">
        <v>36</v>
      </c>
      <c r="I7" s="6" t="s">
        <v>9</v>
      </c>
      <c r="J7" s="6" t="s">
        <v>36</v>
      </c>
      <c r="K7" s="6" t="s">
        <v>36</v>
      </c>
      <c r="L7" s="6" t="s">
        <v>36</v>
      </c>
      <c r="M7" s="6" t="s">
        <v>36</v>
      </c>
      <c r="N7" s="6" t="s">
        <v>36</v>
      </c>
      <c r="O7" s="6" t="s">
        <v>36</v>
      </c>
      <c r="P7" s="6" t="s">
        <v>712</v>
      </c>
    </row>
    <row r="8" spans="1:16" ht="29" x14ac:dyDescent="0.35">
      <c r="A8" s="6">
        <v>2</v>
      </c>
      <c r="B8" s="6" t="str">
        <f>CONCATENATE($B$2, ".", A8)</f>
        <v>21.2</v>
      </c>
      <c r="C8" s="36" t="s">
        <v>44</v>
      </c>
      <c r="D8" s="6" t="s">
        <v>36</v>
      </c>
      <c r="E8" s="6" t="s">
        <v>48</v>
      </c>
      <c r="F8" s="6" t="s">
        <v>36</v>
      </c>
      <c r="G8" s="6" t="s">
        <v>36</v>
      </c>
      <c r="H8" s="36" t="s">
        <v>36</v>
      </c>
      <c r="I8" s="6" t="s">
        <v>9</v>
      </c>
      <c r="J8" s="6" t="s">
        <v>36</v>
      </c>
      <c r="K8" s="6" t="s">
        <v>36</v>
      </c>
      <c r="L8" s="6" t="s">
        <v>36</v>
      </c>
      <c r="M8" s="6" t="s">
        <v>36</v>
      </c>
      <c r="N8" s="6" t="s">
        <v>36</v>
      </c>
      <c r="O8" s="6" t="s">
        <v>36</v>
      </c>
    </row>
    <row r="9" spans="1:16" ht="58" x14ac:dyDescent="0.35">
      <c r="A9" s="6">
        <v>3</v>
      </c>
      <c r="B9" s="6" t="str">
        <f>CONCATENATE($B$2, ".", A9)</f>
        <v>21.3</v>
      </c>
      <c r="C9" s="36" t="s">
        <v>44</v>
      </c>
      <c r="D9" s="6" t="s">
        <v>708</v>
      </c>
      <c r="E9" s="6" t="s">
        <v>33</v>
      </c>
      <c r="F9" s="6" t="s">
        <v>36</v>
      </c>
      <c r="G9" s="6" t="s">
        <v>36</v>
      </c>
      <c r="H9" s="36" t="s">
        <v>36</v>
      </c>
      <c r="I9" s="6" t="s">
        <v>9</v>
      </c>
      <c r="J9" s="6" t="s">
        <v>36</v>
      </c>
      <c r="K9" s="6" t="s">
        <v>36</v>
      </c>
      <c r="L9" s="6" t="s">
        <v>36</v>
      </c>
      <c r="M9" s="6" t="s">
        <v>36</v>
      </c>
      <c r="N9" s="6" t="s">
        <v>36</v>
      </c>
      <c r="O9" s="6" t="s">
        <v>36</v>
      </c>
    </row>
    <row r="10" spans="1:16" x14ac:dyDescent="0.35">
      <c r="A10" s="102" t="s">
        <v>709</v>
      </c>
      <c r="B10" s="121"/>
      <c r="C10" s="122"/>
      <c r="D10" s="121"/>
      <c r="E10" s="121"/>
      <c r="F10" s="121"/>
      <c r="G10" s="121"/>
      <c r="H10" s="122"/>
      <c r="I10" s="121"/>
      <c r="J10" s="121"/>
      <c r="K10" s="121"/>
      <c r="L10" s="121"/>
      <c r="M10" s="121"/>
      <c r="N10" s="121"/>
      <c r="O10" s="121"/>
      <c r="P10" s="121"/>
    </row>
    <row r="11" spans="1:16" ht="43.5" x14ac:dyDescent="0.35">
      <c r="A11" s="6">
        <v>4</v>
      </c>
      <c r="B11" s="6" t="str">
        <f t="shared" ref="B11:B12" si="0">CONCATENATE($B$2, ".", A11)</f>
        <v>21.4</v>
      </c>
      <c r="C11" s="36" t="s">
        <v>44</v>
      </c>
      <c r="D11" s="6" t="s">
        <v>670</v>
      </c>
      <c r="E11" s="6" t="s">
        <v>35</v>
      </c>
      <c r="F11" s="6" t="s">
        <v>671</v>
      </c>
      <c r="G11" s="6" t="s">
        <v>36</v>
      </c>
      <c r="H11" s="36" t="s">
        <v>36</v>
      </c>
      <c r="I11" s="6" t="s">
        <v>9</v>
      </c>
      <c r="J11" s="6" t="s">
        <v>36</v>
      </c>
      <c r="K11" s="6" t="s">
        <v>36</v>
      </c>
      <c r="L11" s="6" t="s">
        <v>36</v>
      </c>
      <c r="M11" s="6" t="s">
        <v>36</v>
      </c>
      <c r="N11" s="6" t="s">
        <v>36</v>
      </c>
      <c r="O11" s="6" t="s">
        <v>672</v>
      </c>
    </row>
    <row r="12" spans="1:16" ht="159.5" x14ac:dyDescent="0.35">
      <c r="A12" s="6">
        <v>5</v>
      </c>
      <c r="B12" s="6" t="str">
        <f t="shared" si="0"/>
        <v>21.5</v>
      </c>
      <c r="C12" s="36" t="s">
        <v>44</v>
      </c>
      <c r="D12" s="6" t="s">
        <v>673</v>
      </c>
      <c r="E12" s="6" t="s">
        <v>34</v>
      </c>
      <c r="F12" s="6" t="s">
        <v>867</v>
      </c>
      <c r="G12" s="6" t="s">
        <v>36</v>
      </c>
      <c r="H12" s="36" t="s">
        <v>36</v>
      </c>
      <c r="I12" s="6" t="s">
        <v>9</v>
      </c>
      <c r="J12" s="6" t="s">
        <v>691</v>
      </c>
      <c r="K12" s="6" t="s">
        <v>53</v>
      </c>
      <c r="L12" s="6" t="s">
        <v>674</v>
      </c>
      <c r="M12" s="6" t="s">
        <v>36</v>
      </c>
      <c r="N12" s="6" t="s">
        <v>36</v>
      </c>
      <c r="O12" s="6" t="s">
        <v>866</v>
      </c>
    </row>
    <row r="13" spans="1:16" ht="116" x14ac:dyDescent="0.35">
      <c r="A13" s="6">
        <v>6</v>
      </c>
      <c r="B13" s="6" t="str">
        <f t="shared" ref="B13:B17" si="1">CONCATENATE($B$2, ".", A13)</f>
        <v>21.6</v>
      </c>
      <c r="C13" s="36" t="s">
        <v>44</v>
      </c>
      <c r="D13" s="6" t="s">
        <v>703</v>
      </c>
      <c r="E13" s="6" t="s">
        <v>34</v>
      </c>
      <c r="F13" s="6" t="s">
        <v>704</v>
      </c>
      <c r="G13" s="6" t="s">
        <v>706</v>
      </c>
      <c r="H13" s="36" t="s">
        <v>36</v>
      </c>
      <c r="I13" s="6" t="s">
        <v>9</v>
      </c>
      <c r="J13" s="6" t="s">
        <v>577</v>
      </c>
      <c r="K13" s="6" t="s">
        <v>53</v>
      </c>
      <c r="L13" s="6" t="s">
        <v>705</v>
      </c>
      <c r="M13" s="6" t="s">
        <v>36</v>
      </c>
      <c r="N13" s="6" t="s">
        <v>36</v>
      </c>
      <c r="O13" s="6" t="s">
        <v>707</v>
      </c>
    </row>
    <row r="14" spans="1:16" ht="58" x14ac:dyDescent="0.35">
      <c r="A14" s="6">
        <v>7</v>
      </c>
      <c r="B14" s="6" t="str">
        <f t="shared" si="1"/>
        <v>21.7</v>
      </c>
      <c r="C14" s="36" t="s">
        <v>44</v>
      </c>
      <c r="D14" s="6" t="s">
        <v>675</v>
      </c>
      <c r="E14" s="6" t="s">
        <v>32</v>
      </c>
      <c r="F14" s="6" t="s">
        <v>676</v>
      </c>
      <c r="G14" s="6" t="s">
        <v>692</v>
      </c>
      <c r="H14" s="36">
        <v>19</v>
      </c>
      <c r="I14" s="6" t="s">
        <v>9</v>
      </c>
      <c r="J14" s="6" t="s">
        <v>113</v>
      </c>
      <c r="K14" s="6" t="s">
        <v>53</v>
      </c>
      <c r="L14" s="6" t="s">
        <v>677</v>
      </c>
      <c r="M14" s="6" t="s">
        <v>36</v>
      </c>
      <c r="N14" s="6" t="s">
        <v>36</v>
      </c>
      <c r="O14" s="6" t="s">
        <v>686</v>
      </c>
    </row>
    <row r="15" spans="1:16" ht="58" x14ac:dyDescent="0.35">
      <c r="A15" s="6">
        <v>8</v>
      </c>
      <c r="B15" s="6" t="str">
        <f t="shared" si="1"/>
        <v>21.8</v>
      </c>
      <c r="C15" s="36" t="s">
        <v>44</v>
      </c>
      <c r="D15" s="6" t="s">
        <v>678</v>
      </c>
      <c r="E15" s="6" t="s">
        <v>32</v>
      </c>
      <c r="F15" s="6" t="s">
        <v>676</v>
      </c>
      <c r="G15" s="6" t="s">
        <v>693</v>
      </c>
      <c r="H15" s="36">
        <v>19</v>
      </c>
      <c r="I15" s="6" t="s">
        <v>9</v>
      </c>
      <c r="J15" s="6" t="s">
        <v>113</v>
      </c>
      <c r="K15" s="6" t="s">
        <v>53</v>
      </c>
      <c r="L15" s="6" t="s">
        <v>683</v>
      </c>
      <c r="M15" s="6" t="s">
        <v>36</v>
      </c>
      <c r="N15" s="6" t="s">
        <v>36</v>
      </c>
      <c r="O15" s="6" t="s">
        <v>687</v>
      </c>
    </row>
    <row r="16" spans="1:16" ht="58" x14ac:dyDescent="0.35">
      <c r="A16" s="6">
        <v>9</v>
      </c>
      <c r="B16" s="6" t="str">
        <f t="shared" si="1"/>
        <v>21.9</v>
      </c>
      <c r="C16" s="36" t="s">
        <v>44</v>
      </c>
      <c r="D16" s="6" t="s">
        <v>679</v>
      </c>
      <c r="E16" s="6" t="s">
        <v>32</v>
      </c>
      <c r="F16" s="6" t="s">
        <v>676</v>
      </c>
      <c r="G16" s="6" t="s">
        <v>681</v>
      </c>
      <c r="H16" s="36">
        <v>19</v>
      </c>
      <c r="I16" s="6" t="s">
        <v>9</v>
      </c>
      <c r="J16" s="6" t="s">
        <v>113</v>
      </c>
      <c r="K16" s="6" t="s">
        <v>53</v>
      </c>
      <c r="L16" s="6" t="s">
        <v>684</v>
      </c>
      <c r="M16" s="6" t="s">
        <v>36</v>
      </c>
      <c r="N16" s="6" t="s">
        <v>36</v>
      </c>
      <c r="O16" s="6" t="s">
        <v>688</v>
      </c>
    </row>
    <row r="17" spans="1:16" ht="58" x14ac:dyDescent="0.35">
      <c r="A17" s="6">
        <v>10</v>
      </c>
      <c r="B17" s="6" t="str">
        <f t="shared" si="1"/>
        <v>21.10</v>
      </c>
      <c r="C17" s="36" t="s">
        <v>44</v>
      </c>
      <c r="D17" s="6" t="s">
        <v>680</v>
      </c>
      <c r="E17" s="6" t="s">
        <v>32</v>
      </c>
      <c r="F17" s="6" t="s">
        <v>676</v>
      </c>
      <c r="G17" s="6" t="s">
        <v>682</v>
      </c>
      <c r="H17" s="36">
        <v>19</v>
      </c>
      <c r="I17" s="6" t="s">
        <v>9</v>
      </c>
      <c r="J17" s="6" t="s">
        <v>113</v>
      </c>
      <c r="K17" s="6" t="s">
        <v>53</v>
      </c>
      <c r="L17" s="6" t="s">
        <v>685</v>
      </c>
      <c r="M17" s="6" t="s">
        <v>36</v>
      </c>
      <c r="N17" s="6" t="s">
        <v>36</v>
      </c>
      <c r="O17" s="6" t="s">
        <v>689</v>
      </c>
    </row>
    <row r="18" spans="1:16" x14ac:dyDescent="0.35">
      <c r="A18" s="102" t="s">
        <v>690</v>
      </c>
      <c r="B18" s="121"/>
      <c r="C18" s="122"/>
      <c r="D18" s="121"/>
      <c r="E18" s="121"/>
      <c r="F18" s="121"/>
      <c r="G18" s="121"/>
      <c r="H18" s="122"/>
      <c r="I18" s="121"/>
      <c r="J18" s="121"/>
      <c r="K18" s="121"/>
      <c r="L18" s="121"/>
      <c r="M18" s="121"/>
      <c r="N18" s="121"/>
      <c r="O18" s="121"/>
      <c r="P18" s="121"/>
    </row>
    <row r="19" spans="1:16" ht="101.5" x14ac:dyDescent="0.35">
      <c r="A19" s="6">
        <v>11</v>
      </c>
      <c r="B19" s="6" t="str">
        <f>CONCATENATE($B$2, ".", A19)</f>
        <v>21.11</v>
      </c>
      <c r="C19" s="36" t="s">
        <v>44</v>
      </c>
      <c r="D19" s="6" t="s">
        <v>59</v>
      </c>
      <c r="E19" s="6" t="s">
        <v>42</v>
      </c>
      <c r="F19" s="6" t="s">
        <v>36</v>
      </c>
      <c r="G19" s="6" t="s">
        <v>36</v>
      </c>
      <c r="H19" s="36" t="s">
        <v>36</v>
      </c>
      <c r="I19" s="6" t="s">
        <v>9</v>
      </c>
      <c r="J19" s="6" t="s">
        <v>36</v>
      </c>
      <c r="K19" s="6" t="s">
        <v>36</v>
      </c>
      <c r="L19" s="6" t="s">
        <v>36</v>
      </c>
      <c r="M19" s="6" t="s">
        <v>36</v>
      </c>
      <c r="N19" s="6" t="s">
        <v>36</v>
      </c>
      <c r="O19" s="6" t="s">
        <v>713</v>
      </c>
    </row>
    <row r="20" spans="1:16" ht="43.5" x14ac:dyDescent="0.35">
      <c r="A20" s="6">
        <v>12</v>
      </c>
      <c r="B20" s="6" t="str">
        <f t="shared" ref="B20" si="2">CONCATENATE($B$2, ".", A20)</f>
        <v>21.12</v>
      </c>
      <c r="C20" s="36" t="s">
        <v>40</v>
      </c>
      <c r="D20" s="6" t="s">
        <v>58</v>
      </c>
      <c r="E20" s="6" t="s">
        <v>42</v>
      </c>
      <c r="F20" s="6" t="s">
        <v>36</v>
      </c>
      <c r="G20" s="6" t="s">
        <v>36</v>
      </c>
      <c r="H20" s="36" t="s">
        <v>36</v>
      </c>
      <c r="I20" s="6" t="s">
        <v>9</v>
      </c>
      <c r="J20" s="6" t="s">
        <v>36</v>
      </c>
      <c r="K20" s="6" t="s">
        <v>36</v>
      </c>
      <c r="L20" s="6" t="s">
        <v>36</v>
      </c>
      <c r="M20" s="6" t="s">
        <v>36</v>
      </c>
      <c r="N20" s="6" t="s">
        <v>36</v>
      </c>
      <c r="O20" s="96" t="s">
        <v>710</v>
      </c>
      <c r="P20" s="96" t="s">
        <v>711</v>
      </c>
    </row>
    <row r="22" spans="1:16" x14ac:dyDescent="0.35">
      <c r="D22" s="6" t="s">
        <v>70</v>
      </c>
    </row>
  </sheetData>
  <autoFilter ref="A6:P20"/>
  <mergeCells count="1">
    <mergeCell ref="B4:C4"/>
  </mergeCells>
  <conditionalFormatting sqref="C19:C1048576 C8:C17">
    <cfRule type="cellIs" dxfId="157" priority="23" operator="equal">
      <formula>"WIP (see comments)"</formula>
    </cfRule>
    <cfRule type="cellIs" dxfId="156" priority="24" operator="equal">
      <formula>"Removed"</formula>
    </cfRule>
    <cfRule type="cellIs" dxfId="155" priority="25" operator="equal">
      <formula>"Updated"</formula>
    </cfRule>
    <cfRule type="cellIs" dxfId="154" priority="26" operator="equal">
      <formula>"New"</formula>
    </cfRule>
  </conditionalFormatting>
  <conditionalFormatting sqref="C19:C20 C8:C17">
    <cfRule type="cellIs" dxfId="153" priority="22" operator="equal">
      <formula>"n/a"</formula>
    </cfRule>
  </conditionalFormatting>
  <conditionalFormatting sqref="C7">
    <cfRule type="cellIs" dxfId="152" priority="18" operator="equal">
      <formula>"WIP (see comments)"</formula>
    </cfRule>
    <cfRule type="cellIs" dxfId="151" priority="19" operator="equal">
      <formula>"Removed"</formula>
    </cfRule>
    <cfRule type="cellIs" dxfId="150" priority="20" operator="equal">
      <formula>"Updated"</formula>
    </cfRule>
    <cfRule type="cellIs" dxfId="149" priority="21" operator="equal">
      <formula>"New"</formula>
    </cfRule>
  </conditionalFormatting>
  <conditionalFormatting sqref="C7">
    <cfRule type="cellIs" dxfId="148" priority="17" operator="equal">
      <formula>"n/a"</formula>
    </cfRule>
  </conditionalFormatting>
  <conditionalFormatting sqref="H15:N17 F7:P14">
    <cfRule type="cellIs" dxfId="147" priority="16" operator="equal">
      <formula>"n/a"</formula>
    </cfRule>
  </conditionalFormatting>
  <conditionalFormatting sqref="O15:P17">
    <cfRule type="cellIs" dxfId="146" priority="10" operator="equal">
      <formula>"n/a"</formula>
    </cfRule>
  </conditionalFormatting>
  <conditionalFormatting sqref="F15:G15">
    <cfRule type="cellIs" dxfId="145" priority="9" operator="equal">
      <formula>"n/a"</formula>
    </cfRule>
  </conditionalFormatting>
  <conditionalFormatting sqref="F16:G16 G17">
    <cfRule type="cellIs" dxfId="144" priority="8" operator="equal">
      <formula>"n/a"</formula>
    </cfRule>
  </conditionalFormatting>
  <conditionalFormatting sqref="F17">
    <cfRule type="cellIs" dxfId="143" priority="7" operator="equal">
      <formula>"n/a"</formula>
    </cfRule>
  </conditionalFormatting>
  <conditionalFormatting sqref="C18">
    <cfRule type="cellIs" dxfId="142" priority="3" operator="equal">
      <formula>"WIP (see comments)"</formula>
    </cfRule>
    <cfRule type="cellIs" dxfId="141" priority="4" operator="equal">
      <formula>"Removed"</formula>
    </cfRule>
    <cfRule type="cellIs" dxfId="140" priority="5" operator="equal">
      <formula>"Updated"</formula>
    </cfRule>
    <cfRule type="cellIs" dxfId="139" priority="6" operator="equal">
      <formula>"New"</formula>
    </cfRule>
  </conditionalFormatting>
  <conditionalFormatting sqref="C18">
    <cfRule type="cellIs" dxfId="138" priority="2" operator="equal">
      <formula>"n/a"</formula>
    </cfRule>
  </conditionalFormatting>
  <conditionalFormatting sqref="F18:P18">
    <cfRule type="cellIs" dxfId="137" priority="1" operator="equal">
      <formula>"n/a"</formula>
    </cfRule>
  </conditionalFormatting>
  <dataValidations count="1">
    <dataValidation type="list" allowBlank="1" showInputMessage="1" showErrorMessage="1" sqref="E19:E20">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C19:C20 C7:C18</xm:sqref>
        </x14:dataValidation>
        <x14:dataValidation type="list" allowBlank="1" showInputMessage="1" showErrorMessage="1">
          <x14:formula1>
            <xm:f>'List Values'!$A$5:$A$32</xm:f>
          </x14:formula1>
          <xm:sqref>E7:E18</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32" customFormat="1" ht="18.5" x14ac:dyDescent="0.35">
      <c r="A1" s="30" t="s">
        <v>6</v>
      </c>
      <c r="B1" s="40" t="s">
        <v>342</v>
      </c>
      <c r="C1" s="40"/>
      <c r="D1" s="31"/>
      <c r="H1" s="37"/>
    </row>
    <row r="2" spans="1:16" s="32" customFormat="1" ht="18.5" x14ac:dyDescent="0.35">
      <c r="A2" s="30" t="s">
        <v>7</v>
      </c>
      <c r="B2" s="38">
        <v>22</v>
      </c>
      <c r="C2" s="37"/>
      <c r="D2" s="38"/>
      <c r="H2" s="37"/>
    </row>
    <row r="3" spans="1:16" s="32" customFormat="1" ht="18.5" x14ac:dyDescent="0.35">
      <c r="A3" s="30" t="s">
        <v>43</v>
      </c>
      <c r="B3" s="38" t="s">
        <v>635</v>
      </c>
      <c r="C3" s="37"/>
      <c r="D3" s="38"/>
      <c r="H3" s="37"/>
    </row>
    <row r="4" spans="1:16" s="32" customFormat="1" ht="18.5" x14ac:dyDescent="0.35">
      <c r="A4" s="30" t="s">
        <v>8</v>
      </c>
      <c r="B4" s="133" t="s">
        <v>46</v>
      </c>
      <c r="C4" s="133"/>
      <c r="H4" s="37"/>
    </row>
    <row r="5" spans="1:16" s="4" customFormat="1" x14ac:dyDescent="0.35">
      <c r="C5" s="39"/>
      <c r="H5" s="39"/>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6">
        <v>1</v>
      </c>
      <c r="B7" s="6" t="str">
        <f t="shared" ref="B7:B8" si="0">CONCATENATE($B$2, ".", A7)</f>
        <v>22.1</v>
      </c>
      <c r="C7" s="36" t="s">
        <v>44</v>
      </c>
      <c r="D7" s="6" t="s">
        <v>668</v>
      </c>
      <c r="E7" s="6" t="s">
        <v>128</v>
      </c>
      <c r="F7" s="6" t="s">
        <v>36</v>
      </c>
      <c r="G7" s="6" t="s">
        <v>36</v>
      </c>
      <c r="H7" s="36" t="s">
        <v>36</v>
      </c>
      <c r="I7" s="6" t="s">
        <v>9</v>
      </c>
      <c r="J7" s="6" t="s">
        <v>36</v>
      </c>
      <c r="K7" s="6" t="s">
        <v>36</v>
      </c>
      <c r="L7" s="6" t="s">
        <v>36</v>
      </c>
      <c r="M7" s="6" t="s">
        <v>36</v>
      </c>
      <c r="N7" s="6" t="s">
        <v>36</v>
      </c>
      <c r="O7" s="6" t="s">
        <v>36</v>
      </c>
    </row>
    <row r="8" spans="1:16" ht="29" x14ac:dyDescent="0.35">
      <c r="A8" s="6">
        <v>2</v>
      </c>
      <c r="B8" s="6" t="str">
        <f t="shared" si="0"/>
        <v>22.2</v>
      </c>
      <c r="C8" s="36" t="s">
        <v>44</v>
      </c>
      <c r="D8" s="6" t="s">
        <v>36</v>
      </c>
      <c r="E8" s="6" t="s">
        <v>48</v>
      </c>
      <c r="F8" s="6" t="s">
        <v>36</v>
      </c>
      <c r="G8" s="6" t="s">
        <v>36</v>
      </c>
      <c r="H8" s="36" t="s">
        <v>36</v>
      </c>
      <c r="I8" s="6" t="s">
        <v>9</v>
      </c>
      <c r="J8" s="6" t="s">
        <v>36</v>
      </c>
      <c r="K8" s="6" t="s">
        <v>36</v>
      </c>
      <c r="L8" s="6" t="s">
        <v>36</v>
      </c>
      <c r="M8" s="6" t="s">
        <v>36</v>
      </c>
      <c r="N8" s="6" t="s">
        <v>36</v>
      </c>
      <c r="O8" s="6" t="s">
        <v>36</v>
      </c>
    </row>
    <row r="9" spans="1:16" ht="144.75" customHeight="1" x14ac:dyDescent="0.35">
      <c r="A9" s="6">
        <v>3</v>
      </c>
      <c r="B9" s="6" t="str">
        <f t="shared" ref="B9:B13" si="1">CONCATENATE($B$2, ".", A9)</f>
        <v>22.3</v>
      </c>
      <c r="C9" s="36" t="s">
        <v>44</v>
      </c>
      <c r="D9" s="6" t="s">
        <v>723</v>
      </c>
      <c r="E9" s="6" t="s">
        <v>28</v>
      </c>
      <c r="F9" s="6" t="s">
        <v>36</v>
      </c>
      <c r="G9" s="6" t="s">
        <v>36</v>
      </c>
      <c r="H9" s="36" t="s">
        <v>36</v>
      </c>
      <c r="I9" s="6" t="s">
        <v>36</v>
      </c>
      <c r="J9" s="6" t="s">
        <v>36</v>
      </c>
      <c r="K9" s="6" t="s">
        <v>36</v>
      </c>
      <c r="L9" s="6" t="s">
        <v>36</v>
      </c>
      <c r="M9" s="6" t="s">
        <v>36</v>
      </c>
      <c r="N9" s="6" t="s">
        <v>36</v>
      </c>
      <c r="O9" s="6" t="s">
        <v>36</v>
      </c>
    </row>
    <row r="10" spans="1:16" ht="144.75" customHeight="1" x14ac:dyDescent="0.35">
      <c r="A10" s="6">
        <v>4</v>
      </c>
      <c r="B10" s="6" t="str">
        <f t="shared" si="1"/>
        <v>22.4</v>
      </c>
      <c r="C10" s="36" t="s">
        <v>44</v>
      </c>
      <c r="D10" s="6" t="s">
        <v>727</v>
      </c>
      <c r="E10" s="6" t="s">
        <v>33</v>
      </c>
      <c r="F10" s="6" t="s">
        <v>36</v>
      </c>
      <c r="G10" s="6" t="s">
        <v>36</v>
      </c>
      <c r="H10" s="36" t="s">
        <v>36</v>
      </c>
      <c r="I10" s="6" t="s">
        <v>9</v>
      </c>
      <c r="J10" s="6" t="s">
        <v>36</v>
      </c>
      <c r="K10" s="6" t="s">
        <v>36</v>
      </c>
      <c r="L10" s="6" t="s">
        <v>36</v>
      </c>
      <c r="M10" s="6" t="s">
        <v>36</v>
      </c>
      <c r="N10" s="6" t="s">
        <v>36</v>
      </c>
      <c r="O10" s="6" t="s">
        <v>36</v>
      </c>
    </row>
    <row r="11" spans="1:16" ht="15" customHeight="1" x14ac:dyDescent="0.35">
      <c r="A11" s="102" t="s">
        <v>714</v>
      </c>
      <c r="B11" s="102"/>
      <c r="C11" s="123"/>
      <c r="D11" s="102"/>
      <c r="E11" s="102"/>
      <c r="F11" s="102"/>
      <c r="G11" s="102"/>
      <c r="H11" s="123"/>
      <c r="I11" s="102"/>
      <c r="J11" s="102"/>
      <c r="K11" s="102"/>
      <c r="L11" s="102"/>
      <c r="M11" s="102"/>
      <c r="N11" s="102"/>
      <c r="O11" s="102"/>
      <c r="P11" s="102"/>
    </row>
    <row r="12" spans="1:16" ht="57" customHeight="1" x14ac:dyDescent="0.35">
      <c r="A12" s="6">
        <v>5</v>
      </c>
      <c r="B12" s="6" t="str">
        <f t="shared" si="1"/>
        <v>22.5</v>
      </c>
      <c r="C12" s="36" t="s">
        <v>44</v>
      </c>
      <c r="D12" s="6" t="s">
        <v>670</v>
      </c>
      <c r="E12" s="6" t="s">
        <v>35</v>
      </c>
      <c r="F12" s="6" t="s">
        <v>716</v>
      </c>
      <c r="G12" s="6" t="s">
        <v>36</v>
      </c>
      <c r="H12" s="36" t="s">
        <v>36</v>
      </c>
      <c r="I12" s="6" t="s">
        <v>719</v>
      </c>
      <c r="J12" s="6" t="s">
        <v>36</v>
      </c>
      <c r="K12" s="6" t="s">
        <v>36</v>
      </c>
      <c r="L12" s="6" t="s">
        <v>36</v>
      </c>
      <c r="M12" s="6" t="s">
        <v>36</v>
      </c>
      <c r="N12" s="6" t="s">
        <v>36</v>
      </c>
      <c r="O12" s="6" t="s">
        <v>720</v>
      </c>
    </row>
    <row r="13" spans="1:16" ht="57" customHeight="1" x14ac:dyDescent="0.35">
      <c r="A13" s="6">
        <v>6</v>
      </c>
      <c r="B13" s="6" t="str">
        <f t="shared" si="1"/>
        <v>22.6</v>
      </c>
      <c r="C13" s="36" t="s">
        <v>44</v>
      </c>
      <c r="D13" s="6" t="s">
        <v>715</v>
      </c>
      <c r="E13" s="6" t="s">
        <v>35</v>
      </c>
      <c r="F13" s="6" t="s">
        <v>717</v>
      </c>
      <c r="G13" s="6" t="s">
        <v>36</v>
      </c>
      <c r="H13" s="36" t="s">
        <v>36</v>
      </c>
      <c r="I13" s="6" t="s">
        <v>719</v>
      </c>
      <c r="J13" s="6" t="s">
        <v>36</v>
      </c>
      <c r="K13" s="6" t="s">
        <v>36</v>
      </c>
      <c r="L13" s="6" t="s">
        <v>36</v>
      </c>
      <c r="M13" s="6" t="s">
        <v>36</v>
      </c>
      <c r="N13" s="6" t="s">
        <v>36</v>
      </c>
      <c r="O13" s="6" t="s">
        <v>721</v>
      </c>
      <c r="P13" s="96" t="s">
        <v>726</v>
      </c>
    </row>
    <row r="14" spans="1:16" ht="15" customHeight="1" x14ac:dyDescent="0.35">
      <c r="A14" s="102" t="s">
        <v>690</v>
      </c>
      <c r="B14" s="102"/>
      <c r="C14" s="123"/>
      <c r="D14" s="102"/>
      <c r="E14" s="102"/>
      <c r="F14" s="102"/>
      <c r="G14" s="102"/>
      <c r="H14" s="123"/>
      <c r="I14" s="102"/>
      <c r="J14" s="102"/>
      <c r="K14" s="102"/>
      <c r="L14" s="102"/>
      <c r="M14" s="102"/>
      <c r="N14" s="102"/>
      <c r="O14" s="102"/>
      <c r="P14" s="102"/>
    </row>
    <row r="15" spans="1:16" ht="58" x14ac:dyDescent="0.35">
      <c r="A15" s="6">
        <v>7</v>
      </c>
      <c r="B15" s="6" t="str">
        <f>CONCATENATE($B$2, ".", A15)</f>
        <v>22.7</v>
      </c>
      <c r="C15" s="36" t="s">
        <v>44</v>
      </c>
      <c r="D15" s="6" t="s">
        <v>718</v>
      </c>
      <c r="E15" s="6" t="s">
        <v>105</v>
      </c>
      <c r="F15" s="6" t="s">
        <v>36</v>
      </c>
      <c r="G15" s="6" t="s">
        <v>36</v>
      </c>
      <c r="H15" s="36" t="s">
        <v>36</v>
      </c>
      <c r="I15" s="6" t="s">
        <v>9</v>
      </c>
      <c r="J15" s="6" t="s">
        <v>36</v>
      </c>
      <c r="K15" s="6" t="s">
        <v>36</v>
      </c>
      <c r="L15" s="6" t="s">
        <v>36</v>
      </c>
      <c r="M15" s="6" t="s">
        <v>36</v>
      </c>
      <c r="N15" s="6" t="s">
        <v>36</v>
      </c>
      <c r="O15" s="6" t="s">
        <v>722</v>
      </c>
    </row>
    <row r="16" spans="1:16" ht="29" x14ac:dyDescent="0.35">
      <c r="A16" s="6">
        <v>8</v>
      </c>
      <c r="B16" s="6" t="str">
        <f>CONCATENATE($B$2, ".", A16)</f>
        <v>22.8</v>
      </c>
      <c r="C16" s="36" t="s">
        <v>44</v>
      </c>
      <c r="D16" s="6" t="s">
        <v>59</v>
      </c>
      <c r="E16" s="6" t="s">
        <v>42</v>
      </c>
      <c r="F16" s="6" t="s">
        <v>36</v>
      </c>
      <c r="G16" s="6" t="s">
        <v>36</v>
      </c>
      <c r="H16" s="36" t="s">
        <v>36</v>
      </c>
      <c r="I16" s="6" t="s">
        <v>9</v>
      </c>
      <c r="J16" s="6" t="s">
        <v>36</v>
      </c>
      <c r="K16" s="6" t="s">
        <v>36</v>
      </c>
      <c r="L16" s="6" t="s">
        <v>36</v>
      </c>
      <c r="M16" s="6" t="s">
        <v>36</v>
      </c>
      <c r="N16" s="6" t="s">
        <v>36</v>
      </c>
      <c r="O16" s="6" t="s">
        <v>725</v>
      </c>
    </row>
    <row r="17" spans="1:15" ht="29" x14ac:dyDescent="0.35">
      <c r="A17" s="6">
        <v>9</v>
      </c>
      <c r="B17" s="6" t="str">
        <f t="shared" ref="B17" si="2">CONCATENATE($B$2, ".", A17)</f>
        <v>22.9</v>
      </c>
      <c r="C17" s="36" t="s">
        <v>44</v>
      </c>
      <c r="D17" s="6" t="s">
        <v>58</v>
      </c>
      <c r="E17" s="6" t="s">
        <v>42</v>
      </c>
      <c r="F17" s="6" t="s">
        <v>36</v>
      </c>
      <c r="G17" s="6" t="s">
        <v>36</v>
      </c>
      <c r="H17" s="36" t="s">
        <v>36</v>
      </c>
      <c r="I17" s="6" t="s">
        <v>9</v>
      </c>
      <c r="J17" s="6" t="s">
        <v>36</v>
      </c>
      <c r="K17" s="6" t="s">
        <v>36</v>
      </c>
      <c r="L17" s="6" t="s">
        <v>36</v>
      </c>
      <c r="M17" s="6" t="s">
        <v>36</v>
      </c>
      <c r="N17" s="6" t="s">
        <v>36</v>
      </c>
      <c r="O17" s="6" t="s">
        <v>724</v>
      </c>
    </row>
    <row r="19" spans="1:15" x14ac:dyDescent="0.35">
      <c r="D19" s="6" t="s">
        <v>70</v>
      </c>
    </row>
  </sheetData>
  <autoFilter ref="A6:P17"/>
  <mergeCells count="1">
    <mergeCell ref="B4:C4"/>
  </mergeCells>
  <conditionalFormatting sqref="C7:C13 C15:C1048576">
    <cfRule type="cellIs" dxfId="136" priority="31" operator="equal">
      <formula>"WIP (see comments)"</formula>
    </cfRule>
    <cfRule type="cellIs" dxfId="135" priority="32" operator="equal">
      <formula>"Removed"</formula>
    </cfRule>
    <cfRule type="cellIs" dxfId="134" priority="33" operator="equal">
      <formula>"Updated"</formula>
    </cfRule>
    <cfRule type="cellIs" dxfId="133" priority="34" operator="equal">
      <formula>"New"</formula>
    </cfRule>
  </conditionalFormatting>
  <conditionalFormatting sqref="C7:C8 Q9:XFD13 A11:D11 C9:D10 A12:A13 C12:D13 C15:C17 F9:O13">
    <cfRule type="cellIs" dxfId="132" priority="30" operator="equal">
      <formula>"n/a"</formula>
    </cfRule>
  </conditionalFormatting>
  <conditionalFormatting sqref="K7:O8">
    <cfRule type="cellIs" dxfId="131" priority="19" operator="equal">
      <formula>"n/a"</formula>
    </cfRule>
  </conditionalFormatting>
  <conditionalFormatting sqref="F7:H8">
    <cfRule type="cellIs" dxfId="130" priority="17" operator="equal">
      <formula>"n/a"</formula>
    </cfRule>
  </conditionalFormatting>
  <conditionalFormatting sqref="J7:J8">
    <cfRule type="cellIs" dxfId="129" priority="14" operator="equal">
      <formula>"n/a"</formula>
    </cfRule>
  </conditionalFormatting>
  <conditionalFormatting sqref="C14">
    <cfRule type="cellIs" dxfId="128" priority="3" operator="equal">
      <formula>"WIP (see comments)"</formula>
    </cfRule>
    <cfRule type="cellIs" dxfId="127" priority="4" operator="equal">
      <formula>"Removed"</formula>
    </cfRule>
    <cfRule type="cellIs" dxfId="126" priority="5" operator="equal">
      <formula>"Updated"</formula>
    </cfRule>
    <cfRule type="cellIs" dxfId="125" priority="6" operator="equal">
      <formula>"New"</formula>
    </cfRule>
  </conditionalFormatting>
  <conditionalFormatting sqref="Q14:XFD14 A14:D14 F14:O14">
    <cfRule type="cellIs" dxfId="124" priority="2" operator="equal">
      <formula>"n/a"</formula>
    </cfRule>
  </conditionalFormatting>
  <conditionalFormatting sqref="F15:O17">
    <cfRule type="cellIs" dxfId="12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C7:C17</xm:sqref>
        </x14:dataValidation>
        <x14:dataValidation type="list" allowBlank="1" showInputMessage="1" showErrorMessage="1">
          <x14:formula1>
            <xm:f>'List Values'!$A$5:$A$32</xm:f>
          </x14:formula1>
          <xm:sqref>E7:E17</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A10" sqref="A10"/>
    </sheetView>
  </sheetViews>
  <sheetFormatPr defaultColWidth="9.1796875" defaultRowHeight="14.5" x14ac:dyDescent="0.35"/>
  <cols>
    <col min="1" max="1" width="14.7265625" style="5" customWidth="1"/>
    <col min="2" max="2" width="12.54296875" style="5" customWidth="1"/>
    <col min="3" max="3" width="14.269531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129</v>
      </c>
      <c r="C1" s="34"/>
      <c r="D1" s="31"/>
      <c r="H1" s="37"/>
    </row>
    <row r="2" spans="1:16" s="32" customFormat="1" ht="18.5" x14ac:dyDescent="0.35">
      <c r="A2" s="30" t="s">
        <v>7</v>
      </c>
      <c r="B2" s="38" t="s">
        <v>147</v>
      </c>
      <c r="C2" s="37"/>
      <c r="D2" s="38"/>
      <c r="H2" s="37"/>
    </row>
    <row r="3" spans="1:16" s="32" customFormat="1" ht="18.5" x14ac:dyDescent="0.35">
      <c r="A3" s="30" t="s">
        <v>43</v>
      </c>
      <c r="B3" s="38" t="s">
        <v>308</v>
      </c>
      <c r="C3" s="37"/>
      <c r="D3" s="91" t="s">
        <v>309</v>
      </c>
      <c r="H3" s="37"/>
    </row>
    <row r="4" spans="1:16" s="32" customFormat="1" ht="18.5" x14ac:dyDescent="0.35">
      <c r="A4" s="30" t="s">
        <v>8</v>
      </c>
      <c r="B4" s="32" t="s">
        <v>126</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A.1</v>
      </c>
      <c r="C7" s="54" t="s">
        <v>44</v>
      </c>
      <c r="D7" s="5" t="s">
        <v>36</v>
      </c>
      <c r="E7" s="42" t="s">
        <v>127</v>
      </c>
      <c r="F7" s="5" t="s">
        <v>36</v>
      </c>
      <c r="G7" s="5" t="s">
        <v>36</v>
      </c>
      <c r="H7" s="44" t="s">
        <v>36</v>
      </c>
      <c r="I7" s="42" t="s">
        <v>9</v>
      </c>
      <c r="J7" s="5" t="s">
        <v>36</v>
      </c>
      <c r="K7" s="5" t="s">
        <v>36</v>
      </c>
      <c r="L7" s="5" t="s">
        <v>36</v>
      </c>
      <c r="M7" s="5" t="s">
        <v>36</v>
      </c>
      <c r="N7" s="5" t="s">
        <v>36</v>
      </c>
      <c r="O7" s="5" t="s">
        <v>525</v>
      </c>
      <c r="P7" s="5" t="s">
        <v>470</v>
      </c>
    </row>
    <row r="8" spans="1:16" x14ac:dyDescent="0.35">
      <c r="A8" s="5">
        <v>2</v>
      </c>
      <c r="B8" s="5" t="str">
        <f t="shared" ref="B8:B10" si="0">CONCATENATE($B$2, ".", A8)</f>
        <v>A.2</v>
      </c>
      <c r="C8" s="44" t="s">
        <v>37</v>
      </c>
      <c r="D8" s="42" t="s">
        <v>524</v>
      </c>
      <c r="E8" s="42" t="s">
        <v>128</v>
      </c>
      <c r="F8" s="5" t="s">
        <v>36</v>
      </c>
      <c r="G8" s="5" t="s">
        <v>36</v>
      </c>
      <c r="H8" s="44" t="s">
        <v>36</v>
      </c>
      <c r="I8" s="42" t="s">
        <v>9</v>
      </c>
      <c r="J8" s="5" t="s">
        <v>36</v>
      </c>
      <c r="K8" s="5" t="s">
        <v>36</v>
      </c>
      <c r="L8" s="5" t="s">
        <v>36</v>
      </c>
      <c r="M8" s="5" t="s">
        <v>36</v>
      </c>
      <c r="N8" s="5" t="s">
        <v>36</v>
      </c>
    </row>
    <row r="9" spans="1:16" x14ac:dyDescent="0.35">
      <c r="A9" s="5">
        <v>3</v>
      </c>
      <c r="B9" s="5" t="str">
        <f t="shared" si="0"/>
        <v>A.3</v>
      </c>
      <c r="C9" s="54" t="s">
        <v>39</v>
      </c>
      <c r="D9" s="47" t="s">
        <v>141</v>
      </c>
      <c r="E9" s="42" t="s">
        <v>33</v>
      </c>
      <c r="F9" s="5" t="s">
        <v>36</v>
      </c>
      <c r="G9" s="5" t="s">
        <v>36</v>
      </c>
      <c r="H9" s="44" t="s">
        <v>36</v>
      </c>
      <c r="I9" s="42" t="s">
        <v>9</v>
      </c>
      <c r="J9" s="5" t="s">
        <v>36</v>
      </c>
      <c r="K9" s="5" t="s">
        <v>36</v>
      </c>
      <c r="L9" s="5" t="s">
        <v>36</v>
      </c>
      <c r="M9" s="5" t="s">
        <v>36</v>
      </c>
      <c r="N9" s="5" t="s">
        <v>36</v>
      </c>
    </row>
    <row r="10" spans="1:16" ht="81" customHeight="1" x14ac:dyDescent="0.35">
      <c r="A10" s="5">
        <v>4</v>
      </c>
      <c r="B10" s="5" t="str">
        <f t="shared" si="0"/>
        <v>A.4</v>
      </c>
      <c r="C10" s="54" t="s">
        <v>37</v>
      </c>
      <c r="D10" s="51" t="s">
        <v>739</v>
      </c>
      <c r="E10" s="42" t="s">
        <v>33</v>
      </c>
      <c r="F10" s="5" t="s">
        <v>36</v>
      </c>
      <c r="G10" s="5" t="s">
        <v>36</v>
      </c>
      <c r="H10" s="44" t="s">
        <v>36</v>
      </c>
      <c r="I10" s="42" t="s">
        <v>9</v>
      </c>
      <c r="J10" s="5" t="s">
        <v>36</v>
      </c>
      <c r="K10" s="5" t="s">
        <v>36</v>
      </c>
      <c r="L10" s="5" t="s">
        <v>36</v>
      </c>
      <c r="M10" s="5" t="s">
        <v>36</v>
      </c>
      <c r="N10" s="5" t="s">
        <v>36</v>
      </c>
      <c r="O10" s="5" t="s">
        <v>751</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22" priority="6" operator="equal">
      <formula>"WIP (see comments)"</formula>
    </cfRule>
    <cfRule type="cellIs" dxfId="121" priority="7" operator="equal">
      <formula>"Removed"</formula>
    </cfRule>
    <cfRule type="cellIs" dxfId="120" priority="8" operator="equal">
      <formula>"Updated"</formula>
    </cfRule>
    <cfRule type="cellIs" dxfId="119" priority="9" operator="equal">
      <formula>"New"</formula>
    </cfRule>
  </conditionalFormatting>
  <conditionalFormatting sqref="D9">
    <cfRule type="cellIs" dxfId="118" priority="5" operator="equal">
      <formula>"-"</formula>
    </cfRule>
  </conditionalFormatting>
  <conditionalFormatting sqref="A1:XFD2 E7:XFD7 A8:XFD1048576 A7:C7 A4:XFD6 A3:C3 E3:XFD3">
    <cfRule type="cellIs" dxfId="117" priority="4" operator="equal">
      <formula>"n/a"</formula>
    </cfRule>
  </conditionalFormatting>
  <conditionalFormatting sqref="D7">
    <cfRule type="cellIs" dxfId="116" priority="3" operator="equal">
      <formula>"-"</formula>
    </cfRule>
  </conditionalFormatting>
  <conditionalFormatting sqref="D7">
    <cfRule type="cellIs" dxfId="115" priority="2" operator="equal">
      <formula>"n/a"</formula>
    </cfRule>
  </conditionalFormatting>
  <conditionalFormatting sqref="D3">
    <cfRule type="cellIs" dxfId="1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P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5" customWidth="1"/>
    <col min="2" max="2" width="12.54296875" style="5" customWidth="1"/>
    <col min="3" max="3" width="15.816406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130</v>
      </c>
      <c r="C1" s="34"/>
      <c r="D1" s="31"/>
      <c r="H1" s="37"/>
    </row>
    <row r="2" spans="1:16" s="32" customFormat="1" ht="18.5" x14ac:dyDescent="0.35">
      <c r="A2" s="30" t="s">
        <v>7</v>
      </c>
      <c r="B2" s="38" t="s">
        <v>148</v>
      </c>
      <c r="C2" s="37"/>
      <c r="D2" s="38"/>
      <c r="H2" s="37"/>
    </row>
    <row r="3" spans="1:16" s="32" customFormat="1" ht="18.5" x14ac:dyDescent="0.35">
      <c r="A3" s="30" t="s">
        <v>43</v>
      </c>
      <c r="B3" s="38" t="s">
        <v>310</v>
      </c>
      <c r="C3" s="37"/>
      <c r="D3" s="91" t="s">
        <v>311</v>
      </c>
      <c r="H3" s="37"/>
    </row>
    <row r="4" spans="1:16" s="32" customFormat="1" ht="18.5" x14ac:dyDescent="0.35">
      <c r="A4" s="30" t="s">
        <v>8</v>
      </c>
      <c r="B4" s="32" t="s">
        <v>171</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B.1</v>
      </c>
      <c r="C7" s="54" t="s">
        <v>44</v>
      </c>
      <c r="D7" s="5" t="s">
        <v>36</v>
      </c>
      <c r="E7" s="42" t="s">
        <v>127</v>
      </c>
      <c r="F7" s="5" t="s">
        <v>36</v>
      </c>
      <c r="G7" s="5" t="s">
        <v>36</v>
      </c>
      <c r="H7" s="44" t="s">
        <v>36</v>
      </c>
      <c r="I7" s="42" t="s">
        <v>9</v>
      </c>
      <c r="J7" s="5" t="s">
        <v>36</v>
      </c>
      <c r="K7" s="5" t="s">
        <v>36</v>
      </c>
      <c r="L7" s="5" t="s">
        <v>36</v>
      </c>
      <c r="M7" s="5" t="s">
        <v>36</v>
      </c>
      <c r="N7" s="5" t="s">
        <v>36</v>
      </c>
      <c r="O7" s="5" t="s">
        <v>525</v>
      </c>
      <c r="P7" s="5" t="s">
        <v>470</v>
      </c>
    </row>
    <row r="8" spans="1:16" x14ac:dyDescent="0.35">
      <c r="A8" s="5">
        <v>2</v>
      </c>
      <c r="B8" s="5" t="str">
        <f t="shared" ref="B8:B9" si="0">CONCATENATE($B$2, ".", A8)</f>
        <v>B.2</v>
      </c>
      <c r="C8" s="44" t="s">
        <v>39</v>
      </c>
      <c r="D8" s="42" t="s">
        <v>142</v>
      </c>
      <c r="E8" s="42" t="s">
        <v>128</v>
      </c>
      <c r="F8" s="5" t="s">
        <v>36</v>
      </c>
      <c r="G8" s="5" t="s">
        <v>36</v>
      </c>
      <c r="H8" s="44" t="s">
        <v>36</v>
      </c>
      <c r="I8" s="42" t="s">
        <v>9</v>
      </c>
      <c r="J8" s="5" t="s">
        <v>36</v>
      </c>
      <c r="K8" s="5" t="s">
        <v>36</v>
      </c>
      <c r="L8" s="5" t="s">
        <v>36</v>
      </c>
      <c r="M8" s="5" t="s">
        <v>36</v>
      </c>
      <c r="N8" s="5" t="s">
        <v>36</v>
      </c>
    </row>
    <row r="9" spans="1:16" ht="71.25" customHeight="1" x14ac:dyDescent="0.35">
      <c r="A9" s="5">
        <v>3</v>
      </c>
      <c r="B9" s="5" t="str">
        <f t="shared" si="0"/>
        <v>B.3</v>
      </c>
      <c r="C9" s="54" t="s">
        <v>37</v>
      </c>
      <c r="D9" s="51" t="s">
        <v>740</v>
      </c>
      <c r="E9" s="42" t="s">
        <v>33</v>
      </c>
      <c r="F9" s="5" t="s">
        <v>36</v>
      </c>
      <c r="G9" s="5" t="s">
        <v>36</v>
      </c>
      <c r="H9" s="44" t="s">
        <v>36</v>
      </c>
      <c r="I9" s="42" t="s">
        <v>9</v>
      </c>
      <c r="J9" s="5" t="s">
        <v>36</v>
      </c>
      <c r="K9" s="5" t="s">
        <v>36</v>
      </c>
      <c r="L9" s="5" t="s">
        <v>36</v>
      </c>
      <c r="M9" s="5" t="s">
        <v>36</v>
      </c>
      <c r="N9" s="5" t="s">
        <v>36</v>
      </c>
      <c r="O9" s="5" t="s">
        <v>468</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113" priority="8" operator="equal">
      <formula>"WIP (see comments)"</formula>
    </cfRule>
    <cfRule type="cellIs" dxfId="112" priority="9" operator="equal">
      <formula>"Removed"</formula>
    </cfRule>
    <cfRule type="cellIs" dxfId="111" priority="10" operator="equal">
      <formula>"Updated"</formula>
    </cfRule>
    <cfRule type="cellIs" dxfId="110" priority="11" operator="equal">
      <formula>"New"</formula>
    </cfRule>
  </conditionalFormatting>
  <conditionalFormatting sqref="A12:XFD1048576 A11:C11 E11:XFD11 P9:XFD9 A10:XFD10 A1:XFD2 Q7:XFD7 E7:O7 A8:XFD8 A9:N9 A7:C7 A4:XFD6 A3:C3 E3:XFD3">
    <cfRule type="cellIs" dxfId="109" priority="6" operator="equal">
      <formula>"n/a"</formula>
    </cfRule>
  </conditionalFormatting>
  <conditionalFormatting sqref="O9">
    <cfRule type="cellIs" dxfId="108" priority="5" operator="equal">
      <formula>"n/a"</formula>
    </cfRule>
  </conditionalFormatting>
  <conditionalFormatting sqref="P7">
    <cfRule type="cellIs" dxfId="107" priority="4" operator="equal">
      <formula>"n/a"</formula>
    </cfRule>
  </conditionalFormatting>
  <conditionalFormatting sqref="D7">
    <cfRule type="cellIs" dxfId="106" priority="3" operator="equal">
      <formula>"-"</formula>
    </cfRule>
  </conditionalFormatting>
  <conditionalFormatting sqref="D7">
    <cfRule type="cellIs" dxfId="105" priority="2" operator="equal">
      <formula>"n/a"</formula>
    </cfRule>
  </conditionalFormatting>
  <conditionalFormatting sqref="D3">
    <cfRule type="cellIs" dxfId="10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E10" sqref="E10"/>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131</v>
      </c>
      <c r="C1" s="34"/>
      <c r="D1" s="31"/>
      <c r="H1" s="37"/>
    </row>
    <row r="2" spans="1:16" s="32" customFormat="1" ht="18.5" x14ac:dyDescent="0.35">
      <c r="A2" s="30" t="s">
        <v>7</v>
      </c>
      <c r="B2" s="38" t="s">
        <v>149</v>
      </c>
      <c r="C2" s="37"/>
      <c r="D2" s="38"/>
      <c r="H2" s="37"/>
    </row>
    <row r="3" spans="1:16" s="32" customFormat="1" ht="18.5" x14ac:dyDescent="0.35">
      <c r="A3" s="30" t="s">
        <v>43</v>
      </c>
      <c r="B3" s="38" t="s">
        <v>313</v>
      </c>
      <c r="C3" s="37"/>
      <c r="D3" s="91" t="s">
        <v>312</v>
      </c>
      <c r="H3" s="37"/>
    </row>
    <row r="4" spans="1:16" s="32" customFormat="1" ht="18.5" x14ac:dyDescent="0.35">
      <c r="A4" s="30" t="s">
        <v>8</v>
      </c>
      <c r="B4" s="32" t="s">
        <v>230</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C.1</v>
      </c>
      <c r="C7" s="54" t="s">
        <v>44</v>
      </c>
      <c r="D7" s="5" t="s">
        <v>36</v>
      </c>
      <c r="E7" s="42" t="s">
        <v>127</v>
      </c>
      <c r="F7" s="5" t="s">
        <v>36</v>
      </c>
      <c r="G7" s="5" t="s">
        <v>36</v>
      </c>
      <c r="H7" s="44" t="s">
        <v>36</v>
      </c>
      <c r="I7" s="42" t="s">
        <v>9</v>
      </c>
      <c r="J7" s="5" t="s">
        <v>36</v>
      </c>
      <c r="K7" s="5" t="s">
        <v>36</v>
      </c>
      <c r="L7" s="5" t="s">
        <v>36</v>
      </c>
      <c r="M7" s="5" t="s">
        <v>36</v>
      </c>
      <c r="N7" s="5" t="s">
        <v>36</v>
      </c>
      <c r="O7" s="5" t="s">
        <v>525</v>
      </c>
      <c r="P7" s="5" t="s">
        <v>470</v>
      </c>
    </row>
    <row r="8" spans="1:16" x14ac:dyDescent="0.35">
      <c r="A8" s="5">
        <v>2</v>
      </c>
      <c r="B8" s="5" t="str">
        <f t="shared" ref="B8:B10" si="0">CONCATENATE($B$2, ".", A8)</f>
        <v>C.2</v>
      </c>
      <c r="C8" s="44" t="s">
        <v>39</v>
      </c>
      <c r="D8" s="42" t="s">
        <v>132</v>
      </c>
      <c r="E8" s="42" t="s">
        <v>128</v>
      </c>
      <c r="F8" s="5" t="s">
        <v>36</v>
      </c>
      <c r="G8" s="5" t="s">
        <v>36</v>
      </c>
      <c r="H8" s="44" t="s">
        <v>36</v>
      </c>
      <c r="I8" s="42" t="s">
        <v>9</v>
      </c>
      <c r="J8" s="5" t="s">
        <v>36</v>
      </c>
      <c r="K8" s="5" t="s">
        <v>36</v>
      </c>
      <c r="L8" s="5" t="s">
        <v>36</v>
      </c>
      <c r="M8" s="5" t="s">
        <v>36</v>
      </c>
      <c r="N8" s="5" t="s">
        <v>36</v>
      </c>
    </row>
    <row r="9" spans="1:16" ht="29" x14ac:dyDescent="0.35">
      <c r="A9" s="5">
        <v>3</v>
      </c>
      <c r="B9" s="5" t="str">
        <f t="shared" si="0"/>
        <v>C.3</v>
      </c>
      <c r="C9" s="54" t="s">
        <v>37</v>
      </c>
      <c r="D9" s="5" t="s">
        <v>526</v>
      </c>
      <c r="E9" s="42" t="s">
        <v>33</v>
      </c>
      <c r="F9" s="5" t="s">
        <v>36</v>
      </c>
      <c r="G9" s="5" t="s">
        <v>36</v>
      </c>
      <c r="H9" s="44" t="s">
        <v>36</v>
      </c>
      <c r="I9" s="42" t="s">
        <v>9</v>
      </c>
      <c r="J9" s="5" t="s">
        <v>36</v>
      </c>
      <c r="K9" s="5" t="s">
        <v>36</v>
      </c>
      <c r="L9" s="5" t="s">
        <v>36</v>
      </c>
      <c r="M9" s="5" t="s">
        <v>36</v>
      </c>
      <c r="N9" s="5" t="s">
        <v>36</v>
      </c>
    </row>
    <row r="10" spans="1:16" ht="54" customHeight="1" x14ac:dyDescent="0.35">
      <c r="A10" s="5">
        <v>4</v>
      </c>
      <c r="B10" s="5" t="str">
        <f t="shared" si="0"/>
        <v>C.4</v>
      </c>
      <c r="C10" s="54" t="s">
        <v>37</v>
      </c>
      <c r="D10" s="5" t="s">
        <v>527</v>
      </c>
      <c r="E10" s="42" t="s">
        <v>33</v>
      </c>
      <c r="F10" s="5" t="s">
        <v>36</v>
      </c>
      <c r="G10" s="5" t="s">
        <v>36</v>
      </c>
      <c r="H10" s="44"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03" priority="5" operator="equal">
      <formula>"WIP (see comments)"</formula>
    </cfRule>
    <cfRule type="cellIs" dxfId="102" priority="6" operator="equal">
      <formula>"Removed"</formula>
    </cfRule>
    <cfRule type="cellIs" dxfId="101" priority="7" operator="equal">
      <formula>"Updated"</formula>
    </cfRule>
    <cfRule type="cellIs" dxfId="100" priority="8" operator="equal">
      <formula>"New"</formula>
    </cfRule>
  </conditionalFormatting>
  <conditionalFormatting sqref="D9 D7">
    <cfRule type="cellIs" dxfId="99" priority="4" operator="equal">
      <formula>"-"</formula>
    </cfRule>
  </conditionalFormatting>
  <conditionalFormatting sqref="A1:XFD2 Q7:XFD7 A8:XFD1048576 A7:O7 A4:XFD6 A3:C3 E3:XFD3">
    <cfRule type="cellIs" dxfId="98" priority="3" operator="equal">
      <formula>"n/a"</formula>
    </cfRule>
  </conditionalFormatting>
  <conditionalFormatting sqref="P7">
    <cfRule type="cellIs" dxfId="97" priority="2" operator="equal">
      <formula>"n/a"</formula>
    </cfRule>
  </conditionalFormatting>
  <conditionalFormatting sqref="D3">
    <cfRule type="cellIs" dxfId="9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zoomScaleNormal="100" workbookViewId="0">
      <pane xSplit="4" ySplit="6" topLeftCell="E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133</v>
      </c>
      <c r="C1" s="34"/>
      <c r="D1" s="31"/>
      <c r="H1" s="37"/>
    </row>
    <row r="2" spans="1:16" s="32" customFormat="1" ht="18.5" x14ac:dyDescent="0.35">
      <c r="A2" s="30" t="s">
        <v>7</v>
      </c>
      <c r="B2" s="38" t="s">
        <v>150</v>
      </c>
      <c r="C2" s="37"/>
      <c r="D2" s="38"/>
      <c r="H2" s="37"/>
    </row>
    <row r="3" spans="1:16" s="32" customFormat="1" ht="18.5" x14ac:dyDescent="0.35">
      <c r="A3" s="30" t="s">
        <v>43</v>
      </c>
      <c r="B3" s="38" t="s">
        <v>466</v>
      </c>
      <c r="C3" s="37"/>
      <c r="D3" s="38" t="s">
        <v>467</v>
      </c>
      <c r="H3" s="37"/>
    </row>
    <row r="4" spans="1:16" s="32" customFormat="1" ht="18.5" x14ac:dyDescent="0.35">
      <c r="A4" s="30" t="s">
        <v>8</v>
      </c>
      <c r="B4" s="32" t="s">
        <v>134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D.1</v>
      </c>
      <c r="C7" s="54" t="s">
        <v>44</v>
      </c>
      <c r="D7" s="5" t="s">
        <v>36</v>
      </c>
      <c r="E7" s="42" t="s">
        <v>127</v>
      </c>
      <c r="F7" s="5" t="s">
        <v>36</v>
      </c>
      <c r="G7" s="5" t="s">
        <v>36</v>
      </c>
      <c r="H7" s="44" t="s">
        <v>36</v>
      </c>
      <c r="I7" s="42" t="s">
        <v>9</v>
      </c>
      <c r="J7" s="5" t="s">
        <v>36</v>
      </c>
      <c r="K7" s="5" t="s">
        <v>36</v>
      </c>
      <c r="L7" s="5" t="s">
        <v>36</v>
      </c>
      <c r="M7" s="5" t="s">
        <v>36</v>
      </c>
      <c r="N7" s="5" t="s">
        <v>36</v>
      </c>
      <c r="O7" s="5" t="s">
        <v>363</v>
      </c>
      <c r="P7" s="5" t="s">
        <v>464</v>
      </c>
    </row>
    <row r="8" spans="1:16" x14ac:dyDescent="0.35">
      <c r="A8" s="5">
        <v>2</v>
      </c>
      <c r="B8" s="5" t="str">
        <f t="shared" ref="B8:B9" si="0">CONCATENATE($B$2, ".", A8)</f>
        <v>D.2</v>
      </c>
      <c r="C8" s="44" t="s">
        <v>39</v>
      </c>
      <c r="D8" s="42" t="s">
        <v>135</v>
      </c>
      <c r="E8" s="42" t="s">
        <v>128</v>
      </c>
      <c r="F8" s="5" t="s">
        <v>36</v>
      </c>
      <c r="G8" s="5" t="s">
        <v>36</v>
      </c>
      <c r="H8" s="44" t="s">
        <v>36</v>
      </c>
      <c r="I8" s="42" t="s">
        <v>9</v>
      </c>
      <c r="J8" s="5" t="s">
        <v>36</v>
      </c>
      <c r="K8" s="5" t="s">
        <v>36</v>
      </c>
      <c r="L8" s="5" t="s">
        <v>36</v>
      </c>
      <c r="M8" s="5" t="s">
        <v>36</v>
      </c>
      <c r="N8" s="5" t="s">
        <v>36</v>
      </c>
    </row>
    <row r="9" spans="1:16" ht="43.5" x14ac:dyDescent="0.35">
      <c r="A9" s="5">
        <v>3</v>
      </c>
      <c r="B9" s="5" t="str">
        <f t="shared" si="0"/>
        <v>D.3</v>
      </c>
      <c r="C9" s="54" t="s">
        <v>37</v>
      </c>
      <c r="D9" s="47" t="s">
        <v>741</v>
      </c>
      <c r="E9" s="42" t="s">
        <v>105</v>
      </c>
      <c r="F9" s="5" t="s">
        <v>36</v>
      </c>
      <c r="G9" s="5" t="s">
        <v>36</v>
      </c>
      <c r="H9" s="44" t="s">
        <v>36</v>
      </c>
      <c r="I9" s="42" t="s">
        <v>9</v>
      </c>
      <c r="J9" s="5" t="s">
        <v>36</v>
      </c>
      <c r="K9" s="5" t="s">
        <v>36</v>
      </c>
      <c r="L9" s="5" t="s">
        <v>36</v>
      </c>
      <c r="M9" s="5" t="s">
        <v>36</v>
      </c>
      <c r="N9" s="5" t="s">
        <v>36</v>
      </c>
      <c r="O9" s="5" t="s">
        <v>735</v>
      </c>
      <c r="P9" s="5" t="s">
        <v>465</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95" priority="5" operator="equal">
      <formula>"WIP (see comments)"</formula>
    </cfRule>
    <cfRule type="cellIs" dxfId="94" priority="6" operator="equal">
      <formula>"Removed"</formula>
    </cfRule>
    <cfRule type="cellIs" dxfId="93" priority="7" operator="equal">
      <formula>"Updated"</formula>
    </cfRule>
    <cfRule type="cellIs" dxfId="92" priority="8" operator="equal">
      <formula>"New"</formula>
    </cfRule>
  </conditionalFormatting>
  <conditionalFormatting sqref="D9 D7">
    <cfRule type="cellIs" dxfId="91" priority="4" operator="equal">
      <formula>"-"</formula>
    </cfRule>
  </conditionalFormatting>
  <conditionalFormatting sqref="A1:XFD6 Q7:XFD7 A10:XFD1048576 F7:O7 A7:D9 F8:XFD9">
    <cfRule type="cellIs" dxfId="90" priority="3" operator="equal">
      <formula>"n/a"</formula>
    </cfRule>
  </conditionalFormatting>
  <conditionalFormatting sqref="P7">
    <cfRule type="cellIs" dxfId="89" priority="2" operator="equal">
      <formula>"n/a"</formula>
    </cfRule>
  </conditionalFormatting>
  <conditionalFormatting sqref="E7:E9">
    <cfRule type="cellIs" dxfId="8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136</v>
      </c>
      <c r="C1" s="34"/>
      <c r="D1" s="31"/>
      <c r="H1" s="37"/>
    </row>
    <row r="2" spans="1:16" s="32" customFormat="1" ht="18.5" x14ac:dyDescent="0.35">
      <c r="A2" s="30" t="s">
        <v>7</v>
      </c>
      <c r="B2" s="38" t="s">
        <v>151</v>
      </c>
      <c r="C2" s="37"/>
      <c r="D2" s="38"/>
      <c r="H2" s="37"/>
    </row>
    <row r="3" spans="1:16" s="32" customFormat="1" ht="18.5" x14ac:dyDescent="0.35">
      <c r="A3" s="30" t="s">
        <v>43</v>
      </c>
      <c r="B3" s="38" t="s">
        <v>362</v>
      </c>
      <c r="C3" s="37"/>
      <c r="D3" s="38" t="s">
        <v>531</v>
      </c>
      <c r="H3" s="37"/>
    </row>
    <row r="4" spans="1:16" s="32" customFormat="1" ht="18.5" x14ac:dyDescent="0.35">
      <c r="A4" s="30" t="s">
        <v>8</v>
      </c>
      <c r="B4" s="32" t="s">
        <v>137</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CONCATENATE($B$2, ".", A7)</f>
        <v>E.1</v>
      </c>
      <c r="C7" s="54" t="s">
        <v>44</v>
      </c>
      <c r="D7" s="5" t="s">
        <v>36</v>
      </c>
      <c r="E7" s="42" t="s">
        <v>127</v>
      </c>
      <c r="F7" s="5" t="s">
        <v>36</v>
      </c>
      <c r="G7" s="5" t="s">
        <v>36</v>
      </c>
      <c r="H7" s="44" t="s">
        <v>36</v>
      </c>
      <c r="I7" s="42" t="s">
        <v>9</v>
      </c>
      <c r="J7" s="5" t="s">
        <v>36</v>
      </c>
      <c r="K7" s="5" t="s">
        <v>36</v>
      </c>
      <c r="L7" s="5" t="s">
        <v>36</v>
      </c>
      <c r="M7" s="5" t="s">
        <v>36</v>
      </c>
      <c r="N7" s="5" t="s">
        <v>36</v>
      </c>
      <c r="O7" s="5" t="s">
        <v>363</v>
      </c>
      <c r="P7" s="5" t="s">
        <v>364</v>
      </c>
    </row>
    <row r="8" spans="1:16" x14ac:dyDescent="0.35">
      <c r="A8" s="5">
        <v>2</v>
      </c>
      <c r="B8" s="5" t="str">
        <f t="shared" ref="B8:B10" si="0">CONCATENATE($B$2, ".", A8)</f>
        <v>E.2</v>
      </c>
      <c r="C8" s="44" t="s">
        <v>37</v>
      </c>
      <c r="D8" s="42" t="s">
        <v>528</v>
      </c>
      <c r="E8" s="42" t="s">
        <v>128</v>
      </c>
      <c r="F8" s="5" t="s">
        <v>36</v>
      </c>
      <c r="G8" s="5" t="s">
        <v>36</v>
      </c>
      <c r="H8" s="44" t="s">
        <v>36</v>
      </c>
      <c r="I8" s="42" t="s">
        <v>9</v>
      </c>
      <c r="J8" s="5" t="s">
        <v>36</v>
      </c>
      <c r="K8" s="5" t="s">
        <v>36</v>
      </c>
      <c r="L8" s="5" t="s">
        <v>36</v>
      </c>
      <c r="M8" s="5" t="s">
        <v>36</v>
      </c>
      <c r="N8" s="5" t="s">
        <v>36</v>
      </c>
    </row>
    <row r="9" spans="1:16" ht="29" x14ac:dyDescent="0.35">
      <c r="A9" s="5">
        <v>3</v>
      </c>
      <c r="B9" s="5" t="str">
        <f t="shared" si="0"/>
        <v>E.3</v>
      </c>
      <c r="C9" s="54" t="s">
        <v>37</v>
      </c>
      <c r="D9" s="47" t="s">
        <v>529</v>
      </c>
      <c r="E9" s="42" t="s">
        <v>33</v>
      </c>
      <c r="F9" s="5" t="s">
        <v>36</v>
      </c>
      <c r="G9" s="5" t="s">
        <v>36</v>
      </c>
      <c r="H9" s="44" t="s">
        <v>36</v>
      </c>
      <c r="I9" s="42" t="s">
        <v>9</v>
      </c>
      <c r="J9" s="5" t="s">
        <v>36</v>
      </c>
      <c r="K9" s="5" t="s">
        <v>36</v>
      </c>
      <c r="L9" s="5" t="s">
        <v>36</v>
      </c>
      <c r="M9" s="5" t="s">
        <v>36</v>
      </c>
      <c r="N9" s="5" t="s">
        <v>36</v>
      </c>
    </row>
    <row r="10" spans="1:16" ht="38" customHeight="1" x14ac:dyDescent="0.35">
      <c r="A10" s="5">
        <v>4</v>
      </c>
      <c r="B10" s="5" t="str">
        <f t="shared" si="0"/>
        <v>E.4</v>
      </c>
      <c r="C10" s="54" t="s">
        <v>37</v>
      </c>
      <c r="D10" s="5" t="s">
        <v>530</v>
      </c>
      <c r="E10" s="42" t="s">
        <v>33</v>
      </c>
      <c r="F10" s="5" t="s">
        <v>36</v>
      </c>
      <c r="G10" s="5" t="s">
        <v>36</v>
      </c>
      <c r="H10" s="44"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87" priority="4" operator="equal">
      <formula>"WIP (see comments)"</formula>
    </cfRule>
    <cfRule type="cellIs" dxfId="86" priority="5" operator="equal">
      <formula>"Removed"</formula>
    </cfRule>
    <cfRule type="cellIs" dxfId="85" priority="6" operator="equal">
      <formula>"Updated"</formula>
    </cfRule>
    <cfRule type="cellIs" dxfId="84" priority="7" operator="equal">
      <formula>"New"</formula>
    </cfRule>
  </conditionalFormatting>
  <conditionalFormatting sqref="D9 D7">
    <cfRule type="cellIs" dxfId="83" priority="3" operator="equal">
      <formula>"-"</formula>
    </cfRule>
  </conditionalFormatting>
  <conditionalFormatting sqref="A1:XFD6 Q7:XFD7 A8:XFD1048576 A7:O7">
    <cfRule type="cellIs" dxfId="82" priority="2" operator="equal">
      <formula>"n/a"</formula>
    </cfRule>
  </conditionalFormatting>
  <conditionalFormatting sqref="P7">
    <cfRule type="cellIs" dxfId="8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C10:C1048576 C7:C9</xm:sqref>
        </x14:dataValidation>
        <x14:dataValidation type="list" allowBlank="1" showInputMessage="1" showErrorMessage="1">
          <x14:formula1>
            <xm:f>'List Values'!$A$5:$A$33</xm:f>
          </x14:formula1>
          <xm:sqref>E11:E1048576</xm:sqref>
        </x14:dataValidation>
        <x14:dataValidation type="list" allowBlank="1" showInputMessage="1" showErrorMessage="1">
          <x14:formula1>
            <xm:f>'List Values'!$A$5:$A$32</xm:f>
          </x14:formula1>
          <xm:sqref>E7:E10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P7" activePane="bottomRight" state="frozen"/>
      <selection pane="topRight" activeCell="E1" sqref="E1"/>
      <selection pane="bottomLeft" activeCell="A7" sqref="A7"/>
      <selection pane="bottomRight" activeCell="P8" sqref="P8"/>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138</v>
      </c>
      <c r="C1" s="34"/>
      <c r="D1" s="31"/>
      <c r="H1" s="37"/>
    </row>
    <row r="2" spans="1:16" s="32" customFormat="1" ht="18.5" x14ac:dyDescent="0.35">
      <c r="A2" s="30" t="s">
        <v>7</v>
      </c>
      <c r="B2" s="38" t="s">
        <v>152</v>
      </c>
      <c r="C2" s="37"/>
      <c r="D2" s="38"/>
      <c r="H2" s="37"/>
    </row>
    <row r="3" spans="1:16" s="32" customFormat="1" ht="18.5" x14ac:dyDescent="0.35">
      <c r="A3" s="30" t="s">
        <v>43</v>
      </c>
      <c r="B3" s="38" t="s">
        <v>365</v>
      </c>
      <c r="C3" s="37"/>
      <c r="D3" s="38" t="s">
        <v>534</v>
      </c>
      <c r="H3" s="37"/>
    </row>
    <row r="4" spans="1:16" s="32" customFormat="1" ht="18.5" x14ac:dyDescent="0.35">
      <c r="A4" s="30" t="s">
        <v>8</v>
      </c>
      <c r="B4" s="32" t="s">
        <v>139</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1" si="0">CONCATENATE($B$2, ".", A7)</f>
        <v>F.1</v>
      </c>
      <c r="C7" s="54" t="s">
        <v>37</v>
      </c>
      <c r="D7" s="42" t="s">
        <v>533</v>
      </c>
      <c r="E7" s="42" t="s">
        <v>128</v>
      </c>
      <c r="F7" s="5" t="s">
        <v>36</v>
      </c>
      <c r="G7" s="5" t="s">
        <v>36</v>
      </c>
      <c r="H7" s="54" t="s">
        <v>36</v>
      </c>
      <c r="I7" s="42" t="s">
        <v>9</v>
      </c>
      <c r="J7" s="5" t="s">
        <v>36</v>
      </c>
      <c r="K7" s="5" t="s">
        <v>36</v>
      </c>
      <c r="L7" s="5" t="s">
        <v>36</v>
      </c>
      <c r="M7" s="5" t="s">
        <v>36</v>
      </c>
      <c r="N7" s="5" t="s">
        <v>36</v>
      </c>
    </row>
    <row r="8" spans="1:16" ht="43.5" x14ac:dyDescent="0.35">
      <c r="A8" s="5">
        <v>2</v>
      </c>
      <c r="B8" s="5" t="str">
        <f t="shared" si="0"/>
        <v>F.2</v>
      </c>
      <c r="C8" s="54" t="s">
        <v>37</v>
      </c>
      <c r="D8" s="47" t="s">
        <v>532</v>
      </c>
      <c r="E8" s="42" t="s">
        <v>33</v>
      </c>
      <c r="F8" s="5" t="s">
        <v>36</v>
      </c>
      <c r="G8" s="5" t="s">
        <v>36</v>
      </c>
      <c r="H8" s="54" t="s">
        <v>36</v>
      </c>
      <c r="I8" s="42" t="s">
        <v>9</v>
      </c>
      <c r="J8" s="5" t="s">
        <v>36</v>
      </c>
      <c r="K8" s="5" t="s">
        <v>36</v>
      </c>
      <c r="L8" s="5" t="s">
        <v>36</v>
      </c>
      <c r="M8" s="5" t="s">
        <v>36</v>
      </c>
      <c r="N8" s="5" t="s">
        <v>36</v>
      </c>
      <c r="P8" s="5" t="s">
        <v>535</v>
      </c>
    </row>
    <row r="9" spans="1:16" x14ac:dyDescent="0.35">
      <c r="A9" s="5">
        <v>3</v>
      </c>
      <c r="B9" s="5" t="str">
        <f t="shared" si="0"/>
        <v>F.3</v>
      </c>
      <c r="C9" s="56" t="s">
        <v>39</v>
      </c>
      <c r="D9" s="47" t="s">
        <v>174</v>
      </c>
      <c r="E9" s="42" t="s">
        <v>752</v>
      </c>
      <c r="F9" s="5" t="s">
        <v>36</v>
      </c>
      <c r="G9" s="5" t="s">
        <v>36</v>
      </c>
      <c r="H9" s="54" t="s">
        <v>36</v>
      </c>
      <c r="I9" s="42" t="s">
        <v>9</v>
      </c>
      <c r="J9" s="5" t="s">
        <v>36</v>
      </c>
      <c r="K9" s="5" t="s">
        <v>36</v>
      </c>
      <c r="L9" s="5" t="s">
        <v>36</v>
      </c>
      <c r="M9" s="5" t="s">
        <v>36</v>
      </c>
      <c r="N9" s="5" t="s">
        <v>36</v>
      </c>
    </row>
    <row r="10" spans="1:16" x14ac:dyDescent="0.35">
      <c r="A10" s="5">
        <v>4</v>
      </c>
      <c r="B10" s="5" t="str">
        <f t="shared" si="0"/>
        <v>F.4</v>
      </c>
      <c r="C10" s="56" t="s">
        <v>39</v>
      </c>
      <c r="D10" s="5" t="s">
        <v>175</v>
      </c>
      <c r="E10" s="5" t="s">
        <v>42</v>
      </c>
      <c r="F10" s="5" t="s">
        <v>36</v>
      </c>
      <c r="G10" s="5" t="s">
        <v>36</v>
      </c>
      <c r="H10" s="54" t="s">
        <v>36</v>
      </c>
      <c r="I10" s="42" t="s">
        <v>9</v>
      </c>
      <c r="J10" s="5" t="s">
        <v>36</v>
      </c>
      <c r="K10" s="5" t="s">
        <v>36</v>
      </c>
      <c r="L10" s="5" t="s">
        <v>36</v>
      </c>
      <c r="M10" s="5" t="s">
        <v>36</v>
      </c>
      <c r="N10" s="5" t="s">
        <v>36</v>
      </c>
      <c r="O10" s="42" t="s">
        <v>636</v>
      </c>
    </row>
    <row r="11" spans="1:16" x14ac:dyDescent="0.35">
      <c r="A11" s="5">
        <v>5</v>
      </c>
      <c r="B11" s="5" t="str">
        <f t="shared" si="0"/>
        <v>F.5</v>
      </c>
      <c r="C11" s="56" t="s">
        <v>39</v>
      </c>
      <c r="D11" s="5" t="s">
        <v>287</v>
      </c>
      <c r="E11" s="5" t="s">
        <v>42</v>
      </c>
      <c r="F11" s="5" t="s">
        <v>36</v>
      </c>
      <c r="G11" s="5" t="s">
        <v>36</v>
      </c>
      <c r="H11" s="54" t="s">
        <v>36</v>
      </c>
      <c r="I11" s="42" t="s">
        <v>9</v>
      </c>
      <c r="J11" s="5" t="s">
        <v>36</v>
      </c>
      <c r="K11" s="5" t="s">
        <v>36</v>
      </c>
      <c r="L11" s="5" t="s">
        <v>36</v>
      </c>
      <c r="M11" s="5" t="s">
        <v>36</v>
      </c>
      <c r="N11" s="5" t="s">
        <v>36</v>
      </c>
      <c r="O11" s="42" t="s">
        <v>637</v>
      </c>
    </row>
  </sheetData>
  <autoFilter ref="A6:P6"/>
  <conditionalFormatting sqref="C12:C1048576">
    <cfRule type="cellIs" dxfId="80" priority="20" operator="equal">
      <formula>"WIP (see comments)"</formula>
    </cfRule>
    <cfRule type="cellIs" dxfId="79" priority="21" operator="equal">
      <formula>"Removed"</formula>
    </cfRule>
    <cfRule type="cellIs" dxfId="78" priority="22" operator="equal">
      <formula>"Updated"</formula>
    </cfRule>
    <cfRule type="cellIs" dxfId="77" priority="23" operator="equal">
      <formula>"New"</formula>
    </cfRule>
  </conditionalFormatting>
  <conditionalFormatting sqref="A1:XFD6 A12:XFD1048576">
    <cfRule type="cellIs" dxfId="76" priority="18" operator="equal">
      <formula>"n/a"</formula>
    </cfRule>
  </conditionalFormatting>
  <conditionalFormatting sqref="D8:D9">
    <cfRule type="cellIs" dxfId="75" priority="17" operator="equal">
      <formula>"-"</formula>
    </cfRule>
  </conditionalFormatting>
  <conditionalFormatting sqref="A8:B9 D8:XFD9">
    <cfRule type="cellIs" dxfId="74" priority="16" operator="equal">
      <formula>"n/a"</formula>
    </cfRule>
  </conditionalFormatting>
  <conditionalFormatting sqref="C7:C11">
    <cfRule type="cellIs" dxfId="73" priority="12" operator="equal">
      <formula>"WIP (see comments)"</formula>
    </cfRule>
    <cfRule type="cellIs" dxfId="72" priority="13" operator="equal">
      <formula>"Removed"</formula>
    </cfRule>
    <cfRule type="cellIs" dxfId="71" priority="14" operator="equal">
      <formula>"Updated"</formula>
    </cfRule>
    <cfRule type="cellIs" dxfId="70" priority="15" operator="equal">
      <formula>"New"</formula>
    </cfRule>
  </conditionalFormatting>
  <conditionalFormatting sqref="A7:XFD7 C8:C11">
    <cfRule type="cellIs" dxfId="69" priority="11" operator="equal">
      <formula>"n/a"</formula>
    </cfRule>
  </conditionalFormatting>
  <conditionalFormatting sqref="A10:B10 D10:XFD10">
    <cfRule type="cellIs" dxfId="68" priority="6" operator="equal">
      <formula>"n/a"</formula>
    </cfRule>
  </conditionalFormatting>
  <conditionalFormatting sqref="A11:B11 D11:XFD11">
    <cfRule type="cellIs" dxfId="6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pane="topRight" activeCell="E1" sqref="E1"/>
      <selection pane="bottomLeft" activeCell="A7" sqref="A7"/>
      <selection pane="bottomRight" activeCell="E10" sqref="E10"/>
    </sheetView>
  </sheetViews>
  <sheetFormatPr defaultColWidth="9.1796875" defaultRowHeight="14.5" x14ac:dyDescent="0.35"/>
  <cols>
    <col min="1" max="1" width="14.7265625" style="5" customWidth="1"/>
    <col min="2" max="2" width="12.54296875" style="5" customWidth="1"/>
    <col min="3" max="3" width="13" style="56" customWidth="1"/>
    <col min="4" max="4" width="45.1796875" style="5" customWidth="1"/>
    <col min="5" max="5" width="28.7265625" style="5" customWidth="1"/>
    <col min="6" max="6" width="37" style="5" customWidth="1"/>
    <col min="7" max="7" width="29.26953125" style="5" customWidth="1"/>
    <col min="8" max="8" width="11.54296875" style="5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179</v>
      </c>
      <c r="C1" s="34"/>
      <c r="D1" s="31"/>
      <c r="H1" s="37"/>
    </row>
    <row r="2" spans="1:16" s="32" customFormat="1" ht="18.5" x14ac:dyDescent="0.35">
      <c r="A2" s="30" t="s">
        <v>7</v>
      </c>
      <c r="B2" s="38" t="s">
        <v>178</v>
      </c>
      <c r="C2" s="37"/>
      <c r="D2" s="38" t="s">
        <v>462</v>
      </c>
      <c r="H2" s="37"/>
    </row>
    <row r="3" spans="1:16" s="32" customFormat="1" ht="18.5" x14ac:dyDescent="0.35">
      <c r="A3" s="30" t="s">
        <v>43</v>
      </c>
      <c r="B3" s="38" t="s">
        <v>460</v>
      </c>
      <c r="C3" s="37"/>
      <c r="D3" s="32" t="s">
        <v>463</v>
      </c>
      <c r="H3" s="37"/>
    </row>
    <row r="4" spans="1:16" s="32" customFormat="1" ht="18.5" x14ac:dyDescent="0.35">
      <c r="A4" s="30" t="s">
        <v>8</v>
      </c>
      <c r="B4" s="32" t="s">
        <v>461</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0" si="0">CONCATENATE($B$2, ".", A7)</f>
        <v>G.1</v>
      </c>
      <c r="C7" s="56" t="s">
        <v>208</v>
      </c>
      <c r="D7" s="42" t="s">
        <v>180</v>
      </c>
      <c r="E7" s="42" t="s">
        <v>128</v>
      </c>
      <c r="F7" s="5" t="s">
        <v>36</v>
      </c>
      <c r="G7" s="5" t="s">
        <v>36</v>
      </c>
      <c r="H7" s="56" t="s">
        <v>36</v>
      </c>
      <c r="I7" s="42" t="s">
        <v>9</v>
      </c>
      <c r="J7" s="5" t="s">
        <v>36</v>
      </c>
      <c r="K7" s="5" t="s">
        <v>36</v>
      </c>
      <c r="L7" s="5" t="s">
        <v>36</v>
      </c>
      <c r="M7" s="5" t="s">
        <v>36</v>
      </c>
      <c r="N7" s="5" t="s">
        <v>36</v>
      </c>
    </row>
    <row r="8" spans="1:16" ht="29" x14ac:dyDescent="0.35">
      <c r="A8" s="5">
        <v>3</v>
      </c>
      <c r="B8" s="5" t="str">
        <f>CONCATENATE($B$2, ".", A8)</f>
        <v>G.3</v>
      </c>
      <c r="C8" s="74" t="s">
        <v>208</v>
      </c>
      <c r="D8" s="47" t="s">
        <v>184</v>
      </c>
      <c r="E8" s="42" t="s">
        <v>183</v>
      </c>
      <c r="F8" s="5" t="s">
        <v>36</v>
      </c>
      <c r="G8" s="5" t="s">
        <v>36</v>
      </c>
      <c r="H8" s="56" t="s">
        <v>36</v>
      </c>
      <c r="I8" s="42" t="s">
        <v>9</v>
      </c>
      <c r="J8" s="5" t="s">
        <v>36</v>
      </c>
      <c r="K8" s="5" t="s">
        <v>36</v>
      </c>
      <c r="L8" s="5" t="s">
        <v>36</v>
      </c>
      <c r="M8" s="5" t="s">
        <v>36</v>
      </c>
      <c r="N8" s="5" t="s">
        <v>36</v>
      </c>
      <c r="O8" s="5" t="s">
        <v>185</v>
      </c>
    </row>
    <row r="9" spans="1:16" ht="29" x14ac:dyDescent="0.35">
      <c r="A9" s="5">
        <v>2</v>
      </c>
      <c r="B9" s="5" t="str">
        <f t="shared" si="0"/>
        <v>G.2</v>
      </c>
      <c r="C9" s="74" t="s">
        <v>208</v>
      </c>
      <c r="D9" s="5" t="s">
        <v>181</v>
      </c>
      <c r="E9" s="42" t="s">
        <v>33</v>
      </c>
      <c r="F9" s="5" t="s">
        <v>36</v>
      </c>
      <c r="G9" s="5" t="s">
        <v>36</v>
      </c>
      <c r="H9" s="56" t="s">
        <v>36</v>
      </c>
      <c r="I9" s="42" t="s">
        <v>9</v>
      </c>
      <c r="J9" s="5" t="s">
        <v>36</v>
      </c>
      <c r="K9" s="5" t="s">
        <v>36</v>
      </c>
      <c r="L9" s="5" t="s">
        <v>36</v>
      </c>
      <c r="M9" s="5" t="s">
        <v>36</v>
      </c>
      <c r="N9" s="5" t="s">
        <v>36</v>
      </c>
    </row>
    <row r="10" spans="1:16" ht="43.5" x14ac:dyDescent="0.35">
      <c r="A10" s="5">
        <v>4</v>
      </c>
      <c r="B10" s="5" t="str">
        <f t="shared" si="0"/>
        <v>G.4</v>
      </c>
      <c r="C10" s="74" t="s">
        <v>208</v>
      </c>
      <c r="D10" s="5" t="s">
        <v>175</v>
      </c>
      <c r="E10" s="5" t="s">
        <v>42</v>
      </c>
      <c r="F10" s="5" t="s">
        <v>36</v>
      </c>
      <c r="G10" s="5" t="s">
        <v>36</v>
      </c>
      <c r="H10" s="56" t="s">
        <v>36</v>
      </c>
      <c r="I10" s="42" t="s">
        <v>9</v>
      </c>
      <c r="J10" s="5" t="s">
        <v>36</v>
      </c>
      <c r="K10" s="5" t="s">
        <v>36</v>
      </c>
      <c r="L10" s="5" t="s">
        <v>36</v>
      </c>
      <c r="M10" s="5" t="s">
        <v>36</v>
      </c>
      <c r="N10" s="5" t="s">
        <v>36</v>
      </c>
      <c r="O10" s="42" t="s">
        <v>182</v>
      </c>
    </row>
  </sheetData>
  <autoFilter ref="A6:P6"/>
  <conditionalFormatting sqref="C11:C1048576">
    <cfRule type="cellIs" dxfId="66" priority="11" operator="equal">
      <formula>"WIP (see comments)"</formula>
    </cfRule>
    <cfRule type="cellIs" dxfId="65" priority="12" operator="equal">
      <formula>"Removed"</formula>
    </cfRule>
    <cfRule type="cellIs" dxfId="64" priority="13" operator="equal">
      <formula>"Updated"</formula>
    </cfRule>
    <cfRule type="cellIs" dxfId="63" priority="14" operator="equal">
      <formula>"New"</formula>
    </cfRule>
  </conditionalFormatting>
  <conditionalFormatting sqref="A11:XFD1048576 A8:B9 D8:XFD9 A4:XFD6 A3:C3 E3:XFD3 A1:XFD2">
    <cfRule type="cellIs" dxfId="62" priority="10" operator="equal">
      <formula>"n/a"</formula>
    </cfRule>
  </conditionalFormatting>
  <conditionalFormatting sqref="D8:D9">
    <cfRule type="cellIs" dxfId="61" priority="9" operator="equal">
      <formula>"-"</formula>
    </cfRule>
  </conditionalFormatting>
  <conditionalFormatting sqref="C7:C10">
    <cfRule type="cellIs" dxfId="60" priority="4" operator="equal">
      <formula>"WIP (see comments)"</formula>
    </cfRule>
    <cfRule type="cellIs" dxfId="59" priority="5" operator="equal">
      <formula>"Removed"</formula>
    </cfRule>
    <cfRule type="cellIs" dxfId="58" priority="6" operator="equal">
      <formula>"Updated"</formula>
    </cfRule>
    <cfRule type="cellIs" dxfId="57" priority="7" operator="equal">
      <formula>"New"</formula>
    </cfRule>
  </conditionalFormatting>
  <conditionalFormatting sqref="A7:XFD7 C8:C10">
    <cfRule type="cellIs" dxfId="56" priority="3" operator="equal">
      <formula>"n/a"</formula>
    </cfRule>
  </conditionalFormatting>
  <conditionalFormatting sqref="A10:B10 D10:XFD10">
    <cfRule type="cellIs" dxfId="55"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186</v>
      </c>
      <c r="C1" s="34"/>
      <c r="D1" s="31"/>
      <c r="H1" s="37"/>
    </row>
    <row r="2" spans="1:16" s="32" customFormat="1" ht="18.5" x14ac:dyDescent="0.35">
      <c r="A2" s="30" t="s">
        <v>7</v>
      </c>
      <c r="B2" s="38" t="s">
        <v>188</v>
      </c>
      <c r="C2" s="37"/>
      <c r="D2" s="38"/>
      <c r="H2" s="37"/>
    </row>
    <row r="3" spans="1:16" s="32" customFormat="1" ht="18.5" x14ac:dyDescent="0.35">
      <c r="A3" s="30" t="s">
        <v>43</v>
      </c>
      <c r="B3" s="38" t="s">
        <v>639</v>
      </c>
      <c r="C3" s="37"/>
      <c r="D3" s="38" t="s">
        <v>70</v>
      </c>
      <c r="H3" s="37"/>
    </row>
    <row r="4" spans="1:16" s="32" customFormat="1" ht="18.5" x14ac:dyDescent="0.35">
      <c r="A4" s="30" t="s">
        <v>8</v>
      </c>
      <c r="B4" s="32" t="s">
        <v>187</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ht="29" x14ac:dyDescent="0.35">
      <c r="A7" s="5">
        <v>1</v>
      </c>
      <c r="B7" s="5" t="str">
        <f t="shared" ref="B7" si="0">CONCATENATE($B$2, ".", A7)</f>
        <v>H.1</v>
      </c>
      <c r="C7" s="70" t="s">
        <v>39</v>
      </c>
      <c r="D7" s="42" t="s">
        <v>36</v>
      </c>
      <c r="E7" s="42" t="s">
        <v>127</v>
      </c>
      <c r="F7" s="5" t="s">
        <v>36</v>
      </c>
      <c r="G7" s="5" t="s">
        <v>36</v>
      </c>
      <c r="H7" s="70" t="s">
        <v>36</v>
      </c>
      <c r="I7" s="42" t="s">
        <v>9</v>
      </c>
      <c r="J7" s="5" t="s">
        <v>36</v>
      </c>
      <c r="K7" s="5" t="s">
        <v>36</v>
      </c>
      <c r="L7" s="5" t="s">
        <v>36</v>
      </c>
      <c r="M7" s="5" t="s">
        <v>36</v>
      </c>
      <c r="N7" s="5" t="s">
        <v>36</v>
      </c>
      <c r="O7" s="42" t="s">
        <v>736</v>
      </c>
    </row>
  </sheetData>
  <autoFilter ref="A6:P6"/>
  <conditionalFormatting sqref="C8:C1048576">
    <cfRule type="cellIs" dxfId="54" priority="10" operator="equal">
      <formula>"WIP (see comments)"</formula>
    </cfRule>
    <cfRule type="cellIs" dxfId="53" priority="11" operator="equal">
      <formula>"Removed"</formula>
    </cfRule>
    <cfRule type="cellIs" dxfId="52" priority="12" operator="equal">
      <formula>"Updated"</formula>
    </cfRule>
    <cfRule type="cellIs" dxfId="51" priority="13" operator="equal">
      <formula>"New"</formula>
    </cfRule>
  </conditionalFormatting>
  <conditionalFormatting sqref="A1:XFD6 A8:XFD1048576">
    <cfRule type="cellIs" dxfId="50" priority="9" operator="equal">
      <formula>"n/a"</formula>
    </cfRule>
  </conditionalFormatting>
  <conditionalFormatting sqref="C7">
    <cfRule type="cellIs" dxfId="49" priority="4" operator="equal">
      <formula>"WIP (see comments)"</formula>
    </cfRule>
    <cfRule type="cellIs" dxfId="48" priority="5" operator="equal">
      <formula>"Removed"</formula>
    </cfRule>
    <cfRule type="cellIs" dxfId="47" priority="6" operator="equal">
      <formula>"Updated"</formula>
    </cfRule>
    <cfRule type="cellIs" dxfId="46" priority="7" operator="equal">
      <formula>"New"</formula>
    </cfRule>
  </conditionalFormatting>
  <conditionalFormatting sqref="A7:N7 P7:XFD7">
    <cfRule type="cellIs" dxfId="45" priority="3" operator="equal">
      <formula>"n/a"</formula>
    </cfRule>
  </conditionalFormatting>
  <conditionalFormatting sqref="O7">
    <cfRule type="cellIs" dxfId="4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pane="topRight" activeCell="E1" sqref="E1"/>
      <selection pane="bottomLeft" activeCell="A7" sqref="A7"/>
      <selection pane="bottomRight" activeCell="D8" sqref="D8"/>
    </sheetView>
  </sheetViews>
  <sheetFormatPr defaultColWidth="9.1796875" defaultRowHeight="14.5" x14ac:dyDescent="0.35"/>
  <cols>
    <col min="1" max="1" width="14.7265625" style="5" customWidth="1"/>
    <col min="2" max="2" width="12.54296875" style="5" customWidth="1"/>
    <col min="3" max="3" width="19.26953125" style="74" customWidth="1"/>
    <col min="4" max="4" width="45.1796875" style="5" customWidth="1"/>
    <col min="5" max="5" width="28.7265625" style="5" customWidth="1"/>
    <col min="6" max="6" width="37" style="5" customWidth="1"/>
    <col min="7" max="7" width="29.26953125" style="5" customWidth="1"/>
    <col min="8" max="8" width="11.54296875" style="7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210</v>
      </c>
      <c r="C1" s="34"/>
      <c r="D1" s="31"/>
      <c r="H1" s="37"/>
    </row>
    <row r="2" spans="1:16" s="32" customFormat="1" ht="18.5" x14ac:dyDescent="0.35">
      <c r="A2" s="30" t="s">
        <v>7</v>
      </c>
      <c r="B2" s="38" t="s">
        <v>209</v>
      </c>
      <c r="C2" s="37"/>
      <c r="D2" s="38"/>
      <c r="H2" s="37"/>
    </row>
    <row r="3" spans="1:16" s="32" customFormat="1" ht="18.5" x14ac:dyDescent="0.35">
      <c r="A3" s="30" t="s">
        <v>43</v>
      </c>
      <c r="B3" s="38" t="s">
        <v>316</v>
      </c>
      <c r="C3" s="37"/>
      <c r="D3" s="92" t="s">
        <v>315</v>
      </c>
      <c r="H3" s="37"/>
    </row>
    <row r="4" spans="1:16" s="32" customFormat="1" ht="18.5" x14ac:dyDescent="0.35">
      <c r="A4" s="30" t="s">
        <v>8</v>
      </c>
      <c r="B4" s="32" t="s">
        <v>214</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10" si="0">CONCATENATE($B$2, ".", A7)</f>
        <v>I.1</v>
      </c>
      <c r="C7" s="74" t="s">
        <v>208</v>
      </c>
      <c r="D7" s="42" t="s">
        <v>213</v>
      </c>
      <c r="E7" s="42" t="s">
        <v>128</v>
      </c>
      <c r="F7" s="5" t="s">
        <v>36</v>
      </c>
      <c r="G7" s="5" t="s">
        <v>36</v>
      </c>
      <c r="H7" s="74" t="s">
        <v>36</v>
      </c>
      <c r="I7" s="42" t="s">
        <v>9</v>
      </c>
      <c r="J7" s="5" t="s">
        <v>36</v>
      </c>
      <c r="K7" s="5" t="s">
        <v>36</v>
      </c>
      <c r="L7" s="5" t="s">
        <v>36</v>
      </c>
      <c r="M7" s="5" t="s">
        <v>36</v>
      </c>
      <c r="N7" s="5" t="s">
        <v>36</v>
      </c>
    </row>
    <row r="8" spans="1:16" ht="90" customHeight="1" x14ac:dyDescent="0.35">
      <c r="A8" s="5">
        <v>2</v>
      </c>
      <c r="B8" s="5" t="str">
        <f t="shared" si="0"/>
        <v>I.2</v>
      </c>
      <c r="C8" s="75" t="s">
        <v>37</v>
      </c>
      <c r="D8" s="97" t="s">
        <v>742</v>
      </c>
      <c r="E8" s="42" t="s">
        <v>33</v>
      </c>
      <c r="F8" s="5" t="s">
        <v>36</v>
      </c>
      <c r="G8" s="5" t="s">
        <v>36</v>
      </c>
      <c r="H8" s="74" t="s">
        <v>36</v>
      </c>
      <c r="I8" s="42" t="s">
        <v>9</v>
      </c>
      <c r="J8" s="5" t="s">
        <v>36</v>
      </c>
      <c r="K8" s="5" t="s">
        <v>36</v>
      </c>
      <c r="L8" s="5" t="s">
        <v>36</v>
      </c>
      <c r="M8" s="5" t="s">
        <v>36</v>
      </c>
      <c r="N8" s="5" t="s">
        <v>36</v>
      </c>
      <c r="O8" s="5" t="s">
        <v>153</v>
      </c>
      <c r="P8" s="5" t="s">
        <v>638</v>
      </c>
    </row>
    <row r="9" spans="1:16" x14ac:dyDescent="0.35">
      <c r="A9" s="5">
        <v>3</v>
      </c>
      <c r="B9" s="5" t="str">
        <f t="shared" si="0"/>
        <v>I.3</v>
      </c>
      <c r="C9" s="75" t="s">
        <v>208</v>
      </c>
      <c r="D9" s="47" t="s">
        <v>211</v>
      </c>
      <c r="E9" s="42" t="s">
        <v>35</v>
      </c>
      <c r="F9" s="5" t="s">
        <v>36</v>
      </c>
      <c r="G9" s="5" t="s">
        <v>36</v>
      </c>
      <c r="H9" s="74" t="s">
        <v>36</v>
      </c>
      <c r="I9" s="42" t="s">
        <v>9</v>
      </c>
      <c r="J9" s="5" t="s">
        <v>36</v>
      </c>
      <c r="K9" s="5" t="s">
        <v>36</v>
      </c>
      <c r="L9" s="5" t="s">
        <v>36</v>
      </c>
      <c r="M9" s="5" t="s">
        <v>36</v>
      </c>
      <c r="N9" s="5" t="s">
        <v>36</v>
      </c>
    </row>
    <row r="10" spans="1:16" ht="29" x14ac:dyDescent="0.35">
      <c r="A10" s="5">
        <v>4</v>
      </c>
      <c r="B10" s="5" t="str">
        <f t="shared" si="0"/>
        <v>I.4</v>
      </c>
      <c r="C10" s="75" t="s">
        <v>208</v>
      </c>
      <c r="D10" s="5" t="s">
        <v>212</v>
      </c>
      <c r="E10" s="42" t="s">
        <v>33</v>
      </c>
      <c r="F10" s="5" t="s">
        <v>36</v>
      </c>
      <c r="G10" s="5" t="s">
        <v>36</v>
      </c>
      <c r="H10" s="74" t="s">
        <v>36</v>
      </c>
      <c r="I10" s="42" t="s">
        <v>9</v>
      </c>
      <c r="J10" s="5" t="s">
        <v>36</v>
      </c>
      <c r="K10" s="5" t="s">
        <v>36</v>
      </c>
      <c r="L10" s="5" t="s">
        <v>36</v>
      </c>
      <c r="M10" s="5" t="s">
        <v>36</v>
      </c>
      <c r="N10" s="5" t="s">
        <v>36</v>
      </c>
      <c r="O10" s="42"/>
    </row>
  </sheetData>
  <autoFilter ref="A6:P6"/>
  <conditionalFormatting sqref="C11:C1048576">
    <cfRule type="cellIs" dxfId="43" priority="14" operator="equal">
      <formula>"WIP (see comments)"</formula>
    </cfRule>
    <cfRule type="cellIs" dxfId="42" priority="15" operator="equal">
      <formula>"Removed"</formula>
    </cfRule>
    <cfRule type="cellIs" dxfId="41" priority="16" operator="equal">
      <formula>"Updated"</formula>
    </cfRule>
    <cfRule type="cellIs" dxfId="40" priority="17" operator="equal">
      <formula>"New"</formula>
    </cfRule>
  </conditionalFormatting>
  <conditionalFormatting sqref="A1:XFD2 A11:XFD1048576 A4:XFD6 A3:C3 E3:XFD3">
    <cfRule type="cellIs" dxfId="39" priority="13" operator="equal">
      <formula>"n/a"</formula>
    </cfRule>
  </conditionalFormatting>
  <conditionalFormatting sqref="D8:D9">
    <cfRule type="cellIs" dxfId="38" priority="12" operator="equal">
      <formula>"-"</formula>
    </cfRule>
  </conditionalFormatting>
  <conditionalFormatting sqref="A8:B9 D9:XFD9 D8:N8 P8:XFD8">
    <cfRule type="cellIs" dxfId="37" priority="11" operator="equal">
      <formula>"n/a"</formula>
    </cfRule>
  </conditionalFormatting>
  <conditionalFormatting sqref="C7:C10">
    <cfRule type="cellIs" dxfId="36" priority="7" operator="equal">
      <formula>"WIP (see comments)"</formula>
    </cfRule>
    <cfRule type="cellIs" dxfId="35" priority="8" operator="equal">
      <formula>"Removed"</formula>
    </cfRule>
    <cfRule type="cellIs" dxfId="34" priority="9" operator="equal">
      <formula>"Updated"</formula>
    </cfRule>
    <cfRule type="cellIs" dxfId="33" priority="10" operator="equal">
      <formula>"New"</formula>
    </cfRule>
  </conditionalFormatting>
  <conditionalFormatting sqref="A7:XFD7 C8:C10">
    <cfRule type="cellIs" dxfId="32" priority="6" operator="equal">
      <formula>"n/a"</formula>
    </cfRule>
  </conditionalFormatting>
  <conditionalFormatting sqref="A10:B10 D10 F10:XFD10">
    <cfRule type="cellIs" dxfId="31" priority="5" operator="equal">
      <formula>"n/a"</formula>
    </cfRule>
  </conditionalFormatting>
  <conditionalFormatting sqref="E10">
    <cfRule type="cellIs" dxfId="30" priority="3" operator="equal">
      <formula>"n/a"</formula>
    </cfRule>
  </conditionalFormatting>
  <conditionalFormatting sqref="O8">
    <cfRule type="cellIs" dxfId="29" priority="2" operator="equal">
      <formula>"n/a"</formula>
    </cfRule>
  </conditionalFormatting>
  <conditionalFormatting sqref="D3">
    <cfRule type="cellIs" dxfId="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3" sqref="A3"/>
    </sheetView>
  </sheetViews>
  <sheetFormatPr defaultColWidth="9.1796875" defaultRowHeight="14.5" x14ac:dyDescent="0.35"/>
  <cols>
    <col min="1" max="1" width="14.7265625" style="5" customWidth="1"/>
    <col min="2" max="2" width="12.54296875" style="5" customWidth="1"/>
    <col min="3" max="3" width="19.26953125" style="111" customWidth="1"/>
    <col min="4" max="4" width="45.1796875" style="5" customWidth="1"/>
    <col min="5" max="5" width="28.7265625" style="5" customWidth="1"/>
    <col min="6" max="6" width="37" style="5" customWidth="1"/>
    <col min="7" max="7" width="29.26953125" style="5" customWidth="1"/>
    <col min="8" max="8" width="11.54296875" style="11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640</v>
      </c>
      <c r="C1" s="34"/>
      <c r="D1" s="31"/>
      <c r="H1" s="37"/>
    </row>
    <row r="2" spans="1:16" s="32" customFormat="1" ht="18.5" x14ac:dyDescent="0.35">
      <c r="A2" s="30" t="s">
        <v>7</v>
      </c>
      <c r="B2" s="110" t="s">
        <v>247</v>
      </c>
      <c r="C2" s="37"/>
      <c r="D2" s="110"/>
      <c r="H2" s="37"/>
    </row>
    <row r="3" spans="1:16" s="32" customFormat="1" ht="18.5" x14ac:dyDescent="0.35">
      <c r="A3" s="30" t="s">
        <v>43</v>
      </c>
      <c r="B3" s="110" t="s">
        <v>753</v>
      </c>
      <c r="C3" s="37"/>
      <c r="D3" s="110" t="s">
        <v>70</v>
      </c>
      <c r="H3" s="37"/>
    </row>
    <row r="4" spans="1:16" s="32" customFormat="1" ht="18.5" x14ac:dyDescent="0.35">
      <c r="A4" s="30" t="s">
        <v>8</v>
      </c>
      <c r="B4" s="32" t="s">
        <v>641</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s="114" customFormat="1" ht="15" customHeight="1" x14ac:dyDescent="0.35">
      <c r="A7" s="113" t="s">
        <v>644</v>
      </c>
      <c r="B7" s="113"/>
      <c r="C7" s="113"/>
      <c r="D7" s="113"/>
      <c r="E7" s="113"/>
    </row>
    <row r="8" spans="1:16" s="42" customFormat="1" ht="29" x14ac:dyDescent="0.35">
      <c r="A8" s="42">
        <v>1</v>
      </c>
      <c r="B8" s="42" t="str">
        <f t="shared" ref="B8:B17" si="0">CONCATENATE($B$2, ".", A8)</f>
        <v>J.1</v>
      </c>
      <c r="C8" s="115" t="s">
        <v>37</v>
      </c>
      <c r="D8" s="116" t="s">
        <v>645</v>
      </c>
      <c r="E8" s="42" t="s">
        <v>128</v>
      </c>
      <c r="F8" s="42" t="s">
        <v>36</v>
      </c>
      <c r="G8" s="42" t="s">
        <v>36</v>
      </c>
      <c r="H8" s="115" t="s">
        <v>36</v>
      </c>
      <c r="I8" s="42" t="s">
        <v>646</v>
      </c>
      <c r="J8" s="42" t="s">
        <v>36</v>
      </c>
      <c r="K8" s="42" t="s">
        <v>36</v>
      </c>
      <c r="L8" s="42" t="s">
        <v>36</v>
      </c>
      <c r="M8" s="42" t="s">
        <v>36</v>
      </c>
      <c r="N8" s="42" t="s">
        <v>36</v>
      </c>
    </row>
    <row r="9" spans="1:16" s="42" customFormat="1" ht="29" x14ac:dyDescent="0.35">
      <c r="A9" s="42">
        <v>2</v>
      </c>
      <c r="B9" s="42" t="str">
        <f t="shared" si="0"/>
        <v>J.2</v>
      </c>
      <c r="C9" s="115" t="s">
        <v>37</v>
      </c>
      <c r="D9" s="116" t="s">
        <v>647</v>
      </c>
      <c r="E9" s="42" t="s">
        <v>128</v>
      </c>
      <c r="F9" s="42" t="s">
        <v>36</v>
      </c>
      <c r="G9" s="42" t="s">
        <v>36</v>
      </c>
      <c r="H9" s="115" t="s">
        <v>36</v>
      </c>
      <c r="I9" s="42" t="s">
        <v>648</v>
      </c>
      <c r="J9" s="42" t="s">
        <v>36</v>
      </c>
      <c r="K9" s="42" t="s">
        <v>36</v>
      </c>
      <c r="L9" s="42" t="s">
        <v>36</v>
      </c>
      <c r="M9" s="42" t="s">
        <v>36</v>
      </c>
      <c r="N9" s="42" t="s">
        <v>36</v>
      </c>
    </row>
    <row r="10" spans="1:16" s="114" customFormat="1" ht="15" customHeight="1" x14ac:dyDescent="0.35">
      <c r="A10" s="113" t="s">
        <v>649</v>
      </c>
      <c r="B10" s="113"/>
      <c r="C10" s="113"/>
      <c r="D10" s="113"/>
      <c r="E10" s="113"/>
    </row>
    <row r="11" spans="1:16" ht="98.25" customHeight="1" x14ac:dyDescent="0.35">
      <c r="A11" s="5">
        <v>3</v>
      </c>
      <c r="B11" s="5" t="str">
        <f t="shared" si="0"/>
        <v>J.3</v>
      </c>
      <c r="C11" s="111" t="s">
        <v>39</v>
      </c>
      <c r="D11" s="42" t="s">
        <v>650</v>
      </c>
      <c r="E11" s="42" t="s">
        <v>33</v>
      </c>
      <c r="F11" s="5" t="s">
        <v>36</v>
      </c>
      <c r="G11" s="5" t="s">
        <v>36</v>
      </c>
      <c r="H11" s="111" t="s">
        <v>36</v>
      </c>
      <c r="I11" s="42" t="s">
        <v>651</v>
      </c>
      <c r="J11" s="5" t="s">
        <v>36</v>
      </c>
      <c r="K11" s="5" t="s">
        <v>36</v>
      </c>
      <c r="L11" s="5" t="s">
        <v>36</v>
      </c>
      <c r="M11" s="5" t="s">
        <v>36</v>
      </c>
      <c r="N11" s="5" t="s">
        <v>36</v>
      </c>
    </row>
    <row r="12" spans="1:16" ht="50.25" customHeight="1" x14ac:dyDescent="0.35">
      <c r="A12" s="5">
        <v>4</v>
      </c>
      <c r="B12" s="5" t="str">
        <f t="shared" si="0"/>
        <v>J.4</v>
      </c>
      <c r="C12" s="111" t="s">
        <v>39</v>
      </c>
      <c r="D12" s="42" t="s">
        <v>652</v>
      </c>
      <c r="E12" s="42" t="s">
        <v>33</v>
      </c>
      <c r="F12" s="5" t="s">
        <v>36</v>
      </c>
      <c r="G12" s="5" t="s">
        <v>36</v>
      </c>
      <c r="H12" s="111" t="s">
        <v>36</v>
      </c>
      <c r="I12" s="42" t="s">
        <v>653</v>
      </c>
      <c r="J12" s="5" t="s">
        <v>36</v>
      </c>
      <c r="K12" s="5" t="s">
        <v>36</v>
      </c>
      <c r="L12" s="5" t="s">
        <v>36</v>
      </c>
      <c r="M12" s="5" t="s">
        <v>36</v>
      </c>
      <c r="N12" s="5" t="s">
        <v>36</v>
      </c>
    </row>
    <row r="13" spans="1:16" s="42" customFormat="1" ht="90.75" customHeight="1" x14ac:dyDescent="0.35">
      <c r="A13" s="42">
        <v>5</v>
      </c>
      <c r="B13" s="42" t="str">
        <f t="shared" si="0"/>
        <v>J.5</v>
      </c>
      <c r="C13" s="115" t="s">
        <v>37</v>
      </c>
      <c r="D13" s="116" t="s">
        <v>654</v>
      </c>
      <c r="E13" s="42" t="s">
        <v>33</v>
      </c>
      <c r="F13" s="42" t="s">
        <v>36</v>
      </c>
      <c r="G13" s="42" t="s">
        <v>36</v>
      </c>
      <c r="H13" s="115" t="s">
        <v>36</v>
      </c>
      <c r="I13" s="42" t="s">
        <v>648</v>
      </c>
      <c r="J13" s="42" t="s">
        <v>36</v>
      </c>
      <c r="K13" s="42" t="s">
        <v>36</v>
      </c>
      <c r="L13" s="42" t="s">
        <v>36</v>
      </c>
      <c r="M13" s="42" t="s">
        <v>36</v>
      </c>
      <c r="N13" s="42" t="s">
        <v>36</v>
      </c>
    </row>
    <row r="14" spans="1:16" s="114" customFormat="1" ht="15" customHeight="1" x14ac:dyDescent="0.35">
      <c r="A14" s="113" t="s">
        <v>655</v>
      </c>
      <c r="B14" s="113"/>
      <c r="C14" s="113"/>
      <c r="D14" s="113"/>
      <c r="E14" s="113"/>
    </row>
    <row r="15" spans="1:16" ht="72" customHeight="1" x14ac:dyDescent="0.35">
      <c r="A15" s="5">
        <v>6</v>
      </c>
      <c r="B15" s="5" t="str">
        <f t="shared" si="0"/>
        <v>J.6</v>
      </c>
      <c r="C15" s="111" t="s">
        <v>37</v>
      </c>
      <c r="D15" s="117" t="s">
        <v>743</v>
      </c>
      <c r="E15" s="42" t="s">
        <v>33</v>
      </c>
      <c r="F15" s="42" t="s">
        <v>36</v>
      </c>
      <c r="G15" s="42" t="s">
        <v>36</v>
      </c>
      <c r="H15" s="115" t="s">
        <v>36</v>
      </c>
      <c r="I15" s="138" t="s">
        <v>646</v>
      </c>
      <c r="J15" s="5" t="s">
        <v>36</v>
      </c>
      <c r="K15" s="5" t="s">
        <v>36</v>
      </c>
      <c r="L15" s="5" t="s">
        <v>36</v>
      </c>
      <c r="M15" s="5" t="s">
        <v>36</v>
      </c>
      <c r="N15" s="5" t="s">
        <v>36</v>
      </c>
      <c r="O15" s="5" t="s">
        <v>468</v>
      </c>
    </row>
    <row r="16" spans="1:16" ht="30" customHeight="1" x14ac:dyDescent="0.35">
      <c r="A16" s="5">
        <v>7</v>
      </c>
      <c r="B16" s="5" t="str">
        <f t="shared" si="0"/>
        <v>J.7</v>
      </c>
      <c r="C16" s="111" t="s">
        <v>39</v>
      </c>
      <c r="D16" s="109" t="s">
        <v>642</v>
      </c>
      <c r="E16" s="42" t="s">
        <v>35</v>
      </c>
      <c r="F16" s="42" t="s">
        <v>36</v>
      </c>
      <c r="G16" s="42" t="s">
        <v>36</v>
      </c>
      <c r="H16" s="115" t="s">
        <v>36</v>
      </c>
      <c r="I16" s="138"/>
      <c r="J16" s="5" t="s">
        <v>36</v>
      </c>
      <c r="K16" s="5" t="s">
        <v>36</v>
      </c>
      <c r="L16" s="5" t="s">
        <v>36</v>
      </c>
      <c r="M16" s="5" t="s">
        <v>36</v>
      </c>
      <c r="N16" s="5" t="s">
        <v>36</v>
      </c>
    </row>
    <row r="17" spans="1:15" ht="29" x14ac:dyDescent="0.35">
      <c r="A17" s="5">
        <v>8</v>
      </c>
      <c r="B17" s="5" t="str">
        <f t="shared" si="0"/>
        <v>J.8</v>
      </c>
      <c r="C17" s="111" t="s">
        <v>39</v>
      </c>
      <c r="D17" s="42" t="s">
        <v>212</v>
      </c>
      <c r="E17" s="42" t="s">
        <v>33</v>
      </c>
      <c r="F17" s="42" t="s">
        <v>36</v>
      </c>
      <c r="G17" s="42" t="s">
        <v>36</v>
      </c>
      <c r="H17" s="115" t="s">
        <v>36</v>
      </c>
      <c r="I17" s="138"/>
      <c r="J17" s="5" t="s">
        <v>36</v>
      </c>
      <c r="K17" s="5" t="s">
        <v>36</v>
      </c>
      <c r="L17" s="5" t="s">
        <v>36</v>
      </c>
      <c r="M17" s="5" t="s">
        <v>36</v>
      </c>
      <c r="N17" s="5" t="s">
        <v>36</v>
      </c>
      <c r="O17" s="42"/>
    </row>
  </sheetData>
  <autoFilter ref="A6:P6"/>
  <mergeCells count="1">
    <mergeCell ref="I15:I17"/>
  </mergeCells>
  <conditionalFormatting sqref="A1:XFD1048576">
    <cfRule type="cellIs" dxfId="27" priority="1" operator="equal">
      <formula>"n/a"</formula>
    </cfRule>
  </conditionalFormatting>
  <conditionalFormatting sqref="C1:C1048576">
    <cfRule type="cellIs" dxfId="26" priority="2" operator="equal">
      <formula>"WIP (see comments)"</formula>
    </cfRule>
    <cfRule type="cellIs" dxfId="25" priority="3" operator="equal">
      <formula>"Removed"</formula>
    </cfRule>
    <cfRule type="cellIs" dxfId="24" priority="4" operator="equal">
      <formula>"Updated"</formula>
    </cfRule>
    <cfRule type="cellIs" dxfId="23"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'C:\Users\hicksi\Documents\Personal DCO\[CWB Personal DCO Primary Applicant Field Spec (Ver 1.1).xlsx]List Values'!#REF!</xm:f>
          </x14:formula1>
          <xm:sqref>C18:C1048576</xm:sqref>
        </x14:dataValidation>
        <x14:dataValidation type="list" allowBlank="1" showInputMessage="1" showErrorMessage="1">
          <x14:formula1>
            <xm:f>'C:\Users\hicksi\Documents\Personal DCO\[CWB Personal DCO Primary Applicant Field Spec (Ver 1.1).xlsx]List Values'!#REF!</xm:f>
          </x14:formula1>
          <xm:sqref>E18:E1048576</xm:sqref>
        </x14:dataValidation>
        <x14:dataValidation type="list" allowBlank="1" showInputMessage="1" showErrorMessage="1">
          <x14:formula1>
            <xm:f>'List Values'!$B$5:$B$9</xm:f>
          </x14:formula1>
          <xm:sqref>C8:C17</xm:sqref>
        </x14:dataValidation>
        <x14:dataValidation type="list" allowBlank="1" showInputMessage="1" showErrorMessage="1">
          <x14:formula1>
            <xm:f>'List Values'!$A$5:$A$32</xm:f>
          </x14:formula1>
          <xm:sqref>E8:E17</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119" customWidth="1"/>
    <col min="4" max="4" width="45.1796875" style="5" customWidth="1"/>
    <col min="5" max="5" width="28.7265625" style="5" customWidth="1"/>
    <col min="6" max="6" width="37" style="5" customWidth="1"/>
    <col min="7" max="7" width="29.26953125" style="5" customWidth="1"/>
    <col min="8" max="8" width="11.54296875" style="11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659</v>
      </c>
      <c r="C1" s="34"/>
      <c r="D1" s="31"/>
      <c r="H1" s="37"/>
    </row>
    <row r="2" spans="1:16" s="32" customFormat="1" ht="18.5" x14ac:dyDescent="0.35">
      <c r="A2" s="30" t="s">
        <v>7</v>
      </c>
      <c r="B2" s="118" t="s">
        <v>251</v>
      </c>
      <c r="C2" s="37"/>
      <c r="D2" s="118"/>
      <c r="H2" s="37"/>
    </row>
    <row r="3" spans="1:16" s="32" customFormat="1" ht="18.5" x14ac:dyDescent="0.35">
      <c r="A3" s="30" t="s">
        <v>43</v>
      </c>
      <c r="B3" s="118" t="s">
        <v>731</v>
      </c>
      <c r="C3" s="37"/>
      <c r="D3" s="118"/>
      <c r="H3" s="37"/>
    </row>
    <row r="4" spans="1:16" s="32" customFormat="1" ht="18.5" x14ac:dyDescent="0.35">
      <c r="A4" s="30" t="s">
        <v>8</v>
      </c>
      <c r="B4" s="32" t="s">
        <v>660</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 t="shared" ref="B7:B8" si="0">CONCATENATE($B$2, ".", A7)</f>
        <v>K.1</v>
      </c>
      <c r="C7" s="119" t="s">
        <v>41</v>
      </c>
      <c r="D7" s="42" t="s">
        <v>733</v>
      </c>
      <c r="E7" s="42" t="s">
        <v>128</v>
      </c>
      <c r="F7" s="5" t="s">
        <v>36</v>
      </c>
      <c r="G7" s="5" t="s">
        <v>36</v>
      </c>
      <c r="H7" s="119" t="s">
        <v>36</v>
      </c>
      <c r="I7" s="42" t="s">
        <v>9</v>
      </c>
      <c r="J7" s="5" t="s">
        <v>36</v>
      </c>
      <c r="K7" s="5" t="s">
        <v>36</v>
      </c>
      <c r="L7" s="5" t="s">
        <v>36</v>
      </c>
      <c r="M7" s="5" t="s">
        <v>36</v>
      </c>
      <c r="N7" s="5" t="s">
        <v>36</v>
      </c>
    </row>
    <row r="8" spans="1:16" ht="87" x14ac:dyDescent="0.35">
      <c r="A8" s="5">
        <v>2</v>
      </c>
      <c r="B8" s="5" t="str">
        <f t="shared" si="0"/>
        <v>K.2</v>
      </c>
      <c r="C8" s="119" t="s">
        <v>41</v>
      </c>
      <c r="D8" s="47" t="s">
        <v>661</v>
      </c>
      <c r="E8" s="42" t="s">
        <v>33</v>
      </c>
      <c r="F8" s="5" t="s">
        <v>36</v>
      </c>
      <c r="G8" s="5" t="s">
        <v>36</v>
      </c>
      <c r="H8" s="119" t="s">
        <v>36</v>
      </c>
      <c r="I8" s="42" t="s">
        <v>9</v>
      </c>
      <c r="J8" s="5" t="s">
        <v>36</v>
      </c>
      <c r="K8" s="5" t="s">
        <v>36</v>
      </c>
      <c r="L8" s="5" t="s">
        <v>36</v>
      </c>
      <c r="M8" s="5" t="s">
        <v>36</v>
      </c>
      <c r="N8" s="5" t="s">
        <v>36</v>
      </c>
      <c r="P8" s="5" t="s">
        <v>732</v>
      </c>
    </row>
    <row r="9" spans="1:16" x14ac:dyDescent="0.35">
      <c r="A9" s="5">
        <v>3</v>
      </c>
      <c r="B9" s="5" t="str">
        <f t="shared" ref="B9" si="1">CONCATENATE($B$2, ".", A9)</f>
        <v>K.3</v>
      </c>
      <c r="C9" s="125" t="s">
        <v>41</v>
      </c>
      <c r="D9" s="5" t="s">
        <v>695</v>
      </c>
      <c r="E9" s="5" t="s">
        <v>42</v>
      </c>
      <c r="F9" s="5" t="s">
        <v>36</v>
      </c>
      <c r="G9" s="5" t="s">
        <v>36</v>
      </c>
      <c r="H9" s="119" t="s">
        <v>36</v>
      </c>
      <c r="I9" s="42" t="s">
        <v>9</v>
      </c>
      <c r="J9" s="5" t="s">
        <v>36</v>
      </c>
      <c r="K9" s="5" t="s">
        <v>36</v>
      </c>
      <c r="L9" s="5" t="s">
        <v>36</v>
      </c>
      <c r="M9" s="5" t="s">
        <v>36</v>
      </c>
      <c r="N9" s="5" t="s">
        <v>36</v>
      </c>
      <c r="O9" s="42" t="s">
        <v>734</v>
      </c>
    </row>
  </sheetData>
  <autoFilter ref="A6:P6"/>
  <conditionalFormatting sqref="C7:C1048576">
    <cfRule type="cellIs" dxfId="22" priority="11" operator="equal">
      <formula>"WIP (see comments)"</formula>
    </cfRule>
    <cfRule type="cellIs" dxfId="21" priority="12" operator="equal">
      <formula>"Removed"</formula>
    </cfRule>
    <cfRule type="cellIs" dxfId="20" priority="13" operator="equal">
      <formula>"Updated"</formula>
    </cfRule>
    <cfRule type="cellIs" dxfId="19" priority="14" operator="equal">
      <formula>"New"</formula>
    </cfRule>
  </conditionalFormatting>
  <conditionalFormatting sqref="A1:XFD6 A10:XFD1048576 C8:C9">
    <cfRule type="cellIs" dxfId="18" priority="10" operator="equal">
      <formula>"n/a"</formula>
    </cfRule>
  </conditionalFormatting>
  <conditionalFormatting sqref="D8">
    <cfRule type="cellIs" dxfId="17" priority="9" operator="equal">
      <formula>"-"</formula>
    </cfRule>
  </conditionalFormatting>
  <conditionalFormatting sqref="D8:XFD8 A8:B9">
    <cfRule type="cellIs" dxfId="16" priority="8" operator="equal">
      <formula>"n/a"</formula>
    </cfRule>
  </conditionalFormatting>
  <conditionalFormatting sqref="A7:XFD7">
    <cfRule type="cellIs" dxfId="15" priority="3" operator="equal">
      <formula>"n/a"</formula>
    </cfRule>
  </conditionalFormatting>
  <conditionalFormatting sqref="D9:XFD9">
    <cfRule type="cellIs" dxfId="14"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Values'!$A$5:$A$33</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A7" sqref="A7"/>
    </sheetView>
  </sheetViews>
  <sheetFormatPr defaultColWidth="9.1796875" defaultRowHeight="14.5" x14ac:dyDescent="0.35"/>
  <cols>
    <col min="1" max="1" width="14.7265625" style="5" customWidth="1"/>
    <col min="2" max="2" width="12.54296875" style="5" customWidth="1"/>
    <col min="3" max="3" width="13" style="83" customWidth="1"/>
    <col min="4" max="4" width="45.1796875" style="5" customWidth="1"/>
    <col min="5" max="5" width="28.7265625" style="5" customWidth="1"/>
    <col min="6" max="6" width="37" style="5" customWidth="1"/>
    <col min="7" max="7" width="29.26953125" style="5" customWidth="1"/>
    <col min="8" max="8" width="11.54296875" style="8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248</v>
      </c>
      <c r="C1" s="34"/>
      <c r="D1" s="31"/>
      <c r="H1" s="37"/>
    </row>
    <row r="2" spans="1:16" s="32" customFormat="1" ht="18.5" x14ac:dyDescent="0.35">
      <c r="A2" s="30" t="s">
        <v>7</v>
      </c>
      <c r="B2" s="84" t="s">
        <v>247</v>
      </c>
      <c r="C2" s="37"/>
      <c r="D2" s="84"/>
      <c r="H2" s="37"/>
    </row>
    <row r="3" spans="1:16" s="32" customFormat="1" ht="18.5" x14ac:dyDescent="0.35">
      <c r="A3" s="30" t="s">
        <v>43</v>
      </c>
      <c r="B3" s="84" t="s">
        <v>223</v>
      </c>
      <c r="C3" s="37"/>
      <c r="D3" s="84" t="s">
        <v>70</v>
      </c>
      <c r="H3" s="37"/>
    </row>
    <row r="4" spans="1:16" s="32" customFormat="1" ht="18.5" x14ac:dyDescent="0.35">
      <c r="A4" s="30" t="s">
        <v>8</v>
      </c>
      <c r="B4" s="32" t="s">
        <v>230</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CONCATENATE($B$2, ".", A7)</f>
        <v>J.1</v>
      </c>
      <c r="C7" s="83" t="s">
        <v>39</v>
      </c>
      <c r="D7" s="5" t="s">
        <v>36</v>
      </c>
      <c r="E7" s="42" t="s">
        <v>127</v>
      </c>
      <c r="F7" s="5" t="s">
        <v>36</v>
      </c>
      <c r="G7" s="5" t="s">
        <v>36</v>
      </c>
      <c r="H7" s="83" t="s">
        <v>36</v>
      </c>
      <c r="I7" s="42" t="s">
        <v>9</v>
      </c>
      <c r="J7" s="5" t="s">
        <v>36</v>
      </c>
      <c r="K7" s="5" t="s">
        <v>36</v>
      </c>
      <c r="L7" s="5" t="s">
        <v>36</v>
      </c>
      <c r="M7" s="5" t="s">
        <v>36</v>
      </c>
      <c r="N7" s="5" t="s">
        <v>36</v>
      </c>
      <c r="O7" s="5" t="s">
        <v>173</v>
      </c>
    </row>
    <row r="8" spans="1:16" x14ac:dyDescent="0.35">
      <c r="A8" s="5">
        <v>2</v>
      </c>
      <c r="B8" s="5" t="str">
        <f t="shared" ref="B8:B10" si="0">CONCATENATE($B$2, ".", A8)</f>
        <v>J.2</v>
      </c>
      <c r="C8" s="83" t="s">
        <v>39</v>
      </c>
      <c r="D8" s="42" t="s">
        <v>132</v>
      </c>
      <c r="E8" s="42" t="s">
        <v>128</v>
      </c>
      <c r="F8" s="5" t="s">
        <v>36</v>
      </c>
      <c r="G8" s="5" t="s">
        <v>36</v>
      </c>
      <c r="H8" s="83" t="s">
        <v>36</v>
      </c>
      <c r="I8" s="42" t="s">
        <v>9</v>
      </c>
      <c r="J8" s="5" t="s">
        <v>36</v>
      </c>
      <c r="K8" s="5" t="s">
        <v>36</v>
      </c>
      <c r="L8" s="5" t="s">
        <v>36</v>
      </c>
      <c r="M8" s="5" t="s">
        <v>36</v>
      </c>
      <c r="N8" s="5" t="s">
        <v>36</v>
      </c>
    </row>
    <row r="9" spans="1:16" ht="43.5" x14ac:dyDescent="0.35">
      <c r="A9" s="5">
        <v>3</v>
      </c>
      <c r="B9" s="5" t="str">
        <f t="shared" si="0"/>
        <v>J.3</v>
      </c>
      <c r="C9" s="83" t="s">
        <v>39</v>
      </c>
      <c r="D9" s="5" t="s">
        <v>246</v>
      </c>
      <c r="E9" s="42" t="s">
        <v>33</v>
      </c>
      <c r="F9" s="5" t="s">
        <v>36</v>
      </c>
      <c r="G9" s="5" t="s">
        <v>36</v>
      </c>
      <c r="H9" s="83" t="s">
        <v>36</v>
      </c>
      <c r="I9" s="42" t="s">
        <v>9</v>
      </c>
      <c r="J9" s="5" t="s">
        <v>36</v>
      </c>
      <c r="K9" s="5" t="s">
        <v>36</v>
      </c>
      <c r="L9" s="5" t="s">
        <v>36</v>
      </c>
      <c r="M9" s="5" t="s">
        <v>36</v>
      </c>
      <c r="N9" s="5" t="s">
        <v>36</v>
      </c>
    </row>
    <row r="10" spans="1:16" ht="54" customHeight="1" x14ac:dyDescent="0.35">
      <c r="A10" s="5">
        <v>4</v>
      </c>
      <c r="B10" s="5" t="str">
        <f t="shared" si="0"/>
        <v>J.4</v>
      </c>
      <c r="C10" s="83" t="s">
        <v>39</v>
      </c>
      <c r="D10" s="5" t="s">
        <v>245</v>
      </c>
      <c r="E10" s="42" t="s">
        <v>33</v>
      </c>
      <c r="F10" s="5" t="s">
        <v>36</v>
      </c>
      <c r="G10" s="5" t="s">
        <v>36</v>
      </c>
      <c r="H10" s="83"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Values'!$A$5:$A$33</xm:f>
          </x14:formula1>
          <xm:sqref>E7:E1048576</xm:sqref>
        </x14:dataValidation>
        <x14:dataValidation type="list" allowBlank="1" showInputMessage="1" showErrorMessage="1">
          <x14:formula1>
            <xm:f>'List Values'!$B$5:$B$13</xm:f>
          </x14:formula1>
          <xm:sqref>C7:C1048576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B3" sqref="B3"/>
    </sheetView>
  </sheetViews>
  <sheetFormatPr defaultColWidth="9.1796875" defaultRowHeight="14.5" x14ac:dyDescent="0.35"/>
  <cols>
    <col min="1" max="1" width="14.7265625" style="5" customWidth="1"/>
    <col min="2" max="2" width="12.54296875" style="5" customWidth="1"/>
    <col min="3" max="3" width="13" style="83" customWidth="1"/>
    <col min="4" max="4" width="45.1796875" style="5" customWidth="1"/>
    <col min="5" max="5" width="28.7265625" style="5" customWidth="1"/>
    <col min="6" max="6" width="37" style="5" customWidth="1"/>
    <col min="7" max="7" width="29.26953125" style="5" customWidth="1"/>
    <col min="8" max="8" width="11.54296875" style="8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250</v>
      </c>
      <c r="C1" s="34"/>
      <c r="D1" s="31"/>
      <c r="H1" s="37"/>
    </row>
    <row r="2" spans="1:16" s="32" customFormat="1" ht="18.5" x14ac:dyDescent="0.35">
      <c r="A2" s="30" t="s">
        <v>7</v>
      </c>
      <c r="B2" s="84" t="s">
        <v>251</v>
      </c>
      <c r="C2" s="37"/>
      <c r="D2" s="84"/>
      <c r="H2" s="37"/>
    </row>
    <row r="3" spans="1:16" s="32" customFormat="1" ht="18.5" x14ac:dyDescent="0.35">
      <c r="A3" s="30" t="s">
        <v>43</v>
      </c>
      <c r="B3" s="84" t="s">
        <v>223</v>
      </c>
      <c r="C3" s="37"/>
      <c r="D3" s="84" t="s">
        <v>70</v>
      </c>
      <c r="H3" s="37"/>
    </row>
    <row r="4" spans="1:16" s="32" customFormat="1" ht="18.5" x14ac:dyDescent="0.35">
      <c r="A4" s="30" t="s">
        <v>8</v>
      </c>
      <c r="B4" s="32" t="s">
        <v>230</v>
      </c>
      <c r="C4" s="37"/>
      <c r="H4" s="37"/>
    </row>
    <row r="5" spans="1:16" s="45" customFormat="1" x14ac:dyDescent="0.35">
      <c r="C5" s="46"/>
      <c r="H5" s="46"/>
    </row>
    <row r="6" spans="1:16" s="33" customFormat="1" ht="15" thickBot="1" x14ac:dyDescent="0.4">
      <c r="A6" s="33" t="s">
        <v>10</v>
      </c>
      <c r="B6" s="33" t="s">
        <v>11</v>
      </c>
      <c r="C6" s="35" t="s">
        <v>25</v>
      </c>
      <c r="D6" s="33" t="s">
        <v>24</v>
      </c>
      <c r="E6" s="33" t="s">
        <v>12</v>
      </c>
      <c r="F6" s="33" t="s">
        <v>13</v>
      </c>
      <c r="G6" s="33" t="s">
        <v>14</v>
      </c>
      <c r="H6" s="35" t="s">
        <v>15</v>
      </c>
      <c r="I6" s="33" t="s">
        <v>16</v>
      </c>
      <c r="J6" s="33" t="s">
        <v>17</v>
      </c>
      <c r="K6" s="33" t="s">
        <v>18</v>
      </c>
      <c r="L6" s="33" t="s">
        <v>19</v>
      </c>
      <c r="M6" s="33" t="s">
        <v>20</v>
      </c>
      <c r="N6" s="33" t="s">
        <v>21</v>
      </c>
      <c r="O6" s="33" t="s">
        <v>22</v>
      </c>
      <c r="P6" s="33" t="s">
        <v>23</v>
      </c>
    </row>
    <row r="7" spans="1:16" x14ac:dyDescent="0.35">
      <c r="A7" s="5">
        <v>1</v>
      </c>
      <c r="B7" s="5" t="str">
        <f>CONCATENATE($B$2, ".", A7)</f>
        <v>K.1</v>
      </c>
      <c r="C7" s="83" t="s">
        <v>39</v>
      </c>
      <c r="D7" s="5" t="s">
        <v>36</v>
      </c>
      <c r="E7" s="42" t="s">
        <v>127</v>
      </c>
      <c r="F7" s="5" t="s">
        <v>36</v>
      </c>
      <c r="G7" s="5" t="s">
        <v>36</v>
      </c>
      <c r="H7" s="83" t="s">
        <v>36</v>
      </c>
      <c r="I7" s="42" t="s">
        <v>9</v>
      </c>
      <c r="J7" s="5" t="s">
        <v>36</v>
      </c>
      <c r="K7" s="5" t="s">
        <v>36</v>
      </c>
      <c r="L7" s="5" t="s">
        <v>36</v>
      </c>
      <c r="M7" s="5" t="s">
        <v>36</v>
      </c>
      <c r="N7" s="5" t="s">
        <v>36</v>
      </c>
      <c r="O7" s="5" t="s">
        <v>173</v>
      </c>
    </row>
    <row r="8" spans="1:16" x14ac:dyDescent="0.35">
      <c r="A8" s="5">
        <v>2</v>
      </c>
      <c r="B8" s="5" t="str">
        <f t="shared" ref="B8:B10" si="0">CONCATENATE($B$2, ".", A8)</f>
        <v>K.2</v>
      </c>
      <c r="C8" s="83" t="s">
        <v>39</v>
      </c>
      <c r="D8" s="42" t="s">
        <v>132</v>
      </c>
      <c r="E8" s="42" t="s">
        <v>128</v>
      </c>
      <c r="F8" s="5" t="s">
        <v>36</v>
      </c>
      <c r="G8" s="5" t="s">
        <v>36</v>
      </c>
      <c r="H8" s="83" t="s">
        <v>36</v>
      </c>
      <c r="I8" s="42" t="s">
        <v>9</v>
      </c>
      <c r="J8" s="5" t="s">
        <v>36</v>
      </c>
      <c r="K8" s="5" t="s">
        <v>36</v>
      </c>
      <c r="L8" s="5" t="s">
        <v>36</v>
      </c>
      <c r="M8" s="5" t="s">
        <v>36</v>
      </c>
      <c r="N8" s="5" t="s">
        <v>36</v>
      </c>
    </row>
    <row r="9" spans="1:16" ht="43.5" x14ac:dyDescent="0.35">
      <c r="A9" s="5">
        <v>3</v>
      </c>
      <c r="B9" s="5" t="str">
        <f t="shared" si="0"/>
        <v>K.3</v>
      </c>
      <c r="C9" s="83" t="s">
        <v>39</v>
      </c>
      <c r="D9" s="5" t="s">
        <v>246</v>
      </c>
      <c r="E9" s="42" t="s">
        <v>33</v>
      </c>
      <c r="F9" s="5" t="s">
        <v>36</v>
      </c>
      <c r="G9" s="5" t="s">
        <v>36</v>
      </c>
      <c r="H9" s="83" t="s">
        <v>36</v>
      </c>
      <c r="I9" s="42" t="s">
        <v>9</v>
      </c>
      <c r="J9" s="5" t="s">
        <v>36</v>
      </c>
      <c r="K9" s="5" t="s">
        <v>36</v>
      </c>
      <c r="L9" s="5" t="s">
        <v>36</v>
      </c>
      <c r="M9" s="5" t="s">
        <v>36</v>
      </c>
      <c r="N9" s="5" t="s">
        <v>36</v>
      </c>
    </row>
    <row r="10" spans="1:16" ht="54" customHeight="1" x14ac:dyDescent="0.35">
      <c r="A10" s="5">
        <v>4</v>
      </c>
      <c r="B10" s="5" t="str">
        <f t="shared" si="0"/>
        <v>K.4</v>
      </c>
      <c r="C10" s="83" t="s">
        <v>39</v>
      </c>
      <c r="D10" s="5" t="s">
        <v>245</v>
      </c>
      <c r="E10" s="42" t="s">
        <v>33</v>
      </c>
      <c r="F10" s="5" t="s">
        <v>36</v>
      </c>
      <c r="G10" s="5" t="s">
        <v>36</v>
      </c>
      <c r="H10" s="83" t="s">
        <v>36</v>
      </c>
      <c r="I10" s="42" t="s">
        <v>9</v>
      </c>
      <c r="J10" s="5" t="s">
        <v>36</v>
      </c>
      <c r="K10" s="5" t="s">
        <v>36</v>
      </c>
      <c r="L10" s="5" t="s">
        <v>36</v>
      </c>
      <c r="M10" s="5" t="s">
        <v>36</v>
      </c>
      <c r="N10" s="5" t="s">
        <v>36</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Values'!$A$5:$A$33</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2.xml><?xml version="1.0" encoding="utf-8"?>
<ds:datastoreItem xmlns:ds="http://schemas.openxmlformats.org/officeDocument/2006/customXml" ds:itemID="{B83DFF79-D356-4957-B2CC-F50FC12CFFBF}"/>
</file>

<file path=customXml/itemProps3.xml><?xml version="1.0" encoding="utf-8"?>
<ds:datastoreItem xmlns:ds="http://schemas.openxmlformats.org/officeDocument/2006/customXml" ds:itemID="{C3D6FEB5-9572-48F7-8975-C31DE547C2D9}">
  <ds:schemaRefs>
    <ds:schemaRef ds:uri="http://purl.org/dc/elements/1.1/"/>
    <ds:schemaRef ds:uri="http://schemas.microsoft.com/office/2006/metadata/properties"/>
    <ds:schemaRef ds:uri="http://schemas.microsoft.com/sharepoint/v4"/>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www.w3.org/XML/1998/namespace"/>
    <ds:schemaRef ds:uri="http://purl.org/dc/te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Revision Control</vt:lpstr>
      <vt:lpstr>List Values</vt:lpstr>
      <vt:lpstr>Common Page Elements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13. App - eConsent</vt:lpstr>
      <vt:lpstr>14. App- Alternate IDV</vt:lpstr>
      <vt:lpstr>15. App - Flinks</vt:lpstr>
      <vt:lpstr>16. App - Manual IDV</vt:lpstr>
      <vt:lpstr>17a. Your Role</vt:lpstr>
      <vt:lpstr>17. Owners+Directors</vt:lpstr>
      <vt:lpstr>18. Authorized Signers</vt:lpstr>
      <vt:lpstr>19a. Disclosures-Tax Residency</vt:lpstr>
      <vt:lpstr>19. Business Disclosures</vt:lpstr>
      <vt:lpstr>20. Await Auth Signers</vt:lpstr>
      <vt:lpstr>21. Account Options</vt:lpstr>
      <vt:lpstr>22. Complementary Services</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Unable to Resume</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2020-12-21T21:59:39Z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