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901"/>
  </bookViews>
  <sheets>
    <sheet name="Revision Control" sheetId="1" r:id="rId1"/>
    <sheet name="List Values" sheetId="3" r:id="rId2"/>
    <sheet name="1. Entry Page" sheetId="41" r:id="rId3"/>
    <sheet name="2. Landing Page" sheetId="2" r:id="rId4"/>
    <sheet name="3. Existing Cust. Check" sheetId="42" r:id="rId5"/>
    <sheet name="4. Contact Info" sheetId="5" r:id="rId6"/>
    <sheet name="4a. Mobile Verify" sheetId="35" r:id="rId7"/>
    <sheet name="5. Qualifying Questions" sheetId="9" r:id="rId8"/>
    <sheet name="6. IDScan" sheetId="11" r:id="rId9"/>
    <sheet name="7. Name &amp; Address" sheetId="12" r:id="rId10"/>
    <sheet name="DEPRECATED Address" sheetId="13" state="hidden" r:id="rId11"/>
    <sheet name="8. Birthday, SIN &amp; Occ." sheetId="14" r:id="rId12"/>
    <sheet name="9. Security Question" sheetId="43" r:id="rId13"/>
    <sheet name="10. eConsent" sheetId="16" r:id="rId14"/>
    <sheet name="11. Alternate IDV" sheetId="29" r:id="rId15"/>
    <sheet name="12. Flinks" sheetId="31" r:id="rId16"/>
    <sheet name="13. Manual IDV" sheetId="36" r:id="rId17"/>
    <sheet name="DEPRECATED Dynamic Disclosures" sheetId="17" r:id="rId18"/>
    <sheet name="DEPRECATED Account Options" sheetId="18" r:id="rId19"/>
    <sheet name="A. Generic Error" sheetId="22" r:id="rId20"/>
    <sheet name="DEPRECATED Manual Review" sheetId="23" r:id="rId21"/>
    <sheet name="C. Decline" sheetId="24" r:id="rId22"/>
    <sheet name="D. Cancel" sheetId="26" r:id="rId23"/>
    <sheet name="E. Save" sheetId="27" r:id="rId24"/>
    <sheet name="F. Resume" sheetId="28" r:id="rId25"/>
    <sheet name="G. Time Out" sheetId="33" r:id="rId26"/>
    <sheet name="H. Progress" sheetId="34" r:id="rId27"/>
    <sheet name="I. Previously Submitted" sheetId="37" r:id="rId28"/>
    <sheet name="J. Submission Complete" sheetId="44" r:id="rId29"/>
  </sheets>
  <externalReferences>
    <externalReference r:id="rId30"/>
    <externalReference r:id="rId31"/>
  </externalReferences>
  <definedNames>
    <definedName name="_xlnm._FilterDatabase" localSheetId="2" hidden="1">'1. Entry Page'!$A$6:$P$6</definedName>
    <definedName name="_xlnm._FilterDatabase" localSheetId="13" hidden="1">'10. eConsent'!$A$6:$P$17</definedName>
    <definedName name="_xlnm._FilterDatabase" localSheetId="6" hidden="1">'4a. Mobile Verify'!$A$6:$P$6</definedName>
    <definedName name="_xlnm._FilterDatabase" localSheetId="11" hidden="1">'8. Birthday, SIN &amp; Occ.'!$A$6:$P$13</definedName>
    <definedName name="_xlnm._FilterDatabase" localSheetId="12" hidden="1">'9. Security Question'!$A$6:$P$6</definedName>
    <definedName name="_xlnm._FilterDatabase" localSheetId="19" hidden="1">'A. Generic Error'!$A$6:$P$9</definedName>
    <definedName name="_xlnm._FilterDatabase" localSheetId="21" hidden="1">'C. Decline'!$A$6:$P$9</definedName>
    <definedName name="_xlnm._FilterDatabase" localSheetId="22" hidden="1">'D. Cancel'!$A$6:$P$9</definedName>
    <definedName name="_xlnm._FilterDatabase" localSheetId="18" hidden="1">'DEPRECATED Account Options'!$A$6:$P$13</definedName>
    <definedName name="_xlnm._FilterDatabase" localSheetId="17" hidden="1">'DEPRECATED Dynamic Disclosures'!$A$6:$P$6</definedName>
    <definedName name="_xlnm._FilterDatabase" localSheetId="20" hidden="1">'DEPRECATED Manual Review'!$A$6:$P$9</definedName>
    <definedName name="_xlnm._FilterDatabase" localSheetId="23" hidden="1">'E. Save'!$A$6:$P$9</definedName>
    <definedName name="_xlnm._FilterDatabase" localSheetId="24" hidden="1">'F. Resume'!$A$6:$P$6</definedName>
    <definedName name="_xlnm._FilterDatabase" localSheetId="25" hidden="1">'G. Time Out'!$A$6:$P$6</definedName>
    <definedName name="_xlnm._FilterDatabase" localSheetId="26" hidden="1">'H. Progress'!$A$6:$P$6</definedName>
    <definedName name="_xlnm._FilterDatabase" localSheetId="27" hidden="1">'I. Previously Submitted'!$A$6:$P$6</definedName>
    <definedName name="_xlnm._FilterDatabase" localSheetId="28" hidden="1">'J. Submission Complete'!$A$6:$P$6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8" i="2" l="1"/>
  <c r="B7" i="44" l="1"/>
  <c r="B8" i="44"/>
  <c r="B11" i="44"/>
  <c r="B10" i="44"/>
  <c r="B9" i="44"/>
  <c r="B9" i="16"/>
  <c r="B10" i="16"/>
  <c r="B13" i="43"/>
  <c r="B12" i="43"/>
  <c r="B11" i="43"/>
  <c r="B10" i="43"/>
  <c r="B9" i="43"/>
  <c r="B8" i="43"/>
  <c r="B7" i="43"/>
  <c r="B11" i="17"/>
  <c r="B10" i="17"/>
  <c r="B12" i="17"/>
  <c r="B9" i="2"/>
  <c r="B7" i="22"/>
  <c r="B8" i="22"/>
  <c r="B9" i="22"/>
  <c r="B10" i="22"/>
  <c r="B13" i="2"/>
  <c r="B18" i="2"/>
  <c r="B19" i="2"/>
  <c r="B12" i="2"/>
  <c r="B22" i="2"/>
  <c r="B21" i="2"/>
  <c r="B15" i="9"/>
  <c r="B16" i="9"/>
  <c r="B17" i="9"/>
  <c r="B14" i="9"/>
  <c r="B11" i="12"/>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2" i="5"/>
  <c r="B13" i="5"/>
  <c r="B11" i="42"/>
  <c r="B10" i="42"/>
  <c r="B9" i="42"/>
  <c r="B8" i="42"/>
  <c r="B7" i="42"/>
  <c r="B10" i="13"/>
  <c r="B16" i="2"/>
  <c r="B15" i="2"/>
  <c r="B10" i="41"/>
  <c r="B11" i="41"/>
  <c r="B9" i="41"/>
  <c r="B8" i="41"/>
  <c r="B7" i="41"/>
  <c r="B10" i="31"/>
  <c r="B11" i="31"/>
  <c r="B10" i="37"/>
  <c r="B9" i="37"/>
  <c r="B8" i="37"/>
  <c r="B7" i="37"/>
  <c r="B7" i="36"/>
  <c r="B8" i="36"/>
  <c r="B10" i="18"/>
  <c r="B9" i="18"/>
  <c r="B11" i="14"/>
  <c r="B12" i="29"/>
  <c r="B9" i="36"/>
  <c r="B9" i="29"/>
  <c r="B13" i="29"/>
  <c r="B11" i="29"/>
  <c r="B10" i="29"/>
  <c r="B8" i="29"/>
  <c r="B7" i="29"/>
  <c r="B13" i="11"/>
  <c r="B12" i="11"/>
  <c r="B12" i="35"/>
  <c r="B10" i="35"/>
  <c r="B11" i="35"/>
  <c r="B9" i="35"/>
  <c r="B8" i="35"/>
  <c r="B7" i="35"/>
  <c r="B7" i="34"/>
  <c r="B10" i="33"/>
  <c r="B8" i="33"/>
  <c r="B9" i="33"/>
  <c r="B7" i="33"/>
  <c r="B9" i="31"/>
  <c r="B11" i="28"/>
  <c r="B10" i="28"/>
  <c r="B9" i="28"/>
  <c r="B8" i="28"/>
  <c r="B7" i="28"/>
  <c r="B9" i="17"/>
  <c r="B8" i="17"/>
  <c r="B7" i="17"/>
  <c r="B10" i="5"/>
  <c r="B8" i="31"/>
  <c r="B7" i="31"/>
  <c r="B15" i="11"/>
  <c r="B14" i="11"/>
  <c r="B11" i="11"/>
  <c r="B10" i="11"/>
  <c r="B9" i="11"/>
  <c r="B8" i="11"/>
  <c r="B7" i="11"/>
  <c r="B12" i="16"/>
  <c r="B13" i="16"/>
  <c r="B14" i="16"/>
  <c r="B26" i="13"/>
  <c r="B25" i="13"/>
  <c r="B10" i="27"/>
  <c r="B7" i="27"/>
  <c r="B9" i="27"/>
  <c r="B8" i="27"/>
  <c r="B7" i="26"/>
  <c r="B9" i="26"/>
  <c r="B8" i="26"/>
  <c r="B10" i="24"/>
  <c r="B7" i="24"/>
  <c r="B9" i="24"/>
  <c r="B8" i="24"/>
  <c r="B7" i="23"/>
  <c r="B9" i="23"/>
  <c r="B8" i="23"/>
  <c r="B12" i="9"/>
  <c r="B11" i="9"/>
  <c r="B10" i="9"/>
  <c r="B9" i="9"/>
  <c r="B11" i="18"/>
  <c r="B13" i="18"/>
  <c r="B12" i="18"/>
  <c r="B8" i="18"/>
  <c r="B7" i="18"/>
  <c r="B11" i="16"/>
  <c r="B15" i="16"/>
  <c r="B16" i="16"/>
  <c r="B17" i="16"/>
  <c r="B8" i="16"/>
  <c r="B7" i="16"/>
  <c r="B12" i="14"/>
  <c r="B13" i="14"/>
  <c r="B10" i="14"/>
  <c r="B9" i="14"/>
  <c r="B8" i="14"/>
  <c r="B7" i="14"/>
  <c r="B35" i="13"/>
  <c r="B34" i="13"/>
  <c r="B33" i="13"/>
  <c r="B32" i="13"/>
  <c r="B31" i="13"/>
  <c r="B30" i="13"/>
  <c r="B29" i="13"/>
  <c r="B28" i="13"/>
  <c r="B24" i="13"/>
  <c r="B23" i="13"/>
  <c r="B22" i="13"/>
  <c r="B21" i="13"/>
  <c r="B20" i="13"/>
  <c r="B19" i="13"/>
  <c r="B17" i="13"/>
  <c r="B16" i="13"/>
  <c r="B15" i="13"/>
  <c r="B14" i="13"/>
  <c r="B13" i="13"/>
  <c r="B12" i="13"/>
  <c r="B37" i="13"/>
  <c r="B38" i="13"/>
  <c r="B11" i="13"/>
  <c r="B8" i="13"/>
  <c r="B7" i="13"/>
  <c r="B10" i="12"/>
  <c r="B9" i="12"/>
  <c r="B8" i="12"/>
  <c r="B7" i="12"/>
  <c r="B7" i="9"/>
  <c r="B8" i="9"/>
  <c r="B11" i="5"/>
  <c r="B9" i="5"/>
  <c r="B8" i="5"/>
  <c r="B7" i="5"/>
  <c r="B26" i="2"/>
  <c r="B10" i="2"/>
  <c r="B24" i="2"/>
  <c r="B25" i="2"/>
  <c r="B7" i="2"/>
</calcChain>
</file>

<file path=xl/sharedStrings.xml><?xml version="1.0" encoding="utf-8"?>
<sst xmlns="http://schemas.openxmlformats.org/spreadsheetml/2006/main" count="3119" uniqueCount="517">
  <si>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</si>
  <si>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</si>
  <si>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</si>
  <si>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</si>
  <si>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</si>
  <si>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</si>
  <si>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</si>
  <si>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</si>
  <si>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</si>
  <si>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</si>
  <si>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</si>
  <si>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</si>
  <si>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</si>
  <si>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</si>
  <si>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</si>
  <si>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</si>
  <si>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</si>
  <si>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</si>
  <si>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</si>
  <si>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</si>
  <si>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</si>
  <si>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</si>
  <si>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</si>
  <si>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</si>
  <si>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</si>
  <si>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</si>
  <si>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</si>
  <si>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</si>
  <si>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</si>
  <si>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</si>
  <si>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</si>
  <si>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</si>
  <si>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</si>
  <si>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</si>
  <si>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</si>
  <si>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</si>
  <si>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</si>
  <si>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</si>
  <si>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</si>
  <si>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</si>
  <si>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</si>
  <si>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</si>
  <si>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</si>
  <si>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</si>
  <si>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</si>
  <si>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</si>
  <si>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</si>
  <si>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</si>
  <si>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</si>
  <si>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</si>
  <si>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</si>
  <si>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</si>
  <si>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</si>
  <si>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</si>
  <si>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</si>
  <si>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</si>
  <si>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</si>
  <si>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</si>
  <si>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</si>
  <si>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</si>
  <si>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</si>
  <si>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</si>
  <si>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</si>
  <si>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</si>
  <si>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</si>
  <si>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</si>
  <si>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</si>
  <si>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</si>
  <si>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Address</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</si>
  <si>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</si>
  <si>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</si>
  <si>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</si>
  <si>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</si>
  <si>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</si>
  <si>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</si>
  <si>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</si>
  <si>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</si>
  <si>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</si>
  <si>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</si>
  <si>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</si>
  <si>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</si>
  <si>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</si>
  <si>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</si>
  <si>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</si>
  <si>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</si>
  <si>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</si>
  <si>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</si>
  <si>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</si>
  <si>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</si>
  <si>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</si>
  <si>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</si>
  <si>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</si>
  <si>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</si>
  <si>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</si>
  <si>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</si>
  <si>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</si>
  <si>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</si>
  <si>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</si>
  <si>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</si>
  <si>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</si>
  <si>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</si>
  <si>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</si>
  <si>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</si>
  <si>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</si>
  <si>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</si>
  <si>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</si>
  <si>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</si>
  <si>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</si>
  <si>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</si>
  <si>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</si>
  <si>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</si>
  <si>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</si>
  <si>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</si>
  <si>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</si>
  <si>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</si>
  <si>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</si>
  <si>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</si>
  <si>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</si>
  <si>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</si>
  <si>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</si>
  <si>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</si>
  <si>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</si>
  <si>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</si>
  <si>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</si>
  <si>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</si>
  <si>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</si>
  <si>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</si>
  <si>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</si>
  <si>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</si>
  <si>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</si>
  <si>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</si>
  <si>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</si>
  <si>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We weren't able to process your application.</t>
  </si>
  <si>
    <t>We're reviewing your application.</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</si>
  <si>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</si>
  <si>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</si>
  <si>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</si>
  <si>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</si>
  <si>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</si>
  <si>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</si>
  <si>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</si>
  <si>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</si>
  <si>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</si>
  <si>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</si>
  <si>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</si>
  <si>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</si>
  <si>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</si>
  <si>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</si>
  <si>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Value must come from a drop down list of valid Canadian provinces. Note: "Quebec" is a valid selection for previous address.</t>
  </si>
  <si>
    <t>Value must come from a drop down list of valid Canadian provinces. Note: "Quebec" is a valid selection for mailing address.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</si>
  <si>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</si>
  <si>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</si>
  <si>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</si>
  <si>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</si>
  <si>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</si>
  <si>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</si>
  <si>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</si>
  <si>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</si>
  <si>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</si>
  <si>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</si>
  <si>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</si>
  <si>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</si>
  <si>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Only visible when primary IDV fails</t>
  </si>
  <si>
    <t>Flinks IDV</t>
  </si>
  <si>
    <t>&lt;&lt;no caption&gt;&gt;</t>
  </si>
  <si>
    <t>Continue</t>
  </si>
  <si>
    <t>On click, validate PIN, and resume application.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</si>
  <si>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</si>
  <si>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</si>
  <si>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</si>
  <si>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</si>
  <si>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</si>
  <si>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</si>
  <si>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</si>
  <si>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</si>
  <si>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</si>
  <si>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</si>
  <si>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</si>
  <si>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</si>
  <si>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</si>
  <si>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</si>
  <si>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</si>
  <si>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</si>
  <si>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</si>
  <si>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</si>
  <si>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</si>
  <si>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</si>
  <si>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</si>
  <si>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</si>
  <si>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</si>
  <si>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</si>
  <si>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</si>
  <si>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</si>
  <si>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</si>
  <si>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</si>
  <si>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</si>
  <si>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</si>
  <si>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</si>
  <si>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</si>
  <si>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</si>
  <si>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</si>
  <si>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</si>
  <si>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</si>
  <si>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</si>
  <si>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</si>
  <si>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</si>
  <si>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Resend Token</t>
  </si>
  <si>
    <t>[Sample barcode image]</t>
  </si>
  <si>
    <t>On click, navigate to the "eConsent" page.</t>
  </si>
  <si>
    <t>On click, navigate back to the "Birthday &amp; SIN"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</si>
  <si>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</si>
  <si>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</si>
  <si>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</si>
  <si>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</si>
  <si>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</si>
  <si>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</si>
  <si>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Always show</t>
  </si>
  <si>
    <t>About your application</t>
  </si>
  <si>
    <t>4a</t>
  </si>
  <si>
    <t>Step 6: What's your address?</t>
  </si>
  <si>
    <t>Please tell us whether you live with your co-applicant</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</si>
  <si>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</si>
  <si>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</si>
  <si>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</si>
  <si>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</si>
  <si>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</si>
  <si>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</si>
  <si>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</si>
  <si>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</si>
  <si>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</si>
  <si>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</si>
  <si>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</si>
  <si>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</si>
  <si>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</si>
  <si>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</si>
  <si>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</si>
  <si>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</si>
  <si>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As Required</t>
  </si>
  <si>
    <t>Small Business Digital Client Onboarding (DCO) - Authorized Signer Form</t>
  </si>
  <si>
    <t>Small Business Digital Client Onboarding (DCO)</t>
  </si>
  <si>
    <t>CWBSB-60</t>
  </si>
  <si>
    <t>Text/verbiage updates for SB CWBSB-96</t>
  </si>
  <si>
    <t>CWBSB-61</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</si>
  <si>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</si>
  <si>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</si>
  <si>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</si>
  <si>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</si>
  <si>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</si>
  <si>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</si>
  <si>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</si>
  <si>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Contact info to be confirmed</t>
  </si>
  <si>
    <t>Changed to "resident of Canada" instead of "tax resident" (tax residency not required for auth signers).</t>
  </si>
  <si>
    <t>CWBSB-71</t>
  </si>
  <si>
    <t>1.0 WIP</t>
  </si>
  <si>
    <t>CWBSB-166</t>
  </si>
  <si>
    <t>CWBSB-167</t>
  </si>
  <si>
    <t>On click, navigate to "Auth Signer Qualifying Questions" page (CWBSB-63)</t>
  </si>
  <si>
    <t>On click, navigate to "Auth Signer Contact Info" page (CWBSB-166)</t>
  </si>
  <si>
    <t>On click, navigate back to "Contact Info" page (CWBSB-166)</t>
  </si>
  <si>
    <t>CWBSB-64</t>
  </si>
  <si>
    <t>What's your address?</t>
  </si>
  <si>
    <t>Name &amp; Address</t>
  </si>
  <si>
    <t>Deprecated for Auth Signer</t>
  </si>
  <si>
    <t>On click, navigate to "Name &amp; Address" page (CWBSB-64)</t>
  </si>
  <si>
    <t>DEPRECATED</t>
  </si>
  <si>
    <t>N/A</t>
  </si>
  <si>
    <t>Show auth signer e-mail address as provided by primary applicant.</t>
  </si>
  <si>
    <t>Show auth signer mobile number as provided by primary applicant.</t>
  </si>
  <si>
    <t>On click, apply the following conditional logic:
A) If the mobile number has not been verified (user changed their number), navigate to Auth Signer "Mobile Verification" page CWBSB-167
B) If the mobile number has been verified or is the same one originally provided by the primary applicant, navigate to "Qualifying Questions" page CWBSB-63</t>
  </si>
  <si>
    <t>Text/verbiage updates CWBSB-172</t>
  </si>
  <si>
    <t>Subject to business rules in Auth Signer Contact Info CWBSB-166</t>
  </si>
  <si>
    <t>On click, navigate to "Auth Signer ID Scan" page (CWBSB-62)</t>
  </si>
  <si>
    <t>On click, navigate to "Auth Signer Birthday &amp; SIN" page (CWBSB-71)</t>
  </si>
  <si>
    <r>
      <t xml:space="preserve">If you would like to update your contact information, you may do so now.
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</si>
  <si>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</si>
  <si>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</si>
  <si>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</si>
  <si>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</si>
  <si>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</si>
  <si>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</si>
  <si>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</si>
  <si>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</si>
  <si>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t>If box remains unchecked, if user clicks Next, display mandatory message and do not navigate to the next page.
If box is checked, allow navigation to next page as detailed below.</t>
  </si>
  <si>
    <t>On click, and check box 5.8 is unchecked, display mandatory message (described above) and remain on page.
On click, and check box 5.8 is checked, navigate to "ID Scan" page (CWBSB-62)</t>
  </si>
  <si>
    <t>Yes, I meet all of the above criteria</t>
  </si>
  <si>
    <t>Text/verbiage updates for SB CWBSB-222</t>
  </si>
  <si>
    <t>1.2 WIP</t>
  </si>
  <si>
    <t>Final language to be confirmed</t>
  </si>
  <si>
    <t>Text/verbiage updates - CWBSB-223</t>
  </si>
  <si>
    <t>CWBSB-228</t>
  </si>
  <si>
    <t>CWBSB-229</t>
  </si>
  <si>
    <t>On click, navigate to one of the following pages, based on the user's radio button selection:
A) "Flinks" page (CWBSB-229)
B) "Manual IDV" (CWBSB-230)</t>
  </si>
  <si>
    <t>If the user selects radio button 11.6 and clicks "Next" (11.8),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</si>
  <si>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After the user clicks "Next", if radio button 11.6 has been selected.</t>
  </si>
  <si>
    <t>On Click...
Navigate back to the Alternate IDV page (CWBSB-228)</t>
  </si>
  <si>
    <t>CWBSB-230</t>
  </si>
  <si>
    <t>Additional reusable pages identified from personal (co-app):
5. Qualifying Questions
10. eConsent
11. Alternate IDV
12. Flinks
13. Manual IDV</t>
  </si>
  <si>
    <t>1. Your personal details
2. Optionally, your Social Insurance Number and drivers license
3. About 10 minutes of your time</t>
  </si>
  <si>
    <t>Conditional</t>
  </si>
  <si>
    <t>Always (see Business Rules)</t>
  </si>
  <si>
    <t>You and these other individuals will have signing and transactional authority for the new account(s).</t>
  </si>
  <si>
    <t>Always include name of business in &lt;&lt;business name&gt;&gt; field</t>
  </si>
  <si>
    <t>Display this section for all individuals with Authorized Signer role (see CWBSB-43).
Hide section only if individual does NOT have Authorized Signer role.</t>
  </si>
  <si>
    <t>Conditional (see Business Rules)</t>
  </si>
  <si>
    <t>Include section for all individuals with Authorized Signer role (omit for individuals without Authorized Signer role)</t>
  </si>
  <si>
    <t>Render product name and description lines for each Complementary Product selected (from the main SB DCO form).
Omit section if no Complementary Products selected.</t>
  </si>
  <si>
    <t>Welcome…</t>
  </si>
  <si>
    <t>Birthday, SIN &amp; Occupation</t>
  </si>
  <si>
    <t>CWBSB-73</t>
  </si>
  <si>
    <t>Our fine print</t>
  </si>
  <si>
    <t>Something went wrong…</t>
  </si>
  <si>
    <t>CWBSB-235</t>
  </si>
  <si>
    <t>CWBSB-236</t>
  </si>
  <si>
    <t>Unfortunately, we are unable to approve your application at this time.</t>
  </si>
  <si>
    <t xml:space="preserve">You are welcome to reapply to CWB in six months. </t>
  </si>
  <si>
    <t>CWBSB-237</t>
  </si>
  <si>
    <t>CWBSB-238</t>
  </si>
  <si>
    <t>CWBSB-239</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</si>
  <si>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</si>
  <si>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</si>
  <si>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</si>
  <si>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On click, validate token and resume application.</t>
  </si>
  <si>
    <t>CWBSB-240</t>
  </si>
  <si>
    <t>CWBSB-241</t>
  </si>
  <si>
    <t>CWBSB-242</t>
  </si>
  <si>
    <t>CWBSB-244</t>
  </si>
  <si>
    <t>Please enter the token we sent to your mobile number.</t>
  </si>
  <si>
    <t>Wording reviewed/updated (Connie S.)</t>
  </si>
  <si>
    <t>Mandatory Message wording reviewed/updated (Connie S.)</t>
  </si>
  <si>
    <t>We'll send you status updates and important information about your application.</t>
  </si>
  <si>
    <t>Need to take a break? We'll save your application and send a one-time password to your mobile phone, so you can resume it later.</t>
  </si>
  <si>
    <t>CWBSB-245</t>
  </si>
  <si>
    <t>On click, navigate to "Existing Customer Check" page CWBSB-245</t>
  </si>
  <si>
    <t>We can scan the back of your driver's licence to quickly fill in your personal information. Upload an image or skip this step if you wish to fill in this information yourself.</t>
  </si>
  <si>
    <t>Reviewed/updated verbiage (Connie S.)
- Caption</t>
  </si>
  <si>
    <t>CWBSB-246</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</si>
  <si>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</si>
  <si>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</si>
  <si>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Insert first name of Authorized Signer as indicated by &lt;&lt;&gt;&gt;tags</t>
  </si>
  <si>
    <t>Summary will need to include complementary products, applicant and other auth signers</t>
  </si>
  <si>
    <t>Text/verbiage updates CWBSB-279</t>
  </si>
  <si>
    <t>Note: generic wording required in heading and main paragraph as this page is also used for resume after save.</t>
  </si>
  <si>
    <t>CWB Business Account Agreement</t>
  </si>
  <si>
    <t>Hyperlink to URL: TBD
Open in new window</t>
  </si>
  <si>
    <t>URL to be confirmed</t>
  </si>
  <si>
    <t>Almost there</t>
  </si>
  <si>
    <t>Let's get started</t>
  </si>
  <si>
    <t>A) No
B) Yes</t>
  </si>
  <si>
    <t>A) No</t>
  </si>
  <si>
    <t>Review for language.
Destination page/URL for OKTA log in is to be confirmed.</t>
  </si>
  <si>
    <t>On click, navigate to the "Auth Signer Landing Page" (CWBSB-61)</t>
  </si>
  <si>
    <t>On click
IF radio button 2.3 = "No", navigate to the "Contact Info" page (CWBSB-166);
ELSE IF radio button 2.3 = "Yes" go to OKTA log in</t>
  </si>
  <si>
    <t xml:space="preserve">If you ever need to contact a CWB Business representative, we may use this question to help confirm your identity and secure your account. </t>
  </si>
  <si>
    <t>By submission of this application, I certify that I understand and agree to the agreements listed.</t>
  </si>
  <si>
    <t>1.4 WIP</t>
  </si>
  <si>
    <t>This leads to the "authenticated path" if individual is an existing client</t>
  </si>
  <si>
    <t>Updates for development in Sprint 6:
3. Existing Customer Check</t>
  </si>
  <si>
    <t>19.17</t>
  </si>
  <si>
    <t>On behalf of the business entity named above, I certify this information</t>
  </si>
  <si>
    <t>Please check the box to confirm your agreement.</t>
  </si>
  <si>
    <t>If box is unchecked and user clicks "Next", remain on page and display mandatory message</t>
  </si>
  <si>
    <t>As an Authorized Signer for &lt;&lt;business legal name&gt;&gt;, I &lt;&lt;First Name&gt;&gt; &lt;&lt;Last Name&gt;&gt;, have read and agree to these terms and conditions:</t>
  </si>
  <si>
    <t>Security Question (Contact Log)</t>
  </si>
  <si>
    <t>Security question</t>
  </si>
  <si>
    <t>If you ever need to contact a CWB representative about your business account(s), we may use this question to help confirm your identity and secure your account.</t>
  </si>
  <si>
    <t>Choose your security question</t>
  </si>
  <si>
    <t xml:space="preserve">If you ever need to contact a CWB representative, we may use this question to help confirm your identity and secure your account. </t>
  </si>
  <si>
    <t>Answer your security question</t>
  </si>
  <si>
    <t>On click, navigate to 'eConsent' page CWBSB-72</t>
  </si>
  <si>
    <t>On click, navigate back to 'Birthday, SIN and Occupation' page CWBSB-71</t>
  </si>
  <si>
    <t>Note: this is identical to the entry page after Save/Resume (tab F)</t>
  </si>
  <si>
    <t>CWBSB-481</t>
  </si>
  <si>
    <t>1.5 WIP</t>
  </si>
  <si>
    <t>Alphanumeric, spaces and special characters including ‘ ( ) + , - . / : ? &amp;</t>
  </si>
  <si>
    <t>With your permission…</t>
  </si>
  <si>
    <t>Addition of debit card question, move check box CWBSB-486</t>
  </si>
  <si>
    <t>Do you need a business debit card?</t>
  </si>
  <si>
    <t>No selection</t>
  </si>
  <si>
    <t>Please confirm whether you require a business debit card.</t>
  </si>
  <si>
    <t>Link URL for Business Debit Card/PIN Agreement is to be confirmed.</t>
  </si>
  <si>
    <t>Reveal only if radio button 10.3 selection = "Yes"</t>
  </si>
  <si>
    <t>Reveal only if check box 10.3 selection = "Yes".
Hyperlink underlined text to this URL:
TBC
(open in new browser tab)</t>
  </si>
  <si>
    <t>Insert Authorized Signer first and last name in fields indicated by &lt;&lt;&gt;&gt; tags</t>
  </si>
  <si>
    <t>DEPRECATED - not required for Auth Signer</t>
  </si>
  <si>
    <t>Security question moved to its own page - see tab 9 (CWBSB-481)</t>
  </si>
  <si>
    <t>Display standard decline image</t>
  </si>
  <si>
    <t>Display standard cancel image</t>
  </si>
  <si>
    <r>
      <t xml:space="preserve">By checking the box at the bottom of this page, I acknowledge I have read and accept the conditions set out in the </t>
    </r>
    <r>
      <rPr>
        <u/>
        <sz val="11"/>
        <color theme="1"/>
        <rFont val="Calibri"/>
        <family val="2"/>
        <scheme val="minor"/>
      </rPr>
      <t>Business Debit Card and PIN Agreement</t>
    </r>
    <r>
      <rPr>
        <sz val="11"/>
        <color theme="1"/>
        <rFont val="Calibri"/>
        <family val="2"/>
        <scheme val="minor"/>
      </rPr>
      <t>.</t>
    </r>
  </si>
  <si>
    <t>Display standard generic error image</t>
  </si>
  <si>
    <t>See CWB design system for image assets.</t>
  </si>
  <si>
    <t>Display standard manual review image</t>
  </si>
  <si>
    <t>Display standard save image</t>
  </si>
  <si>
    <t>(no caption)</t>
  </si>
  <si>
    <t>Insert standard submission complete image</t>
  </si>
  <si>
    <t>Refer to CWB design system for image asset</t>
  </si>
  <si>
    <t>J</t>
  </si>
  <si>
    <t>Submission Complete Page</t>
  </si>
  <si>
    <t>CWBSB-522</t>
  </si>
  <si>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</si>
  <si>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1.6 WIP</t>
  </si>
  <si>
    <t>&lt;&lt;applicant fname&gt;&gt; &lt;&lt;applicant lname&gt;&gt;
&lt;&lt;auth signer fname&gt;&gt; &lt;&lt;auth signer lname&gt;&gt;
&lt;&lt;auth signer fname&gt;&gt; &lt;&lt;auth signer lname&gt;&gt;
&lt;&lt;auth signer fname&gt;&gt; &lt;&lt;auth signer lname&gt;&gt;</t>
  </si>
  <si>
    <r>
      <t xml:space="preserve">Always include name of applicant (from main SB DCO form) in &lt;&lt;applicant fname&gt;&gt; &lt;&lt;applicant lname&gt;&gt; fields.
Include names of Authorized Signers </t>
    </r>
    <r>
      <rPr>
        <u/>
        <sz val="11"/>
        <color theme="1"/>
        <rFont val="Calibri"/>
        <family val="2"/>
        <scheme val="minor"/>
      </rPr>
      <t>other than</t>
    </r>
    <r>
      <rPr>
        <sz val="11"/>
        <color theme="1"/>
        <rFont val="Calibri"/>
        <family val="2"/>
        <scheme val="minor"/>
      </rPr>
      <t xml:space="preserve"> the "signed in" individual only if applicable
(&lt;&lt;auth signer fname&gt;&gt; &lt;&lt;auth signer lname&gt;&gt;
&lt;&lt;auth signer fname&gt;&gt; &lt;&lt;auth signer lname&gt;&gt;
&lt;&lt;auth signer fname&gt;&gt; &lt;&lt;auth signer lname&gt;&gt; fields)</t>
    </r>
  </si>
  <si>
    <t>Percentage complete value (progress bar)</t>
  </si>
  <si>
    <t>Step name (above progress bar)</t>
  </si>
  <si>
    <t>We need some information about you! You've been identifed as an authorized signer on an application to open the business account(s) and complementary products listed below on behalf of &lt;&lt;business name&gt;&gt;.</t>
  </si>
  <si>
    <t>&lt;&lt;product catalogue.product name&gt;&gt;</t>
  </si>
  <si>
    <t>&lt;&lt;product catalogue.product tag-line&gt;&gt;</t>
  </si>
  <si>
    <t>Hello &lt;&lt;auth signer first name&gt;&gt;</t>
  </si>
  <si>
    <t>Product tag-line (short description) for this product card.</t>
  </si>
  <si>
    <t>Product name for this product .</t>
  </si>
  <si>
    <t>Always include (digital banking always added with a DCO business account)</t>
  </si>
  <si>
    <t>Digital banking</t>
  </si>
  <si>
    <r>
      <t xml:space="preserve">Manage payments and receivables electronically via
- </t>
    </r>
    <r>
      <rPr>
        <i/>
        <sz val="11"/>
        <color theme="1"/>
        <rFont val="Calibri"/>
        <family val="2"/>
        <scheme val="minor"/>
      </rPr>
      <t>Interac</t>
    </r>
    <r>
      <rPr>
        <sz val="11"/>
        <color theme="1"/>
        <rFont val="Calibri"/>
        <family val="2"/>
        <scheme val="minor"/>
      </rPr>
      <t xml:space="preserve"> e-Transfer (including Request Money)
- Bill payments
- Government (tax) payment and filing
- Deposit Anywhere (remote deposit capture)</t>
    </r>
  </si>
  <si>
    <t>Display product list (accounts) - repeat for each account selected in the primary application form</t>
  </si>
  <si>
    <t>Display product list (complementary products) for each complementary product selected in the primary application form</t>
  </si>
  <si>
    <t>&lt;&lt;complementary product name&gt;&gt;</t>
  </si>
  <si>
    <t>&lt;&lt;complementary product tag-line&gt;&gt;</t>
  </si>
  <si>
    <t>Are you already a CWB or Motive Financial banking client?</t>
  </si>
  <si>
    <r>
      <t xml:space="preserve">Needs to include Applicant and Auth Signers </t>
    </r>
    <r>
      <rPr>
        <u/>
        <sz val="11"/>
        <color theme="1"/>
        <rFont val="Calibri"/>
        <family val="2"/>
        <scheme val="minor"/>
      </rPr>
      <t>other than</t>
    </r>
    <r>
      <rPr>
        <sz val="11"/>
        <color theme="1"/>
        <rFont val="Calibri"/>
        <family val="2"/>
        <scheme val="minor"/>
      </rPr>
      <t xml:space="preserve"> the "signed in" individual (bug CWBSB-568)</t>
    </r>
  </si>
  <si>
    <t>Needs to include all complementary products selected</t>
  </si>
  <si>
    <t>End product list</t>
  </si>
  <si>
    <t>Please provide a valid email address.</t>
  </si>
  <si>
    <t>Email address</t>
  </si>
  <si>
    <t>Mobile phone number</t>
  </si>
  <si>
    <t>Please provide a valid mobile phone number.</t>
  </si>
  <si>
    <t>Reviewed/updated verbiage (Connie S.)
- Inline Help, validation message</t>
  </si>
  <si>
    <t>Reviewed/updated verbiage (Connie S.)
- Inline Help, validation message, mandatory message</t>
  </si>
  <si>
    <t>Text/verbiage updates CWBSB-616</t>
  </si>
  <si>
    <r>
      <t xml:space="preserve">Please review the list above and confirm that you meet all of the conditions by checking this box. For more information, please contact CWB at </t>
    </r>
    <r>
      <rPr>
        <sz val="11"/>
        <rFont val="Calibri"/>
        <family val="2"/>
        <scheme val="minor"/>
      </rPr>
      <t>1 (xxx) xxx-xxxx.</t>
    </r>
  </si>
  <si>
    <t>Wording review - updated caption (Connie S.)</t>
  </si>
  <si>
    <t>First name</t>
  </si>
  <si>
    <t>Last name</t>
  </si>
  <si>
    <t>Enumerated list</t>
  </si>
  <si>
    <t>Canadian Postal Code (see DCO standards doc)</t>
  </si>
  <si>
    <t>Only if manual address mode is enabled on field 7.6 (current address).</t>
  </si>
  <si>
    <t>Pre-populate this field with IDScan data 
OR
Auth Signer first name as entered in the primary applicant form</t>
  </si>
  <si>
    <t>Updated to include all allowable characters for consistency. Elaborated pre-fill info (will populate name based on main form).</t>
  </si>
  <si>
    <t>Please tell us your physical address.</t>
  </si>
  <si>
    <t>Wording review - updated mandatory message (Connie S.)</t>
  </si>
  <si>
    <t>Please provide a street number.</t>
  </si>
  <si>
    <t>Please provide a street name.</t>
  </si>
  <si>
    <t>Please provide a city name.</t>
  </si>
  <si>
    <t>Please provide a postal code.</t>
  </si>
  <si>
    <t>Please select a province.</t>
  </si>
  <si>
    <t>Please provide a valid Canadian postal code.</t>
  </si>
  <si>
    <t>Canadian postal code - refer to DCO Standards doc</t>
  </si>
  <si>
    <t>Home (resides at) address section</t>
  </si>
  <si>
    <t>Mailing address section</t>
  </si>
  <si>
    <t>Previous address section</t>
  </si>
  <si>
    <t>Only if radio button 7.13 is "No".</t>
  </si>
  <si>
    <t>Only if radio button 7.13 is "No", and manual address mode is enabled on field 7.14 (previous address).</t>
  </si>
  <si>
    <t>Please tell us your previous physical address.</t>
  </si>
  <si>
    <t>Please tell us your mailing address.</t>
  </si>
  <si>
    <t>Yes, if radio button 7.21 is "No", and not in manual address mode.</t>
  </si>
  <si>
    <t xml:space="preserve">Please provide a street name or P.O. box number. </t>
  </si>
  <si>
    <t>Yes, if radio button 7.13 is "No", and not in manual address mode.</t>
  </si>
  <si>
    <t>Only if radio button 7.21 is "No".</t>
  </si>
  <si>
    <t>Only if radio button 7.21 is "No", and manual address mode is enabled on field 7.22 (mailing address).</t>
  </si>
  <si>
    <t>Wording review - updated mandatory message (Connie S.)
Apply standard treatment/validation for Canadian postal code, per Standards doc.</t>
  </si>
  <si>
    <t>Text/verbiage updates CWBSB-173</t>
  </si>
  <si>
    <t>Please tell us your birthday.</t>
  </si>
  <si>
    <t>Please tell us your current occupation.</t>
  </si>
  <si>
    <t>On click, navigate to "Security Question" page (CWBSB-481)</t>
  </si>
  <si>
    <t>Corrected navigation</t>
  </si>
  <si>
    <t>Text/verbiage updates CWBSB-98</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</si>
  <si>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</si>
  <si>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If your new business account(s) will only require one person to authorize a transaction, you can request a debit card for in-person transactions and ATM access.</t>
  </si>
  <si>
    <t>We require this information to open your new account.</t>
  </si>
  <si>
    <t>We will use 3rd party sources to validate and confirm the information you submitted.</t>
  </si>
  <si>
    <t>We will utilize a deposit inquiry credit score for opening your account.</t>
  </si>
  <si>
    <t>UX recommendation to move the check box to the bottom of the page.</t>
  </si>
  <si>
    <t>Wording review - updated inline help (Connie S.)</t>
  </si>
  <si>
    <t>Users must check this box to proceed with their application.
Hyperlink underlined text to the following URL:
https://www.cwb.com/about-us/privacy
(open in new window/tab)</t>
  </si>
  <si>
    <r>
      <t xml:space="preserve">Please check the box to indicate your agreement. For more information about how we use and protect your information, please view our </t>
    </r>
    <r>
      <rPr>
        <u/>
        <sz val="11"/>
        <color theme="1"/>
        <rFont val="Calibri"/>
        <family val="2"/>
        <scheme val="minor"/>
      </rPr>
      <t>privacy statement</t>
    </r>
    <r>
      <rPr>
        <sz val="11"/>
        <color theme="1"/>
        <rFont val="Calibri"/>
        <family val="2"/>
        <scheme val="minor"/>
      </rPr>
      <t>.</t>
    </r>
  </si>
  <si>
    <t>I, &lt;&lt;auth signer first name&gt;&gt; &lt;&lt;auth signer last name&gt;&gt;, agree to allow CWB to:</t>
  </si>
  <si>
    <t>- Collect and maintain the information submitted in this application.</t>
  </si>
  <si>
    <t>- Use my information to confirm my identity.</t>
  </si>
  <si>
    <t>- Use my information to confirm my credit score.</t>
  </si>
  <si>
    <t>On click, navigate back to "Security Question" page CWBSB-481</t>
  </si>
  <si>
    <t>We were unable to verify some of your personal information. To protect your identity, we need a little help from you. Please choose one of the methods below to continue.</t>
  </si>
  <si>
    <t>Text/verbiage updates CWBSB-635</t>
  </si>
  <si>
    <t>On click, start Fraud Check procedures.
IF primary IDV succeeds
AND other background checks do NOT result in a manual review condition
Close/submit Auth Signer form and display 'Submission Complete' modal page CWBSB-521
ELSE IF primary IDV fails
Navigate to Alternate IDV page CWBSB-228</t>
  </si>
  <si>
    <t xml:space="preserve">On click
IF no manual review conditions exist from other background checks
Close/submit Auth Signer form and display 'Submission Complete' modal page CWBSB-521
ELSE IF one or more manual review conditions exist
Display 'Manual Review' modal page CWBSB-236.
</t>
  </si>
  <si>
    <t>Please send one of the following documents to business-onboarding@cwbank.com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(xxx) xxx-xxxx.</t>
  </si>
  <si>
    <t>Wording review - updated caption (Connie S.)
Note: contact# is still TBD.</t>
  </si>
  <si>
    <t>For assistance, please email business-onboarding@cwbank.com, and we will be happy to help you complete your application.</t>
  </si>
  <si>
    <t>The email address and contact phone# should be hyperlinked.</t>
  </si>
  <si>
    <t>Text/verbiage updates CWBSB-636</t>
  </si>
  <si>
    <t>Contacting you</t>
  </si>
  <si>
    <t>Wording review - updated (CS)</t>
  </si>
  <si>
    <t>A convenient option</t>
  </si>
  <si>
    <t>About you</t>
  </si>
  <si>
    <t>Wording review-updated (CS)</t>
  </si>
  <si>
    <t>Refer to CWB design kit for image assets</t>
  </si>
  <si>
    <t>Text/verbiage updates CWBSB-92 (note this story is in the main SB DCO form Epic CWBSB-1)</t>
  </si>
  <si>
    <t>As Required (in response to unexpected errors)</t>
  </si>
  <si>
    <t>The email address should by hyperlinked ("mailto" link) - see DCO standards document</t>
  </si>
  <si>
    <t>Please check your email for some next steps, or contact a CWB Business team member at business-onboarding@cwbank.com.</t>
  </si>
  <si>
    <t>The email address should be hyperlinked ("mailto" link) - see DCO standards doc.</t>
  </si>
  <si>
    <t>We've cancelled your application, but if you change your mind, please email us at business-onboarding@cwbank.com.</t>
  </si>
  <si>
    <t>Format email address as Mailto link - see DCO standards doc.</t>
  </si>
  <si>
    <t>Text/verbiage updates CWBSB-213 (note this story is in the main SB DCO form Epic CWBSB-1)</t>
  </si>
  <si>
    <t>Your application is safe with us.</t>
  </si>
  <si>
    <t>Text/verbiage updates CWBSB-177 (note this story is in the main SB DCO form Epic CWBSB-1)</t>
  </si>
  <si>
    <t>Text/verbiage updates CWBSB-178 (note this story is in the main SB DCO form Epic CWBSB-1)</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</si>
  <si>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</si>
  <si>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You have already submitted an application.
For assistance, please e-mail CWB at business-onboarding@cwbank.com.
Your reference number is:</t>
  </si>
  <si>
    <t>The email address should by hyperlinked ("mailto" link) - see DCO standards doc.</t>
  </si>
  <si>
    <t>Submission complete</t>
  </si>
  <si>
    <t>Text/verbiage updates CWBSB-95 (note this story is in the main SB DCO form Epic CWBSB-1)</t>
  </si>
  <si>
    <t>Submission complete.</t>
  </si>
  <si>
    <t>Thank you for completing your application. Please check your email for further information.
If you need any assistance, please contact a CWB Business Team member at business-onboarding@cwbank.com.
Your reference number is:</t>
  </si>
  <si>
    <t>Text/verbiage updates CWBSB-533 (note this story is in the main SB DCO form Epic CWBSB-1)</t>
  </si>
  <si>
    <t>Deprecated - no decisioning in Auth Signer form to generate this screen</t>
  </si>
  <si>
    <r>
      <t xml:space="preserve">2. Landing page updated to clarify treatment for auth signer names (bug CWBSB-568)
Updated field types to include "Step name" (above Progress Bar) following navigation decision, with updated wording as reviewed by Connie and DCO/UX teams.
Updated all wording per Connie's review.
Linked verbiage update stories for modal pages used across both main and Auth Signer forms (A. Generic Error, D. Cancel, E. Save, F. Resume, I. Previously Submitted, J. Submission Complete).
Deprecated C. Manual Review as no decisioning to generate this page in Auth Signer form.
</t>
    </r>
    <r>
      <rPr>
        <b/>
        <sz val="10"/>
        <color theme="1"/>
        <rFont val="Calibri"/>
        <family val="2"/>
        <scheme val="minor"/>
      </rPr>
      <t>Note:</t>
    </r>
    <r>
      <rPr>
        <sz val="10"/>
        <color theme="1"/>
        <rFont val="Calibri"/>
        <family val="2"/>
        <scheme val="minor"/>
      </rPr>
      <t xml:space="preserve"> all pages complete in this version except 3. Existing Customer Check, 5. Qualifying Questions, 10. eConsent, 13. Manual IDV</t>
    </r>
  </si>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</sst>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4"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trike/>
      <sz val="11"/>
      <color theme="1"/>
      <name val="Calibri"/>
      <family val="2"/>
      <scheme val="minor"/>
    </font>
    <font>
      <u/>
      <sz val="11"/>
      <color theme="10"/>
      <name val="Calibri"/>
      <family val="2"/>
      <scheme val="minor"/>
    </font>
    <font>
      <i/>
      <sz val="11"/>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2">
    <xf numFmtId="0" fontId="0" fillId="0" borderId="0"/>
    <xf numFmtId="0" fontId="11" fillId="0" borderId="0" applyNumberFormat="0" applyFill="0" applyBorder="0" applyAlignment="0" applyProtection="0"/>
  </cellStyleXfs>
  <cellXfs count="9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11" fillId="0" borderId="0" xfId="1" applyFill="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9" fillId="5" borderId="0" xfId="0" applyFont="1" applyFill="1" applyAlignment="1">
      <alignment horizontal="left" vertical="center" wrapText="1"/>
    </xf>
    <xf numFmtId="0" fontId="8" fillId="0" borderId="0" xfId="0" applyFont="1" applyFill="1" applyAlignment="1">
      <alignment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437">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topLeftCell="A10" zoomScaleNormal="100" workbookViewId="0">
      <selection activeCell="A13" sqref="A13"/>
    </sheetView>
  </sheetViews>
  <sheetFormatPr defaultRowHeight="14.5" x14ac:dyDescent="0.35"/>
  <cols>
    <col min="1" max="1" width="19.81640625" customWidth="1"/>
    <col min="2" max="2" width="18.7265625" bestFit="1" customWidth="1"/>
    <col min="3" max="3" width="67.54296875" customWidth="1"/>
    <col min="4" max="5" width="21.54296875" customWidth="1"/>
    <col min="6" max="6" width="20.1796875" customWidth="1"/>
  </cols>
  <sheetData>
    <row r="1" spans="1:15" s="1" customFormat="1" ht="18.5" x14ac:dyDescent="0.35">
      <c r="A1" s="1" t="s">
        <v>238</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ht="15" customHeight="1" x14ac:dyDescent="0.35">
      <c r="A6" s="12" t="s">
        <v>227</v>
      </c>
      <c r="B6" s="13">
        <v>44026</v>
      </c>
      <c r="C6" s="14" t="s">
        <v>228</v>
      </c>
      <c r="D6" s="23" t="s">
        <v>229</v>
      </c>
      <c r="E6" s="25"/>
    </row>
    <row r="7" spans="1:15" s="4" customFormat="1" ht="52" x14ac:dyDescent="0.35">
      <c r="A7" s="15" t="s">
        <v>253</v>
      </c>
      <c r="B7" s="16">
        <v>44036</v>
      </c>
      <c r="C7" s="17" t="s">
        <v>277</v>
      </c>
      <c r="D7" s="26" t="s">
        <v>229</v>
      </c>
      <c r="E7" s="18" t="s">
        <v>279</v>
      </c>
    </row>
    <row r="8" spans="1:15" s="4" customFormat="1" ht="91" x14ac:dyDescent="0.35">
      <c r="A8" s="15" t="s">
        <v>276</v>
      </c>
      <c r="B8" s="16">
        <v>44056</v>
      </c>
      <c r="C8" s="17" t="s">
        <v>278</v>
      </c>
      <c r="D8" s="26" t="s">
        <v>229</v>
      </c>
      <c r="E8" s="18" t="s">
        <v>279</v>
      </c>
    </row>
    <row r="9" spans="1:15" s="4" customFormat="1" ht="78" x14ac:dyDescent="0.35">
      <c r="A9" s="15" t="s">
        <v>286</v>
      </c>
      <c r="B9" s="16">
        <v>44085</v>
      </c>
      <c r="C9" s="17" t="s">
        <v>296</v>
      </c>
      <c r="D9" s="26" t="s">
        <v>229</v>
      </c>
      <c r="E9" s="18"/>
    </row>
    <row r="10" spans="1:15" s="4" customFormat="1" ht="208" x14ac:dyDescent="0.35">
      <c r="A10" s="15" t="s">
        <v>336</v>
      </c>
      <c r="B10" s="16">
        <v>44134</v>
      </c>
      <c r="C10" s="17" t="s">
        <v>337</v>
      </c>
      <c r="D10" s="26" t="s">
        <v>229</v>
      </c>
      <c r="E10" s="18"/>
    </row>
    <row r="11" spans="1:15" s="4" customFormat="1" ht="26" x14ac:dyDescent="0.35">
      <c r="A11" s="15" t="s">
        <v>354</v>
      </c>
      <c r="B11" s="16">
        <v>44218</v>
      </c>
      <c r="C11" s="17" t="s">
        <v>356</v>
      </c>
      <c r="D11" s="26" t="s">
        <v>229</v>
      </c>
      <c r="E11" s="18"/>
    </row>
    <row r="12" spans="1:15" s="4" customFormat="1" ht="169" x14ac:dyDescent="0.35">
      <c r="A12" s="15" t="s">
        <v>372</v>
      </c>
      <c r="B12" s="16">
        <v>44239</v>
      </c>
      <c r="C12" s="17" t="s">
        <v>398</v>
      </c>
      <c r="D12" s="26" t="s">
        <v>229</v>
      </c>
      <c r="E12" s="18"/>
    </row>
    <row r="13" spans="1:15" s="4" customFormat="1" ht="143" x14ac:dyDescent="0.35">
      <c r="A13" s="15" t="s">
        <v>399</v>
      </c>
      <c r="B13" s="16">
        <v>44267</v>
      </c>
      <c r="C13" s="17" t="s">
        <v>514</v>
      </c>
      <c r="D13" s="26" t="s">
        <v>229</v>
      </c>
      <c r="E13" s="18"/>
    </row>
    <row r="14" spans="1:15" s="4" customFormat="1" x14ac:dyDescent="0.35">
      <c r="A14" s="54"/>
      <c r="B14" s="55"/>
      <c r="C14" s="56"/>
      <c r="D14" s="57"/>
      <c r="E14" s="58"/>
    </row>
    <row r="15" spans="1:15" s="4" customFormat="1" ht="15" thickBot="1" x14ac:dyDescent="0.4">
      <c r="A15" s="19"/>
      <c r="B15" s="20"/>
      <c r="C15" s="21"/>
      <c r="D15" s="24"/>
      <c r="E15" s="22"/>
    </row>
  </sheetData>
  <conditionalFormatting sqref="H1:I2">
    <cfRule type="cellIs" dxfId="436" priority="10" operator="equal">
      <formula>"Not Applicable"</formula>
    </cfRule>
    <cfRule type="cellIs" dxfId="435" priority="11" operator="equal">
      <formula>"4 - Future Initiative (out of scope)"</formula>
    </cfRule>
    <cfRule type="cellIs" dxfId="434" priority="12" operator="equal">
      <formula>"3 - Desirable (Nice To Have)"</formula>
    </cfRule>
    <cfRule type="cellIs" dxfId="433" priority="13" operator="equal">
      <formula>"2 - Recommended (Best Practice)"</formula>
    </cfRule>
    <cfRule type="cellIs" dxfId="432" priority="14" operator="equal">
      <formula>"1 - Mandatory (Must Have)"</formula>
    </cfRule>
  </conditionalFormatting>
  <conditionalFormatting sqref="F1:F2">
    <cfRule type="cellIs" dxfId="431" priority="8" operator="equal">
      <formula>"Non-functional"</formula>
    </cfRule>
    <cfRule type="cellIs" dxfId="430"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A3" sqref="A3"/>
    </sheetView>
  </sheetViews>
  <sheetFormatPr defaultRowHeight="14.5" x14ac:dyDescent="0.35"/>
  <cols>
    <col min="1" max="1" width="47.26953125" bestFit="1" customWidth="1"/>
    <col min="2" max="2" width="25.54296875" customWidth="1"/>
  </cols>
  <sheetData>
    <row r="1" spans="1:15" s="1" customFormat="1" ht="18.5" x14ac:dyDescent="0.35">
      <c r="A1" s="1" t="s">
        <v>239</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7" customFormat="1" x14ac:dyDescent="0.35">
      <c r="A4" s="27" t="s">
        <v>28</v>
      </c>
      <c r="B4" s="27" t="s">
        <v>39</v>
      </c>
    </row>
    <row r="5" spans="1:15" x14ac:dyDescent="0.35">
      <c r="A5" t="s">
        <v>43</v>
      </c>
      <c r="B5" t="s">
        <v>42</v>
      </c>
    </row>
    <row r="6" spans="1:15" x14ac:dyDescent="0.35">
      <c r="A6" t="s">
        <v>30</v>
      </c>
      <c r="B6" t="s">
        <v>40</v>
      </c>
    </row>
    <row r="7" spans="1:15" x14ac:dyDescent="0.35">
      <c r="A7" t="s">
        <v>59</v>
      </c>
      <c r="B7" t="s">
        <v>41</v>
      </c>
    </row>
    <row r="8" spans="1:15" x14ac:dyDescent="0.35">
      <c r="A8" t="s">
        <v>196</v>
      </c>
      <c r="B8" t="s">
        <v>38</v>
      </c>
    </row>
    <row r="9" spans="1:15" x14ac:dyDescent="0.35">
      <c r="A9" t="s">
        <v>86</v>
      </c>
      <c r="B9" t="s">
        <v>45</v>
      </c>
    </row>
    <row r="10" spans="1:15" x14ac:dyDescent="0.35">
      <c r="A10" t="s">
        <v>35</v>
      </c>
    </row>
    <row r="11" spans="1:15" x14ac:dyDescent="0.35">
      <c r="A11" t="s">
        <v>168</v>
      </c>
    </row>
    <row r="12" spans="1:15" x14ac:dyDescent="0.35">
      <c r="A12" t="s">
        <v>184</v>
      </c>
    </row>
    <row r="13" spans="1:15" x14ac:dyDescent="0.35">
      <c r="A13" t="s">
        <v>154</v>
      </c>
    </row>
    <row r="14" spans="1:15" x14ac:dyDescent="0.35">
      <c r="A14" t="s">
        <v>119</v>
      </c>
    </row>
    <row r="15" spans="1:15" x14ac:dyDescent="0.35">
      <c r="A15" t="s">
        <v>48</v>
      </c>
    </row>
    <row r="16" spans="1:15" x14ac:dyDescent="0.35">
      <c r="A16" t="s">
        <v>403</v>
      </c>
    </row>
    <row r="17" spans="1:1" x14ac:dyDescent="0.35">
      <c r="A17" t="s">
        <v>402</v>
      </c>
    </row>
    <row r="18" spans="1:1" x14ac:dyDescent="0.35">
      <c r="A18" t="s">
        <v>32</v>
      </c>
    </row>
    <row r="19" spans="1:1" x14ac:dyDescent="0.35">
      <c r="A19" t="s">
        <v>31</v>
      </c>
    </row>
    <row r="20" spans="1:1" x14ac:dyDescent="0.35">
      <c r="A20" t="s">
        <v>120</v>
      </c>
    </row>
    <row r="21" spans="1:1" x14ac:dyDescent="0.35">
      <c r="A21" t="s">
        <v>29</v>
      </c>
    </row>
    <row r="22" spans="1:1" x14ac:dyDescent="0.35">
      <c r="A22" t="s">
        <v>108</v>
      </c>
    </row>
    <row r="23" spans="1:1" x14ac:dyDescent="0.35">
      <c r="A23" t="s">
        <v>34</v>
      </c>
    </row>
    <row r="24" spans="1:1" x14ac:dyDescent="0.35">
      <c r="A24" t="s">
        <v>36</v>
      </c>
    </row>
    <row r="25" spans="1:1" x14ac:dyDescent="0.35">
      <c r="A25" t="s">
        <v>33</v>
      </c>
    </row>
    <row r="26" spans="1:1" x14ac:dyDescent="0.35">
      <c r="A26" t="s">
        <v>214</v>
      </c>
    </row>
    <row r="27" spans="1:1" x14ac:dyDescent="0.35">
      <c r="A27" t="s">
        <v>75</v>
      </c>
    </row>
    <row r="28" spans="1:1" x14ac:dyDescent="0.35">
      <c r="A28" t="s">
        <v>176</v>
      </c>
    </row>
  </sheetData>
  <sortState ref="A5:A15">
    <sortCondition ref="A16"/>
  </sortState>
  <conditionalFormatting sqref="H1:I2">
    <cfRule type="cellIs" dxfId="429" priority="3" operator="equal">
      <formula>"Not Applicable"</formula>
    </cfRule>
    <cfRule type="cellIs" dxfId="428" priority="4" operator="equal">
      <formula>"4 - Future Initiative (out of scope)"</formula>
    </cfRule>
    <cfRule type="cellIs" dxfId="427" priority="5" operator="equal">
      <formula>"3 - Desirable (Nice To Have)"</formula>
    </cfRule>
    <cfRule type="cellIs" dxfId="426" priority="6" operator="equal">
      <formula>"2 - Recommended (Best Practice)"</formula>
    </cfRule>
    <cfRule type="cellIs" dxfId="425" priority="7" operator="equal">
      <formula>"1 - Mandatory (Must Have)"</formula>
    </cfRule>
  </conditionalFormatting>
  <conditionalFormatting sqref="F1:F2">
    <cfRule type="cellIs" dxfId="424" priority="1" operator="equal">
      <formula>"Non-functional"</formula>
    </cfRule>
    <cfRule type="cellIs" dxfId="423"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76" customWidth="1"/>
    <col min="4" max="4" width="45.1796875" style="5" customWidth="1"/>
    <col min="5" max="5" width="28.7265625" style="5" customWidth="1"/>
    <col min="6" max="6" width="37" style="5" customWidth="1"/>
    <col min="7" max="7" width="29.26953125" style="5" customWidth="1"/>
    <col min="8" max="8" width="11.54296875" style="7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212</v>
      </c>
      <c r="C1" s="32"/>
      <c r="D1" s="29" t="s">
        <v>370</v>
      </c>
      <c r="H1" s="35"/>
    </row>
    <row r="2" spans="1:16" s="30" customFormat="1" ht="18.5" x14ac:dyDescent="0.35">
      <c r="A2" s="28" t="s">
        <v>7</v>
      </c>
      <c r="B2" s="36">
        <v>1</v>
      </c>
      <c r="C2" s="35"/>
      <c r="D2" s="36"/>
      <c r="H2" s="35"/>
    </row>
    <row r="3" spans="1:16" s="30" customFormat="1" ht="18.5" x14ac:dyDescent="0.35">
      <c r="A3" s="28" t="s">
        <v>44</v>
      </c>
      <c r="B3" s="36" t="s">
        <v>240</v>
      </c>
      <c r="C3" s="35"/>
      <c r="D3" s="63" t="s">
        <v>241</v>
      </c>
      <c r="H3" s="35"/>
    </row>
    <row r="4" spans="1:16" s="30" customFormat="1" ht="18.5" x14ac:dyDescent="0.35">
      <c r="A4" s="28" t="s">
        <v>8</v>
      </c>
      <c r="B4" s="30" t="s">
        <v>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1.1</v>
      </c>
      <c r="C7" s="76" t="s">
        <v>38</v>
      </c>
      <c r="D7" s="40" t="s">
        <v>306</v>
      </c>
      <c r="E7" s="40" t="s">
        <v>120</v>
      </c>
      <c r="F7" s="5" t="s">
        <v>37</v>
      </c>
      <c r="G7" s="5" t="s">
        <v>37</v>
      </c>
      <c r="H7" s="76" t="s">
        <v>37</v>
      </c>
      <c r="I7" s="40" t="s">
        <v>10</v>
      </c>
      <c r="J7" s="5" t="s">
        <v>37</v>
      </c>
      <c r="K7" s="5" t="s">
        <v>37</v>
      </c>
      <c r="L7" s="5" t="s">
        <v>37</v>
      </c>
      <c r="M7" s="5" t="s">
        <v>37</v>
      </c>
      <c r="N7" s="5" t="s">
        <v>37</v>
      </c>
      <c r="P7" s="5" t="s">
        <v>327</v>
      </c>
    </row>
    <row r="8" spans="1:16" ht="43.5" x14ac:dyDescent="0.35">
      <c r="A8" s="5">
        <v>2</v>
      </c>
      <c r="B8" s="5" t="str">
        <f t="shared" si="0"/>
        <v>1.2</v>
      </c>
      <c r="C8" s="78" t="s">
        <v>40</v>
      </c>
      <c r="D8" s="45" t="s">
        <v>213</v>
      </c>
      <c r="E8" s="40" t="s">
        <v>34</v>
      </c>
      <c r="F8" s="5" t="s">
        <v>37</v>
      </c>
      <c r="G8" s="5" t="s">
        <v>37</v>
      </c>
      <c r="H8" s="76" t="s">
        <v>37</v>
      </c>
      <c r="I8" s="40" t="s">
        <v>10</v>
      </c>
      <c r="J8" s="5" t="s">
        <v>37</v>
      </c>
      <c r="K8" s="5" t="s">
        <v>37</v>
      </c>
      <c r="L8" s="5" t="s">
        <v>37</v>
      </c>
      <c r="M8" s="5" t="s">
        <v>37</v>
      </c>
      <c r="N8" s="5" t="s">
        <v>37</v>
      </c>
      <c r="P8" s="5" t="s">
        <v>341</v>
      </c>
    </row>
    <row r="9" spans="1:16" ht="43.5" x14ac:dyDescent="0.35">
      <c r="A9" s="5">
        <v>3</v>
      </c>
      <c r="B9" s="5" t="str">
        <f t="shared" si="0"/>
        <v>1.3</v>
      </c>
      <c r="C9" s="78" t="s">
        <v>38</v>
      </c>
      <c r="D9" s="5" t="s">
        <v>37</v>
      </c>
      <c r="E9" s="40" t="s">
        <v>214</v>
      </c>
      <c r="F9" s="5" t="s">
        <v>50</v>
      </c>
      <c r="G9" s="5" t="s">
        <v>37</v>
      </c>
      <c r="H9" s="76" t="s">
        <v>37</v>
      </c>
      <c r="I9" s="40" t="s">
        <v>10</v>
      </c>
      <c r="J9" s="5" t="s">
        <v>37</v>
      </c>
      <c r="K9" s="5" t="s">
        <v>52</v>
      </c>
      <c r="L9" s="5" t="s">
        <v>326</v>
      </c>
      <c r="M9" s="5" t="s">
        <v>37</v>
      </c>
      <c r="N9" s="5" t="s">
        <v>37</v>
      </c>
      <c r="P9" s="5" t="s">
        <v>328</v>
      </c>
    </row>
    <row r="10" spans="1:16" x14ac:dyDescent="0.35">
      <c r="A10" s="5">
        <v>4</v>
      </c>
      <c r="B10" s="5" t="str">
        <f>CONCATENATE($B$2, ".", A10)</f>
        <v>1.4</v>
      </c>
      <c r="C10" s="78" t="s">
        <v>40</v>
      </c>
      <c r="D10" s="5" t="s">
        <v>206</v>
      </c>
      <c r="E10" s="5" t="s">
        <v>43</v>
      </c>
      <c r="F10" s="5" t="s">
        <v>37</v>
      </c>
      <c r="G10" s="5" t="s">
        <v>37</v>
      </c>
      <c r="H10" s="76" t="s">
        <v>37</v>
      </c>
      <c r="I10" s="40" t="s">
        <v>10</v>
      </c>
      <c r="J10" s="5" t="s">
        <v>37</v>
      </c>
      <c r="K10" s="5" t="s">
        <v>37</v>
      </c>
      <c r="L10" s="5" t="s">
        <v>37</v>
      </c>
      <c r="M10" s="5" t="s">
        <v>37</v>
      </c>
      <c r="N10" s="5" t="s">
        <v>37</v>
      </c>
      <c r="O10" s="40" t="s">
        <v>215</v>
      </c>
    </row>
    <row r="11" spans="1:16" x14ac:dyDescent="0.35">
      <c r="A11" s="5">
        <v>5</v>
      </c>
      <c r="B11" s="5" t="str">
        <f t="shared" si="0"/>
        <v>1.5</v>
      </c>
      <c r="C11" s="78" t="s">
        <v>40</v>
      </c>
      <c r="D11" s="5" t="s">
        <v>165</v>
      </c>
      <c r="E11" s="5" t="s">
        <v>43</v>
      </c>
      <c r="F11" s="5" t="s">
        <v>37</v>
      </c>
      <c r="G11" s="5" t="s">
        <v>37</v>
      </c>
      <c r="H11" s="76" t="s">
        <v>37</v>
      </c>
      <c r="I11" s="40" t="s">
        <v>10</v>
      </c>
      <c r="J11" s="5" t="s">
        <v>37</v>
      </c>
      <c r="K11" s="5" t="s">
        <v>37</v>
      </c>
      <c r="L11" s="5" t="s">
        <v>37</v>
      </c>
      <c r="M11" s="5" t="s">
        <v>37</v>
      </c>
      <c r="N11" s="5" t="s">
        <v>37</v>
      </c>
      <c r="O11" s="40" t="s">
        <v>166</v>
      </c>
    </row>
  </sheetData>
  <autoFilter ref="A6:P6"/>
  <conditionalFormatting sqref="C7:C1048576">
    <cfRule type="cellIs" dxfId="422" priority="18" operator="equal">
      <formula>"WIP (see comments)"</formula>
    </cfRule>
    <cfRule type="cellIs" dxfId="421" priority="19" operator="equal">
      <formula>"Removed"</formula>
    </cfRule>
    <cfRule type="cellIs" dxfId="420" priority="20" operator="equal">
      <formula>"Updated"</formula>
    </cfRule>
    <cfRule type="cellIs" dxfId="419" priority="21" operator="equal">
      <formula>"New"</formula>
    </cfRule>
  </conditionalFormatting>
  <conditionalFormatting sqref="A1:XFD2 A12:XFD1048576 A4:XFD6 A3:C3 E3:XFD3 C8:C11">
    <cfRule type="cellIs" dxfId="418" priority="17" operator="equal">
      <formula>"n/a"</formula>
    </cfRule>
  </conditionalFormatting>
  <conditionalFormatting sqref="D8:D9">
    <cfRule type="cellIs" dxfId="417" priority="16" operator="equal">
      <formula>"-"</formula>
    </cfRule>
  </conditionalFormatting>
  <conditionalFormatting sqref="A8:B9 D9:XFD9 D8:O8 Q8:XFD8">
    <cfRule type="cellIs" dxfId="416" priority="15" operator="equal">
      <formula>"n/a"</formula>
    </cfRule>
  </conditionalFormatting>
  <conditionalFormatting sqref="A7:XFD7">
    <cfRule type="cellIs" dxfId="415" priority="10" operator="equal">
      <formula>"n/a"</formula>
    </cfRule>
  </conditionalFormatting>
  <conditionalFormatting sqref="A11:B11 D11:XFD11">
    <cfRule type="cellIs" dxfId="414" priority="9" operator="equal">
      <formula>"n/a"</formula>
    </cfRule>
  </conditionalFormatting>
  <conditionalFormatting sqref="A10:B10 D10:XFD10">
    <cfRule type="cellIs" dxfId="413" priority="8" operator="equal">
      <formula>"n/a"</formula>
    </cfRule>
  </conditionalFormatting>
  <conditionalFormatting sqref="D3">
    <cfRule type="cellIs" dxfId="412" priority="2" operator="equal">
      <formula>"n/a"</formula>
    </cfRule>
  </conditionalFormatting>
  <conditionalFormatting sqref="P8">
    <cfRule type="cellIs" dxfId="411" priority="1" operator="equal">
      <formula>"n/a"</formula>
    </cfRule>
  </conditionalFormatting>
  <dataValidations count="1">
    <dataValidation type="list" allowBlank="1" showInputMessage="1" showErrorMessage="1" sqref="E8:E1048576">
      <formula1>$A$5:$A$29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Values'!$A$5:$A$30</xm:f>
          </x14:formula1>
          <xm:sqref>E7</xm:sqref>
        </x14:dataValidation>
        <x14:dataValidation type="list" allowBlank="1" showInputMessage="1" showErrorMessage="1">
          <x14:formula1>
            <xm:f>'List Values'!$B$5:$B$12</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pane xSplit="4" ySplit="6" topLeftCell="K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v>
      </c>
      <c r="C1" s="32"/>
      <c r="D1" s="29"/>
    </row>
    <row r="2" spans="1:16" s="30" customFormat="1" ht="18.5" x14ac:dyDescent="0.35">
      <c r="A2" s="28" t="s">
        <v>7</v>
      </c>
      <c r="B2" s="36">
        <v>2</v>
      </c>
      <c r="C2" s="35"/>
      <c r="D2" s="36" t="s">
        <v>339</v>
      </c>
    </row>
    <row r="3" spans="1:16" s="30" customFormat="1" ht="18.5" x14ac:dyDescent="0.35">
      <c r="A3" s="28" t="s">
        <v>44</v>
      </c>
      <c r="B3" s="36" t="s">
        <v>242</v>
      </c>
      <c r="C3" s="35"/>
      <c r="D3" s="63" t="s">
        <v>340</v>
      </c>
    </row>
    <row r="4" spans="1:16" s="30" customFormat="1" ht="18.5" x14ac:dyDescent="0.35">
      <c r="A4" s="28" t="s">
        <v>8</v>
      </c>
      <c r="B4" s="30" t="s">
        <v>216</v>
      </c>
      <c r="C4" s="35"/>
      <c r="D4" s="36"/>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2.1</v>
      </c>
      <c r="C7" s="34" t="s">
        <v>40</v>
      </c>
      <c r="D7" s="39" t="s">
        <v>217</v>
      </c>
      <c r="E7" s="6" t="s">
        <v>403</v>
      </c>
      <c r="F7" s="6" t="s">
        <v>37</v>
      </c>
      <c r="G7" s="6" t="s">
        <v>37</v>
      </c>
      <c r="H7" s="6" t="s">
        <v>37</v>
      </c>
      <c r="I7" s="39" t="s">
        <v>10</v>
      </c>
      <c r="J7" s="5" t="s">
        <v>37</v>
      </c>
      <c r="K7" s="5" t="s">
        <v>37</v>
      </c>
      <c r="L7" s="5" t="s">
        <v>37</v>
      </c>
      <c r="M7" s="5" t="s">
        <v>37</v>
      </c>
      <c r="N7" s="5" t="s">
        <v>37</v>
      </c>
      <c r="O7" s="5"/>
    </row>
    <row r="8" spans="1:16" x14ac:dyDescent="0.35">
      <c r="A8" s="6">
        <v>2</v>
      </c>
      <c r="B8" s="6" t="str">
        <f>CONCATENATE($B$2, ".", A8)</f>
        <v>2.2</v>
      </c>
      <c r="C8" s="34" t="s">
        <v>40</v>
      </c>
      <c r="D8" s="39" t="s">
        <v>37</v>
      </c>
      <c r="E8" s="39" t="s">
        <v>48</v>
      </c>
      <c r="F8" s="6" t="s">
        <v>37</v>
      </c>
      <c r="G8" s="6" t="s">
        <v>37</v>
      </c>
      <c r="H8" s="6" t="s">
        <v>37</v>
      </c>
      <c r="I8" s="39" t="s">
        <v>10</v>
      </c>
      <c r="J8" s="5" t="s">
        <v>37</v>
      </c>
      <c r="K8" s="5" t="s">
        <v>37</v>
      </c>
      <c r="L8" s="5" t="s">
        <v>37</v>
      </c>
      <c r="M8" s="5" t="s">
        <v>37</v>
      </c>
      <c r="N8" s="5" t="s">
        <v>37</v>
      </c>
      <c r="O8" s="5" t="s">
        <v>37</v>
      </c>
    </row>
    <row r="9" spans="1:16" ht="29" x14ac:dyDescent="0.35">
      <c r="A9" s="6">
        <v>3</v>
      </c>
      <c r="B9" s="6" t="str">
        <f>CONCATENATE($B$2, ".", A9)</f>
        <v>2.3</v>
      </c>
      <c r="C9" s="34" t="s">
        <v>40</v>
      </c>
      <c r="D9" s="39" t="s">
        <v>407</v>
      </c>
      <c r="E9" s="6" t="s">
        <v>36</v>
      </c>
      <c r="F9" s="6" t="s">
        <v>37</v>
      </c>
      <c r="G9" s="6" t="s">
        <v>37</v>
      </c>
      <c r="H9" s="6" t="s">
        <v>37</v>
      </c>
      <c r="I9" s="39" t="s">
        <v>10</v>
      </c>
      <c r="J9" s="5" t="s">
        <v>37</v>
      </c>
      <c r="K9" s="5" t="s">
        <v>37</v>
      </c>
      <c r="L9" s="5" t="s">
        <v>37</v>
      </c>
      <c r="M9" s="5" t="s">
        <v>37</v>
      </c>
      <c r="N9" s="5" t="s">
        <v>37</v>
      </c>
      <c r="O9" s="5" t="s">
        <v>338</v>
      </c>
    </row>
    <row r="10" spans="1:16" ht="128.25" customHeight="1" x14ac:dyDescent="0.35">
      <c r="A10" s="6">
        <v>4</v>
      </c>
      <c r="B10" s="6" t="str">
        <f>CONCATENATE($B$2, ".", A10)</f>
        <v>2.4</v>
      </c>
      <c r="C10" s="34" t="s">
        <v>38</v>
      </c>
      <c r="D10" s="39" t="s">
        <v>404</v>
      </c>
      <c r="E10" s="6" t="s">
        <v>36</v>
      </c>
      <c r="F10" s="6" t="s">
        <v>37</v>
      </c>
      <c r="G10" s="6" t="s">
        <v>37</v>
      </c>
      <c r="H10" s="6" t="s">
        <v>37</v>
      </c>
      <c r="I10" s="39" t="s">
        <v>10</v>
      </c>
      <c r="J10" s="5" t="s">
        <v>37</v>
      </c>
      <c r="K10" s="5" t="s">
        <v>37</v>
      </c>
      <c r="L10" s="5" t="s">
        <v>37</v>
      </c>
      <c r="M10" s="5" t="s">
        <v>37</v>
      </c>
      <c r="N10" s="5" t="s">
        <v>37</v>
      </c>
      <c r="O10" s="5" t="s">
        <v>301</v>
      </c>
      <c r="P10" s="6" t="s">
        <v>429</v>
      </c>
    </row>
    <row r="11" spans="1:16" s="75" customFormat="1" ht="14.5" customHeight="1" x14ac:dyDescent="0.35">
      <c r="A11" s="88" t="s">
        <v>304</v>
      </c>
      <c r="B11" s="88"/>
      <c r="C11" s="88"/>
      <c r="D11" s="88"/>
      <c r="E11" s="88"/>
    </row>
    <row r="12" spans="1:16" ht="60" customHeight="1" x14ac:dyDescent="0.35">
      <c r="A12" s="6">
        <v>5</v>
      </c>
      <c r="B12" s="6" t="str">
        <f>CONCATENATE($B$2, ".", A12)</f>
        <v>2.5</v>
      </c>
      <c r="C12" s="34" t="s">
        <v>40</v>
      </c>
      <c r="D12" s="39" t="s">
        <v>300</v>
      </c>
      <c r="E12" s="6" t="s">
        <v>29</v>
      </c>
      <c r="F12" s="6" t="s">
        <v>37</v>
      </c>
      <c r="G12" s="6" t="s">
        <v>37</v>
      </c>
      <c r="H12" s="6" t="s">
        <v>37</v>
      </c>
      <c r="I12" s="6" t="s">
        <v>303</v>
      </c>
      <c r="J12" s="5" t="s">
        <v>37</v>
      </c>
      <c r="K12" s="5" t="s">
        <v>37</v>
      </c>
      <c r="L12" s="5" t="s">
        <v>37</v>
      </c>
      <c r="M12" s="5" t="s">
        <v>37</v>
      </c>
      <c r="N12" s="5" t="s">
        <v>37</v>
      </c>
      <c r="O12" s="6" t="s">
        <v>302</v>
      </c>
    </row>
    <row r="13" spans="1:16" ht="128.25" customHeight="1" x14ac:dyDescent="0.35">
      <c r="A13" s="6">
        <v>6</v>
      </c>
      <c r="B13" s="6" t="str">
        <f>CONCATENATE($B$2, ".", A13)</f>
        <v>2.6</v>
      </c>
      <c r="C13" s="34" t="s">
        <v>38</v>
      </c>
      <c r="D13" s="39" t="s">
        <v>400</v>
      </c>
      <c r="E13" s="6" t="s">
        <v>33</v>
      </c>
      <c r="F13" s="6" t="s">
        <v>37</v>
      </c>
      <c r="G13" s="6" t="s">
        <v>37</v>
      </c>
      <c r="H13" s="6" t="s">
        <v>37</v>
      </c>
      <c r="I13" s="39" t="s">
        <v>303</v>
      </c>
      <c r="J13" s="5" t="s">
        <v>37</v>
      </c>
      <c r="K13" s="5" t="s">
        <v>37</v>
      </c>
      <c r="L13" s="5" t="s">
        <v>37</v>
      </c>
      <c r="M13" s="5" t="s">
        <v>37</v>
      </c>
      <c r="N13" s="5" t="s">
        <v>37</v>
      </c>
      <c r="O13" s="5" t="s">
        <v>401</v>
      </c>
      <c r="P13" s="6" t="s">
        <v>418</v>
      </c>
    </row>
    <row r="14" spans="1:16" s="75" customFormat="1" ht="14.5" customHeight="1" x14ac:dyDescent="0.35">
      <c r="A14" s="88" t="s">
        <v>413</v>
      </c>
      <c r="B14" s="88"/>
      <c r="C14" s="88"/>
      <c r="D14" s="88"/>
      <c r="E14" s="88"/>
    </row>
    <row r="15" spans="1:16" x14ac:dyDescent="0.35">
      <c r="A15" s="6">
        <v>7</v>
      </c>
      <c r="B15" s="6" t="str">
        <f>CONCATENATE($B$2, ".", A15)</f>
        <v>2.7</v>
      </c>
      <c r="C15" s="34" t="s">
        <v>40</v>
      </c>
      <c r="D15" s="39" t="s">
        <v>405</v>
      </c>
      <c r="E15" s="6" t="s">
        <v>33</v>
      </c>
      <c r="F15" s="6" t="s">
        <v>37</v>
      </c>
      <c r="G15" s="6" t="s">
        <v>37</v>
      </c>
      <c r="H15" s="6" t="s">
        <v>37</v>
      </c>
      <c r="I15" s="39" t="s">
        <v>299</v>
      </c>
      <c r="J15" s="6" t="s">
        <v>37</v>
      </c>
      <c r="K15" s="6" t="s">
        <v>37</v>
      </c>
      <c r="L15" s="6" t="s">
        <v>37</v>
      </c>
      <c r="M15" s="6" t="s">
        <v>37</v>
      </c>
      <c r="N15" s="6" t="s">
        <v>37</v>
      </c>
      <c r="O15" s="5" t="s">
        <v>409</v>
      </c>
    </row>
    <row r="16" spans="1:16" ht="29" x14ac:dyDescent="0.35">
      <c r="A16" s="6">
        <v>8</v>
      </c>
      <c r="B16" s="6" t="str">
        <f>CONCATENATE($B$2, ".", A16)</f>
        <v>2.8</v>
      </c>
      <c r="C16" s="34" t="s">
        <v>40</v>
      </c>
      <c r="D16" s="39" t="s">
        <v>406</v>
      </c>
      <c r="E16" s="6" t="s">
        <v>33</v>
      </c>
      <c r="F16" s="6" t="s">
        <v>37</v>
      </c>
      <c r="G16" s="6" t="s">
        <v>37</v>
      </c>
      <c r="H16" s="6" t="s">
        <v>37</v>
      </c>
      <c r="I16" s="39" t="s">
        <v>299</v>
      </c>
      <c r="J16" s="6" t="s">
        <v>37</v>
      </c>
      <c r="K16" s="6" t="s">
        <v>37</v>
      </c>
      <c r="L16" s="6" t="s">
        <v>37</v>
      </c>
      <c r="M16" s="6" t="s">
        <v>37</v>
      </c>
      <c r="N16" s="6" t="s">
        <v>37</v>
      </c>
      <c r="O16" s="5" t="s">
        <v>408</v>
      </c>
    </row>
    <row r="17" spans="1:16" s="75" customFormat="1" ht="14.5" customHeight="1" x14ac:dyDescent="0.35">
      <c r="A17" s="88" t="s">
        <v>410</v>
      </c>
      <c r="B17" s="88"/>
      <c r="C17" s="88"/>
      <c r="D17" s="88"/>
      <c r="E17" s="88"/>
    </row>
    <row r="18" spans="1:16" x14ac:dyDescent="0.35">
      <c r="A18" s="6">
        <v>9</v>
      </c>
      <c r="B18" s="6" t="str">
        <f>CONCATENATE($B$2, ".", A18)</f>
        <v>2.9</v>
      </c>
      <c r="C18" s="34" t="s">
        <v>38</v>
      </c>
      <c r="D18" s="39" t="s">
        <v>411</v>
      </c>
      <c r="E18" s="6" t="s">
        <v>34</v>
      </c>
      <c r="F18" s="6" t="s">
        <v>37</v>
      </c>
      <c r="G18" s="6" t="s">
        <v>37</v>
      </c>
      <c r="H18" s="6" t="s">
        <v>37</v>
      </c>
      <c r="I18" s="39" t="s">
        <v>10</v>
      </c>
      <c r="J18" s="6" t="s">
        <v>37</v>
      </c>
      <c r="K18" s="6" t="s">
        <v>37</v>
      </c>
      <c r="L18" s="6" t="s">
        <v>37</v>
      </c>
      <c r="M18" s="6" t="s">
        <v>37</v>
      </c>
      <c r="N18" s="6" t="s">
        <v>37</v>
      </c>
      <c r="O18" s="5"/>
    </row>
    <row r="19" spans="1:16" ht="72.5" x14ac:dyDescent="0.35">
      <c r="A19" s="6">
        <v>10</v>
      </c>
      <c r="B19" s="6" t="str">
        <f>CONCATENATE($B$2, ".", A19)</f>
        <v>2.10</v>
      </c>
      <c r="C19" s="34" t="s">
        <v>38</v>
      </c>
      <c r="D19" s="39" t="s">
        <v>412</v>
      </c>
      <c r="E19" s="6" t="s">
        <v>34</v>
      </c>
      <c r="F19" s="6" t="s">
        <v>37</v>
      </c>
      <c r="G19" s="6" t="s">
        <v>37</v>
      </c>
      <c r="H19" s="6" t="s">
        <v>37</v>
      </c>
      <c r="I19" s="39" t="s">
        <v>10</v>
      </c>
      <c r="J19" s="6" t="s">
        <v>37</v>
      </c>
      <c r="K19" s="6" t="s">
        <v>37</v>
      </c>
      <c r="L19" s="6" t="s">
        <v>37</v>
      </c>
      <c r="M19" s="6" t="s">
        <v>37</v>
      </c>
      <c r="N19" s="6" t="s">
        <v>37</v>
      </c>
      <c r="O19" s="5"/>
      <c r="P19" s="6" t="s">
        <v>429</v>
      </c>
    </row>
    <row r="20" spans="1:16" s="75" customFormat="1" x14ac:dyDescent="0.35">
      <c r="A20" s="88" t="s">
        <v>414</v>
      </c>
      <c r="B20" s="88"/>
      <c r="C20" s="88"/>
      <c r="D20" s="88"/>
      <c r="E20" s="88"/>
    </row>
    <row r="21" spans="1:16" ht="58" x14ac:dyDescent="0.35">
      <c r="A21" s="6">
        <v>11</v>
      </c>
      <c r="B21" s="6" t="str">
        <f>CONCATENATE($B$2, ".", A21)</f>
        <v>2.11</v>
      </c>
      <c r="C21" s="34" t="s">
        <v>40</v>
      </c>
      <c r="D21" s="39" t="s">
        <v>415</v>
      </c>
      <c r="E21" s="6" t="s">
        <v>33</v>
      </c>
      <c r="F21" s="6" t="s">
        <v>37</v>
      </c>
      <c r="G21" s="6" t="s">
        <v>37</v>
      </c>
      <c r="H21" s="6" t="s">
        <v>37</v>
      </c>
      <c r="I21" s="39" t="s">
        <v>298</v>
      </c>
      <c r="J21" s="6" t="s">
        <v>37</v>
      </c>
      <c r="K21" s="6" t="s">
        <v>37</v>
      </c>
      <c r="L21" s="6" t="s">
        <v>37</v>
      </c>
      <c r="M21" s="6" t="s">
        <v>37</v>
      </c>
      <c r="N21" s="6" t="s">
        <v>37</v>
      </c>
      <c r="O21" s="5" t="s">
        <v>305</v>
      </c>
      <c r="P21" s="6" t="s">
        <v>419</v>
      </c>
    </row>
    <row r="22" spans="1:16" ht="58" x14ac:dyDescent="0.35">
      <c r="A22" s="6">
        <v>12</v>
      </c>
      <c r="B22" s="6" t="str">
        <f>CONCATENATE($B$2, ".", A22)</f>
        <v>2.12</v>
      </c>
      <c r="C22" s="34" t="s">
        <v>40</v>
      </c>
      <c r="D22" s="39" t="s">
        <v>416</v>
      </c>
      <c r="E22" s="6" t="s">
        <v>33</v>
      </c>
      <c r="F22" s="6" t="s">
        <v>37</v>
      </c>
      <c r="G22" s="6" t="s">
        <v>37</v>
      </c>
      <c r="H22" s="6" t="s">
        <v>37</v>
      </c>
      <c r="I22" s="39" t="s">
        <v>298</v>
      </c>
      <c r="J22" s="6" t="s">
        <v>37</v>
      </c>
      <c r="K22" s="6" t="s">
        <v>37</v>
      </c>
      <c r="L22" s="6" t="s">
        <v>37</v>
      </c>
      <c r="M22" s="6" t="s">
        <v>37</v>
      </c>
      <c r="N22" s="6" t="s">
        <v>37</v>
      </c>
      <c r="O22" s="5" t="s">
        <v>305</v>
      </c>
    </row>
    <row r="23" spans="1:16" s="75" customFormat="1" x14ac:dyDescent="0.35">
      <c r="A23" s="88" t="s">
        <v>420</v>
      </c>
      <c r="B23" s="88"/>
      <c r="C23" s="88"/>
      <c r="D23" s="88"/>
      <c r="E23" s="88"/>
    </row>
    <row r="24" spans="1:16" ht="27" customHeight="1" x14ac:dyDescent="0.35">
      <c r="A24" s="6">
        <v>13</v>
      </c>
      <c r="B24" s="6" t="str">
        <f>CONCATENATE($B$2, ".", A24)</f>
        <v>2.13</v>
      </c>
      <c r="C24" s="34" t="s">
        <v>40</v>
      </c>
      <c r="D24" s="39" t="s">
        <v>107</v>
      </c>
      <c r="E24" s="6" t="s">
        <v>29</v>
      </c>
      <c r="F24" s="6" t="s">
        <v>37</v>
      </c>
      <c r="G24" s="6" t="s">
        <v>37</v>
      </c>
      <c r="H24" s="6" t="s">
        <v>37</v>
      </c>
      <c r="I24" s="6" t="s">
        <v>10</v>
      </c>
      <c r="J24" s="5" t="s">
        <v>37</v>
      </c>
      <c r="K24" s="5" t="s">
        <v>37</v>
      </c>
      <c r="L24" s="5" t="s">
        <v>37</v>
      </c>
      <c r="M24" s="5" t="s">
        <v>37</v>
      </c>
      <c r="N24" s="5" t="s">
        <v>37</v>
      </c>
      <c r="O24" s="6" t="s">
        <v>37</v>
      </c>
    </row>
    <row r="25" spans="1:16" ht="66.75" customHeight="1" x14ac:dyDescent="0.35">
      <c r="A25" s="6">
        <v>14</v>
      </c>
      <c r="B25" s="6" t="str">
        <f>CONCATENATE($B$2, ".", A25)</f>
        <v>2.14</v>
      </c>
      <c r="C25" s="34" t="s">
        <v>40</v>
      </c>
      <c r="D25" s="39" t="s">
        <v>297</v>
      </c>
      <c r="E25" s="39" t="s">
        <v>34</v>
      </c>
      <c r="F25" s="6" t="s">
        <v>37</v>
      </c>
      <c r="G25" s="6" t="s">
        <v>37</v>
      </c>
      <c r="H25" s="6" t="s">
        <v>37</v>
      </c>
      <c r="I25" s="6" t="s">
        <v>10</v>
      </c>
      <c r="J25" s="5" t="s">
        <v>37</v>
      </c>
      <c r="K25" s="5" t="s">
        <v>37</v>
      </c>
      <c r="L25" s="5" t="s">
        <v>37</v>
      </c>
      <c r="M25" s="5" t="s">
        <v>37</v>
      </c>
      <c r="N25" s="5" t="s">
        <v>37</v>
      </c>
      <c r="O25" s="6" t="s">
        <v>37</v>
      </c>
    </row>
    <row r="26" spans="1:16" ht="29" x14ac:dyDescent="0.35">
      <c r="A26" s="6">
        <v>15</v>
      </c>
      <c r="B26" s="6" t="str">
        <f>CONCATENATE($B$2, ".", A26)</f>
        <v>2.15</v>
      </c>
      <c r="C26" s="34" t="s">
        <v>40</v>
      </c>
      <c r="D26" s="6" t="s">
        <v>56</v>
      </c>
      <c r="E26" s="6" t="s">
        <v>43</v>
      </c>
      <c r="F26" s="6" t="s">
        <v>37</v>
      </c>
      <c r="G26" s="6" t="s">
        <v>37</v>
      </c>
      <c r="H26" s="6" t="s">
        <v>37</v>
      </c>
      <c r="I26" s="6" t="s">
        <v>10</v>
      </c>
      <c r="J26" s="5" t="s">
        <v>37</v>
      </c>
      <c r="K26" s="5" t="s">
        <v>37</v>
      </c>
      <c r="L26" s="5" t="s">
        <v>37</v>
      </c>
      <c r="M26" s="5" t="s">
        <v>37</v>
      </c>
      <c r="N26" s="5" t="s">
        <v>37</v>
      </c>
      <c r="O26" s="6" t="s">
        <v>332</v>
      </c>
    </row>
  </sheetData>
  <conditionalFormatting sqref="C12:C13 C7 C9:C10 C15:C16 C24:C1048576">
    <cfRule type="cellIs" dxfId="410" priority="27" operator="equal">
      <formula>"WIP (see comments)"</formula>
    </cfRule>
    <cfRule type="cellIs" dxfId="409" priority="28" operator="equal">
      <formula>"Removed"</formula>
    </cfRule>
    <cfRule type="cellIs" dxfId="408" priority="29" operator="equal">
      <formula>"Updated"</formula>
    </cfRule>
    <cfRule type="cellIs" dxfId="407" priority="30" operator="equal">
      <formula>"New"</formula>
    </cfRule>
  </conditionalFormatting>
  <conditionalFormatting sqref="A1:C1 E1:XFD1 A2:XFD2 A3:C3 E3:XFD3 A12:XFD13 A24:XFD1048576 A4:XFD7 A9:XFD10 P8:XFD8 A8:B8 A15:XFD16">
    <cfRule type="cellIs" dxfId="406" priority="26" operator="equal">
      <formula>"n/a"</formula>
    </cfRule>
  </conditionalFormatting>
  <conditionalFormatting sqref="F14:XFD14 A14">
    <cfRule type="cellIs" dxfId="405" priority="25" operator="equal">
      <formula>"n/a"</formula>
    </cfRule>
  </conditionalFormatting>
  <conditionalFormatting sqref="F11:XFD11 A11">
    <cfRule type="cellIs" dxfId="404" priority="24" operator="equal">
      <formula>"n/a"</formula>
    </cfRule>
  </conditionalFormatting>
  <conditionalFormatting sqref="D1">
    <cfRule type="cellIs" dxfId="403" priority="22" operator="equal">
      <formula>"n/a"</formula>
    </cfRule>
  </conditionalFormatting>
  <conditionalFormatting sqref="D3">
    <cfRule type="cellIs" dxfId="402" priority="21" operator="equal">
      <formula>"n/a"</formula>
    </cfRule>
  </conditionalFormatting>
  <conditionalFormatting sqref="C18:C19 C21:C22">
    <cfRule type="cellIs" dxfId="401" priority="17" operator="equal">
      <formula>"WIP (see comments)"</formula>
    </cfRule>
    <cfRule type="cellIs" dxfId="400" priority="18" operator="equal">
      <formula>"Removed"</formula>
    </cfRule>
    <cfRule type="cellIs" dxfId="399" priority="19" operator="equal">
      <formula>"Updated"</formula>
    </cfRule>
    <cfRule type="cellIs" dxfId="398" priority="20" operator="equal">
      <formula>"New"</formula>
    </cfRule>
  </conditionalFormatting>
  <conditionalFormatting sqref="A18:E19 A21:XFD22 O18:XFD19">
    <cfRule type="cellIs" dxfId="397" priority="16" operator="equal">
      <formula>"n/a"</formula>
    </cfRule>
  </conditionalFormatting>
  <conditionalFormatting sqref="F20:XFD20 A20">
    <cfRule type="cellIs" dxfId="396" priority="15" operator="equal">
      <formula>"n/a"</formula>
    </cfRule>
  </conditionalFormatting>
  <conditionalFormatting sqref="F17:XFD17 A17">
    <cfRule type="cellIs" dxfId="395" priority="14" operator="equal">
      <formula>"n/a"</formula>
    </cfRule>
  </conditionalFormatting>
  <conditionalFormatting sqref="F18:N19">
    <cfRule type="cellIs" dxfId="394" priority="13" operator="equal">
      <formula>"n/a"</formula>
    </cfRule>
  </conditionalFormatting>
  <conditionalFormatting sqref="F23:XFD23 A23">
    <cfRule type="cellIs" dxfId="393" priority="11" operator="equal">
      <formula>"n/a"</formula>
    </cfRule>
  </conditionalFormatting>
  <conditionalFormatting sqref="C8">
    <cfRule type="cellIs" dxfId="392" priority="2" operator="equal">
      <formula>"WIP (see comments)"</formula>
    </cfRule>
    <cfRule type="cellIs" dxfId="391" priority="3" operator="equal">
      <formula>"Removed"</formula>
    </cfRule>
    <cfRule type="cellIs" dxfId="390" priority="4" operator="equal">
      <formula>"Updated"</formula>
    </cfRule>
    <cfRule type="cellIs" dxfId="389" priority="5" operator="equal">
      <formula>"New"</formula>
    </cfRule>
  </conditionalFormatting>
  <conditionalFormatting sqref="C8:O8">
    <cfRule type="cellIs" dxfId="388" priority="1" operator="equal">
      <formula>"n/a"</formula>
    </cfRule>
  </conditionalFormatting>
  <dataValidations count="1">
    <dataValidation type="list" allowBlank="1" showInputMessage="1" showErrorMessage="1" sqref="E27: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C12:C13 C18:C19 C21:C22 C7 C9:C10 C15:C16 C24:C1048576</xm:sqref>
        </x14:dataValidation>
        <x14:dataValidation type="list" allowBlank="1" showInputMessage="1" showErrorMessage="1">
          <x14:formula1>
            <xm:f>'List Values'!$B$5:$B$9</xm:f>
          </x14:formula1>
          <xm:sqref>C8</xm:sqref>
        </x14:dataValidation>
        <x14:dataValidation type="list" allowBlank="1" showInputMessage="1" showErrorMessage="1">
          <x14:formula1>
            <xm:f>'List Values'!$A$5:$A$28</xm:f>
          </x14:formula1>
          <xm:sqref>E7:E26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57</v>
      </c>
      <c r="C1" s="32"/>
      <c r="D1" s="29"/>
    </row>
    <row r="2" spans="1:16" s="30" customFormat="1" ht="18.5" x14ac:dyDescent="0.35">
      <c r="A2" s="28" t="s">
        <v>7</v>
      </c>
      <c r="B2" s="36">
        <v>2</v>
      </c>
      <c r="C2" s="35"/>
      <c r="D2" s="36" t="s">
        <v>355</v>
      </c>
    </row>
    <row r="3" spans="1:16" s="30" customFormat="1" ht="18.5" x14ac:dyDescent="0.35">
      <c r="A3" s="28" t="s">
        <v>44</v>
      </c>
      <c r="B3" s="36" t="s">
        <v>331</v>
      </c>
      <c r="C3" s="35"/>
      <c r="D3" s="36" t="s">
        <v>427</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2.1</v>
      </c>
      <c r="C7" s="34" t="s">
        <v>40</v>
      </c>
      <c r="D7" s="39" t="s">
        <v>346</v>
      </c>
      <c r="E7" s="6" t="s">
        <v>403</v>
      </c>
      <c r="F7" s="6" t="s">
        <v>37</v>
      </c>
      <c r="G7" s="6" t="s">
        <v>37</v>
      </c>
      <c r="H7" s="6" t="s">
        <v>37</v>
      </c>
      <c r="I7" s="39" t="s">
        <v>10</v>
      </c>
      <c r="J7" s="5" t="s">
        <v>37</v>
      </c>
      <c r="K7" s="5" t="s">
        <v>37</v>
      </c>
      <c r="L7" s="5" t="s">
        <v>37</v>
      </c>
      <c r="M7" s="5" t="s">
        <v>37</v>
      </c>
      <c r="N7" s="5" t="s">
        <v>37</v>
      </c>
      <c r="O7" s="5" t="s">
        <v>37</v>
      </c>
    </row>
    <row r="8" spans="1:16" x14ac:dyDescent="0.35">
      <c r="A8" s="6">
        <v>2</v>
      </c>
      <c r="B8" s="6" t="str">
        <f t="shared" si="0"/>
        <v>2.2</v>
      </c>
      <c r="C8" s="34" t="s">
        <v>40</v>
      </c>
      <c r="D8" s="39" t="s">
        <v>37</v>
      </c>
      <c r="E8" s="39" t="s">
        <v>48</v>
      </c>
      <c r="F8" s="6" t="s">
        <v>37</v>
      </c>
      <c r="G8" s="6" t="s">
        <v>37</v>
      </c>
      <c r="H8" s="6" t="s">
        <v>37</v>
      </c>
      <c r="I8" s="39" t="s">
        <v>10</v>
      </c>
      <c r="J8" s="5" t="s">
        <v>37</v>
      </c>
      <c r="K8" s="5" t="s">
        <v>37</v>
      </c>
      <c r="L8" s="5" t="s">
        <v>37</v>
      </c>
      <c r="M8" s="5" t="s">
        <v>37</v>
      </c>
      <c r="N8" s="5" t="s">
        <v>37</v>
      </c>
      <c r="O8" s="5" t="s">
        <v>37</v>
      </c>
    </row>
    <row r="9" spans="1:16" ht="29" x14ac:dyDescent="0.35">
      <c r="A9" s="6">
        <v>3</v>
      </c>
      <c r="B9" s="6" t="str">
        <f t="shared" si="0"/>
        <v>2.3</v>
      </c>
      <c r="C9" s="34" t="s">
        <v>38</v>
      </c>
      <c r="D9" s="39" t="s">
        <v>417</v>
      </c>
      <c r="E9" s="39" t="s">
        <v>32</v>
      </c>
      <c r="F9" s="6" t="s">
        <v>347</v>
      </c>
      <c r="G9" s="6" t="s">
        <v>37</v>
      </c>
      <c r="H9" s="6" t="s">
        <v>37</v>
      </c>
      <c r="I9" s="39" t="s">
        <v>10</v>
      </c>
      <c r="J9" s="5" t="s">
        <v>348</v>
      </c>
      <c r="K9" s="5" t="s">
        <v>52</v>
      </c>
      <c r="L9" s="5" t="s">
        <v>37</v>
      </c>
      <c r="M9" s="5" t="s">
        <v>37</v>
      </c>
      <c r="N9" s="5" t="s">
        <v>37</v>
      </c>
      <c r="O9" s="5" t="s">
        <v>37</v>
      </c>
    </row>
    <row r="10" spans="1:16" ht="58" x14ac:dyDescent="0.35">
      <c r="A10" s="6">
        <v>4</v>
      </c>
      <c r="B10" s="6" t="str">
        <f>CONCATENATE($B$2, ".", A10)</f>
        <v>2.4</v>
      </c>
      <c r="C10" s="34" t="s">
        <v>45</v>
      </c>
      <c r="D10" s="39" t="s">
        <v>56</v>
      </c>
      <c r="E10" s="6" t="s">
        <v>43</v>
      </c>
      <c r="F10" s="6" t="s">
        <v>37</v>
      </c>
      <c r="G10" s="6" t="s">
        <v>37</v>
      </c>
      <c r="H10" s="6" t="s">
        <v>37</v>
      </c>
      <c r="I10" s="6" t="s">
        <v>10</v>
      </c>
      <c r="J10" s="6" t="s">
        <v>37</v>
      </c>
      <c r="K10" s="6" t="s">
        <v>37</v>
      </c>
      <c r="L10" s="6" t="s">
        <v>37</v>
      </c>
      <c r="M10" s="6" t="s">
        <v>37</v>
      </c>
      <c r="N10" s="6" t="s">
        <v>37</v>
      </c>
      <c r="O10" s="6" t="s">
        <v>351</v>
      </c>
      <c r="P10" s="6" t="s">
        <v>349</v>
      </c>
    </row>
    <row r="11" spans="1:16" ht="29" x14ac:dyDescent="0.35">
      <c r="A11" s="6">
        <v>5</v>
      </c>
      <c r="B11" s="6" t="str">
        <f t="shared" si="0"/>
        <v>2.5</v>
      </c>
      <c r="C11" s="34" t="s">
        <v>40</v>
      </c>
      <c r="D11" s="39" t="s">
        <v>55</v>
      </c>
      <c r="E11" s="6" t="s">
        <v>43</v>
      </c>
      <c r="F11" s="6" t="s">
        <v>37</v>
      </c>
      <c r="G11" s="6" t="s">
        <v>37</v>
      </c>
      <c r="H11" s="6" t="s">
        <v>37</v>
      </c>
      <c r="I11" s="6" t="s">
        <v>10</v>
      </c>
      <c r="J11" s="6" t="s">
        <v>37</v>
      </c>
      <c r="K11" s="6" t="s">
        <v>37</v>
      </c>
      <c r="L11" s="6" t="s">
        <v>37</v>
      </c>
      <c r="M11" s="6" t="s">
        <v>37</v>
      </c>
      <c r="N11" s="6" t="s">
        <v>37</v>
      </c>
      <c r="O11" s="6" t="s">
        <v>350</v>
      </c>
    </row>
  </sheetData>
  <conditionalFormatting sqref="C7:C1048576">
    <cfRule type="cellIs" dxfId="387" priority="10" operator="equal">
      <formula>"WIP (see comments)"</formula>
    </cfRule>
    <cfRule type="cellIs" dxfId="386" priority="11" operator="equal">
      <formula>"Removed"</formula>
    </cfRule>
    <cfRule type="cellIs" dxfId="385" priority="12" operator="equal">
      <formula>"Updated"</formula>
    </cfRule>
    <cfRule type="cellIs" dxfId="384" priority="13" operator="equal">
      <formula>"New"</formula>
    </cfRule>
  </conditionalFormatting>
  <conditionalFormatting sqref="A1:C1 E1:XFD1 A2:XFD1048576">
    <cfRule type="cellIs" dxfId="383" priority="9" operator="equal">
      <formula>"n/a"</formula>
    </cfRule>
  </conditionalFormatting>
  <conditionalFormatting sqref="D1">
    <cfRule type="cellIs" dxfId="382" priority="7" operator="equal">
      <formula>"n/a"</formula>
    </cfRule>
  </conditionalFormatting>
  <dataValidations count="1">
    <dataValidation type="list" allowBlank="1" showInputMessage="1" showErrorMessage="1" sqref="C12: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E12:E1048576</xm:sqref>
        </x14:dataValidation>
        <x14:dataValidation type="list" allowBlank="1" showInputMessage="1" showErrorMessage="1">
          <x14:formula1>
            <xm:f>'List Values'!$B$5:$B$9</xm:f>
          </x14:formula1>
          <xm:sqref>C7:C11</xm:sqref>
        </x14:dataValidation>
        <x14:dataValidation type="list" allowBlank="1" showInputMessage="1" showErrorMessage="1">
          <x14:formula1>
            <xm:f>'List Values'!$A$5:$A$28</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xSplit="4" ySplit="6" topLeftCell="K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17.7265625" style="39" customWidth="1"/>
    <col min="8" max="8" width="27.81640625" style="39" customWidth="1"/>
    <col min="9" max="9" width="34.81640625" style="39" customWidth="1"/>
    <col min="10" max="10" width="23.453125" style="39" customWidth="1"/>
    <col min="11" max="11" width="10.7265625" style="39" bestFit="1" customWidth="1"/>
    <col min="12" max="12" width="19.26953125" style="39" bestFit="1"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46</v>
      </c>
      <c r="C1" s="61"/>
      <c r="D1" s="29"/>
    </row>
    <row r="2" spans="1:16" s="62" customFormat="1" ht="18.5" x14ac:dyDescent="0.35">
      <c r="A2" s="59" t="s">
        <v>7</v>
      </c>
      <c r="B2" s="63">
        <v>4</v>
      </c>
      <c r="C2" s="64"/>
      <c r="D2" s="63"/>
    </row>
    <row r="3" spans="1:16" s="62" customFormat="1" ht="18.5" x14ac:dyDescent="0.35">
      <c r="A3" s="59" t="s">
        <v>44</v>
      </c>
      <c r="B3" s="63" t="s">
        <v>254</v>
      </c>
      <c r="C3" s="64"/>
      <c r="D3" s="63" t="s">
        <v>269</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 t="shared" ref="B7:B11" si="0">CONCATENATE($B$2, ".", A7)</f>
        <v>4.1</v>
      </c>
      <c r="C7" s="47" t="s">
        <v>38</v>
      </c>
      <c r="D7" s="39" t="s">
        <v>488</v>
      </c>
      <c r="E7" s="39" t="s">
        <v>403</v>
      </c>
      <c r="F7" s="39" t="s">
        <v>37</v>
      </c>
      <c r="G7" s="39" t="s">
        <v>37</v>
      </c>
      <c r="H7" s="39" t="s">
        <v>37</v>
      </c>
      <c r="I7" s="39" t="s">
        <v>10</v>
      </c>
      <c r="J7" s="40" t="s">
        <v>37</v>
      </c>
      <c r="K7" s="40" t="s">
        <v>37</v>
      </c>
      <c r="L7" s="40" t="s">
        <v>37</v>
      </c>
      <c r="M7" s="40" t="s">
        <v>37</v>
      </c>
      <c r="N7" s="40" t="s">
        <v>37</v>
      </c>
      <c r="O7" s="40" t="s">
        <v>37</v>
      </c>
      <c r="P7" s="39" t="s">
        <v>489</v>
      </c>
    </row>
    <row r="8" spans="1:16" x14ac:dyDescent="0.35">
      <c r="A8" s="39">
        <v>2</v>
      </c>
      <c r="B8" s="39" t="str">
        <f t="shared" si="0"/>
        <v>4.2</v>
      </c>
      <c r="C8" s="47" t="s">
        <v>40</v>
      </c>
      <c r="D8" s="39" t="s">
        <v>37</v>
      </c>
      <c r="E8" s="39" t="s">
        <v>48</v>
      </c>
      <c r="F8" s="39" t="s">
        <v>37</v>
      </c>
      <c r="G8" s="39" t="s">
        <v>37</v>
      </c>
      <c r="H8" s="39" t="s">
        <v>37</v>
      </c>
      <c r="I8" s="39" t="s">
        <v>10</v>
      </c>
      <c r="J8" s="40" t="s">
        <v>37</v>
      </c>
      <c r="K8" s="40" t="s">
        <v>37</v>
      </c>
      <c r="L8" s="40" t="s">
        <v>37</v>
      </c>
      <c r="M8" s="40" t="s">
        <v>37</v>
      </c>
      <c r="N8" s="40" t="s">
        <v>37</v>
      </c>
      <c r="O8" s="40" t="s">
        <v>37</v>
      </c>
    </row>
    <row r="9" spans="1:16" ht="100.5" customHeight="1" x14ac:dyDescent="0.35">
      <c r="A9" s="39">
        <v>3</v>
      </c>
      <c r="B9" s="39" t="str">
        <f t="shared" si="0"/>
        <v>4.3</v>
      </c>
      <c r="C9" s="47" t="s">
        <v>40</v>
      </c>
      <c r="D9" s="39" t="s">
        <v>273</v>
      </c>
      <c r="E9" s="39" t="s">
        <v>108</v>
      </c>
      <c r="F9" s="39" t="s">
        <v>37</v>
      </c>
      <c r="G9" s="39" t="s">
        <v>37</v>
      </c>
      <c r="H9" s="39" t="s">
        <v>37</v>
      </c>
      <c r="I9" s="39" t="s">
        <v>10</v>
      </c>
      <c r="J9" s="40" t="s">
        <v>37</v>
      </c>
      <c r="K9" s="40" t="s">
        <v>37</v>
      </c>
      <c r="L9" s="40" t="s">
        <v>37</v>
      </c>
      <c r="M9" s="40" t="s">
        <v>37</v>
      </c>
      <c r="N9" s="40" t="s">
        <v>37</v>
      </c>
      <c r="O9" s="40" t="s">
        <v>99</v>
      </c>
    </row>
    <row r="10" spans="1:16" ht="120.75" customHeight="1" x14ac:dyDescent="0.35">
      <c r="A10" s="39">
        <v>4</v>
      </c>
      <c r="B10" s="39" t="str">
        <f t="shared" si="0"/>
        <v>4.4</v>
      </c>
      <c r="C10" s="47" t="s">
        <v>38</v>
      </c>
      <c r="D10" s="39" t="s">
        <v>422</v>
      </c>
      <c r="E10" s="39" t="s">
        <v>33</v>
      </c>
      <c r="F10" s="39" t="s">
        <v>50</v>
      </c>
      <c r="G10" s="39" t="s">
        <v>329</v>
      </c>
      <c r="H10" s="39" t="s">
        <v>51</v>
      </c>
      <c r="I10" s="39" t="s">
        <v>10</v>
      </c>
      <c r="J10" s="40" t="s">
        <v>266</v>
      </c>
      <c r="K10" s="40" t="s">
        <v>52</v>
      </c>
      <c r="L10" s="40" t="s">
        <v>421</v>
      </c>
      <c r="M10" s="40" t="s">
        <v>109</v>
      </c>
      <c r="N10" s="40" t="s">
        <v>421</v>
      </c>
      <c r="O10" s="40" t="s">
        <v>37</v>
      </c>
      <c r="P10" s="39" t="s">
        <v>425</v>
      </c>
    </row>
    <row r="11" spans="1:16" ht="149.25" customHeight="1" x14ac:dyDescent="0.35">
      <c r="A11" s="39">
        <v>5</v>
      </c>
      <c r="B11" s="39" t="str">
        <f t="shared" si="0"/>
        <v>4.5</v>
      </c>
      <c r="C11" s="47" t="s">
        <v>38</v>
      </c>
      <c r="D11" s="39" t="s">
        <v>423</v>
      </c>
      <c r="E11" s="39" t="s">
        <v>33</v>
      </c>
      <c r="F11" s="39" t="s">
        <v>49</v>
      </c>
      <c r="G11" s="39" t="s">
        <v>330</v>
      </c>
      <c r="H11" s="39" t="s">
        <v>53</v>
      </c>
      <c r="I11" s="39" t="s">
        <v>10</v>
      </c>
      <c r="J11" s="40" t="s">
        <v>267</v>
      </c>
      <c r="K11" s="39" t="s">
        <v>52</v>
      </c>
      <c r="L11" s="39" t="s">
        <v>424</v>
      </c>
      <c r="M11" s="39" t="s">
        <v>54</v>
      </c>
      <c r="N11" s="39" t="s">
        <v>424</v>
      </c>
      <c r="O11" s="40" t="s">
        <v>37</v>
      </c>
      <c r="P11" s="39" t="s">
        <v>426</v>
      </c>
    </row>
    <row r="12" spans="1:16" ht="156.75" customHeight="1" x14ac:dyDescent="0.35">
      <c r="A12" s="39">
        <v>6</v>
      </c>
      <c r="B12" s="39" t="str">
        <f t="shared" ref="B12:B13" si="1">CONCATENATE($B$2, ".", A12)</f>
        <v>4.6</v>
      </c>
      <c r="C12" s="47" t="s">
        <v>40</v>
      </c>
      <c r="D12" s="39" t="s">
        <v>56</v>
      </c>
      <c r="E12" s="39" t="s">
        <v>43</v>
      </c>
      <c r="F12" s="39" t="s">
        <v>37</v>
      </c>
      <c r="G12" s="39" t="s">
        <v>37</v>
      </c>
      <c r="H12" s="39" t="s">
        <v>37</v>
      </c>
      <c r="I12" s="39" t="s">
        <v>10</v>
      </c>
      <c r="J12" s="39" t="s">
        <v>37</v>
      </c>
      <c r="K12" s="39" t="s">
        <v>37</v>
      </c>
      <c r="L12" s="39" t="s">
        <v>37</v>
      </c>
      <c r="M12" s="39" t="s">
        <v>37</v>
      </c>
      <c r="N12" s="39" t="s">
        <v>37</v>
      </c>
      <c r="O12" s="39" t="s">
        <v>268</v>
      </c>
    </row>
    <row r="13" spans="1:16" ht="30.5" customHeight="1" x14ac:dyDescent="0.35">
      <c r="A13" s="39">
        <v>7</v>
      </c>
      <c r="B13" s="39" t="str">
        <f t="shared" si="1"/>
        <v>4.7</v>
      </c>
      <c r="C13" s="47" t="s">
        <v>40</v>
      </c>
      <c r="D13" s="39" t="s">
        <v>55</v>
      </c>
      <c r="E13" s="39" t="s">
        <v>43</v>
      </c>
      <c r="F13" s="39" t="s">
        <v>37</v>
      </c>
      <c r="G13" s="39" t="s">
        <v>37</v>
      </c>
      <c r="H13" s="39" t="s">
        <v>37</v>
      </c>
      <c r="I13" s="39" t="s">
        <v>10</v>
      </c>
      <c r="J13" s="39" t="s">
        <v>37</v>
      </c>
      <c r="K13" s="39" t="s">
        <v>37</v>
      </c>
      <c r="L13" s="39" t="s">
        <v>37</v>
      </c>
      <c r="M13" s="39" t="s">
        <v>37</v>
      </c>
      <c r="N13" s="39" t="s">
        <v>37</v>
      </c>
      <c r="O13" s="39" t="s">
        <v>332</v>
      </c>
    </row>
  </sheetData>
  <conditionalFormatting sqref="C7:C1048576">
    <cfRule type="cellIs" dxfId="381" priority="24" operator="equal">
      <formula>"WIP (see comments)"</formula>
    </cfRule>
    <cfRule type="cellIs" dxfId="380" priority="25" operator="equal">
      <formula>"Removed"</formula>
    </cfRule>
    <cfRule type="cellIs" dxfId="379" priority="26" operator="equal">
      <formula>"Updated"</formula>
    </cfRule>
    <cfRule type="cellIs" dxfId="378" priority="27" operator="equal">
      <formula>"New"</formula>
    </cfRule>
  </conditionalFormatting>
  <conditionalFormatting sqref="A2:XFD9 A11:N11 Q10:XFD11 A1:C1 E1:XFD1 C9:C12 A12:XFD1048576">
    <cfRule type="cellIs" dxfId="377" priority="15" operator="equal">
      <formula>"n/a"</formula>
    </cfRule>
  </conditionalFormatting>
  <conditionalFormatting sqref="A10:B10 D10:P10 P11">
    <cfRule type="cellIs" dxfId="376" priority="10" operator="equal">
      <formula>"n/a"</formula>
    </cfRule>
  </conditionalFormatting>
  <conditionalFormatting sqref="O11">
    <cfRule type="cellIs" dxfId="375" priority="9" operator="equal">
      <formula>"n/a"</formula>
    </cfRule>
  </conditionalFormatting>
  <conditionalFormatting sqref="D1">
    <cfRule type="cellIs" dxfId="374" priority="7"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E7:E13 E14:E1048576</xm:sqref>
        </x14:dataValidation>
        <x14:dataValidation type="list" allowBlank="1" showInputMessage="1" showErrorMessage="1">
          <x14:formula1>
            <xm:f>'List Values'!$B$5:$B$12</xm:f>
          </x14:formula1>
          <xm:sqref>C7:C13 C14:C1048576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8.54296875"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182</v>
      </c>
      <c r="C1" s="32"/>
      <c r="D1" s="29"/>
      <c r="H1" s="35"/>
    </row>
    <row r="2" spans="1:16" s="30" customFormat="1" ht="18.5" x14ac:dyDescent="0.35">
      <c r="A2" s="28" t="s">
        <v>7</v>
      </c>
      <c r="B2" s="36" t="s">
        <v>218</v>
      </c>
      <c r="C2" s="35"/>
      <c r="D2" s="36"/>
      <c r="H2" s="35"/>
    </row>
    <row r="3" spans="1:16" s="30" customFormat="1" ht="18.5" x14ac:dyDescent="0.35">
      <c r="A3" s="28" t="s">
        <v>44</v>
      </c>
      <c r="B3" s="36" t="s">
        <v>255</v>
      </c>
      <c r="C3" s="35"/>
      <c r="D3" s="36" t="s">
        <v>69</v>
      </c>
      <c r="H3" s="35"/>
    </row>
    <row r="4" spans="1:16" s="30" customFormat="1" ht="18.5" x14ac:dyDescent="0.35">
      <c r="A4" s="28" t="s">
        <v>8</v>
      </c>
      <c r="B4" s="30" t="s">
        <v>270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4a.1</v>
      </c>
      <c r="C7" s="70" t="s">
        <v>40</v>
      </c>
      <c r="D7" s="40" t="s">
        <v>183</v>
      </c>
      <c r="E7" s="40" t="s">
        <v>120</v>
      </c>
      <c r="F7" s="5" t="s">
        <v>37</v>
      </c>
      <c r="G7" s="5" t="s">
        <v>37</v>
      </c>
      <c r="H7" s="70" t="s">
        <v>37</v>
      </c>
      <c r="I7" s="40" t="s">
        <v>10</v>
      </c>
      <c r="J7" s="5" t="s">
        <v>37</v>
      </c>
      <c r="K7" s="5" t="s">
        <v>37</v>
      </c>
      <c r="L7" s="5" t="s">
        <v>37</v>
      </c>
      <c r="M7" s="5" t="s">
        <v>37</v>
      </c>
      <c r="N7" s="5" t="s">
        <v>37</v>
      </c>
    </row>
    <row r="8" spans="1:16" ht="105.75" customHeight="1" x14ac:dyDescent="0.35">
      <c r="A8" s="5">
        <v>2</v>
      </c>
      <c r="B8" s="5" t="str">
        <f t="shared" si="0"/>
        <v>4a.2</v>
      </c>
      <c r="C8" s="70" t="s">
        <v>40</v>
      </c>
      <c r="D8" s="45" t="s">
        <v>231</v>
      </c>
      <c r="E8" s="40" t="s">
        <v>34</v>
      </c>
      <c r="F8" s="5" t="s">
        <v>37</v>
      </c>
      <c r="G8" s="5" t="s">
        <v>37</v>
      </c>
      <c r="H8" s="70" t="s">
        <v>37</v>
      </c>
      <c r="I8" s="40" t="s">
        <v>10</v>
      </c>
      <c r="J8" s="5" t="s">
        <v>37</v>
      </c>
      <c r="K8" s="5" t="s">
        <v>37</v>
      </c>
      <c r="L8" s="5" t="s">
        <v>37</v>
      </c>
      <c r="M8" s="5" t="s">
        <v>37</v>
      </c>
      <c r="N8" s="5" t="s">
        <v>37</v>
      </c>
    </row>
    <row r="9" spans="1:16" x14ac:dyDescent="0.35">
      <c r="A9" s="5">
        <v>3</v>
      </c>
      <c r="B9" s="5" t="str">
        <f t="shared" si="0"/>
        <v>4a.3</v>
      </c>
      <c r="C9" s="73" t="s">
        <v>40</v>
      </c>
      <c r="D9" s="45" t="s">
        <v>164</v>
      </c>
      <c r="E9" s="40" t="s">
        <v>33</v>
      </c>
      <c r="F9" s="5" t="s">
        <v>37</v>
      </c>
      <c r="G9" s="5" t="s">
        <v>37</v>
      </c>
      <c r="H9" s="70" t="s">
        <v>37</v>
      </c>
      <c r="I9" s="40" t="s">
        <v>10</v>
      </c>
      <c r="J9" s="5" t="s">
        <v>37</v>
      </c>
      <c r="K9" s="5" t="s">
        <v>37</v>
      </c>
      <c r="L9" s="5" t="s">
        <v>37</v>
      </c>
      <c r="M9" s="5" t="s">
        <v>37</v>
      </c>
      <c r="N9" s="5" t="s">
        <v>37</v>
      </c>
    </row>
    <row r="10" spans="1:16" x14ac:dyDescent="0.35">
      <c r="A10" s="5">
        <v>4</v>
      </c>
      <c r="B10" s="5" t="str">
        <f>CONCATENATE($B$2, ".", A10)</f>
        <v>4a.4</v>
      </c>
      <c r="C10" s="73" t="s">
        <v>40</v>
      </c>
      <c r="D10" s="5" t="s">
        <v>206</v>
      </c>
      <c r="E10" s="5" t="s">
        <v>43</v>
      </c>
      <c r="F10" s="5" t="s">
        <v>37</v>
      </c>
      <c r="G10" s="5" t="s">
        <v>37</v>
      </c>
      <c r="H10" s="70" t="s">
        <v>37</v>
      </c>
      <c r="I10" s="40" t="s">
        <v>10</v>
      </c>
      <c r="J10" s="5" t="s">
        <v>37</v>
      </c>
      <c r="K10" s="5" t="s">
        <v>37</v>
      </c>
      <c r="L10" s="5" t="s">
        <v>37</v>
      </c>
      <c r="M10" s="5" t="s">
        <v>37</v>
      </c>
      <c r="N10" s="5" t="s">
        <v>37</v>
      </c>
      <c r="O10" s="40" t="s">
        <v>167</v>
      </c>
    </row>
    <row r="11" spans="1:16" ht="29" x14ac:dyDescent="0.35">
      <c r="A11" s="5">
        <v>5</v>
      </c>
      <c r="B11" s="5" t="str">
        <f t="shared" si="0"/>
        <v>4a.5</v>
      </c>
      <c r="C11" s="73" t="s">
        <v>40</v>
      </c>
      <c r="D11" s="5" t="s">
        <v>165</v>
      </c>
      <c r="E11" s="5" t="s">
        <v>43</v>
      </c>
      <c r="F11" s="5" t="s">
        <v>37</v>
      </c>
      <c r="G11" s="5" t="s">
        <v>37</v>
      </c>
      <c r="H11" s="70" t="s">
        <v>37</v>
      </c>
      <c r="I11" s="40" t="s">
        <v>10</v>
      </c>
      <c r="J11" s="5" t="s">
        <v>37</v>
      </c>
      <c r="K11" s="5" t="s">
        <v>37</v>
      </c>
      <c r="L11" s="5" t="s">
        <v>37</v>
      </c>
      <c r="M11" s="5" t="s">
        <v>37</v>
      </c>
      <c r="N11" s="5" t="s">
        <v>37</v>
      </c>
      <c r="O11" s="39" t="s">
        <v>256</v>
      </c>
    </row>
    <row r="12" spans="1:16" s="39" customFormat="1" ht="29" x14ac:dyDescent="0.35">
      <c r="A12" s="39">
        <v>6</v>
      </c>
      <c r="B12" s="39" t="str">
        <f t="shared" si="0"/>
        <v>4a.6</v>
      </c>
      <c r="C12" s="73" t="s">
        <v>40</v>
      </c>
      <c r="D12" s="39" t="s">
        <v>55</v>
      </c>
      <c r="E12" s="39" t="s">
        <v>43</v>
      </c>
      <c r="F12" s="39" t="s">
        <v>37</v>
      </c>
      <c r="G12" s="39" t="s">
        <v>37</v>
      </c>
      <c r="H12" s="47" t="s">
        <v>37</v>
      </c>
      <c r="I12" s="39" t="s">
        <v>10</v>
      </c>
      <c r="J12" s="39" t="s">
        <v>37</v>
      </c>
      <c r="K12" s="39" t="s">
        <v>37</v>
      </c>
      <c r="L12" s="39" t="s">
        <v>37</v>
      </c>
      <c r="M12" s="39" t="s">
        <v>37</v>
      </c>
      <c r="N12" s="39" t="s">
        <v>37</v>
      </c>
      <c r="O12" s="39" t="s">
        <v>257</v>
      </c>
    </row>
  </sheetData>
  <autoFilter ref="A6:P6"/>
  <conditionalFormatting sqref="C7:C1048576">
    <cfRule type="cellIs" dxfId="373" priority="21" operator="equal">
      <formula>"WIP (see comments)"</formula>
    </cfRule>
    <cfRule type="cellIs" dxfId="372" priority="22" operator="equal">
      <formula>"Removed"</formula>
    </cfRule>
    <cfRule type="cellIs" dxfId="371" priority="23" operator="equal">
      <formula>"Updated"</formula>
    </cfRule>
    <cfRule type="cellIs" dxfId="370" priority="24" operator="equal">
      <formula>"New"</formula>
    </cfRule>
  </conditionalFormatting>
  <conditionalFormatting sqref="A1:XFD6 A13:XFD1048576 C8:C12">
    <cfRule type="cellIs" dxfId="369" priority="20" operator="equal">
      <formula>"n/a"</formula>
    </cfRule>
  </conditionalFormatting>
  <conditionalFormatting sqref="D8:D9">
    <cfRule type="cellIs" dxfId="368" priority="19" operator="equal">
      <formula>"-"</formula>
    </cfRule>
  </conditionalFormatting>
  <conditionalFormatting sqref="A8:B9 D8:XFD9">
    <cfRule type="cellIs" dxfId="367" priority="18" operator="equal">
      <formula>"n/a"</formula>
    </cfRule>
  </conditionalFormatting>
  <conditionalFormatting sqref="A7:XFD7">
    <cfRule type="cellIs" dxfId="366" priority="13" operator="equal">
      <formula>"n/a"</formula>
    </cfRule>
  </conditionalFormatting>
  <conditionalFormatting sqref="A11:B11 D11:N11 P11:XFD11">
    <cfRule type="cellIs" dxfId="365" priority="12" operator="equal">
      <formula>"n/a"</formula>
    </cfRule>
  </conditionalFormatting>
  <conditionalFormatting sqref="A10:B10 D10:XFD10">
    <cfRule type="cellIs" dxfId="364" priority="11" operator="equal">
      <formula>"n/a"</formula>
    </cfRule>
  </conditionalFormatting>
  <conditionalFormatting sqref="A12:B12 D12:XFD12">
    <cfRule type="cellIs" dxfId="363" priority="2" operator="equal">
      <formula>"n/a"</formula>
    </cfRule>
  </conditionalFormatting>
  <conditionalFormatting sqref="O11">
    <cfRule type="cellIs" dxfId="362" priority="1" operator="equal">
      <formula>"n/a"</formula>
    </cfRule>
  </conditionalFormatting>
  <dataValidations count="3">
    <dataValidation type="list" allowBlank="1" showInputMessage="1" showErrorMessage="1" sqref="C13:C1048576">
      <formula1>$B$5:$B$12</formula1>
    </dataValidation>
    <dataValidation type="list" allowBlank="1" showInputMessage="1" showErrorMessage="1" sqref="E10 E12:E1048576">
      <formula1>$A$5:$A$26</formula1>
    </dataValidation>
    <dataValidation type="list" allowBlank="1" showInputMessage="1" showErrorMessage="1" sqref="E11">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Values'!$A$5:$A$29</xm:f>
          </x14:formula1>
          <xm:sqref>E7:E9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7"/>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29.26953125" style="39" customWidth="1"/>
    <col min="8" max="8" width="27.81640625" style="39" customWidth="1"/>
    <col min="9" max="9" width="34.81640625" style="39" customWidth="1"/>
    <col min="10" max="10" width="28.1796875" style="39" customWidth="1"/>
    <col min="11" max="11" width="10.7265625" style="39" bestFit="1" customWidth="1"/>
    <col min="12" max="12" width="23" style="39"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61</v>
      </c>
      <c r="C1" s="61"/>
      <c r="D1" s="29"/>
    </row>
    <row r="2" spans="1:16" s="62" customFormat="1" ht="18.5" x14ac:dyDescent="0.35">
      <c r="A2" s="59" t="s">
        <v>7</v>
      </c>
      <c r="B2" s="63">
        <v>5</v>
      </c>
      <c r="C2" s="64"/>
      <c r="D2" s="63"/>
    </row>
    <row r="3" spans="1:16" s="62" customFormat="1" ht="18.5" x14ac:dyDescent="0.35">
      <c r="A3" s="59" t="s">
        <v>44</v>
      </c>
      <c r="B3" s="63" t="s">
        <v>246</v>
      </c>
      <c r="C3" s="64"/>
      <c r="D3" s="63" t="s">
        <v>285</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CONCATENATE($B$2, ".", A7)</f>
        <v>5.1</v>
      </c>
      <c r="C7" s="47" t="s">
        <v>38</v>
      </c>
      <c r="D7" s="39" t="s">
        <v>346</v>
      </c>
      <c r="E7" s="39" t="s">
        <v>403</v>
      </c>
      <c r="F7" s="39" t="s">
        <v>37</v>
      </c>
      <c r="G7" s="39" t="s">
        <v>37</v>
      </c>
      <c r="H7" s="39" t="s">
        <v>37</v>
      </c>
      <c r="I7" s="39" t="s">
        <v>10</v>
      </c>
      <c r="J7" s="40" t="s">
        <v>37</v>
      </c>
      <c r="K7" s="40" t="s">
        <v>37</v>
      </c>
      <c r="L7" s="40" t="s">
        <v>37</v>
      </c>
      <c r="M7" s="40" t="s">
        <v>37</v>
      </c>
      <c r="N7" s="40" t="s">
        <v>37</v>
      </c>
      <c r="O7" s="40" t="s">
        <v>37</v>
      </c>
      <c r="P7" s="39" t="s">
        <v>489</v>
      </c>
    </row>
    <row r="8" spans="1:16" x14ac:dyDescent="0.35">
      <c r="A8" s="39">
        <v>2</v>
      </c>
      <c r="B8" s="39" t="str">
        <f t="shared" ref="B8:B12" si="0">CONCATENATE($B$2, ".", A8)</f>
        <v>5.2</v>
      </c>
      <c r="C8" s="47" t="s">
        <v>40</v>
      </c>
      <c r="D8" s="39" t="s">
        <v>37</v>
      </c>
      <c r="E8" s="39" t="s">
        <v>48</v>
      </c>
      <c r="F8" s="39" t="s">
        <v>37</v>
      </c>
      <c r="G8" s="39" t="s">
        <v>37</v>
      </c>
      <c r="H8" s="39" t="s">
        <v>37</v>
      </c>
      <c r="I8" s="39" t="s">
        <v>10</v>
      </c>
      <c r="J8" s="40" t="s">
        <v>37</v>
      </c>
      <c r="K8" s="40" t="s">
        <v>37</v>
      </c>
      <c r="L8" s="40" t="s">
        <v>37</v>
      </c>
      <c r="M8" s="40" t="s">
        <v>37</v>
      </c>
      <c r="N8" s="40" t="s">
        <v>37</v>
      </c>
      <c r="O8" s="40" t="s">
        <v>37</v>
      </c>
    </row>
    <row r="9" spans="1:16" ht="84.75" customHeight="1" x14ac:dyDescent="0.35">
      <c r="A9" s="39">
        <v>3</v>
      </c>
      <c r="B9" s="39" t="str">
        <f t="shared" si="0"/>
        <v>5.3</v>
      </c>
      <c r="C9" s="47" t="s">
        <v>40</v>
      </c>
      <c r="D9" s="39" t="s">
        <v>232</v>
      </c>
      <c r="E9" s="39" t="s">
        <v>34</v>
      </c>
      <c r="F9" s="39" t="s">
        <v>37</v>
      </c>
      <c r="G9" s="39" t="s">
        <v>37</v>
      </c>
      <c r="H9" s="39" t="s">
        <v>37</v>
      </c>
      <c r="I9" s="39" t="s">
        <v>10</v>
      </c>
      <c r="J9" s="40" t="s">
        <v>37</v>
      </c>
      <c r="K9" s="40" t="s">
        <v>37</v>
      </c>
      <c r="L9" s="40" t="s">
        <v>37</v>
      </c>
      <c r="M9" s="40" t="s">
        <v>37</v>
      </c>
      <c r="N9" s="40" t="s">
        <v>37</v>
      </c>
      <c r="O9" s="40" t="s">
        <v>37</v>
      </c>
    </row>
    <row r="10" spans="1:16" ht="53.25" customHeight="1" x14ac:dyDescent="0.35">
      <c r="A10" s="39">
        <v>4</v>
      </c>
      <c r="B10" s="39" t="str">
        <f t="shared" si="0"/>
        <v>5.4</v>
      </c>
      <c r="C10" s="47" t="s">
        <v>40</v>
      </c>
      <c r="D10" s="46" t="s">
        <v>223</v>
      </c>
      <c r="E10" s="39" t="s">
        <v>34</v>
      </c>
      <c r="F10" s="39" t="s">
        <v>37</v>
      </c>
      <c r="G10" s="39" t="s">
        <v>281</v>
      </c>
      <c r="H10" s="39" t="s">
        <v>37</v>
      </c>
      <c r="I10" s="39" t="s">
        <v>10</v>
      </c>
      <c r="J10" s="40" t="s">
        <v>37</v>
      </c>
      <c r="K10" s="40" t="s">
        <v>37</v>
      </c>
      <c r="L10" s="40" t="s">
        <v>37</v>
      </c>
      <c r="M10" s="40" t="s">
        <v>37</v>
      </c>
      <c r="N10" s="40" t="s">
        <v>37</v>
      </c>
      <c r="O10" s="40" t="s">
        <v>37</v>
      </c>
    </row>
    <row r="11" spans="1:16" ht="43.5" x14ac:dyDescent="0.35">
      <c r="A11" s="39">
        <v>5</v>
      </c>
      <c r="B11" s="39" t="str">
        <f t="shared" si="0"/>
        <v>5.5</v>
      </c>
      <c r="C11" s="47" t="s">
        <v>40</v>
      </c>
      <c r="D11" s="46" t="s">
        <v>248</v>
      </c>
      <c r="E11" s="39" t="s">
        <v>34</v>
      </c>
      <c r="F11" s="39" t="s">
        <v>37</v>
      </c>
      <c r="G11" s="39" t="s">
        <v>247</v>
      </c>
      <c r="H11" s="39" t="s">
        <v>37</v>
      </c>
      <c r="I11" s="39" t="s">
        <v>10</v>
      </c>
      <c r="J11" s="40" t="s">
        <v>37</v>
      </c>
      <c r="K11" s="40" t="s">
        <v>37</v>
      </c>
      <c r="L11" s="40" t="s">
        <v>37</v>
      </c>
      <c r="M11" s="40" t="s">
        <v>37</v>
      </c>
      <c r="N11" s="40" t="s">
        <v>37</v>
      </c>
      <c r="O11" s="40" t="s">
        <v>37</v>
      </c>
      <c r="P11" s="39" t="s">
        <v>251</v>
      </c>
    </row>
    <row r="12" spans="1:16" ht="29" x14ac:dyDescent="0.35">
      <c r="A12" s="39">
        <v>6</v>
      </c>
      <c r="B12" s="39" t="str">
        <f t="shared" si="0"/>
        <v>5.6</v>
      </c>
      <c r="C12" s="47" t="s">
        <v>40</v>
      </c>
      <c r="D12" s="46" t="s">
        <v>224</v>
      </c>
      <c r="E12" s="39" t="s">
        <v>34</v>
      </c>
      <c r="F12" s="39" t="s">
        <v>37</v>
      </c>
      <c r="G12" s="39" t="s">
        <v>117</v>
      </c>
      <c r="H12" s="39" t="s">
        <v>37</v>
      </c>
      <c r="I12" s="39" t="s">
        <v>10</v>
      </c>
      <c r="J12" s="40" t="s">
        <v>37</v>
      </c>
      <c r="K12" s="40" t="s">
        <v>37</v>
      </c>
      <c r="L12" s="40" t="s">
        <v>37</v>
      </c>
      <c r="M12" s="40" t="s">
        <v>37</v>
      </c>
      <c r="N12" s="40" t="s">
        <v>37</v>
      </c>
      <c r="O12" s="40" t="s">
        <v>37</v>
      </c>
    </row>
    <row r="13" spans="1:16" ht="95.25" customHeight="1" x14ac:dyDescent="0.35">
      <c r="C13" s="47" t="s">
        <v>41</v>
      </c>
      <c r="D13" s="46" t="s">
        <v>225</v>
      </c>
      <c r="E13" s="39" t="s">
        <v>34</v>
      </c>
      <c r="F13" s="39" t="s">
        <v>37</v>
      </c>
      <c r="G13" s="39" t="s">
        <v>118</v>
      </c>
      <c r="H13" s="39" t="s">
        <v>37</v>
      </c>
      <c r="I13" s="39" t="s">
        <v>10</v>
      </c>
      <c r="J13" s="40" t="s">
        <v>37</v>
      </c>
      <c r="K13" s="40" t="s">
        <v>37</v>
      </c>
      <c r="L13" s="40" t="s">
        <v>37</v>
      </c>
      <c r="M13" s="40" t="s">
        <v>37</v>
      </c>
      <c r="N13" s="40" t="s">
        <v>37</v>
      </c>
      <c r="O13" s="40" t="s">
        <v>37</v>
      </c>
      <c r="P13" s="39" t="s">
        <v>249</v>
      </c>
    </row>
    <row r="14" spans="1:16" ht="95.25" customHeight="1" x14ac:dyDescent="0.35">
      <c r="A14" s="39">
        <v>7</v>
      </c>
      <c r="B14" s="39" t="str">
        <f t="shared" ref="B14" si="1">CONCATENATE($B$2, ".", A14)</f>
        <v>5.7</v>
      </c>
      <c r="C14" s="47" t="s">
        <v>40</v>
      </c>
      <c r="D14" s="46" t="s">
        <v>226</v>
      </c>
      <c r="E14" s="39" t="s">
        <v>34</v>
      </c>
      <c r="F14" s="39" t="s">
        <v>37</v>
      </c>
      <c r="G14" s="39" t="s">
        <v>233</v>
      </c>
      <c r="H14" s="41" t="s">
        <v>37</v>
      </c>
      <c r="I14" s="39" t="s">
        <v>10</v>
      </c>
      <c r="J14" s="39" t="s">
        <v>37</v>
      </c>
      <c r="K14" s="39" t="s">
        <v>37</v>
      </c>
      <c r="L14" s="39" t="s">
        <v>37</v>
      </c>
      <c r="M14" s="39" t="s">
        <v>37</v>
      </c>
      <c r="N14" s="39" t="s">
        <v>37</v>
      </c>
      <c r="O14" s="40" t="s">
        <v>37</v>
      </c>
    </row>
    <row r="15" spans="1:16" ht="142.5" customHeight="1" x14ac:dyDescent="0.35">
      <c r="A15" s="39">
        <v>8</v>
      </c>
      <c r="B15" s="39" t="str">
        <f t="shared" ref="B15:B17" si="2">CONCATENATE($B$2, ".", A15)</f>
        <v>5.8</v>
      </c>
      <c r="C15" s="47" t="s">
        <v>45</v>
      </c>
      <c r="D15" s="39" t="s">
        <v>284</v>
      </c>
      <c r="E15" s="39" t="s">
        <v>30</v>
      </c>
      <c r="F15" s="39" t="s">
        <v>60</v>
      </c>
      <c r="G15" s="39" t="s">
        <v>37</v>
      </c>
      <c r="H15" s="39" t="s">
        <v>37</v>
      </c>
      <c r="I15" s="39" t="s">
        <v>10</v>
      </c>
      <c r="J15" s="40" t="s">
        <v>100</v>
      </c>
      <c r="K15" s="40" t="s">
        <v>52</v>
      </c>
      <c r="L15" s="40" t="s">
        <v>428</v>
      </c>
      <c r="M15" s="40" t="s">
        <v>37</v>
      </c>
      <c r="N15" s="40" t="s">
        <v>37</v>
      </c>
      <c r="O15" s="40" t="s">
        <v>282</v>
      </c>
      <c r="P15" s="39" t="s">
        <v>250</v>
      </c>
    </row>
    <row r="16" spans="1:16" ht="72.5" x14ac:dyDescent="0.35">
      <c r="A16" s="39">
        <v>9</v>
      </c>
      <c r="B16" s="39" t="str">
        <f t="shared" si="2"/>
        <v>5.9</v>
      </c>
      <c r="C16" s="47" t="s">
        <v>40</v>
      </c>
      <c r="D16" s="39" t="s">
        <v>56</v>
      </c>
      <c r="E16" s="39" t="s">
        <v>43</v>
      </c>
      <c r="F16" s="39" t="s">
        <v>37</v>
      </c>
      <c r="G16" s="39" t="s">
        <v>37</v>
      </c>
      <c r="H16" s="39" t="s">
        <v>37</v>
      </c>
      <c r="I16" s="39" t="s">
        <v>10</v>
      </c>
      <c r="J16" s="39" t="s">
        <v>37</v>
      </c>
      <c r="K16" s="39" t="s">
        <v>37</v>
      </c>
      <c r="L16" s="39" t="s">
        <v>37</v>
      </c>
      <c r="M16" s="39" t="s">
        <v>37</v>
      </c>
      <c r="N16" s="39" t="s">
        <v>37</v>
      </c>
      <c r="O16" s="39" t="s">
        <v>283</v>
      </c>
    </row>
    <row r="17" spans="1:15" ht="29" x14ac:dyDescent="0.35">
      <c r="A17" s="39">
        <v>10</v>
      </c>
      <c r="B17" s="39" t="str">
        <f t="shared" si="2"/>
        <v>5.10</v>
      </c>
      <c r="C17" s="47" t="s">
        <v>40</v>
      </c>
      <c r="D17" s="39" t="s">
        <v>55</v>
      </c>
      <c r="E17" s="39" t="s">
        <v>43</v>
      </c>
      <c r="F17" s="39" t="s">
        <v>37</v>
      </c>
      <c r="G17" s="39" t="s">
        <v>37</v>
      </c>
      <c r="H17" s="39" t="s">
        <v>37</v>
      </c>
      <c r="I17" s="39" t="s">
        <v>10</v>
      </c>
      <c r="J17" s="39" t="s">
        <v>37</v>
      </c>
      <c r="K17" s="39" t="s">
        <v>37</v>
      </c>
      <c r="L17" s="39" t="s">
        <v>37</v>
      </c>
      <c r="M17" s="39" t="s">
        <v>37</v>
      </c>
      <c r="N17" s="39" t="s">
        <v>37</v>
      </c>
      <c r="O17" s="39" t="s">
        <v>258</v>
      </c>
    </row>
  </sheetData>
  <conditionalFormatting sqref="C18:C1048576 C7:C14">
    <cfRule type="cellIs" dxfId="361" priority="57" operator="equal">
      <formula>"WIP (see comments)"</formula>
    </cfRule>
    <cfRule type="cellIs" dxfId="360" priority="58" operator="equal">
      <formula>"Removed"</formula>
    </cfRule>
    <cfRule type="cellIs" dxfId="359" priority="59" operator="equal">
      <formula>"Updated"</formula>
    </cfRule>
    <cfRule type="cellIs" dxfId="358" priority="60" operator="equal">
      <formula>"New"</formula>
    </cfRule>
  </conditionalFormatting>
  <conditionalFormatting sqref="C7:C14">
    <cfRule type="cellIs" dxfId="357" priority="49" operator="equal">
      <formula>"WIP (see comments)"</formula>
    </cfRule>
    <cfRule type="cellIs" dxfId="356" priority="50" operator="equal">
      <formula>"Removed"</formula>
    </cfRule>
    <cfRule type="cellIs" dxfId="355" priority="51" operator="equal">
      <formula>"Updated"</formula>
    </cfRule>
    <cfRule type="cellIs" dxfId="354" priority="52" operator="equal">
      <formula>"New"</formula>
    </cfRule>
  </conditionalFormatting>
  <conditionalFormatting sqref="A18:XFD1048576 P14:XFD14 D15:XFD17 C14 A1:C1 E1:XFD1 A2:XFD2 A4:XFD13 A3:C3 E3:XFD3">
    <cfRule type="cellIs" dxfId="353" priority="44" operator="equal">
      <formula>"n/a"</formula>
    </cfRule>
  </conditionalFormatting>
  <conditionalFormatting sqref="C15:C17">
    <cfRule type="cellIs" dxfId="352" priority="21" operator="equal">
      <formula>"WIP (see comments)"</formula>
    </cfRule>
    <cfRule type="cellIs" dxfId="351" priority="22" operator="equal">
      <formula>"Removed"</formula>
    </cfRule>
    <cfRule type="cellIs" dxfId="350" priority="23" operator="equal">
      <formula>"Updated"</formula>
    </cfRule>
    <cfRule type="cellIs" dxfId="349" priority="24" operator="equal">
      <formula>"New"</formula>
    </cfRule>
  </conditionalFormatting>
  <conditionalFormatting sqref="D14:O14">
    <cfRule type="cellIs" dxfId="348" priority="38" operator="equal">
      <formula>"n/a"</formula>
    </cfRule>
  </conditionalFormatting>
  <conditionalFormatting sqref="C15:C17">
    <cfRule type="cellIs" dxfId="347" priority="25" operator="equal">
      <formula>"WIP (see comments)"</formula>
    </cfRule>
    <cfRule type="cellIs" dxfId="346" priority="26" operator="equal">
      <formula>"Removed"</formula>
    </cfRule>
    <cfRule type="cellIs" dxfId="345" priority="27" operator="equal">
      <formula>"Updated"</formula>
    </cfRule>
    <cfRule type="cellIs" dxfId="344" priority="28" operator="equal">
      <formula>"New"</formula>
    </cfRule>
  </conditionalFormatting>
  <conditionalFormatting sqref="C15:C17">
    <cfRule type="cellIs" dxfId="343" priority="20" operator="equal">
      <formula>"n/a"</formula>
    </cfRule>
  </conditionalFormatting>
  <conditionalFormatting sqref="D1">
    <cfRule type="cellIs" dxfId="342" priority="9" operator="equal">
      <formula>"n/a"</formula>
    </cfRule>
  </conditionalFormatting>
  <conditionalFormatting sqref="D3">
    <cfRule type="cellIs" dxfId="341" priority="8" operator="equal">
      <formula>"n/a"</formula>
    </cfRule>
  </conditionalFormatting>
  <conditionalFormatting sqref="A14:B17">
    <cfRule type="cellIs" dxfId="340"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E7:E17 E18:E1048576</xm:sqref>
        </x14:dataValidation>
        <x14:dataValidation type="list" allowBlank="1" showInputMessage="1" showErrorMessage="1">
          <x14:formula1>
            <xm:f>'List Values'!$B$5:$B$12</xm:f>
          </x14:formula1>
          <xm:sqref>C7:C17 C18:C1048576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pane xSplit="4" ySplit="6" topLeftCell="F7" activePane="bottomRight" state="frozen"/>
      <selection pane="topRight" activeCell="E1" sqref="E1"/>
      <selection pane="bottomLeft" activeCell="A7" sqref="A7"/>
      <selection pane="bottomRight" activeCell="F8" sqref="F8"/>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63</v>
      </c>
      <c r="C1" s="32"/>
      <c r="D1" s="29"/>
    </row>
    <row r="2" spans="1:16" s="30" customFormat="1" ht="18.5" x14ac:dyDescent="0.35">
      <c r="A2" s="28" t="s">
        <v>7</v>
      </c>
      <c r="B2" s="36">
        <v>6</v>
      </c>
      <c r="C2" s="35"/>
      <c r="D2" s="36"/>
    </row>
    <row r="3" spans="1:16" s="30" customFormat="1" ht="18.5" x14ac:dyDescent="0.35">
      <c r="A3" s="28" t="s">
        <v>44</v>
      </c>
      <c r="B3" s="36" t="s">
        <v>243</v>
      </c>
      <c r="C3" s="35"/>
      <c r="D3" s="63" t="s">
        <v>245</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48" customFormat="1" x14ac:dyDescent="0.35">
      <c r="A7" s="48">
        <v>1</v>
      </c>
      <c r="B7" s="48" t="str">
        <f>CONCATENATE($B$2, ".", A7)</f>
        <v>6.1</v>
      </c>
      <c r="C7" s="49" t="s">
        <v>38</v>
      </c>
      <c r="D7" s="50" t="s">
        <v>490</v>
      </c>
      <c r="E7" s="48" t="s">
        <v>403</v>
      </c>
      <c r="F7" s="48" t="s">
        <v>37</v>
      </c>
      <c r="G7" s="48" t="s">
        <v>37</v>
      </c>
      <c r="H7" s="48" t="s">
        <v>37</v>
      </c>
      <c r="I7" s="50" t="s">
        <v>10</v>
      </c>
      <c r="J7" s="48" t="s">
        <v>37</v>
      </c>
      <c r="K7" s="48" t="s">
        <v>37</v>
      </c>
      <c r="L7" s="48" t="s">
        <v>37</v>
      </c>
      <c r="M7" s="48" t="s">
        <v>37</v>
      </c>
      <c r="N7" s="48" t="s">
        <v>37</v>
      </c>
      <c r="O7" s="48" t="s">
        <v>37</v>
      </c>
      <c r="P7" s="48" t="s">
        <v>489</v>
      </c>
    </row>
    <row r="8" spans="1:16" s="48" customFormat="1" x14ac:dyDescent="0.35">
      <c r="A8" s="48">
        <v>2</v>
      </c>
      <c r="B8" s="48" t="str">
        <f t="shared" ref="B8:B13" si="0">CONCATENATE($B$2, ".", A8)</f>
        <v>6.2</v>
      </c>
      <c r="C8" s="52" t="s">
        <v>40</v>
      </c>
      <c r="D8" s="50" t="s">
        <v>37</v>
      </c>
      <c r="E8" s="50" t="s">
        <v>48</v>
      </c>
      <c r="F8" s="48" t="s">
        <v>37</v>
      </c>
      <c r="G8" s="48" t="s">
        <v>37</v>
      </c>
      <c r="H8" s="48" t="s">
        <v>37</v>
      </c>
      <c r="I8" s="50" t="s">
        <v>10</v>
      </c>
      <c r="J8" s="48" t="s">
        <v>37</v>
      </c>
      <c r="K8" s="48" t="s">
        <v>37</v>
      </c>
      <c r="L8" s="48" t="s">
        <v>37</v>
      </c>
      <c r="M8" s="48" t="s">
        <v>37</v>
      </c>
      <c r="N8" s="48" t="s">
        <v>37</v>
      </c>
      <c r="O8" s="48" t="s">
        <v>37</v>
      </c>
    </row>
    <row r="9" spans="1:16" s="48" customFormat="1" ht="84.75" customHeight="1" x14ac:dyDescent="0.35">
      <c r="A9" s="48">
        <v>3</v>
      </c>
      <c r="B9" s="48" t="str">
        <f t="shared" si="0"/>
        <v>6.3</v>
      </c>
      <c r="C9" s="52" t="s">
        <v>38</v>
      </c>
      <c r="D9" s="50" t="s">
        <v>333</v>
      </c>
      <c r="E9" s="50" t="s">
        <v>34</v>
      </c>
      <c r="F9" s="48" t="s">
        <v>37</v>
      </c>
      <c r="G9" s="48" t="s">
        <v>37</v>
      </c>
      <c r="H9" s="48" t="s">
        <v>37</v>
      </c>
      <c r="I9" s="50" t="s">
        <v>10</v>
      </c>
      <c r="J9" s="48" t="s">
        <v>37</v>
      </c>
      <c r="K9" s="48" t="s">
        <v>37</v>
      </c>
      <c r="L9" s="48" t="s">
        <v>37</v>
      </c>
      <c r="M9" s="48" t="s">
        <v>37</v>
      </c>
      <c r="N9" s="48" t="s">
        <v>37</v>
      </c>
      <c r="O9" s="48" t="s">
        <v>37</v>
      </c>
      <c r="P9" s="48" t="s">
        <v>334</v>
      </c>
    </row>
    <row r="10" spans="1:16" ht="99" customHeight="1" x14ac:dyDescent="0.35">
      <c r="A10" s="6">
        <v>4</v>
      </c>
      <c r="B10" s="48" t="str">
        <f t="shared" si="0"/>
        <v>6.4</v>
      </c>
      <c r="C10" s="52" t="s">
        <v>40</v>
      </c>
      <c r="D10" s="6" t="s">
        <v>37</v>
      </c>
      <c r="E10" s="6" t="s">
        <v>154</v>
      </c>
      <c r="F10" s="48" t="s">
        <v>37</v>
      </c>
      <c r="G10" s="48" t="s">
        <v>37</v>
      </c>
      <c r="H10" s="48" t="s">
        <v>37</v>
      </c>
      <c r="I10" s="50" t="s">
        <v>10</v>
      </c>
      <c r="J10" s="48" t="s">
        <v>37</v>
      </c>
      <c r="K10" s="90" t="s">
        <v>157</v>
      </c>
      <c r="L10" s="91" t="s">
        <v>158</v>
      </c>
      <c r="M10" s="48" t="s">
        <v>37</v>
      </c>
      <c r="N10" s="48" t="s">
        <v>37</v>
      </c>
      <c r="O10" s="40" t="s">
        <v>159</v>
      </c>
    </row>
    <row r="11" spans="1:16" ht="57.75" customHeight="1" x14ac:dyDescent="0.35">
      <c r="A11" s="6">
        <v>5</v>
      </c>
      <c r="B11" s="6" t="str">
        <f t="shared" si="0"/>
        <v>6.5</v>
      </c>
      <c r="C11" s="52" t="s">
        <v>40</v>
      </c>
      <c r="D11" s="6" t="s">
        <v>155</v>
      </c>
      <c r="E11" s="6" t="s">
        <v>30</v>
      </c>
      <c r="F11" s="6" t="s">
        <v>60</v>
      </c>
      <c r="G11" s="48" t="s">
        <v>37</v>
      </c>
      <c r="H11" s="48" t="s">
        <v>37</v>
      </c>
      <c r="I11" s="50" t="s">
        <v>10</v>
      </c>
      <c r="J11" s="5" t="s">
        <v>156</v>
      </c>
      <c r="K11" s="90"/>
      <c r="L11" s="91"/>
      <c r="M11" s="48" t="s">
        <v>37</v>
      </c>
      <c r="N11" s="48" t="s">
        <v>37</v>
      </c>
      <c r="O11" s="40" t="s">
        <v>160</v>
      </c>
    </row>
    <row r="12" spans="1:16" ht="57.75" customHeight="1" x14ac:dyDescent="0.35">
      <c r="A12" s="6">
        <v>6</v>
      </c>
      <c r="B12" s="6" t="str">
        <f t="shared" si="0"/>
        <v>6.6</v>
      </c>
      <c r="C12" s="72" t="s">
        <v>40</v>
      </c>
      <c r="D12" s="6" t="s">
        <v>185</v>
      </c>
      <c r="E12" s="6" t="s">
        <v>34</v>
      </c>
      <c r="F12" s="6" t="s">
        <v>37</v>
      </c>
      <c r="G12" s="48" t="s">
        <v>37</v>
      </c>
      <c r="H12" s="48" t="s">
        <v>37</v>
      </c>
      <c r="I12" s="50" t="s">
        <v>10</v>
      </c>
      <c r="J12" s="5" t="s">
        <v>37</v>
      </c>
      <c r="K12" s="5" t="s">
        <v>37</v>
      </c>
      <c r="L12" s="5" t="s">
        <v>37</v>
      </c>
      <c r="M12" s="5" t="s">
        <v>37</v>
      </c>
      <c r="N12" s="5" t="s">
        <v>37</v>
      </c>
      <c r="O12" s="5" t="s">
        <v>37</v>
      </c>
    </row>
    <row r="13" spans="1:16" ht="57.75" customHeight="1" x14ac:dyDescent="0.35">
      <c r="A13" s="6">
        <v>7</v>
      </c>
      <c r="B13" s="6" t="str">
        <f t="shared" si="0"/>
        <v>6.7</v>
      </c>
      <c r="C13" s="72" t="s">
        <v>40</v>
      </c>
      <c r="D13" s="6" t="s">
        <v>207</v>
      </c>
      <c r="E13" s="6" t="s">
        <v>119</v>
      </c>
      <c r="F13" s="6" t="s">
        <v>37</v>
      </c>
      <c r="G13" s="48" t="s">
        <v>37</v>
      </c>
      <c r="H13" s="48" t="s">
        <v>37</v>
      </c>
      <c r="I13" s="50" t="s">
        <v>10</v>
      </c>
      <c r="J13" s="5" t="s">
        <v>37</v>
      </c>
      <c r="K13" s="5" t="s">
        <v>37</v>
      </c>
      <c r="L13" s="5" t="s">
        <v>37</v>
      </c>
      <c r="M13" s="5" t="s">
        <v>37</v>
      </c>
      <c r="N13" s="5" t="s">
        <v>37</v>
      </c>
      <c r="O13" s="5" t="s">
        <v>37</v>
      </c>
    </row>
    <row r="14" spans="1:16" ht="29" x14ac:dyDescent="0.35">
      <c r="A14" s="6">
        <v>8</v>
      </c>
      <c r="B14" s="6" t="str">
        <f>CONCATENATE($B$2, ".", A14)</f>
        <v>6.8</v>
      </c>
      <c r="C14" s="52" t="s">
        <v>40</v>
      </c>
      <c r="D14" s="6" t="s">
        <v>56</v>
      </c>
      <c r="E14" s="6" t="s">
        <v>43</v>
      </c>
      <c r="F14" s="6" t="s">
        <v>37</v>
      </c>
      <c r="G14" s="6" t="s">
        <v>37</v>
      </c>
      <c r="H14" s="6" t="s">
        <v>37</v>
      </c>
      <c r="I14" s="6" t="s">
        <v>10</v>
      </c>
      <c r="J14" s="6" t="s">
        <v>37</v>
      </c>
      <c r="K14" s="6" t="s">
        <v>37</v>
      </c>
      <c r="L14" s="6" t="s">
        <v>37</v>
      </c>
      <c r="M14" s="6" t="s">
        <v>37</v>
      </c>
      <c r="N14" s="6" t="s">
        <v>37</v>
      </c>
      <c r="O14" s="6" t="s">
        <v>263</v>
      </c>
    </row>
    <row r="15" spans="1:16" ht="29" x14ac:dyDescent="0.35">
      <c r="A15" s="6">
        <v>9</v>
      </c>
      <c r="B15" s="6" t="str">
        <f t="shared" ref="B15" si="1">CONCATENATE($B$2, ".", A15)</f>
        <v>6.9</v>
      </c>
      <c r="C15" s="52" t="s">
        <v>40</v>
      </c>
      <c r="D15" s="6" t="s">
        <v>55</v>
      </c>
      <c r="E15" s="6" t="s">
        <v>43</v>
      </c>
      <c r="F15" s="6" t="s">
        <v>37</v>
      </c>
      <c r="G15" s="6" t="s">
        <v>37</v>
      </c>
      <c r="H15" s="6" t="s">
        <v>37</v>
      </c>
      <c r="I15" s="6" t="s">
        <v>10</v>
      </c>
      <c r="J15" s="6" t="s">
        <v>37</v>
      </c>
      <c r="K15" s="6" t="s">
        <v>37</v>
      </c>
      <c r="L15" s="6" t="s">
        <v>37</v>
      </c>
      <c r="M15" s="6" t="s">
        <v>37</v>
      </c>
      <c r="N15" s="6" t="s">
        <v>37</v>
      </c>
      <c r="O15" s="6" t="s">
        <v>244</v>
      </c>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row r="22" spans="9:15" x14ac:dyDescent="0.35">
      <c r="I22" s="39"/>
      <c r="J22" s="5"/>
      <c r="K22" s="5"/>
      <c r="L22" s="40"/>
      <c r="M22" s="40"/>
      <c r="N22" s="40"/>
      <c r="O22" s="40"/>
    </row>
    <row r="23" spans="9:15" x14ac:dyDescent="0.35">
      <c r="I23" s="39"/>
      <c r="J23" s="5"/>
      <c r="K23" s="5"/>
      <c r="L23" s="40"/>
      <c r="M23" s="40"/>
      <c r="N23" s="40"/>
      <c r="O23" s="40"/>
    </row>
  </sheetData>
  <mergeCells count="2">
    <mergeCell ref="K10:K11"/>
    <mergeCell ref="L10:L11"/>
  </mergeCells>
  <conditionalFormatting sqref="C16:C1048576">
    <cfRule type="cellIs" dxfId="339" priority="56" operator="equal">
      <formula>"WIP (see comments)"</formula>
    </cfRule>
    <cfRule type="cellIs" dxfId="338" priority="57" operator="equal">
      <formula>"Removed"</formula>
    </cfRule>
    <cfRule type="cellIs" dxfId="337" priority="58" operator="equal">
      <formula>"Updated"</formula>
    </cfRule>
    <cfRule type="cellIs" dxfId="336" priority="59" operator="equal">
      <formula>"New"</formula>
    </cfRule>
  </conditionalFormatting>
  <conditionalFormatting sqref="C7:C15">
    <cfRule type="cellIs" dxfId="335" priority="40" operator="equal">
      <formula>"WIP (see comments)"</formula>
    </cfRule>
    <cfRule type="cellIs" dxfId="334" priority="41" operator="equal">
      <formula>"Removed"</formula>
    </cfRule>
    <cfRule type="cellIs" dxfId="333" priority="42" operator="equal">
      <formula>"Updated"</formula>
    </cfRule>
    <cfRule type="cellIs" dxfId="332" priority="43" operator="equal">
      <formula>"New"</formula>
    </cfRule>
  </conditionalFormatting>
  <conditionalFormatting sqref="A2:XFD2 A16:XFD1048576 M11:XFD11 D11:J11 A8:B13 D8:XFD10 P12:XFD13 C8:C15 A1:C1 E1:XFD1 A4:XFD7 A3:C3 E3:XFD3">
    <cfRule type="cellIs" dxfId="331" priority="38" operator="equal">
      <formula>"n/a"</formula>
    </cfRule>
  </conditionalFormatting>
  <conditionalFormatting sqref="A14:B15 D14:XFD15">
    <cfRule type="cellIs" dxfId="330" priority="24" operator="equal">
      <formula>"n/a"</formula>
    </cfRule>
  </conditionalFormatting>
  <conditionalFormatting sqref="J13:K13 J12 D12:I13">
    <cfRule type="cellIs" dxfId="329" priority="19" operator="equal">
      <formula>"n/a"</formula>
    </cfRule>
  </conditionalFormatting>
  <conditionalFormatting sqref="K12">
    <cfRule type="cellIs" dxfId="328" priority="18" operator="equal">
      <formula>"n/a"</formula>
    </cfRule>
  </conditionalFormatting>
  <conditionalFormatting sqref="L13">
    <cfRule type="cellIs" dxfId="327" priority="17" operator="equal">
      <formula>"n/a"</formula>
    </cfRule>
  </conditionalFormatting>
  <conditionalFormatting sqref="L12">
    <cfRule type="cellIs" dxfId="326" priority="16" operator="equal">
      <formula>"n/a"</formula>
    </cfRule>
  </conditionalFormatting>
  <conditionalFormatting sqref="M13">
    <cfRule type="cellIs" dxfId="325" priority="15" operator="equal">
      <formula>"n/a"</formula>
    </cfRule>
  </conditionalFormatting>
  <conditionalFormatting sqref="M12">
    <cfRule type="cellIs" dxfId="324" priority="14" operator="equal">
      <formula>"n/a"</formula>
    </cfRule>
  </conditionalFormatting>
  <conditionalFormatting sqref="N13">
    <cfRule type="cellIs" dxfId="323" priority="13" operator="equal">
      <formula>"n/a"</formula>
    </cfRule>
  </conditionalFormatting>
  <conditionalFormatting sqref="N12">
    <cfRule type="cellIs" dxfId="322" priority="12" operator="equal">
      <formula>"n/a"</formula>
    </cfRule>
  </conditionalFormatting>
  <conditionalFormatting sqref="O13">
    <cfRule type="cellIs" dxfId="321" priority="11" operator="equal">
      <formula>"n/a"</formula>
    </cfRule>
  </conditionalFormatting>
  <conditionalFormatting sqref="O12">
    <cfRule type="cellIs" dxfId="320" priority="10" operator="equal">
      <formula>"n/a"</formula>
    </cfRule>
  </conditionalFormatting>
  <conditionalFormatting sqref="D1">
    <cfRule type="cellIs" dxfId="319" priority="8" operator="equal">
      <formula>"n/a"</formula>
    </cfRule>
  </conditionalFormatting>
  <conditionalFormatting sqref="D3">
    <cfRule type="cellIs" dxfId="318"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C7:C15 C16:C1048576</xm:sqref>
        </x14:dataValidation>
        <x14:dataValidation type="list" allowBlank="1" showInputMessage="1" showErrorMessage="1">
          <x14:formula1>
            <xm:f>'List Values'!$A$5:$A$30</xm:f>
          </x14:formula1>
          <xm:sqref>E7:E15 E16:E1048576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pane xSplit="4" ySplit="6" topLeftCell="E7" activePane="bottomRight" state="frozen"/>
      <selection pane="topRight" activeCell="E1" sqref="E1"/>
      <selection pane="bottomLeft" activeCell="A7" sqref="A7"/>
      <selection pane="bottomRight" activeCell="E8" sqref="E8"/>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261</v>
      </c>
      <c r="C1" s="32"/>
      <c r="D1" s="38" t="s">
        <v>274</v>
      </c>
    </row>
    <row r="2" spans="1:16" s="30" customFormat="1" ht="18.5" x14ac:dyDescent="0.35">
      <c r="A2" s="28" t="s">
        <v>7</v>
      </c>
      <c r="B2" s="36">
        <v>7</v>
      </c>
      <c r="C2" s="35"/>
      <c r="D2" s="36"/>
    </row>
    <row r="3" spans="1:16" s="30" customFormat="1" ht="18.5" x14ac:dyDescent="0.35">
      <c r="A3" s="28" t="s">
        <v>44</v>
      </c>
      <c r="B3" s="36" t="s">
        <v>259</v>
      </c>
      <c r="C3" s="35"/>
      <c r="D3" s="63" t="s">
        <v>459</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0" si="0">CONCATENATE($B$2, ".", A7)</f>
        <v>7.1</v>
      </c>
      <c r="C7" s="47" t="s">
        <v>38</v>
      </c>
      <c r="D7" s="39" t="s">
        <v>491</v>
      </c>
      <c r="E7" s="39" t="s">
        <v>403</v>
      </c>
      <c r="F7" s="6" t="s">
        <v>37</v>
      </c>
      <c r="G7" s="6" t="s">
        <v>37</v>
      </c>
      <c r="H7" s="6" t="s">
        <v>37</v>
      </c>
      <c r="I7" s="39" t="s">
        <v>10</v>
      </c>
      <c r="J7" s="6" t="s">
        <v>37</v>
      </c>
      <c r="K7" s="6" t="s">
        <v>37</v>
      </c>
      <c r="L7" s="6" t="s">
        <v>37</v>
      </c>
      <c r="M7" s="6" t="s">
        <v>37</v>
      </c>
      <c r="N7" s="6" t="s">
        <v>37</v>
      </c>
      <c r="O7" s="6" t="s">
        <v>37</v>
      </c>
      <c r="P7" s="39" t="s">
        <v>492</v>
      </c>
    </row>
    <row r="8" spans="1:16" s="39" customFormat="1" x14ac:dyDescent="0.35">
      <c r="A8" s="39">
        <v>2</v>
      </c>
      <c r="B8" s="39" t="str">
        <f t="shared" si="0"/>
        <v>7.2</v>
      </c>
      <c r="C8" s="47" t="s">
        <v>40</v>
      </c>
      <c r="D8" s="39" t="s">
        <v>37</v>
      </c>
      <c r="E8" s="39" t="s">
        <v>48</v>
      </c>
      <c r="F8" s="6" t="s">
        <v>37</v>
      </c>
      <c r="G8" s="6" t="s">
        <v>37</v>
      </c>
      <c r="H8" s="6" t="s">
        <v>37</v>
      </c>
      <c r="I8" s="39" t="s">
        <v>10</v>
      </c>
      <c r="J8" s="6" t="s">
        <v>37</v>
      </c>
      <c r="K8" s="6" t="s">
        <v>37</v>
      </c>
      <c r="L8" s="6" t="s">
        <v>37</v>
      </c>
      <c r="M8" s="6" t="s">
        <v>37</v>
      </c>
      <c r="N8" s="6" t="s">
        <v>37</v>
      </c>
      <c r="O8" s="6" t="s">
        <v>37</v>
      </c>
    </row>
    <row r="9" spans="1:16" s="39" customFormat="1" ht="72.5" x14ac:dyDescent="0.35">
      <c r="A9" s="39">
        <v>3</v>
      </c>
      <c r="B9" s="39" t="str">
        <f t="shared" si="0"/>
        <v>7.3</v>
      </c>
      <c r="C9" s="47" t="s">
        <v>38</v>
      </c>
      <c r="D9" s="39" t="s">
        <v>430</v>
      </c>
      <c r="E9" s="39" t="s">
        <v>33</v>
      </c>
      <c r="F9" s="39" t="s">
        <v>373</v>
      </c>
      <c r="G9" s="6" t="s">
        <v>37</v>
      </c>
      <c r="H9" s="41">
        <v>50</v>
      </c>
      <c r="I9" s="39" t="s">
        <v>10</v>
      </c>
      <c r="J9" s="40" t="s">
        <v>64</v>
      </c>
      <c r="K9" s="40" t="s">
        <v>52</v>
      </c>
      <c r="L9" s="40" t="s">
        <v>66</v>
      </c>
      <c r="M9" s="6" t="s">
        <v>37</v>
      </c>
      <c r="N9" s="6" t="s">
        <v>37</v>
      </c>
      <c r="O9" s="40" t="s">
        <v>435</v>
      </c>
      <c r="P9" s="39" t="s">
        <v>436</v>
      </c>
    </row>
    <row r="10" spans="1:16" s="39" customFormat="1" ht="72.5" x14ac:dyDescent="0.35">
      <c r="A10" s="39">
        <v>4</v>
      </c>
      <c r="B10" s="39" t="str">
        <f t="shared" si="0"/>
        <v>7.4</v>
      </c>
      <c r="C10" s="47" t="s">
        <v>38</v>
      </c>
      <c r="D10" s="39" t="s">
        <v>431</v>
      </c>
      <c r="E10" s="39" t="s">
        <v>33</v>
      </c>
      <c r="F10" s="39" t="s">
        <v>373</v>
      </c>
      <c r="G10" s="6" t="s">
        <v>37</v>
      </c>
      <c r="H10" s="41">
        <v>50</v>
      </c>
      <c r="I10" s="39" t="s">
        <v>10</v>
      </c>
      <c r="J10" s="40" t="s">
        <v>65</v>
      </c>
      <c r="K10" s="40" t="s">
        <v>52</v>
      </c>
      <c r="L10" s="40" t="s">
        <v>67</v>
      </c>
      <c r="M10" s="6" t="s">
        <v>37</v>
      </c>
      <c r="N10" s="6" t="s">
        <v>37</v>
      </c>
      <c r="O10" s="40" t="s">
        <v>435</v>
      </c>
      <c r="P10" s="39" t="s">
        <v>436</v>
      </c>
    </row>
    <row r="11" spans="1:16" x14ac:dyDescent="0.35">
      <c r="A11" s="39">
        <v>5</v>
      </c>
      <c r="B11" s="39" t="str">
        <f t="shared" ref="B11" si="1">CONCATENATE($B$2, ".", A11)</f>
        <v>7.5</v>
      </c>
      <c r="C11" s="34" t="s">
        <v>40</v>
      </c>
      <c r="D11" s="39" t="s">
        <v>260</v>
      </c>
      <c r="E11" s="6" t="s">
        <v>29</v>
      </c>
      <c r="F11" s="6" t="s">
        <v>37</v>
      </c>
      <c r="G11" s="6" t="s">
        <v>37</v>
      </c>
      <c r="H11" s="6" t="s">
        <v>37</v>
      </c>
      <c r="I11" s="39" t="s">
        <v>10</v>
      </c>
      <c r="J11" s="5" t="s">
        <v>37</v>
      </c>
      <c r="K11" s="5" t="s">
        <v>37</v>
      </c>
      <c r="L11" s="5" t="s">
        <v>37</v>
      </c>
      <c r="M11" s="5" t="s">
        <v>37</v>
      </c>
      <c r="N11" s="5" t="s">
        <v>37</v>
      </c>
      <c r="O11" s="5" t="s">
        <v>37</v>
      </c>
    </row>
    <row r="12" spans="1:16" x14ac:dyDescent="0.35">
      <c r="A12" s="88" t="s">
        <v>446</v>
      </c>
      <c r="B12" s="88"/>
      <c r="C12" s="88"/>
      <c r="D12" s="88"/>
      <c r="E12" s="88"/>
      <c r="F12" s="75"/>
      <c r="G12" s="75"/>
      <c r="H12" s="75"/>
      <c r="I12" s="75"/>
      <c r="J12" s="75"/>
      <c r="K12" s="75"/>
      <c r="L12" s="75"/>
      <c r="M12" s="75"/>
      <c r="N12" s="75"/>
      <c r="O12" s="75"/>
      <c r="P12" s="75"/>
    </row>
    <row r="13" spans="1:16" ht="43.5" x14ac:dyDescent="0.35">
      <c r="A13" s="39"/>
      <c r="B13" s="39"/>
      <c r="C13" s="47" t="s">
        <v>41</v>
      </c>
      <c r="D13" s="39" t="s">
        <v>221</v>
      </c>
      <c r="E13" s="39" t="s">
        <v>32</v>
      </c>
      <c r="F13" s="39" t="s">
        <v>58</v>
      </c>
      <c r="G13" s="39" t="s">
        <v>37</v>
      </c>
      <c r="H13" s="39" t="s">
        <v>37</v>
      </c>
      <c r="I13" s="39" t="s">
        <v>10</v>
      </c>
      <c r="J13" s="40" t="s">
        <v>62</v>
      </c>
      <c r="K13" s="40" t="s">
        <v>52</v>
      </c>
      <c r="L13" s="40" t="s">
        <v>220</v>
      </c>
      <c r="M13" s="40" t="s">
        <v>37</v>
      </c>
      <c r="N13" s="40" t="s">
        <v>37</v>
      </c>
      <c r="O13" s="40" t="s">
        <v>37</v>
      </c>
      <c r="P13" s="39" t="s">
        <v>262</v>
      </c>
    </row>
    <row r="14" spans="1:16" ht="130.5" x14ac:dyDescent="0.35">
      <c r="A14" s="39">
        <v>6</v>
      </c>
      <c r="B14" s="39" t="str">
        <f t="shared" ref="B14:B19" si="2">CONCATENATE($B$2, ".", A14)</f>
        <v>7.6</v>
      </c>
      <c r="C14" s="47" t="s">
        <v>38</v>
      </c>
      <c r="D14" s="39" t="s">
        <v>110</v>
      </c>
      <c r="E14" s="39" t="s">
        <v>75</v>
      </c>
      <c r="F14" s="39" t="s">
        <v>373</v>
      </c>
      <c r="G14" s="39" t="s">
        <v>37</v>
      </c>
      <c r="H14" s="41">
        <v>35</v>
      </c>
      <c r="I14" s="39" t="s">
        <v>10</v>
      </c>
      <c r="J14" s="40" t="s">
        <v>70</v>
      </c>
      <c r="K14" s="40" t="s">
        <v>78</v>
      </c>
      <c r="L14" s="40" t="s">
        <v>437</v>
      </c>
      <c r="M14" s="40" t="s">
        <v>37</v>
      </c>
      <c r="N14" s="40" t="s">
        <v>199</v>
      </c>
      <c r="O14" s="40" t="s">
        <v>191</v>
      </c>
      <c r="P14" s="39" t="s">
        <v>438</v>
      </c>
    </row>
    <row r="15" spans="1:16" ht="72.5" x14ac:dyDescent="0.35">
      <c r="A15" s="39">
        <v>7</v>
      </c>
      <c r="B15" s="39" t="str">
        <f t="shared" si="2"/>
        <v>7.7</v>
      </c>
      <c r="C15" s="47" t="s">
        <v>38</v>
      </c>
      <c r="D15" s="39" t="s">
        <v>76</v>
      </c>
      <c r="E15" s="39" t="s">
        <v>33</v>
      </c>
      <c r="F15" s="39" t="s">
        <v>373</v>
      </c>
      <c r="G15" s="39" t="s">
        <v>37</v>
      </c>
      <c r="H15" s="41">
        <v>10</v>
      </c>
      <c r="I15" s="39" t="s">
        <v>434</v>
      </c>
      <c r="J15" s="40" t="s">
        <v>113</v>
      </c>
      <c r="K15" s="40" t="s">
        <v>77</v>
      </c>
      <c r="L15" s="40" t="s">
        <v>439</v>
      </c>
      <c r="M15" s="40" t="s">
        <v>37</v>
      </c>
      <c r="N15" s="40" t="s">
        <v>37</v>
      </c>
      <c r="O15" s="40"/>
      <c r="P15" s="39" t="s">
        <v>438</v>
      </c>
    </row>
    <row r="16" spans="1:16" ht="72.5" x14ac:dyDescent="0.35">
      <c r="A16" s="39">
        <v>8</v>
      </c>
      <c r="B16" s="39" t="str">
        <f t="shared" si="2"/>
        <v>7.8</v>
      </c>
      <c r="C16" s="47" t="s">
        <v>38</v>
      </c>
      <c r="D16" s="39" t="s">
        <v>114</v>
      </c>
      <c r="E16" s="39" t="s">
        <v>33</v>
      </c>
      <c r="F16" s="39" t="s">
        <v>373</v>
      </c>
      <c r="G16" s="39" t="s">
        <v>37</v>
      </c>
      <c r="H16" s="41">
        <v>35</v>
      </c>
      <c r="I16" s="39" t="s">
        <v>434</v>
      </c>
      <c r="J16" s="40" t="s">
        <v>113</v>
      </c>
      <c r="K16" s="40" t="s">
        <v>77</v>
      </c>
      <c r="L16" s="40" t="s">
        <v>440</v>
      </c>
      <c r="M16" s="40" t="s">
        <v>37</v>
      </c>
      <c r="N16" s="40" t="s">
        <v>37</v>
      </c>
      <c r="O16" s="40"/>
      <c r="P16" s="39" t="s">
        <v>438</v>
      </c>
    </row>
    <row r="17" spans="1:16" ht="72.5" x14ac:dyDescent="0.35">
      <c r="A17" s="39">
        <v>9</v>
      </c>
      <c r="B17" s="39" t="str">
        <f t="shared" si="2"/>
        <v>7.9</v>
      </c>
      <c r="C17" s="47" t="s">
        <v>40</v>
      </c>
      <c r="D17" s="39" t="s">
        <v>71</v>
      </c>
      <c r="E17" s="39" t="s">
        <v>33</v>
      </c>
      <c r="F17" s="39" t="s">
        <v>373</v>
      </c>
      <c r="G17" s="39" t="s">
        <v>37</v>
      </c>
      <c r="H17" s="41">
        <v>10</v>
      </c>
      <c r="I17" s="39" t="s">
        <v>434</v>
      </c>
      <c r="J17" s="40" t="s">
        <v>113</v>
      </c>
      <c r="K17" s="40" t="s">
        <v>79</v>
      </c>
      <c r="L17" s="40" t="s">
        <v>37</v>
      </c>
      <c r="M17" s="40" t="s">
        <v>37</v>
      </c>
      <c r="N17" s="40" t="s">
        <v>37</v>
      </c>
      <c r="O17" s="40"/>
      <c r="P17" s="39"/>
    </row>
    <row r="18" spans="1:16" ht="72.5" x14ac:dyDescent="0.35">
      <c r="A18" s="39">
        <v>10</v>
      </c>
      <c r="B18" s="39" t="str">
        <f t="shared" si="2"/>
        <v>7.10</v>
      </c>
      <c r="C18" s="47" t="s">
        <v>38</v>
      </c>
      <c r="D18" s="39" t="s">
        <v>72</v>
      </c>
      <c r="E18" s="39" t="s">
        <v>33</v>
      </c>
      <c r="F18" s="39" t="s">
        <v>373</v>
      </c>
      <c r="G18" s="39" t="s">
        <v>37</v>
      </c>
      <c r="H18" s="41">
        <v>20</v>
      </c>
      <c r="I18" s="39" t="s">
        <v>434</v>
      </c>
      <c r="J18" s="40" t="s">
        <v>113</v>
      </c>
      <c r="K18" s="40" t="s">
        <v>77</v>
      </c>
      <c r="L18" s="40" t="s">
        <v>441</v>
      </c>
      <c r="M18" s="40" t="s">
        <v>37</v>
      </c>
      <c r="N18" s="40" t="s">
        <v>37</v>
      </c>
      <c r="O18" s="40"/>
      <c r="P18" s="39" t="s">
        <v>438</v>
      </c>
    </row>
    <row r="19" spans="1:16" ht="116" x14ac:dyDescent="0.35">
      <c r="A19" s="39">
        <v>11</v>
      </c>
      <c r="B19" s="39" t="str">
        <f t="shared" si="2"/>
        <v>7.11</v>
      </c>
      <c r="C19" s="47" t="s">
        <v>38</v>
      </c>
      <c r="D19" s="39" t="s">
        <v>73</v>
      </c>
      <c r="E19" s="39" t="s">
        <v>35</v>
      </c>
      <c r="F19" s="39" t="s">
        <v>432</v>
      </c>
      <c r="G19" s="39" t="s">
        <v>37</v>
      </c>
      <c r="H19" s="41">
        <v>15</v>
      </c>
      <c r="I19" s="39" t="s">
        <v>434</v>
      </c>
      <c r="J19" s="40" t="s">
        <v>113</v>
      </c>
      <c r="K19" s="40" t="s">
        <v>77</v>
      </c>
      <c r="L19" s="40" t="s">
        <v>443</v>
      </c>
      <c r="M19" s="40" t="s">
        <v>80</v>
      </c>
      <c r="N19" s="40" t="s">
        <v>115</v>
      </c>
      <c r="O19" s="40"/>
      <c r="P19" s="39"/>
    </row>
    <row r="20" spans="1:16" ht="58" x14ac:dyDescent="0.35">
      <c r="A20" s="39">
        <v>12</v>
      </c>
      <c r="B20" s="39" t="str">
        <f>CONCATENATE($B$2, ".", A20)</f>
        <v>7.12</v>
      </c>
      <c r="C20" s="47" t="s">
        <v>38</v>
      </c>
      <c r="D20" s="39" t="s">
        <v>74</v>
      </c>
      <c r="E20" s="39" t="s">
        <v>33</v>
      </c>
      <c r="F20" s="39" t="s">
        <v>433</v>
      </c>
      <c r="G20" s="39" t="s">
        <v>37</v>
      </c>
      <c r="H20" s="41">
        <v>7</v>
      </c>
      <c r="I20" s="39" t="s">
        <v>434</v>
      </c>
      <c r="J20" s="40" t="s">
        <v>113</v>
      </c>
      <c r="K20" s="40" t="s">
        <v>77</v>
      </c>
      <c r="L20" s="40" t="s">
        <v>442</v>
      </c>
      <c r="M20" s="40" t="s">
        <v>445</v>
      </c>
      <c r="N20" s="40" t="s">
        <v>444</v>
      </c>
      <c r="O20" s="40"/>
      <c r="P20" s="39" t="s">
        <v>458</v>
      </c>
    </row>
    <row r="21" spans="1:16" x14ac:dyDescent="0.35">
      <c r="A21" s="88" t="s">
        <v>448</v>
      </c>
      <c r="B21" s="88"/>
      <c r="C21" s="88"/>
      <c r="D21" s="88"/>
      <c r="E21" s="88"/>
      <c r="F21" s="75"/>
      <c r="G21" s="75"/>
      <c r="H21" s="75"/>
      <c r="I21" s="75"/>
      <c r="J21" s="75"/>
      <c r="K21" s="75"/>
      <c r="L21" s="75"/>
      <c r="M21" s="75"/>
      <c r="N21" s="75"/>
      <c r="O21" s="75"/>
      <c r="P21" s="75"/>
    </row>
    <row r="22" spans="1:16" ht="58" x14ac:dyDescent="0.35">
      <c r="A22" s="39">
        <v>13</v>
      </c>
      <c r="B22" s="39" t="str">
        <f t="shared" ref="B22:B28" si="3">CONCATENATE($B$2, ".", A22)</f>
        <v>7.13</v>
      </c>
      <c r="C22" s="47" t="s">
        <v>40</v>
      </c>
      <c r="D22" s="39" t="s">
        <v>81</v>
      </c>
      <c r="E22" s="39" t="s">
        <v>32</v>
      </c>
      <c r="F22" s="39" t="s">
        <v>58</v>
      </c>
      <c r="G22" s="39" t="s">
        <v>37</v>
      </c>
      <c r="H22" s="39" t="s">
        <v>37</v>
      </c>
      <c r="I22" s="39" t="s">
        <v>222</v>
      </c>
      <c r="J22" s="40" t="s">
        <v>62</v>
      </c>
      <c r="K22" s="40" t="s">
        <v>52</v>
      </c>
      <c r="L22" s="40" t="s">
        <v>82</v>
      </c>
      <c r="M22" s="40" t="s">
        <v>37</v>
      </c>
      <c r="N22" s="40" t="s">
        <v>37</v>
      </c>
      <c r="O22" s="40" t="s">
        <v>37</v>
      </c>
      <c r="P22" s="39"/>
    </row>
    <row r="23" spans="1:16" ht="101.5" x14ac:dyDescent="0.35">
      <c r="A23" s="39">
        <v>14</v>
      </c>
      <c r="B23" s="39" t="str">
        <f t="shared" si="3"/>
        <v>7.14</v>
      </c>
      <c r="C23" s="47" t="s">
        <v>38</v>
      </c>
      <c r="D23" s="39" t="s">
        <v>111</v>
      </c>
      <c r="E23" s="39" t="s">
        <v>75</v>
      </c>
      <c r="F23" s="39" t="s">
        <v>373</v>
      </c>
      <c r="G23" s="39" t="s">
        <v>37</v>
      </c>
      <c r="H23" s="41">
        <v>35</v>
      </c>
      <c r="I23" s="39" t="s">
        <v>449</v>
      </c>
      <c r="J23" s="40" t="s">
        <v>113</v>
      </c>
      <c r="K23" s="40" t="s">
        <v>455</v>
      </c>
      <c r="L23" s="40" t="s">
        <v>451</v>
      </c>
      <c r="M23" s="40" t="s">
        <v>37</v>
      </c>
      <c r="N23" s="40" t="s">
        <v>37</v>
      </c>
      <c r="O23" s="40" t="s">
        <v>192</v>
      </c>
      <c r="P23" s="39" t="s">
        <v>438</v>
      </c>
    </row>
    <row r="24" spans="1:16" ht="72.5" x14ac:dyDescent="0.35">
      <c r="A24" s="39">
        <v>15</v>
      </c>
      <c r="B24" s="39" t="str">
        <f t="shared" si="3"/>
        <v>7.15</v>
      </c>
      <c r="C24" s="47" t="s">
        <v>38</v>
      </c>
      <c r="D24" s="39" t="s">
        <v>76</v>
      </c>
      <c r="E24" s="39" t="s">
        <v>33</v>
      </c>
      <c r="F24" s="39" t="s">
        <v>373</v>
      </c>
      <c r="G24" s="39" t="s">
        <v>37</v>
      </c>
      <c r="H24" s="41">
        <v>10</v>
      </c>
      <c r="I24" s="39" t="s">
        <v>450</v>
      </c>
      <c r="J24" s="40" t="s">
        <v>113</v>
      </c>
      <c r="K24" s="40" t="s">
        <v>77</v>
      </c>
      <c r="L24" s="40" t="s">
        <v>37</v>
      </c>
      <c r="M24" s="40" t="s">
        <v>37</v>
      </c>
      <c r="N24" s="40" t="s">
        <v>37</v>
      </c>
      <c r="O24" s="40"/>
      <c r="P24" s="39"/>
    </row>
    <row r="25" spans="1:16" ht="72.5" x14ac:dyDescent="0.35">
      <c r="A25" s="39">
        <v>16</v>
      </c>
      <c r="B25" s="39" t="str">
        <f t="shared" si="3"/>
        <v>7.16</v>
      </c>
      <c r="C25" s="47" t="s">
        <v>38</v>
      </c>
      <c r="D25" s="39" t="s">
        <v>114</v>
      </c>
      <c r="E25" s="39" t="s">
        <v>33</v>
      </c>
      <c r="F25" s="39" t="s">
        <v>373</v>
      </c>
      <c r="G25" s="39" t="s">
        <v>37</v>
      </c>
      <c r="H25" s="41">
        <v>35</v>
      </c>
      <c r="I25" s="39" t="s">
        <v>450</v>
      </c>
      <c r="J25" s="40" t="s">
        <v>113</v>
      </c>
      <c r="K25" s="40" t="s">
        <v>77</v>
      </c>
      <c r="L25" s="40" t="s">
        <v>440</v>
      </c>
      <c r="M25" s="40" t="s">
        <v>37</v>
      </c>
      <c r="N25" s="40" t="s">
        <v>37</v>
      </c>
      <c r="O25" s="40"/>
      <c r="P25" s="39" t="s">
        <v>438</v>
      </c>
    </row>
    <row r="26" spans="1:16" ht="72.5" x14ac:dyDescent="0.35">
      <c r="A26" s="39">
        <v>17</v>
      </c>
      <c r="B26" s="39" t="str">
        <f t="shared" si="3"/>
        <v>7.17</v>
      </c>
      <c r="C26" s="47" t="s">
        <v>40</v>
      </c>
      <c r="D26" s="39" t="s">
        <v>71</v>
      </c>
      <c r="E26" s="39" t="s">
        <v>33</v>
      </c>
      <c r="F26" s="39" t="s">
        <v>373</v>
      </c>
      <c r="G26" s="39" t="s">
        <v>37</v>
      </c>
      <c r="H26" s="41">
        <v>10</v>
      </c>
      <c r="I26" s="39" t="s">
        <v>450</v>
      </c>
      <c r="J26" s="40" t="s">
        <v>113</v>
      </c>
      <c r="K26" s="40" t="s">
        <v>79</v>
      </c>
      <c r="L26" s="40" t="s">
        <v>439</v>
      </c>
      <c r="M26" s="40" t="s">
        <v>37</v>
      </c>
      <c r="N26" s="40" t="s">
        <v>37</v>
      </c>
      <c r="O26" s="40"/>
      <c r="P26" s="39" t="s">
        <v>438</v>
      </c>
    </row>
    <row r="27" spans="1:16" ht="72.5" x14ac:dyDescent="0.35">
      <c r="A27" s="39">
        <v>19</v>
      </c>
      <c r="B27" s="39" t="str">
        <f t="shared" si="3"/>
        <v>7.19</v>
      </c>
      <c r="C27" s="47" t="s">
        <v>38</v>
      </c>
      <c r="D27" s="39" t="s">
        <v>72</v>
      </c>
      <c r="E27" s="39" t="s">
        <v>33</v>
      </c>
      <c r="F27" s="39" t="s">
        <v>373</v>
      </c>
      <c r="G27" s="39" t="s">
        <v>37</v>
      </c>
      <c r="H27" s="41">
        <v>20</v>
      </c>
      <c r="I27" s="39" t="s">
        <v>450</v>
      </c>
      <c r="J27" s="40" t="s">
        <v>113</v>
      </c>
      <c r="K27" s="40" t="s">
        <v>77</v>
      </c>
      <c r="L27" s="40" t="s">
        <v>441</v>
      </c>
      <c r="M27" s="40" t="s">
        <v>37</v>
      </c>
      <c r="N27" s="40" t="s">
        <v>37</v>
      </c>
      <c r="O27" s="40"/>
      <c r="P27" s="39" t="s">
        <v>438</v>
      </c>
    </row>
    <row r="28" spans="1:16" ht="72.5" x14ac:dyDescent="0.35">
      <c r="A28" s="39">
        <v>19</v>
      </c>
      <c r="B28" s="39" t="str">
        <f t="shared" si="3"/>
        <v>7.19</v>
      </c>
      <c r="C28" s="47" t="s">
        <v>38</v>
      </c>
      <c r="D28" s="39" t="s">
        <v>73</v>
      </c>
      <c r="E28" s="39" t="s">
        <v>35</v>
      </c>
      <c r="F28" s="39" t="s">
        <v>432</v>
      </c>
      <c r="G28" s="39" t="s">
        <v>37</v>
      </c>
      <c r="H28" s="41">
        <v>15</v>
      </c>
      <c r="I28" s="39" t="s">
        <v>450</v>
      </c>
      <c r="J28" s="40" t="s">
        <v>113</v>
      </c>
      <c r="K28" s="40" t="s">
        <v>77</v>
      </c>
      <c r="L28" s="40" t="s">
        <v>443</v>
      </c>
      <c r="M28" s="40" t="s">
        <v>148</v>
      </c>
      <c r="N28" s="40"/>
      <c r="O28" s="40"/>
      <c r="P28" s="39" t="s">
        <v>438</v>
      </c>
    </row>
    <row r="29" spans="1:16" ht="58" x14ac:dyDescent="0.35">
      <c r="A29" s="39">
        <v>20</v>
      </c>
      <c r="B29" s="39" t="str">
        <f>CONCATENATE($B$2, ".", A29)</f>
        <v>7.20</v>
      </c>
      <c r="C29" s="47" t="s">
        <v>38</v>
      </c>
      <c r="D29" s="39" t="s">
        <v>74</v>
      </c>
      <c r="E29" s="39" t="s">
        <v>33</v>
      </c>
      <c r="F29" s="39" t="s">
        <v>433</v>
      </c>
      <c r="G29" s="39" t="s">
        <v>37</v>
      </c>
      <c r="H29" s="41">
        <v>7</v>
      </c>
      <c r="I29" s="39" t="s">
        <v>450</v>
      </c>
      <c r="J29" s="40" t="s">
        <v>113</v>
      </c>
      <c r="K29" s="40" t="s">
        <v>77</v>
      </c>
      <c r="L29" s="40" t="s">
        <v>442</v>
      </c>
      <c r="M29" s="40" t="s">
        <v>445</v>
      </c>
      <c r="N29" s="40" t="s">
        <v>444</v>
      </c>
      <c r="O29" s="40"/>
      <c r="P29" s="39" t="s">
        <v>458</v>
      </c>
    </row>
    <row r="30" spans="1:16" x14ac:dyDescent="0.35">
      <c r="A30" s="88" t="s">
        <v>447</v>
      </c>
      <c r="B30" s="88"/>
      <c r="C30" s="88"/>
      <c r="D30" s="88"/>
      <c r="E30" s="88"/>
      <c r="F30" s="75"/>
      <c r="G30" s="75"/>
      <c r="H30" s="75"/>
      <c r="I30" s="75"/>
      <c r="J30" s="75"/>
      <c r="K30" s="75"/>
      <c r="L30" s="75"/>
      <c r="M30" s="75"/>
      <c r="N30" s="75"/>
      <c r="O30" s="75"/>
      <c r="P30" s="75"/>
    </row>
    <row r="31" spans="1:16" ht="58" x14ac:dyDescent="0.35">
      <c r="A31" s="39">
        <v>21</v>
      </c>
      <c r="B31" s="39" t="str">
        <f t="shared" ref="B31:B37" si="4">CONCATENATE($B$2, ".", A31)</f>
        <v>7.21</v>
      </c>
      <c r="C31" s="47" t="s">
        <v>40</v>
      </c>
      <c r="D31" s="39" t="s">
        <v>169</v>
      </c>
      <c r="E31" s="39" t="s">
        <v>32</v>
      </c>
      <c r="F31" s="39" t="s">
        <v>58</v>
      </c>
      <c r="G31" s="39" t="s">
        <v>37</v>
      </c>
      <c r="H31" s="39" t="s">
        <v>37</v>
      </c>
      <c r="I31" s="39" t="s">
        <v>222</v>
      </c>
      <c r="J31" s="40" t="s">
        <v>62</v>
      </c>
      <c r="K31" s="40" t="s">
        <v>52</v>
      </c>
      <c r="L31" s="40" t="s">
        <v>112</v>
      </c>
      <c r="M31" s="40" t="s">
        <v>37</v>
      </c>
      <c r="N31" s="40" t="s">
        <v>37</v>
      </c>
      <c r="O31" s="40" t="s">
        <v>37</v>
      </c>
      <c r="P31" s="39"/>
    </row>
    <row r="32" spans="1:16" ht="101.5" x14ac:dyDescent="0.35">
      <c r="A32" s="39">
        <v>22</v>
      </c>
      <c r="B32" s="39" t="str">
        <f t="shared" si="4"/>
        <v>7.22</v>
      </c>
      <c r="C32" s="47" t="s">
        <v>38</v>
      </c>
      <c r="D32" s="39" t="s">
        <v>83</v>
      </c>
      <c r="E32" s="39" t="s">
        <v>75</v>
      </c>
      <c r="F32" s="39" t="s">
        <v>373</v>
      </c>
      <c r="G32" s="39" t="s">
        <v>37</v>
      </c>
      <c r="H32" s="41">
        <v>35</v>
      </c>
      <c r="I32" s="39" t="s">
        <v>456</v>
      </c>
      <c r="J32" s="40" t="s">
        <v>113</v>
      </c>
      <c r="K32" s="40" t="s">
        <v>453</v>
      </c>
      <c r="L32" s="40" t="s">
        <v>452</v>
      </c>
      <c r="M32" s="40" t="s">
        <v>37</v>
      </c>
      <c r="N32" s="40" t="s">
        <v>37</v>
      </c>
      <c r="O32" s="40" t="s">
        <v>193</v>
      </c>
      <c r="P32" s="39" t="s">
        <v>438</v>
      </c>
    </row>
    <row r="33" spans="1:16" ht="72.5" x14ac:dyDescent="0.35">
      <c r="A33" s="39">
        <v>23</v>
      </c>
      <c r="B33" s="39" t="str">
        <f t="shared" si="4"/>
        <v>7.23</v>
      </c>
      <c r="C33" s="47" t="s">
        <v>40</v>
      </c>
      <c r="D33" s="39" t="s">
        <v>76</v>
      </c>
      <c r="E33" s="39" t="s">
        <v>33</v>
      </c>
      <c r="F33" s="39" t="s">
        <v>373</v>
      </c>
      <c r="G33" s="39" t="s">
        <v>37</v>
      </c>
      <c r="H33" s="41">
        <v>10</v>
      </c>
      <c r="I33" s="39" t="s">
        <v>457</v>
      </c>
      <c r="J33" s="40" t="s">
        <v>113</v>
      </c>
      <c r="K33" s="41" t="s">
        <v>84</v>
      </c>
      <c r="L33" s="41" t="s">
        <v>37</v>
      </c>
      <c r="M33" s="40" t="s">
        <v>37</v>
      </c>
      <c r="N33" s="40" t="s">
        <v>37</v>
      </c>
      <c r="O33" s="40"/>
      <c r="P33" s="39"/>
    </row>
    <row r="34" spans="1:16" ht="72.5" x14ac:dyDescent="0.35">
      <c r="A34" s="39">
        <v>24</v>
      </c>
      <c r="B34" s="39" t="str">
        <f t="shared" si="4"/>
        <v>7.24</v>
      </c>
      <c r="C34" s="47" t="s">
        <v>38</v>
      </c>
      <c r="D34" s="39" t="s">
        <v>116</v>
      </c>
      <c r="E34" s="39" t="s">
        <v>33</v>
      </c>
      <c r="F34" s="39" t="s">
        <v>373</v>
      </c>
      <c r="G34" s="39" t="s">
        <v>37</v>
      </c>
      <c r="H34" s="41">
        <v>35</v>
      </c>
      <c r="I34" s="39" t="s">
        <v>457</v>
      </c>
      <c r="J34" s="40" t="s">
        <v>113</v>
      </c>
      <c r="K34" s="40" t="s">
        <v>77</v>
      </c>
      <c r="L34" s="40" t="s">
        <v>454</v>
      </c>
      <c r="M34" s="40" t="s">
        <v>37</v>
      </c>
      <c r="N34" s="40" t="s">
        <v>37</v>
      </c>
      <c r="O34" s="40"/>
      <c r="P34" s="39" t="s">
        <v>438</v>
      </c>
    </row>
    <row r="35" spans="1:16" ht="72.5" x14ac:dyDescent="0.35">
      <c r="A35" s="39">
        <v>25</v>
      </c>
      <c r="B35" s="39" t="str">
        <f t="shared" si="4"/>
        <v>7.25</v>
      </c>
      <c r="C35" s="47" t="s">
        <v>40</v>
      </c>
      <c r="D35" s="39" t="s">
        <v>71</v>
      </c>
      <c r="E35" s="39" t="s">
        <v>33</v>
      </c>
      <c r="F35" s="39" t="s">
        <v>373</v>
      </c>
      <c r="G35" s="39" t="s">
        <v>37</v>
      </c>
      <c r="H35" s="41">
        <v>10</v>
      </c>
      <c r="I35" s="39" t="s">
        <v>457</v>
      </c>
      <c r="J35" s="40" t="s">
        <v>113</v>
      </c>
      <c r="K35" s="40" t="s">
        <v>79</v>
      </c>
      <c r="L35" s="40" t="s">
        <v>37</v>
      </c>
      <c r="M35" s="40" t="s">
        <v>37</v>
      </c>
      <c r="N35" s="40" t="s">
        <v>37</v>
      </c>
      <c r="O35" s="40"/>
      <c r="P35" s="39"/>
    </row>
    <row r="36" spans="1:16" ht="72.5" x14ac:dyDescent="0.35">
      <c r="A36" s="39">
        <v>26</v>
      </c>
      <c r="B36" s="39" t="str">
        <f t="shared" si="4"/>
        <v>7.26</v>
      </c>
      <c r="C36" s="47" t="s">
        <v>38</v>
      </c>
      <c r="D36" s="39" t="s">
        <v>72</v>
      </c>
      <c r="E36" s="39" t="s">
        <v>33</v>
      </c>
      <c r="F36" s="39" t="s">
        <v>373</v>
      </c>
      <c r="G36" s="39" t="s">
        <v>37</v>
      </c>
      <c r="H36" s="41">
        <v>20</v>
      </c>
      <c r="I36" s="39" t="s">
        <v>457</v>
      </c>
      <c r="J36" s="40" t="s">
        <v>113</v>
      </c>
      <c r="K36" s="40" t="s">
        <v>77</v>
      </c>
      <c r="L36" s="40" t="s">
        <v>441</v>
      </c>
      <c r="M36" s="40" t="s">
        <v>37</v>
      </c>
      <c r="N36" s="40" t="s">
        <v>37</v>
      </c>
      <c r="O36" s="40"/>
      <c r="P36" s="39" t="s">
        <v>438</v>
      </c>
    </row>
    <row r="37" spans="1:16" ht="72.5" x14ac:dyDescent="0.35">
      <c r="A37" s="39">
        <v>27</v>
      </c>
      <c r="B37" s="39" t="str">
        <f t="shared" si="4"/>
        <v>7.27</v>
      </c>
      <c r="C37" s="47" t="s">
        <v>38</v>
      </c>
      <c r="D37" s="39" t="s">
        <v>73</v>
      </c>
      <c r="E37" s="39" t="s">
        <v>35</v>
      </c>
      <c r="F37" s="39" t="s">
        <v>432</v>
      </c>
      <c r="G37" s="39" t="s">
        <v>37</v>
      </c>
      <c r="H37" s="41">
        <v>15</v>
      </c>
      <c r="I37" s="39" t="s">
        <v>457</v>
      </c>
      <c r="J37" s="40" t="s">
        <v>113</v>
      </c>
      <c r="K37" s="40" t="s">
        <v>77</v>
      </c>
      <c r="L37" s="40" t="s">
        <v>443</v>
      </c>
      <c r="M37" s="40" t="s">
        <v>149</v>
      </c>
      <c r="N37" s="40" t="s">
        <v>37</v>
      </c>
      <c r="O37" s="40"/>
      <c r="P37" s="39" t="s">
        <v>438</v>
      </c>
    </row>
    <row r="38" spans="1:16" ht="58" x14ac:dyDescent="0.35">
      <c r="A38" s="39">
        <v>28</v>
      </c>
      <c r="B38" s="39" t="str">
        <f>CONCATENATE($B$2, ".", A38)</f>
        <v>7.28</v>
      </c>
      <c r="C38" s="47" t="s">
        <v>38</v>
      </c>
      <c r="D38" s="39" t="s">
        <v>74</v>
      </c>
      <c r="E38" s="39" t="s">
        <v>33</v>
      </c>
      <c r="F38" s="39" t="s">
        <v>433</v>
      </c>
      <c r="G38" s="39" t="s">
        <v>37</v>
      </c>
      <c r="H38" s="41">
        <v>7</v>
      </c>
      <c r="I38" s="39" t="s">
        <v>457</v>
      </c>
      <c r="J38" s="40" t="s">
        <v>113</v>
      </c>
      <c r="K38" s="40" t="s">
        <v>77</v>
      </c>
      <c r="L38" s="40" t="s">
        <v>442</v>
      </c>
      <c r="M38" s="40" t="s">
        <v>445</v>
      </c>
      <c r="N38" s="40" t="s">
        <v>444</v>
      </c>
      <c r="O38" s="40"/>
      <c r="P38" s="39" t="s">
        <v>458</v>
      </c>
    </row>
    <row r="39" spans="1:16" x14ac:dyDescent="0.35">
      <c r="A39" s="88"/>
      <c r="B39" s="88"/>
      <c r="C39" s="88"/>
      <c r="D39" s="88"/>
      <c r="E39" s="88"/>
      <c r="F39" s="75"/>
      <c r="G39" s="75"/>
      <c r="H39" s="75"/>
      <c r="I39" s="75"/>
      <c r="J39" s="75"/>
      <c r="K39" s="75"/>
      <c r="L39" s="75"/>
      <c r="M39" s="75"/>
      <c r="N39" s="75"/>
      <c r="O39" s="75"/>
      <c r="P39" s="75"/>
    </row>
    <row r="40" spans="1:16" ht="29" x14ac:dyDescent="0.35">
      <c r="A40" s="6">
        <v>29</v>
      </c>
      <c r="B40" s="6" t="str">
        <f>CONCATENATE($B$2, ".", A40)</f>
        <v>7.29</v>
      </c>
      <c r="C40" s="34" t="s">
        <v>40</v>
      </c>
      <c r="D40" s="6" t="s">
        <v>56</v>
      </c>
      <c r="E40" s="6" t="s">
        <v>43</v>
      </c>
      <c r="F40" s="6" t="s">
        <v>37</v>
      </c>
      <c r="G40" s="6" t="s">
        <v>37</v>
      </c>
      <c r="H40" s="6" t="s">
        <v>37</v>
      </c>
      <c r="I40" s="6" t="s">
        <v>10</v>
      </c>
      <c r="J40" s="6" t="s">
        <v>37</v>
      </c>
      <c r="K40" s="6" t="s">
        <v>37</v>
      </c>
      <c r="L40" s="6" t="s">
        <v>37</v>
      </c>
      <c r="M40" s="6" t="s">
        <v>37</v>
      </c>
      <c r="N40" s="6" t="s">
        <v>37</v>
      </c>
      <c r="O40" s="6" t="s">
        <v>272</v>
      </c>
    </row>
    <row r="41" spans="1:16" ht="29" x14ac:dyDescent="0.35">
      <c r="A41" s="6">
        <v>30</v>
      </c>
      <c r="B41" s="6" t="str">
        <f>CONCATENATE($B$2, ".", A41)</f>
        <v>7.30</v>
      </c>
      <c r="C41" s="34" t="s">
        <v>40</v>
      </c>
      <c r="D41" s="6" t="s">
        <v>55</v>
      </c>
      <c r="E41" s="6" t="s">
        <v>43</v>
      </c>
      <c r="F41" s="6" t="s">
        <v>37</v>
      </c>
      <c r="G41" s="6" t="s">
        <v>37</v>
      </c>
      <c r="H41" s="6" t="s">
        <v>37</v>
      </c>
      <c r="I41" s="6" t="s">
        <v>10</v>
      </c>
      <c r="J41" s="6" t="s">
        <v>37</v>
      </c>
      <c r="K41" s="6" t="s">
        <v>37</v>
      </c>
      <c r="L41" s="6" t="s">
        <v>37</v>
      </c>
      <c r="M41" s="6" t="s">
        <v>37</v>
      </c>
      <c r="N41" s="6" t="s">
        <v>37</v>
      </c>
      <c r="O41" s="6" t="s">
        <v>271</v>
      </c>
    </row>
  </sheetData>
  <conditionalFormatting sqref="C42:C1048576">
    <cfRule type="cellIs" dxfId="317" priority="57" operator="equal">
      <formula>"WIP (see comments)"</formula>
    </cfRule>
    <cfRule type="cellIs" dxfId="316" priority="58" operator="equal">
      <formula>"Removed"</formula>
    </cfRule>
    <cfRule type="cellIs" dxfId="315" priority="59" operator="equal">
      <formula>"Updated"</formula>
    </cfRule>
    <cfRule type="cellIs" dxfId="314" priority="60" operator="equal">
      <formula>"New"</formula>
    </cfRule>
  </conditionalFormatting>
  <conditionalFormatting sqref="C7:C10">
    <cfRule type="cellIs" dxfId="313" priority="49" operator="equal">
      <formula>"WIP (see comments)"</formula>
    </cfRule>
    <cfRule type="cellIs" dxfId="312" priority="50" operator="equal">
      <formula>"Removed"</formula>
    </cfRule>
    <cfRule type="cellIs" dxfId="311" priority="51" operator="equal">
      <formula>"Updated"</formula>
    </cfRule>
    <cfRule type="cellIs" dxfId="310" priority="52" operator="equal">
      <formula>"New"</formula>
    </cfRule>
  </conditionalFormatting>
  <conditionalFormatting sqref="D1">
    <cfRule type="cellIs" dxfId="309" priority="44" operator="equal">
      <formula>"n/a"</formula>
    </cfRule>
  </conditionalFormatting>
  <conditionalFormatting sqref="D3">
    <cfRule type="cellIs" dxfId="308" priority="43" operator="equal">
      <formula>"n/a"</formula>
    </cfRule>
  </conditionalFormatting>
  <conditionalFormatting sqref="A13:P13 A14:A20">
    <cfRule type="cellIs" dxfId="307" priority="9" operator="equal">
      <formula>"n/a"</formula>
    </cfRule>
  </conditionalFormatting>
  <conditionalFormatting sqref="C40:C41 C14:C20 C23:C29 C32:C38">
    <cfRule type="cellIs" dxfId="306" priority="39" operator="equal">
      <formula>"WIP (see comments)"</formula>
    </cfRule>
    <cfRule type="cellIs" dxfId="305" priority="40" operator="equal">
      <formula>"Removed"</formula>
    </cfRule>
    <cfRule type="cellIs" dxfId="304" priority="41" operator="equal">
      <formula>"Updated"</formula>
    </cfRule>
    <cfRule type="cellIs" dxfId="303" priority="42" operator="equal">
      <formula>"New"</formula>
    </cfRule>
  </conditionalFormatting>
  <conditionalFormatting sqref="C11">
    <cfRule type="cellIs" dxfId="302" priority="35" operator="equal">
      <formula>"WIP (see comments)"</formula>
    </cfRule>
    <cfRule type="cellIs" dxfId="301" priority="36" operator="equal">
      <formula>"Removed"</formula>
    </cfRule>
    <cfRule type="cellIs" dxfId="300" priority="37" operator="equal">
      <formula>"Updated"</formula>
    </cfRule>
    <cfRule type="cellIs" dxfId="299" priority="38" operator="equal">
      <formula>"New"</formula>
    </cfRule>
  </conditionalFormatting>
  <conditionalFormatting sqref="C22:C28">
    <cfRule type="cellIs" dxfId="298" priority="31" operator="equal">
      <formula>"WIP (see comments)"</formula>
    </cfRule>
    <cfRule type="cellIs" dxfId="297" priority="32" operator="equal">
      <formula>"Removed"</formula>
    </cfRule>
    <cfRule type="cellIs" dxfId="296" priority="33" operator="equal">
      <formula>"Updated"</formula>
    </cfRule>
    <cfRule type="cellIs" dxfId="295" priority="34" operator="equal">
      <formula>"New"</formula>
    </cfRule>
  </conditionalFormatting>
  <conditionalFormatting sqref="C31:C38">
    <cfRule type="cellIs" dxfId="294" priority="27" operator="equal">
      <formula>"WIP (see comments)"</formula>
    </cfRule>
    <cfRule type="cellIs" dxfId="293" priority="28" operator="equal">
      <formula>"Removed"</formula>
    </cfRule>
    <cfRule type="cellIs" dxfId="292" priority="29" operator="equal">
      <formula>"Updated"</formula>
    </cfRule>
    <cfRule type="cellIs" dxfId="291" priority="30" operator="equal">
      <formula>"New"</formula>
    </cfRule>
  </conditionalFormatting>
  <conditionalFormatting sqref="C11:P11 A40:P41 B14:P20 A22:P29 A31:P38">
    <cfRule type="cellIs" dxfId="290" priority="26" operator="equal">
      <formula>"n/a"</formula>
    </cfRule>
  </conditionalFormatting>
  <conditionalFormatting sqref="C28">
    <cfRule type="cellIs" dxfId="289" priority="22" operator="equal">
      <formula>"WIP (see comments)"</formula>
    </cfRule>
    <cfRule type="cellIs" dxfId="288" priority="23" operator="equal">
      <formula>"Removed"</formula>
    </cfRule>
    <cfRule type="cellIs" dxfId="287" priority="24" operator="equal">
      <formula>"Updated"</formula>
    </cfRule>
    <cfRule type="cellIs" dxfId="286" priority="25" operator="equal">
      <formula>"New"</formula>
    </cfRule>
  </conditionalFormatting>
  <conditionalFormatting sqref="C29">
    <cfRule type="cellIs" dxfId="285" priority="18" operator="equal">
      <formula>"WIP (see comments)"</formula>
    </cfRule>
    <cfRule type="cellIs" dxfId="284" priority="19" operator="equal">
      <formula>"Removed"</formula>
    </cfRule>
    <cfRule type="cellIs" dxfId="283" priority="20" operator="equal">
      <formula>"Updated"</formula>
    </cfRule>
    <cfRule type="cellIs" dxfId="282" priority="21" operator="equal">
      <formula>"New"</formula>
    </cfRule>
  </conditionalFormatting>
  <conditionalFormatting sqref="F12:P12 A12">
    <cfRule type="cellIs" dxfId="281" priority="17" operator="equal">
      <formula>"n/a"</formula>
    </cfRule>
  </conditionalFormatting>
  <conditionalFormatting sqref="F21:P21 A21">
    <cfRule type="cellIs" dxfId="280" priority="16" operator="equal">
      <formula>"n/a"</formula>
    </cfRule>
  </conditionalFormatting>
  <conditionalFormatting sqref="F30:P30 A30">
    <cfRule type="cellIs" dxfId="279" priority="15" operator="equal">
      <formula>"n/a"</formula>
    </cfRule>
  </conditionalFormatting>
  <conditionalFormatting sqref="F39:P39 A39">
    <cfRule type="cellIs" dxfId="278" priority="14" operator="equal">
      <formula>"n/a"</formula>
    </cfRule>
  </conditionalFormatting>
  <conditionalFormatting sqref="C13">
    <cfRule type="cellIs" dxfId="277" priority="10" operator="equal">
      <formula>"WIP (see comments)"</formula>
    </cfRule>
    <cfRule type="cellIs" dxfId="276" priority="11" operator="equal">
      <formula>"Removed"</formula>
    </cfRule>
    <cfRule type="cellIs" dxfId="275" priority="12" operator="equal">
      <formula>"Updated"</formula>
    </cfRule>
    <cfRule type="cellIs" dxfId="274" priority="13" operator="equal">
      <formula>"New"</formula>
    </cfRule>
  </conditionalFormatting>
  <conditionalFormatting sqref="F7:H8 G9:G10">
    <cfRule type="cellIs" dxfId="273" priority="8" operator="equal">
      <formula>"n/a"</formula>
    </cfRule>
  </conditionalFormatting>
  <conditionalFormatting sqref="J7:O8 M9:N10">
    <cfRule type="cellIs" dxfId="272" priority="7" operator="equal">
      <formula>"n/a"</formula>
    </cfRule>
  </conditionalFormatting>
  <dataValidations count="1">
    <dataValidation type="list" allowBlank="1" showInputMessage="1" showErrorMessage="1" sqref="C42:C1048576">
      <formula1>$B$5:$B$10</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C7:C10</xm:sqref>
        </x14:dataValidation>
        <x14:dataValidation type="list" allowBlank="1" showInputMessage="1" showErrorMessage="1">
          <x14:formula1>
            <xm:f>'List Values'!$A$5:$A$29</xm:f>
          </x14:formula1>
          <xm:sqref>E42:E1048576</xm:sqref>
        </x14:dataValidation>
        <x14:dataValidation type="list" allowBlank="1" showInputMessage="1" showErrorMessage="1">
          <x14:formula1>
            <xm:f>'List Values'!$B$5:$B$11</xm:f>
          </x14:formula1>
          <xm:sqref>C11 C40:C41 C13:C20 C22:C29 C31:C38</xm:sqref>
        </x14:dataValidation>
        <x14:dataValidation type="list" allowBlank="1" showInputMessage="1" showErrorMessage="1">
          <x14:formula1>
            <xm:f>'List Values'!$A$5:$A$28</xm:f>
          </x14:formula1>
          <xm:sqref>E7:E41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0" customFormat="1" ht="18.5" x14ac:dyDescent="0.35">
      <c r="A1" s="28" t="s">
        <v>6</v>
      </c>
      <c r="B1" s="38" t="s">
        <v>68</v>
      </c>
      <c r="C1" s="32"/>
      <c r="D1" s="29" t="s">
        <v>275</v>
      </c>
    </row>
    <row r="2" spans="1:16" s="30" customFormat="1" ht="18.5" x14ac:dyDescent="0.35">
      <c r="A2" s="28" t="s">
        <v>7</v>
      </c>
      <c r="B2" s="36">
        <v>8</v>
      </c>
      <c r="C2" s="35"/>
      <c r="D2" s="36"/>
    </row>
    <row r="3" spans="1:16" s="30" customFormat="1" ht="18.5" x14ac:dyDescent="0.35">
      <c r="A3" s="28" t="s">
        <v>44</v>
      </c>
      <c r="B3" s="36" t="s">
        <v>265</v>
      </c>
      <c r="C3" s="35"/>
      <c r="D3" s="36"/>
    </row>
    <row r="4" spans="1:16" s="30" customFormat="1" ht="18.5" x14ac:dyDescent="0.35">
      <c r="A4" s="28" t="s">
        <v>8</v>
      </c>
      <c r="B4" s="30" t="s">
        <v>264</v>
      </c>
      <c r="C4" s="35"/>
    </row>
    <row r="5" spans="1:16" s="4" customFormat="1" x14ac:dyDescent="0.35">
      <c r="A5" s="6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8.1</v>
      </c>
      <c r="C7" s="34" t="s">
        <v>41</v>
      </c>
      <c r="D7" s="39" t="s">
        <v>219</v>
      </c>
      <c r="I7" s="39"/>
      <c r="J7" s="5" t="s">
        <v>37</v>
      </c>
      <c r="K7" s="5"/>
      <c r="L7" s="5"/>
      <c r="M7" s="5"/>
      <c r="N7" s="5"/>
      <c r="O7" s="5"/>
    </row>
    <row r="8" spans="1:16" x14ac:dyDescent="0.35">
      <c r="A8" s="6">
        <v>2</v>
      </c>
      <c r="B8" s="6" t="str">
        <f>CONCATENATE($B$2, ".", A8)</f>
        <v>8.2</v>
      </c>
      <c r="C8" s="34" t="s">
        <v>41</v>
      </c>
      <c r="D8" s="39" t="s">
        <v>69</v>
      </c>
      <c r="E8" s="39"/>
      <c r="I8" s="39"/>
      <c r="J8" s="5" t="s">
        <v>37</v>
      </c>
      <c r="K8" s="5"/>
      <c r="L8" s="5"/>
      <c r="M8" s="5"/>
      <c r="N8" s="5"/>
      <c r="O8" s="5"/>
    </row>
    <row r="9" spans="1:16" s="75" customFormat="1" x14ac:dyDescent="0.35">
      <c r="A9" s="92"/>
      <c r="B9" s="92"/>
      <c r="C9" s="92"/>
      <c r="D9" s="92"/>
      <c r="E9" s="92"/>
    </row>
    <row r="10" spans="1:16" s="39" customFormat="1" ht="66" customHeight="1" x14ac:dyDescent="0.35">
      <c r="A10" s="39">
        <v>3</v>
      </c>
      <c r="B10" s="39" t="str">
        <f t="shared" ref="B10" si="0">CONCATENATE($B$2, ".", A10)</f>
        <v>8.3</v>
      </c>
      <c r="C10" s="47" t="s">
        <v>41</v>
      </c>
      <c r="D10" s="39" t="s">
        <v>221</v>
      </c>
      <c r="J10" s="40"/>
      <c r="K10" s="40"/>
      <c r="L10" s="40"/>
      <c r="M10" s="40"/>
      <c r="N10" s="40"/>
      <c r="O10" s="40"/>
    </row>
    <row r="11" spans="1:16" s="39" customFormat="1" ht="128.25" customHeight="1" x14ac:dyDescent="0.35">
      <c r="A11" s="39">
        <v>4</v>
      </c>
      <c r="B11" s="39" t="str">
        <f t="shared" ref="B11:B16" si="1">CONCATENATE($B$2, ".", A11)</f>
        <v>8.4</v>
      </c>
      <c r="C11" s="47" t="s">
        <v>41</v>
      </c>
      <c r="D11" s="39" t="s">
        <v>110</v>
      </c>
      <c r="H11" s="41"/>
      <c r="J11" s="40"/>
      <c r="K11" s="40"/>
      <c r="L11" s="40"/>
      <c r="M11" s="40"/>
      <c r="N11" s="40"/>
      <c r="O11" s="40"/>
    </row>
    <row r="12" spans="1:16" s="39" customFormat="1" x14ac:dyDescent="0.35">
      <c r="A12" s="39">
        <v>5</v>
      </c>
      <c r="B12" s="39" t="str">
        <f t="shared" si="1"/>
        <v>8.5</v>
      </c>
      <c r="C12" s="47" t="s">
        <v>41</v>
      </c>
      <c r="D12" s="39" t="s">
        <v>76</v>
      </c>
      <c r="H12" s="41"/>
      <c r="J12" s="40"/>
      <c r="K12" s="40"/>
      <c r="L12" s="40"/>
      <c r="M12" s="40"/>
      <c r="N12" s="40"/>
      <c r="O12" s="40"/>
    </row>
    <row r="13" spans="1:16" s="39" customFormat="1" x14ac:dyDescent="0.35">
      <c r="A13" s="39">
        <v>6</v>
      </c>
      <c r="B13" s="39" t="str">
        <f t="shared" si="1"/>
        <v>8.6</v>
      </c>
      <c r="C13" s="47" t="s">
        <v>41</v>
      </c>
      <c r="D13" s="39" t="s">
        <v>114</v>
      </c>
      <c r="H13" s="41"/>
      <c r="J13" s="40"/>
      <c r="K13" s="40"/>
      <c r="L13" s="40"/>
      <c r="M13" s="40"/>
      <c r="N13" s="40"/>
      <c r="O13" s="40"/>
    </row>
    <row r="14" spans="1:16" s="39" customFormat="1" x14ac:dyDescent="0.35">
      <c r="A14" s="39">
        <v>7</v>
      </c>
      <c r="B14" s="39" t="str">
        <f t="shared" si="1"/>
        <v>8.7</v>
      </c>
      <c r="C14" s="47" t="s">
        <v>41</v>
      </c>
      <c r="D14" s="39" t="s">
        <v>71</v>
      </c>
      <c r="H14" s="41"/>
      <c r="J14" s="40"/>
      <c r="K14" s="40"/>
      <c r="L14" s="40"/>
      <c r="M14" s="40"/>
      <c r="N14" s="40"/>
      <c r="O14" s="40"/>
    </row>
    <row r="15" spans="1:16" s="39" customFormat="1" x14ac:dyDescent="0.35">
      <c r="A15" s="39">
        <v>8</v>
      </c>
      <c r="B15" s="39" t="str">
        <f t="shared" si="1"/>
        <v>8.8</v>
      </c>
      <c r="C15" s="47" t="s">
        <v>41</v>
      </c>
      <c r="D15" s="39" t="s">
        <v>72</v>
      </c>
      <c r="H15" s="41"/>
      <c r="J15" s="40"/>
      <c r="K15" s="40"/>
      <c r="L15" s="40"/>
      <c r="M15" s="40"/>
      <c r="N15" s="40"/>
      <c r="O15" s="40"/>
    </row>
    <row r="16" spans="1:16" s="39" customFormat="1" ht="96.75" customHeight="1" x14ac:dyDescent="0.35">
      <c r="A16" s="39">
        <v>9</v>
      </c>
      <c r="B16" s="39" t="str">
        <f t="shared" si="1"/>
        <v>8.9</v>
      </c>
      <c r="C16" s="47" t="s">
        <v>41</v>
      </c>
      <c r="D16" s="39" t="s">
        <v>73</v>
      </c>
      <c r="H16" s="41"/>
      <c r="J16" s="40"/>
      <c r="K16" s="40"/>
      <c r="L16" s="40"/>
      <c r="M16" s="40"/>
      <c r="N16" s="40"/>
      <c r="O16" s="40"/>
    </row>
    <row r="17" spans="1:15" s="39" customFormat="1" x14ac:dyDescent="0.35">
      <c r="A17" s="39">
        <v>10</v>
      </c>
      <c r="B17" s="39" t="str">
        <f>CONCATENATE($B$2, ".", A17)</f>
        <v>8.10</v>
      </c>
      <c r="C17" s="47" t="s">
        <v>41</v>
      </c>
      <c r="D17" s="39" t="s">
        <v>74</v>
      </c>
      <c r="H17" s="41"/>
      <c r="J17" s="40"/>
      <c r="K17" s="40"/>
      <c r="L17" s="40"/>
      <c r="M17" s="40"/>
      <c r="N17" s="40"/>
      <c r="O17" s="40"/>
    </row>
    <row r="18" spans="1:15" s="75" customFormat="1" x14ac:dyDescent="0.35">
      <c r="A18" s="92"/>
      <c r="B18" s="92"/>
      <c r="C18" s="92"/>
      <c r="D18" s="92"/>
      <c r="E18" s="92"/>
    </row>
    <row r="19" spans="1:15" s="39" customFormat="1" ht="66" customHeight="1" x14ac:dyDescent="0.35">
      <c r="A19" s="39">
        <v>11</v>
      </c>
      <c r="B19" s="39" t="str">
        <f t="shared" ref="B19:B25" si="2">CONCATENATE($B$2, ".", A19)</f>
        <v>8.11</v>
      </c>
      <c r="C19" s="47" t="s">
        <v>41</v>
      </c>
      <c r="D19" s="39" t="s">
        <v>81</v>
      </c>
      <c r="J19" s="40"/>
      <c r="K19" s="40"/>
      <c r="L19" s="40"/>
      <c r="M19" s="40"/>
      <c r="N19" s="40"/>
      <c r="O19" s="40"/>
    </row>
    <row r="20" spans="1:15" s="39" customFormat="1" ht="81.75" customHeight="1" x14ac:dyDescent="0.35">
      <c r="A20" s="39">
        <v>12</v>
      </c>
      <c r="B20" s="39" t="str">
        <f t="shared" si="2"/>
        <v>8.12</v>
      </c>
      <c r="C20" s="47" t="s">
        <v>41</v>
      </c>
      <c r="D20" s="39" t="s">
        <v>111</v>
      </c>
      <c r="H20" s="41"/>
      <c r="J20" s="40"/>
      <c r="K20" s="40"/>
      <c r="L20" s="40"/>
      <c r="M20" s="40"/>
      <c r="N20" s="40"/>
      <c r="O20" s="40"/>
    </row>
    <row r="21" spans="1:15" s="39" customFormat="1" ht="49.5" customHeight="1" x14ac:dyDescent="0.35">
      <c r="A21" s="39">
        <v>13</v>
      </c>
      <c r="B21" s="39" t="str">
        <f t="shared" si="2"/>
        <v>8.13</v>
      </c>
      <c r="C21" s="47" t="s">
        <v>41</v>
      </c>
      <c r="D21" s="39" t="s">
        <v>76</v>
      </c>
      <c r="H21" s="41"/>
      <c r="J21" s="40"/>
      <c r="K21" s="40"/>
      <c r="L21" s="40"/>
      <c r="M21" s="40"/>
      <c r="N21" s="40"/>
      <c r="O21" s="40"/>
    </row>
    <row r="22" spans="1:15" s="39" customFormat="1" ht="54" customHeight="1" x14ac:dyDescent="0.35">
      <c r="A22" s="39">
        <v>14</v>
      </c>
      <c r="B22" s="39" t="str">
        <f t="shared" si="2"/>
        <v>8.14</v>
      </c>
      <c r="C22" s="47" t="s">
        <v>41</v>
      </c>
      <c r="D22" s="39" t="s">
        <v>114</v>
      </c>
      <c r="H22" s="41"/>
      <c r="J22" s="40"/>
      <c r="K22" s="40"/>
      <c r="L22" s="40"/>
      <c r="M22" s="40"/>
      <c r="N22" s="40"/>
      <c r="O22" s="40"/>
    </row>
    <row r="23" spans="1:15" s="39" customFormat="1" ht="54" customHeight="1" x14ac:dyDescent="0.35">
      <c r="A23" s="39">
        <v>15</v>
      </c>
      <c r="B23" s="39" t="str">
        <f t="shared" si="2"/>
        <v>8.15</v>
      </c>
      <c r="C23" s="47" t="s">
        <v>41</v>
      </c>
      <c r="D23" s="39" t="s">
        <v>71</v>
      </c>
      <c r="H23" s="41"/>
      <c r="J23" s="40"/>
      <c r="K23" s="40"/>
      <c r="L23" s="40"/>
      <c r="M23" s="40"/>
      <c r="N23" s="40"/>
      <c r="O23" s="40"/>
    </row>
    <row r="24" spans="1:15" s="39" customFormat="1" ht="50.25" customHeight="1" x14ac:dyDescent="0.35">
      <c r="A24" s="39">
        <v>16</v>
      </c>
      <c r="B24" s="39" t="str">
        <f t="shared" si="2"/>
        <v>8.16</v>
      </c>
      <c r="C24" s="47" t="s">
        <v>41</v>
      </c>
      <c r="D24" s="39" t="s">
        <v>72</v>
      </c>
      <c r="H24" s="41"/>
      <c r="J24" s="40"/>
      <c r="K24" s="40"/>
      <c r="L24" s="40"/>
      <c r="M24" s="40"/>
      <c r="N24" s="40"/>
      <c r="O24" s="40"/>
    </row>
    <row r="25" spans="1:15" s="39" customFormat="1" x14ac:dyDescent="0.35">
      <c r="A25" s="39">
        <v>17</v>
      </c>
      <c r="B25" s="39" t="str">
        <f t="shared" si="2"/>
        <v>8.17</v>
      </c>
      <c r="C25" s="47" t="s">
        <v>41</v>
      </c>
      <c r="D25" s="39" t="s">
        <v>73</v>
      </c>
      <c r="H25" s="41"/>
      <c r="J25" s="40"/>
      <c r="K25" s="40"/>
      <c r="L25" s="40"/>
      <c r="M25" s="40"/>
      <c r="N25" s="40"/>
      <c r="O25" s="40"/>
    </row>
    <row r="26" spans="1:15" s="39" customFormat="1" x14ac:dyDescent="0.35">
      <c r="A26" s="39">
        <v>18</v>
      </c>
      <c r="B26" s="39" t="str">
        <f>CONCATENATE($B$2, ".", A26)</f>
        <v>8.18</v>
      </c>
      <c r="C26" s="47" t="s">
        <v>41</v>
      </c>
      <c r="D26" s="39" t="s">
        <v>74</v>
      </c>
      <c r="H26" s="41"/>
      <c r="J26" s="40"/>
      <c r="K26" s="40"/>
      <c r="L26" s="40"/>
      <c r="M26" s="40"/>
      <c r="N26" s="40"/>
      <c r="O26" s="40"/>
    </row>
    <row r="27" spans="1:15" s="75" customFormat="1" x14ac:dyDescent="0.35">
      <c r="A27" s="92"/>
      <c r="B27" s="92"/>
      <c r="C27" s="92"/>
      <c r="D27" s="92"/>
      <c r="E27" s="92"/>
    </row>
    <row r="28" spans="1:15" s="39" customFormat="1" ht="29" x14ac:dyDescent="0.35">
      <c r="A28" s="39">
        <v>19</v>
      </c>
      <c r="B28" s="39" t="str">
        <f t="shared" ref="B28:B34" si="3">CONCATENATE($B$2, ".", A28)</f>
        <v>8.19</v>
      </c>
      <c r="C28" s="47" t="s">
        <v>41</v>
      </c>
      <c r="D28" s="39" t="s">
        <v>169</v>
      </c>
      <c r="J28" s="40"/>
      <c r="K28" s="40"/>
      <c r="L28" s="40"/>
      <c r="M28" s="40"/>
      <c r="N28" s="40"/>
      <c r="O28" s="40"/>
    </row>
    <row r="29" spans="1:15" s="39" customFormat="1" ht="81.75" customHeight="1" x14ac:dyDescent="0.35">
      <c r="A29" s="39">
        <v>20</v>
      </c>
      <c r="B29" s="39" t="str">
        <f t="shared" si="3"/>
        <v>8.20</v>
      </c>
      <c r="C29" s="47" t="s">
        <v>41</v>
      </c>
      <c r="D29" s="39" t="s">
        <v>83</v>
      </c>
      <c r="H29" s="41"/>
      <c r="J29" s="40"/>
      <c r="K29" s="40"/>
      <c r="L29" s="40"/>
      <c r="M29" s="40"/>
      <c r="N29" s="40"/>
      <c r="O29" s="40"/>
    </row>
    <row r="30" spans="1:15" s="39" customFormat="1" ht="49.5" customHeight="1" x14ac:dyDescent="0.35">
      <c r="A30" s="39">
        <v>21</v>
      </c>
      <c r="B30" s="39" t="str">
        <f t="shared" si="3"/>
        <v>8.21</v>
      </c>
      <c r="C30" s="47" t="s">
        <v>41</v>
      </c>
      <c r="D30" s="39" t="s">
        <v>76</v>
      </c>
      <c r="H30" s="41"/>
      <c r="J30" s="40"/>
      <c r="K30" s="41"/>
      <c r="L30" s="41"/>
      <c r="M30" s="40"/>
      <c r="N30" s="40"/>
      <c r="O30" s="40"/>
    </row>
    <row r="31" spans="1:15" s="39" customFormat="1" x14ac:dyDescent="0.35">
      <c r="A31" s="39">
        <v>22</v>
      </c>
      <c r="B31" s="39" t="str">
        <f t="shared" si="3"/>
        <v>8.22</v>
      </c>
      <c r="C31" s="47" t="s">
        <v>41</v>
      </c>
      <c r="D31" s="39" t="s">
        <v>116</v>
      </c>
      <c r="H31" s="41"/>
      <c r="J31" s="40"/>
      <c r="K31" s="40"/>
      <c r="L31" s="40"/>
      <c r="M31" s="40"/>
      <c r="N31" s="40"/>
      <c r="O31" s="40"/>
    </row>
    <row r="32" spans="1:15" s="39" customFormat="1" ht="54" customHeight="1" x14ac:dyDescent="0.35">
      <c r="A32" s="39">
        <v>23</v>
      </c>
      <c r="B32" s="39" t="str">
        <f t="shared" si="3"/>
        <v>8.23</v>
      </c>
      <c r="C32" s="47" t="s">
        <v>41</v>
      </c>
      <c r="D32" s="39" t="s">
        <v>71</v>
      </c>
      <c r="H32" s="41"/>
      <c r="J32" s="40"/>
      <c r="K32" s="40"/>
      <c r="L32" s="40"/>
      <c r="M32" s="40"/>
      <c r="N32" s="40"/>
      <c r="O32" s="40"/>
    </row>
    <row r="33" spans="1:15" s="39" customFormat="1" ht="50.25" customHeight="1" x14ac:dyDescent="0.35">
      <c r="A33" s="39">
        <v>24</v>
      </c>
      <c r="B33" s="39" t="str">
        <f t="shared" si="3"/>
        <v>8.24</v>
      </c>
      <c r="C33" s="47" t="s">
        <v>41</v>
      </c>
      <c r="D33" s="39" t="s">
        <v>72</v>
      </c>
      <c r="H33" s="41"/>
      <c r="J33" s="40"/>
      <c r="K33" s="40"/>
      <c r="L33" s="40"/>
      <c r="M33" s="40"/>
      <c r="N33" s="40"/>
      <c r="O33" s="40"/>
    </row>
    <row r="34" spans="1:15" s="39" customFormat="1" x14ac:dyDescent="0.35">
      <c r="A34" s="39">
        <v>25</v>
      </c>
      <c r="B34" s="39" t="str">
        <f t="shared" si="3"/>
        <v>8.25</v>
      </c>
      <c r="C34" s="47" t="s">
        <v>41</v>
      </c>
      <c r="D34" s="39" t="s">
        <v>73</v>
      </c>
      <c r="H34" s="41"/>
      <c r="J34" s="40"/>
      <c r="K34" s="40"/>
      <c r="L34" s="40"/>
      <c r="M34" s="40"/>
      <c r="N34" s="40"/>
      <c r="O34" s="40"/>
    </row>
    <row r="35" spans="1:15" s="39" customFormat="1" x14ac:dyDescent="0.35">
      <c r="A35" s="39">
        <v>26</v>
      </c>
      <c r="B35" s="39" t="str">
        <f>CONCATENATE($B$2, ".", A35)</f>
        <v>8.26</v>
      </c>
      <c r="C35" s="47" t="s">
        <v>41</v>
      </c>
      <c r="D35" s="39" t="s">
        <v>74</v>
      </c>
      <c r="H35" s="41"/>
      <c r="J35" s="40"/>
      <c r="K35" s="40"/>
      <c r="L35" s="40"/>
      <c r="M35" s="40"/>
      <c r="N35" s="40"/>
      <c r="O35" s="40"/>
    </row>
    <row r="36" spans="1:15" s="75" customFormat="1" x14ac:dyDescent="0.35">
      <c r="A36" s="92"/>
      <c r="B36" s="92"/>
      <c r="C36" s="92"/>
      <c r="D36" s="92"/>
      <c r="E36" s="92"/>
    </row>
    <row r="37" spans="1:15" x14ac:dyDescent="0.35">
      <c r="A37" s="6">
        <v>27</v>
      </c>
      <c r="B37" s="6" t="str">
        <f>CONCATENATE($B$2, ".", A37)</f>
        <v>8.27</v>
      </c>
      <c r="C37" s="34" t="s">
        <v>41</v>
      </c>
      <c r="D37" s="6" t="s">
        <v>56</v>
      </c>
    </row>
    <row r="38" spans="1:15" x14ac:dyDescent="0.35">
      <c r="A38" s="6">
        <v>28</v>
      </c>
      <c r="B38" s="6" t="str">
        <f>CONCATENATE($B$2, ".", A38)</f>
        <v>8.28</v>
      </c>
      <c r="C38" s="34" t="s">
        <v>41</v>
      </c>
      <c r="D38" s="6" t="s">
        <v>55</v>
      </c>
    </row>
    <row r="39" spans="1:15" x14ac:dyDescent="0.35">
      <c r="I39" s="39"/>
      <c r="J39" s="5"/>
      <c r="K39" s="5"/>
      <c r="L39" s="40"/>
      <c r="M39" s="40"/>
      <c r="N39" s="40"/>
      <c r="O39" s="40"/>
    </row>
    <row r="40" spans="1:15" x14ac:dyDescent="0.35">
      <c r="I40" s="39"/>
      <c r="J40" s="5"/>
      <c r="K40" s="5"/>
      <c r="L40" s="40"/>
      <c r="M40" s="40"/>
      <c r="N40" s="40"/>
      <c r="O40" s="40"/>
    </row>
    <row r="41" spans="1:15" x14ac:dyDescent="0.35">
      <c r="I41" s="39"/>
      <c r="J41" s="5"/>
      <c r="K41" s="5"/>
      <c r="L41" s="40"/>
      <c r="M41" s="40"/>
      <c r="N41" s="40"/>
      <c r="O41" s="40"/>
    </row>
    <row r="42" spans="1:15" x14ac:dyDescent="0.35">
      <c r="I42" s="39"/>
      <c r="J42" s="5"/>
      <c r="K42" s="5"/>
      <c r="L42" s="40"/>
      <c r="M42" s="40"/>
      <c r="N42" s="40"/>
      <c r="O42" s="40"/>
    </row>
    <row r="43" spans="1:15" x14ac:dyDescent="0.35">
      <c r="I43" s="39"/>
      <c r="J43" s="5"/>
      <c r="K43" s="5"/>
      <c r="L43" s="40"/>
      <c r="M43" s="40"/>
      <c r="N43" s="40"/>
      <c r="O43" s="40"/>
    </row>
    <row r="44" spans="1:15" x14ac:dyDescent="0.35">
      <c r="I44" s="39"/>
      <c r="J44" s="5"/>
      <c r="K44" s="5"/>
      <c r="L44" s="40"/>
      <c r="M44" s="40"/>
      <c r="N44" s="40"/>
      <c r="O44" s="40"/>
    </row>
    <row r="45" spans="1:15" x14ac:dyDescent="0.35">
      <c r="I45" s="39"/>
      <c r="J45" s="5"/>
      <c r="K45" s="5"/>
      <c r="L45" s="40"/>
      <c r="M45" s="40"/>
      <c r="N45" s="40"/>
      <c r="O45" s="40"/>
    </row>
    <row r="46" spans="1:15" x14ac:dyDescent="0.35">
      <c r="I46" s="39"/>
      <c r="J46" s="5"/>
      <c r="K46" s="5"/>
      <c r="L46" s="40"/>
      <c r="M46" s="40"/>
      <c r="N46" s="40"/>
      <c r="O46" s="40"/>
    </row>
  </sheetData>
  <mergeCells count="4">
    <mergeCell ref="A9:E9"/>
    <mergeCell ref="A18:E18"/>
    <mergeCell ref="A27:E27"/>
    <mergeCell ref="A36:E36"/>
  </mergeCells>
  <conditionalFormatting sqref="C37:C1048576 C29:C35 C20:C26 C8">
    <cfRule type="cellIs" dxfId="271" priority="52" operator="equal">
      <formula>"WIP (see comments)"</formula>
    </cfRule>
    <cfRule type="cellIs" dxfId="270" priority="53" operator="equal">
      <formula>"Removed"</formula>
    </cfRule>
    <cfRule type="cellIs" dxfId="269" priority="54" operator="equal">
      <formula>"Updated"</formula>
    </cfRule>
    <cfRule type="cellIs" dxfId="268" priority="55" operator="equal">
      <formula>"New"</formula>
    </cfRule>
  </conditionalFormatting>
  <conditionalFormatting sqref="C7:C8">
    <cfRule type="cellIs" dxfId="267" priority="44" operator="equal">
      <formula>"WIP (see comments)"</formula>
    </cfRule>
    <cfRule type="cellIs" dxfId="266" priority="45" operator="equal">
      <formula>"Removed"</formula>
    </cfRule>
    <cfRule type="cellIs" dxfId="265" priority="46" operator="equal">
      <formula>"Updated"</formula>
    </cfRule>
    <cfRule type="cellIs" dxfId="264" priority="47" operator="equal">
      <formula>"New"</formula>
    </cfRule>
  </conditionalFormatting>
  <conditionalFormatting sqref="C19:C26">
    <cfRule type="cellIs" dxfId="263" priority="36" operator="equal">
      <formula>"WIP (see comments)"</formula>
    </cfRule>
    <cfRule type="cellIs" dxfId="262" priority="37" operator="equal">
      <formula>"Removed"</formula>
    </cfRule>
    <cfRule type="cellIs" dxfId="261" priority="38" operator="equal">
      <formula>"Updated"</formula>
    </cfRule>
    <cfRule type="cellIs" dxfId="260" priority="39" operator="equal">
      <formula>"New"</formula>
    </cfRule>
  </conditionalFormatting>
  <conditionalFormatting sqref="C28:C35">
    <cfRule type="cellIs" dxfId="259" priority="28" operator="equal">
      <formula>"WIP (see comments)"</formula>
    </cfRule>
    <cfRule type="cellIs" dxfId="258" priority="29" operator="equal">
      <formula>"Removed"</formula>
    </cfRule>
    <cfRule type="cellIs" dxfId="257" priority="30" operator="equal">
      <formula>"Updated"</formula>
    </cfRule>
    <cfRule type="cellIs" dxfId="256" priority="31" operator="equal">
      <formula>"New"</formula>
    </cfRule>
  </conditionalFormatting>
  <conditionalFormatting sqref="A2:XFD8 A37:XFD1048576 A1:C1 E1:XFD1 A11:B17 D11:XFD17 A19:XFD26 A28:XFD35">
    <cfRule type="cellIs" dxfId="255" priority="19" operator="equal">
      <formula>"n/a"</formula>
    </cfRule>
  </conditionalFormatting>
  <conditionalFormatting sqref="C25">
    <cfRule type="cellIs" dxfId="254" priority="15" operator="equal">
      <formula>"WIP (see comments)"</formula>
    </cfRule>
    <cfRule type="cellIs" dxfId="253" priority="16" operator="equal">
      <formula>"Removed"</formula>
    </cfRule>
    <cfRule type="cellIs" dxfId="252" priority="17" operator="equal">
      <formula>"Updated"</formula>
    </cfRule>
    <cfRule type="cellIs" dxfId="251" priority="18" operator="equal">
      <formula>"New"</formula>
    </cfRule>
  </conditionalFormatting>
  <conditionalFormatting sqref="C26">
    <cfRule type="cellIs" dxfId="250" priority="11" operator="equal">
      <formula>"WIP (see comments)"</formula>
    </cfRule>
    <cfRule type="cellIs" dxfId="249" priority="12" operator="equal">
      <formula>"Removed"</formula>
    </cfRule>
    <cfRule type="cellIs" dxfId="248" priority="13" operator="equal">
      <formula>"Updated"</formula>
    </cfRule>
    <cfRule type="cellIs" dxfId="247" priority="14" operator="equal">
      <formula>"New"</formula>
    </cfRule>
  </conditionalFormatting>
  <conditionalFormatting sqref="F9:XFD9 A9">
    <cfRule type="cellIs" dxfId="246" priority="10" operator="equal">
      <formula>"n/a"</formula>
    </cfRule>
  </conditionalFormatting>
  <conditionalFormatting sqref="F18:XFD18 A18">
    <cfRule type="cellIs" dxfId="245" priority="9" operator="equal">
      <formula>"n/a"</formula>
    </cfRule>
  </conditionalFormatting>
  <conditionalFormatting sqref="F27:XFD27 A27">
    <cfRule type="cellIs" dxfId="244" priority="8" operator="equal">
      <formula>"n/a"</formula>
    </cfRule>
  </conditionalFormatting>
  <conditionalFormatting sqref="F36:XFD36 A36">
    <cfRule type="cellIs" dxfId="243" priority="7" operator="equal">
      <formula>"n/a"</formula>
    </cfRule>
  </conditionalFormatting>
  <conditionalFormatting sqref="C10:C17">
    <cfRule type="cellIs" dxfId="242" priority="3" operator="equal">
      <formula>"WIP (see comments)"</formula>
    </cfRule>
    <cfRule type="cellIs" dxfId="241" priority="4" operator="equal">
      <formula>"Removed"</formula>
    </cfRule>
    <cfRule type="cellIs" dxfId="240" priority="5" operator="equal">
      <formula>"Updated"</formula>
    </cfRule>
    <cfRule type="cellIs" dxfId="239" priority="6" operator="equal">
      <formula>"New"</formula>
    </cfRule>
  </conditionalFormatting>
  <conditionalFormatting sqref="A10:XFD10 C11:C17">
    <cfRule type="cellIs" dxfId="238" priority="2" operator="equal">
      <formula>"n/a"</formula>
    </cfRule>
  </conditionalFormatting>
  <conditionalFormatting sqref="D1">
    <cfRule type="cellIs" dxfId="237" priority="1" operator="equal">
      <formula>"n/a"</formula>
    </cfRule>
  </conditionalFormatting>
  <dataValidations count="1">
    <dataValidation type="list" allowBlank="1" showInputMessage="1" showErrorMessage="1" sqref="E10:E17 E37:E1048576 E28:E35 E19:E2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E7:E8</xm:sqref>
        </x14:dataValidation>
        <x14:dataValidation type="list" allowBlank="1" showInputMessage="1" showErrorMessage="1">
          <x14:formula1>
            <xm:f>'List Values'!$B$5:$B$11</xm:f>
          </x14:formula1>
          <xm:sqref>C7:C8 C37:C1048576 C10:C17 C19:C26 C28:C35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M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307</v>
      </c>
      <c r="C1" s="32"/>
      <c r="D1" s="29"/>
    </row>
    <row r="2" spans="1:16" s="30" customFormat="1" ht="18.5" x14ac:dyDescent="0.35">
      <c r="A2" s="28" t="s">
        <v>7</v>
      </c>
      <c r="B2" s="36">
        <v>8</v>
      </c>
      <c r="C2" s="35"/>
      <c r="D2" s="36"/>
    </row>
    <row r="3" spans="1:16" s="30" customFormat="1" ht="18.5" x14ac:dyDescent="0.35">
      <c r="A3" s="28" t="s">
        <v>44</v>
      </c>
      <c r="B3" s="36" t="s">
        <v>252</v>
      </c>
      <c r="C3" s="35"/>
      <c r="D3" s="63" t="s">
        <v>464</v>
      </c>
      <c r="E3" s="30" t="s">
        <v>69</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3" si="0">CONCATENATE($B$2, ".", A7)</f>
        <v>8.1</v>
      </c>
      <c r="C7" s="47" t="s">
        <v>38</v>
      </c>
      <c r="D7" s="39" t="s">
        <v>491</v>
      </c>
      <c r="E7" s="39" t="s">
        <v>403</v>
      </c>
      <c r="F7" s="39" t="s">
        <v>37</v>
      </c>
      <c r="G7" s="39" t="s">
        <v>37</v>
      </c>
      <c r="H7" s="39" t="s">
        <v>37</v>
      </c>
      <c r="I7" s="39" t="s">
        <v>10</v>
      </c>
      <c r="J7" s="40" t="s">
        <v>37</v>
      </c>
      <c r="K7" s="40" t="s">
        <v>37</v>
      </c>
      <c r="L7" s="40" t="s">
        <v>37</v>
      </c>
      <c r="M7" s="40" t="s">
        <v>37</v>
      </c>
      <c r="N7" s="40" t="s">
        <v>37</v>
      </c>
      <c r="O7" s="40" t="s">
        <v>37</v>
      </c>
      <c r="P7" s="39" t="s">
        <v>492</v>
      </c>
    </row>
    <row r="8" spans="1:16" s="39" customFormat="1" x14ac:dyDescent="0.35">
      <c r="A8" s="39">
        <v>2</v>
      </c>
      <c r="B8" s="39" t="str">
        <f t="shared" si="0"/>
        <v>8.2</v>
      </c>
      <c r="C8" s="47" t="s">
        <v>40</v>
      </c>
      <c r="D8" s="39" t="s">
        <v>37</v>
      </c>
      <c r="E8" s="39" t="s">
        <v>48</v>
      </c>
      <c r="F8" s="39" t="s">
        <v>37</v>
      </c>
      <c r="G8" s="39" t="s">
        <v>37</v>
      </c>
      <c r="H8" s="39" t="s">
        <v>37</v>
      </c>
      <c r="I8" s="39" t="s">
        <v>10</v>
      </c>
      <c r="J8" s="40" t="s">
        <v>37</v>
      </c>
      <c r="K8" s="40" t="s">
        <v>37</v>
      </c>
      <c r="L8" s="40" t="s">
        <v>37</v>
      </c>
      <c r="M8" s="40" t="s">
        <v>37</v>
      </c>
      <c r="N8" s="40" t="s">
        <v>37</v>
      </c>
      <c r="O8" s="40" t="s">
        <v>37</v>
      </c>
    </row>
    <row r="9" spans="1:16" s="39" customFormat="1" ht="80.25" customHeight="1" x14ac:dyDescent="0.35">
      <c r="A9" s="39">
        <v>3</v>
      </c>
      <c r="B9" s="39" t="str">
        <f t="shared" si="0"/>
        <v>8.3</v>
      </c>
      <c r="C9" s="47" t="s">
        <v>38</v>
      </c>
      <c r="D9" s="39" t="s">
        <v>150</v>
      </c>
      <c r="E9" s="39" t="s">
        <v>86</v>
      </c>
      <c r="F9" s="39" t="s">
        <v>87</v>
      </c>
      <c r="G9" s="39" t="s">
        <v>140</v>
      </c>
      <c r="H9" s="39" t="s">
        <v>37</v>
      </c>
      <c r="I9" s="39" t="s">
        <v>10</v>
      </c>
      <c r="J9" s="40" t="s">
        <v>89</v>
      </c>
      <c r="K9" s="40" t="s">
        <v>52</v>
      </c>
      <c r="L9" s="40" t="s">
        <v>460</v>
      </c>
      <c r="M9" s="40" t="s">
        <v>90</v>
      </c>
      <c r="N9" s="40" t="s">
        <v>91</v>
      </c>
      <c r="O9" s="40" t="s">
        <v>92</v>
      </c>
      <c r="P9" s="39" t="s">
        <v>438</v>
      </c>
    </row>
    <row r="10" spans="1:16" s="39" customFormat="1" ht="102.75" customHeight="1" x14ac:dyDescent="0.35">
      <c r="A10" s="39">
        <v>4</v>
      </c>
      <c r="B10" s="39" t="str">
        <f t="shared" si="0"/>
        <v>8.4</v>
      </c>
      <c r="C10" s="47" t="s">
        <v>40</v>
      </c>
      <c r="D10" s="39" t="s">
        <v>85</v>
      </c>
      <c r="E10" s="39" t="s">
        <v>33</v>
      </c>
      <c r="F10" s="39" t="s">
        <v>88</v>
      </c>
      <c r="G10" s="39" t="s">
        <v>139</v>
      </c>
      <c r="H10" s="41">
        <v>9</v>
      </c>
      <c r="I10" s="39" t="s">
        <v>10</v>
      </c>
      <c r="J10" s="40" t="s">
        <v>37</v>
      </c>
      <c r="K10" s="40" t="s">
        <v>84</v>
      </c>
      <c r="L10" s="39" t="s">
        <v>37</v>
      </c>
      <c r="M10" s="40" t="s">
        <v>141</v>
      </c>
      <c r="N10" s="40" t="s">
        <v>186</v>
      </c>
      <c r="O10" s="40" t="s">
        <v>37</v>
      </c>
    </row>
    <row r="11" spans="1:16" s="39" customFormat="1" ht="114" customHeight="1" x14ac:dyDescent="0.35">
      <c r="A11" s="39">
        <v>5</v>
      </c>
      <c r="B11" s="39" t="str">
        <f t="shared" si="0"/>
        <v>8.5</v>
      </c>
      <c r="C11" s="47" t="s">
        <v>38</v>
      </c>
      <c r="D11" s="39" t="s">
        <v>96</v>
      </c>
      <c r="E11" s="39" t="s">
        <v>75</v>
      </c>
      <c r="F11" s="39" t="s">
        <v>50</v>
      </c>
      <c r="G11" s="39" t="s">
        <v>153</v>
      </c>
      <c r="H11" s="41">
        <v>200</v>
      </c>
      <c r="I11" s="39" t="s">
        <v>10</v>
      </c>
      <c r="J11" s="40" t="s">
        <v>94</v>
      </c>
      <c r="K11" s="40" t="s">
        <v>52</v>
      </c>
      <c r="L11" s="40" t="s">
        <v>461</v>
      </c>
      <c r="M11" s="40" t="s">
        <v>97</v>
      </c>
      <c r="N11" s="40" t="s">
        <v>37</v>
      </c>
      <c r="O11" s="40" t="s">
        <v>152</v>
      </c>
      <c r="P11" s="39" t="s">
        <v>438</v>
      </c>
    </row>
    <row r="12" spans="1:16" s="39" customFormat="1" ht="29" x14ac:dyDescent="0.35">
      <c r="A12" s="39">
        <v>6</v>
      </c>
      <c r="B12" s="39" t="str">
        <f>CONCATENATE($B$2, ".", A12)</f>
        <v>8.6</v>
      </c>
      <c r="C12" s="47" t="s">
        <v>38</v>
      </c>
      <c r="D12" s="39" t="s">
        <v>56</v>
      </c>
      <c r="E12" s="39" t="s">
        <v>43</v>
      </c>
      <c r="F12" s="39" t="s">
        <v>37</v>
      </c>
      <c r="G12" s="39" t="s">
        <v>37</v>
      </c>
      <c r="H12" s="39" t="s">
        <v>37</v>
      </c>
      <c r="I12" s="39" t="s">
        <v>10</v>
      </c>
      <c r="J12" s="39" t="s">
        <v>37</v>
      </c>
      <c r="K12" s="39" t="s">
        <v>37</v>
      </c>
      <c r="L12" s="39" t="s">
        <v>37</v>
      </c>
      <c r="M12" s="39" t="s">
        <v>37</v>
      </c>
      <c r="N12" s="39" t="s">
        <v>37</v>
      </c>
      <c r="O12" s="39" t="s">
        <v>462</v>
      </c>
      <c r="P12" s="39" t="s">
        <v>463</v>
      </c>
    </row>
    <row r="13" spans="1:16" s="39" customFormat="1" ht="29" x14ac:dyDescent="0.35">
      <c r="A13" s="39">
        <v>7</v>
      </c>
      <c r="B13" s="39" t="str">
        <f t="shared" si="0"/>
        <v>8.7</v>
      </c>
      <c r="C13" s="47" t="s">
        <v>40</v>
      </c>
      <c r="D13" s="39" t="s">
        <v>55</v>
      </c>
      <c r="E13" s="39" t="s">
        <v>43</v>
      </c>
      <c r="F13" s="39" t="s">
        <v>37</v>
      </c>
      <c r="G13" s="39" t="s">
        <v>37</v>
      </c>
      <c r="H13" s="39" t="s">
        <v>37</v>
      </c>
      <c r="I13" s="39" t="s">
        <v>10</v>
      </c>
      <c r="J13" s="39" t="s">
        <v>37</v>
      </c>
      <c r="K13" s="39" t="s">
        <v>37</v>
      </c>
      <c r="L13" s="39" t="s">
        <v>37</v>
      </c>
      <c r="M13" s="39" t="s">
        <v>37</v>
      </c>
      <c r="N13" s="39" t="s">
        <v>37</v>
      </c>
      <c r="O13" s="39" t="s">
        <v>263</v>
      </c>
    </row>
    <row r="14" spans="1:16" x14ac:dyDescent="0.35">
      <c r="D14" s="6" t="s">
        <v>69</v>
      </c>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autoFilter ref="A6:P13"/>
  <conditionalFormatting sqref="C14:C1048576">
    <cfRule type="cellIs" dxfId="236" priority="24" operator="equal">
      <formula>"WIP (see comments)"</formula>
    </cfRule>
    <cfRule type="cellIs" dxfId="235" priority="25" operator="equal">
      <formula>"Removed"</formula>
    </cfRule>
    <cfRule type="cellIs" dxfId="234" priority="26" operator="equal">
      <formula>"Updated"</formula>
    </cfRule>
    <cfRule type="cellIs" dxfId="233" priority="27" operator="equal">
      <formula>"New"</formula>
    </cfRule>
  </conditionalFormatting>
  <conditionalFormatting sqref="C7:C13">
    <cfRule type="cellIs" dxfId="232" priority="16" operator="equal">
      <formula>"WIP (see comments)"</formula>
    </cfRule>
    <cfRule type="cellIs" dxfId="231" priority="17" operator="equal">
      <formula>"Removed"</formula>
    </cfRule>
    <cfRule type="cellIs" dxfId="230" priority="18" operator="equal">
      <formula>"Updated"</formula>
    </cfRule>
    <cfRule type="cellIs" dxfId="229" priority="19" operator="equal">
      <formula>"New"</formula>
    </cfRule>
  </conditionalFormatting>
  <conditionalFormatting sqref="B4">
    <cfRule type="cellIs" dxfId="228" priority="11" operator="equal">
      <formula>"n/a"</formula>
    </cfRule>
  </conditionalFormatting>
  <conditionalFormatting sqref="D11:O11">
    <cfRule type="cellIs" dxfId="227" priority="10" operator="equal">
      <formula>"n/a"</formula>
    </cfRule>
  </conditionalFormatting>
  <conditionalFormatting sqref="D1">
    <cfRule type="cellIs" dxfId="226" priority="9" operator="equal">
      <formula>"n/a"</formula>
    </cfRule>
  </conditionalFormatting>
  <conditionalFormatting sqref="D3">
    <cfRule type="cellIs" dxfId="225" priority="7"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Values'!$A$5:$A$29</xm:f>
          </x14:formula1>
          <xm:sqref>E7:E13 E14:E1048576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xSplit="4" ySplit="6" topLeftCell="F7" activePane="bottomRight" state="frozen"/>
      <selection pane="topRight" activeCell="E1" sqref="E1"/>
      <selection pane="bottomLeft" activeCell="A7" sqref="A7"/>
      <selection pane="bottomRight" activeCell="D4" sqref="D4"/>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362</v>
      </c>
      <c r="C1" s="32"/>
      <c r="D1" s="29"/>
      <c r="H1" s="35"/>
    </row>
    <row r="2" spans="1:16" s="30" customFormat="1" ht="18.5" x14ac:dyDescent="0.35">
      <c r="A2" s="28" t="s">
        <v>7</v>
      </c>
      <c r="B2" s="36">
        <v>9</v>
      </c>
      <c r="C2" s="35"/>
      <c r="D2" s="36"/>
      <c r="H2" s="35"/>
    </row>
    <row r="3" spans="1:16" s="30" customFormat="1" ht="18.5" x14ac:dyDescent="0.35">
      <c r="A3" s="28" t="s">
        <v>44</v>
      </c>
      <c r="B3" s="36" t="s">
        <v>371</v>
      </c>
      <c r="C3" s="35"/>
      <c r="D3" s="36" t="s">
        <v>516</v>
      </c>
      <c r="H3" s="35"/>
    </row>
    <row r="4" spans="1:16" s="30" customFormat="1" ht="18.5" x14ac:dyDescent="0.35">
      <c r="A4" s="28" t="s">
        <v>8</v>
      </c>
      <c r="B4" s="30" t="s">
        <v>47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6" customFormat="1" x14ac:dyDescent="0.35">
      <c r="A7" s="5">
        <v>1</v>
      </c>
      <c r="B7" s="5" t="str">
        <f t="shared" ref="B7:B13" si="0">CONCATENATE($B$2, ".", A7)</f>
        <v>9.1</v>
      </c>
      <c r="C7" s="82" t="s">
        <v>40</v>
      </c>
      <c r="D7" s="6" t="s">
        <v>363</v>
      </c>
      <c r="E7" s="6" t="s">
        <v>403</v>
      </c>
      <c r="F7" s="6" t="s">
        <v>37</v>
      </c>
      <c r="G7" s="6" t="s">
        <v>37</v>
      </c>
      <c r="H7" s="34" t="s">
        <v>37</v>
      </c>
      <c r="I7" s="6" t="s">
        <v>10</v>
      </c>
      <c r="J7" s="6" t="s">
        <v>37</v>
      </c>
      <c r="K7" s="6" t="s">
        <v>37</v>
      </c>
      <c r="L7" s="6" t="s">
        <v>37</v>
      </c>
      <c r="M7" s="6" t="s">
        <v>37</v>
      </c>
      <c r="N7" s="6" t="s">
        <v>37</v>
      </c>
    </row>
    <row r="8" spans="1:16" s="6" customFormat="1" x14ac:dyDescent="0.35">
      <c r="A8" s="39">
        <v>2</v>
      </c>
      <c r="B8" s="39" t="str">
        <f t="shared" si="0"/>
        <v>9.2</v>
      </c>
      <c r="C8" s="83" t="s">
        <v>40</v>
      </c>
      <c r="D8" s="39" t="s">
        <v>37</v>
      </c>
      <c r="E8" s="39" t="s">
        <v>48</v>
      </c>
      <c r="F8" s="39" t="s">
        <v>37</v>
      </c>
      <c r="G8" s="39" t="s">
        <v>37</v>
      </c>
      <c r="H8" s="47" t="s">
        <v>37</v>
      </c>
      <c r="I8" s="39" t="s">
        <v>10</v>
      </c>
      <c r="J8" s="40" t="s">
        <v>37</v>
      </c>
      <c r="K8" s="40" t="s">
        <v>37</v>
      </c>
      <c r="L8" s="40" t="s">
        <v>37</v>
      </c>
      <c r="M8" s="40" t="s">
        <v>37</v>
      </c>
      <c r="N8" s="40" t="s">
        <v>37</v>
      </c>
      <c r="O8" s="40" t="s">
        <v>37</v>
      </c>
      <c r="P8" s="39"/>
    </row>
    <row r="9" spans="1:16" s="6" customFormat="1" ht="67.5" customHeight="1" x14ac:dyDescent="0.35">
      <c r="A9" s="5">
        <v>3</v>
      </c>
      <c r="B9" s="5" t="str">
        <f t="shared" si="0"/>
        <v>9.3</v>
      </c>
      <c r="C9" s="82" t="s">
        <v>40</v>
      </c>
      <c r="D9" s="6" t="s">
        <v>364</v>
      </c>
      <c r="E9" s="6" t="s">
        <v>34</v>
      </c>
      <c r="F9" s="6" t="s">
        <v>37</v>
      </c>
      <c r="G9" s="6" t="s">
        <v>37</v>
      </c>
      <c r="H9" s="34" t="s">
        <v>37</v>
      </c>
      <c r="I9" s="6" t="s">
        <v>10</v>
      </c>
      <c r="J9" s="6" t="s">
        <v>37</v>
      </c>
      <c r="K9" s="6" t="s">
        <v>37</v>
      </c>
      <c r="L9" s="6" t="s">
        <v>37</v>
      </c>
      <c r="M9" s="6" t="s">
        <v>37</v>
      </c>
      <c r="N9" s="6" t="s">
        <v>37</v>
      </c>
    </row>
    <row r="10" spans="1:16" s="6" customFormat="1" ht="130.5" customHeight="1" x14ac:dyDescent="0.35">
      <c r="A10" s="5">
        <v>4</v>
      </c>
      <c r="B10" s="5" t="str">
        <f t="shared" si="0"/>
        <v>9.4</v>
      </c>
      <c r="C10" s="87" t="s">
        <v>38</v>
      </c>
      <c r="D10" s="6" t="s">
        <v>365</v>
      </c>
      <c r="E10" s="6" t="s">
        <v>35</v>
      </c>
      <c r="F10" s="6" t="s">
        <v>515</v>
      </c>
      <c r="G10" s="6" t="s">
        <v>366</v>
      </c>
      <c r="H10" s="34" t="s">
        <v>37</v>
      </c>
      <c r="I10" s="6" t="s">
        <v>10</v>
      </c>
      <c r="J10" s="6" t="s">
        <v>94</v>
      </c>
      <c r="K10" s="6" t="s">
        <v>52</v>
      </c>
      <c r="L10" s="6" t="s">
        <v>93</v>
      </c>
      <c r="M10" s="6" t="s">
        <v>37</v>
      </c>
      <c r="N10" s="6" t="s">
        <v>37</v>
      </c>
      <c r="O10" s="6" t="s">
        <v>37</v>
      </c>
      <c r="P10" s="6" t="s">
        <v>489</v>
      </c>
    </row>
    <row r="11" spans="1:16" ht="145" x14ac:dyDescent="0.35">
      <c r="A11" s="5">
        <v>5</v>
      </c>
      <c r="B11" s="5" t="str">
        <f t="shared" si="0"/>
        <v>9.5</v>
      </c>
      <c r="C11" s="87" t="s">
        <v>40</v>
      </c>
      <c r="D11" s="6" t="s">
        <v>367</v>
      </c>
      <c r="E11" s="6" t="s">
        <v>33</v>
      </c>
      <c r="F11" s="6" t="s">
        <v>50</v>
      </c>
      <c r="G11" s="6" t="s">
        <v>37</v>
      </c>
      <c r="H11" s="34">
        <v>30</v>
      </c>
      <c r="I11" s="6" t="s">
        <v>10</v>
      </c>
      <c r="J11" s="6" t="s">
        <v>94</v>
      </c>
      <c r="K11" s="6" t="s">
        <v>52</v>
      </c>
      <c r="L11" s="6" t="s">
        <v>136</v>
      </c>
      <c r="M11" s="6" t="s">
        <v>37</v>
      </c>
      <c r="N11" s="6" t="s">
        <v>37</v>
      </c>
      <c r="O11" s="6" t="s">
        <v>465</v>
      </c>
      <c r="P11" s="6"/>
    </row>
    <row r="12" spans="1:16" ht="29" x14ac:dyDescent="0.35">
      <c r="A12" s="5">
        <v>6</v>
      </c>
      <c r="B12" s="5" t="str">
        <f t="shared" si="0"/>
        <v>9.6</v>
      </c>
      <c r="C12" s="87" t="s">
        <v>40</v>
      </c>
      <c r="D12" s="40" t="s">
        <v>56</v>
      </c>
      <c r="E12" s="5" t="s">
        <v>43</v>
      </c>
      <c r="F12" s="5" t="s">
        <v>37</v>
      </c>
      <c r="G12" s="5" t="s">
        <v>37</v>
      </c>
      <c r="H12" s="82" t="s">
        <v>37</v>
      </c>
      <c r="I12" s="40" t="s">
        <v>10</v>
      </c>
      <c r="J12" s="5" t="s">
        <v>37</v>
      </c>
      <c r="K12" s="5" t="s">
        <v>37</v>
      </c>
      <c r="L12" s="5" t="s">
        <v>37</v>
      </c>
      <c r="M12" s="5" t="s">
        <v>37</v>
      </c>
      <c r="N12" s="5" t="s">
        <v>37</v>
      </c>
      <c r="O12" s="39" t="s">
        <v>369</v>
      </c>
    </row>
    <row r="13" spans="1:16" x14ac:dyDescent="0.35">
      <c r="A13" s="5">
        <v>7</v>
      </c>
      <c r="B13" s="5" t="str">
        <f t="shared" si="0"/>
        <v>9.7</v>
      </c>
      <c r="C13" s="87" t="s">
        <v>40</v>
      </c>
      <c r="D13" s="40" t="s">
        <v>55</v>
      </c>
      <c r="E13" s="5" t="s">
        <v>43</v>
      </c>
      <c r="F13" s="5" t="s">
        <v>37</v>
      </c>
      <c r="G13" s="5" t="s">
        <v>37</v>
      </c>
      <c r="H13" s="82" t="s">
        <v>37</v>
      </c>
      <c r="I13" s="40" t="s">
        <v>10</v>
      </c>
      <c r="J13" s="5" t="s">
        <v>37</v>
      </c>
      <c r="K13" s="5" t="s">
        <v>37</v>
      </c>
      <c r="L13" s="5" t="s">
        <v>37</v>
      </c>
      <c r="M13" s="5" t="s">
        <v>37</v>
      </c>
      <c r="N13" s="5" t="s">
        <v>37</v>
      </c>
      <c r="O13" s="39" t="s">
        <v>368</v>
      </c>
    </row>
  </sheetData>
  <autoFilter ref="A6:P6"/>
  <conditionalFormatting sqref="A1:XFD6 F7:N7 A7:C7 D11:H11 A9:C11 F9:N9 J11:P11 C10:C13 A12:P1048576 Q10:XFD1048576">
    <cfRule type="cellIs" dxfId="224" priority="15" operator="equal">
      <formula>"n/a"</formula>
    </cfRule>
  </conditionalFormatting>
  <conditionalFormatting sqref="C1:C7 C9:C1048576">
    <cfRule type="cellIs" dxfId="223" priority="16" operator="equal">
      <formula>"WIP (see comments)"</formula>
    </cfRule>
    <cfRule type="cellIs" dxfId="222" priority="17" operator="equal">
      <formula>"Removed"</formula>
    </cfRule>
    <cfRule type="cellIs" dxfId="221" priority="18" operator="equal">
      <formula>"Updated"</formula>
    </cfRule>
    <cfRule type="cellIs" dxfId="220" priority="19" operator="equal">
      <formula>"New"</formula>
    </cfRule>
  </conditionalFormatting>
  <conditionalFormatting sqref="D10:E10 Q9:XFD9">
    <cfRule type="cellIs" dxfId="219" priority="14" operator="equal">
      <formula>"n/a"</formula>
    </cfRule>
  </conditionalFormatting>
  <conditionalFormatting sqref="F10:P10 I11">
    <cfRule type="cellIs" dxfId="218" priority="13" operator="equal">
      <formula>"n/a"</formula>
    </cfRule>
  </conditionalFormatting>
  <conditionalFormatting sqref="A8:B8 D8:P8">
    <cfRule type="cellIs" dxfId="217" priority="12" operator="equal">
      <formula>"n/a"</formula>
    </cfRule>
  </conditionalFormatting>
  <conditionalFormatting sqref="C8">
    <cfRule type="cellIs" dxfId="216" priority="8" operator="equal">
      <formula>"WIP (see comments)"</formula>
    </cfRule>
    <cfRule type="cellIs" dxfId="215" priority="9" operator="equal">
      <formula>"Removed"</formula>
    </cfRule>
    <cfRule type="cellIs" dxfId="214" priority="10" operator="equal">
      <formula>"Updated"</formula>
    </cfRule>
    <cfRule type="cellIs" dxfId="213" priority="11" operator="equal">
      <formula>"New"</formula>
    </cfRule>
  </conditionalFormatting>
  <conditionalFormatting sqref="C8">
    <cfRule type="cellIs" dxfId="212"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'C:\Users\hicksi\Documents\Small Business DCO\Field Specs\Current\[Small Business DCO Funding Form Field Spec v1.1 WIP.xlsx]List Values'!#REF!</xm:f>
          </x14:formula1>
          <xm:sqref>C14:C1048576</xm:sqref>
        </x14:dataValidation>
        <x14:dataValidation type="list" allowBlank="1" showInputMessage="1" showErrorMessage="1">
          <x14:formula1>
            <xm:f>'C:\Users\hicksi\Documents\Small Business DCO\Field Specs\Current\[Small Business DCO Funding Form Field Spec v1.1 WIP.xlsx]List Values'!#REF!</xm:f>
          </x14:formula1>
          <xm:sqref>E14:E1048576</xm:sqref>
        </x14:dataValidation>
        <x14:dataValidation type="list" allowBlank="1" showInputMessage="1" showErrorMessage="1">
          <x14:formula1>
            <xm:f>'List Values'!$B$5:$B$9</xm:f>
          </x14:formula1>
          <xm:sqref>C7:C13</xm:sqref>
        </x14:dataValidation>
        <x14:dataValidation type="list" allowBlank="1" showInputMessage="1" showErrorMessage="1">
          <x14:formula1>
            <xm:f>'List Values'!$A$5:$A$28</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4"/>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98</v>
      </c>
      <c r="C1" s="32"/>
      <c r="D1" s="29"/>
      <c r="H1" s="35"/>
    </row>
    <row r="2" spans="1:16" s="30" customFormat="1" ht="18.5" x14ac:dyDescent="0.35">
      <c r="A2" s="28" t="s">
        <v>7</v>
      </c>
      <c r="B2" s="36">
        <v>10</v>
      </c>
      <c r="C2" s="35"/>
      <c r="D2" s="36" t="s">
        <v>375</v>
      </c>
      <c r="H2" s="35"/>
    </row>
    <row r="3" spans="1:16" s="30" customFormat="1" ht="18.5" x14ac:dyDescent="0.35">
      <c r="A3" s="28" t="s">
        <v>44</v>
      </c>
      <c r="B3" s="36" t="s">
        <v>280</v>
      </c>
      <c r="C3" s="35"/>
      <c r="D3" s="36" t="s">
        <v>288</v>
      </c>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39" customFormat="1" x14ac:dyDescent="0.35">
      <c r="A7" s="39">
        <v>1</v>
      </c>
      <c r="B7" s="39" t="str">
        <f t="shared" ref="B7:B17" si="0">CONCATENATE($B$2, ".", A7)</f>
        <v>10.1</v>
      </c>
      <c r="C7" s="47" t="s">
        <v>38</v>
      </c>
      <c r="D7" s="39" t="s">
        <v>374</v>
      </c>
      <c r="E7" s="39" t="s">
        <v>403</v>
      </c>
      <c r="F7" s="39" t="s">
        <v>37</v>
      </c>
      <c r="G7" s="39" t="s">
        <v>37</v>
      </c>
      <c r="H7" s="47" t="s">
        <v>37</v>
      </c>
      <c r="I7" s="39" t="s">
        <v>10</v>
      </c>
      <c r="J7" s="40" t="s">
        <v>37</v>
      </c>
      <c r="K7" s="40" t="s">
        <v>37</v>
      </c>
      <c r="L7" s="40" t="s">
        <v>37</v>
      </c>
      <c r="M7" s="40" t="s">
        <v>37</v>
      </c>
      <c r="N7" s="40" t="s">
        <v>37</v>
      </c>
      <c r="O7" s="40" t="s">
        <v>37</v>
      </c>
    </row>
    <row r="8" spans="1:16" s="39" customFormat="1" x14ac:dyDescent="0.35">
      <c r="A8" s="39">
        <v>2</v>
      </c>
      <c r="B8" s="39" t="str">
        <f t="shared" si="0"/>
        <v>10.2</v>
      </c>
      <c r="C8" s="47" t="s">
        <v>40</v>
      </c>
      <c r="D8" s="39" t="s">
        <v>37</v>
      </c>
      <c r="E8" s="39" t="s">
        <v>48</v>
      </c>
      <c r="F8" s="39" t="s">
        <v>37</v>
      </c>
      <c r="G8" s="39" t="s">
        <v>37</v>
      </c>
      <c r="H8" s="47" t="s">
        <v>37</v>
      </c>
      <c r="I8" s="39" t="s">
        <v>10</v>
      </c>
      <c r="J8" s="40" t="s">
        <v>37</v>
      </c>
      <c r="K8" s="40" t="s">
        <v>37</v>
      </c>
      <c r="L8" s="40" t="s">
        <v>37</v>
      </c>
      <c r="M8" s="40" t="s">
        <v>37</v>
      </c>
      <c r="N8" s="40" t="s">
        <v>37</v>
      </c>
      <c r="O8" s="40" t="s">
        <v>37</v>
      </c>
    </row>
    <row r="9" spans="1:16" s="39" customFormat="1" ht="72.5" x14ac:dyDescent="0.35">
      <c r="A9" s="39">
        <v>3</v>
      </c>
      <c r="B9" s="39" t="str">
        <f t="shared" si="0"/>
        <v>10.3</v>
      </c>
      <c r="C9" s="47" t="s">
        <v>38</v>
      </c>
      <c r="D9" s="39" t="s">
        <v>376</v>
      </c>
      <c r="E9" s="39" t="s">
        <v>32</v>
      </c>
      <c r="F9" s="39" t="s">
        <v>58</v>
      </c>
      <c r="G9" s="39" t="s">
        <v>466</v>
      </c>
      <c r="H9" s="47" t="s">
        <v>37</v>
      </c>
      <c r="I9" s="39" t="s">
        <v>10</v>
      </c>
      <c r="J9" s="40" t="s">
        <v>377</v>
      </c>
      <c r="K9" s="40" t="s">
        <v>52</v>
      </c>
      <c r="L9" s="40" t="s">
        <v>378</v>
      </c>
      <c r="M9" s="40" t="s">
        <v>37</v>
      </c>
      <c r="N9" s="40" t="s">
        <v>37</v>
      </c>
      <c r="O9" s="40" t="s">
        <v>37</v>
      </c>
      <c r="P9" s="39" t="s">
        <v>471</v>
      </c>
    </row>
    <row r="10" spans="1:16" s="39" customFormat="1" ht="72.5" x14ac:dyDescent="0.35">
      <c r="A10" s="39">
        <v>4</v>
      </c>
      <c r="B10" s="39" t="str">
        <f t="shared" si="0"/>
        <v>10.4</v>
      </c>
      <c r="C10" s="47" t="s">
        <v>45</v>
      </c>
      <c r="D10" s="39" t="s">
        <v>387</v>
      </c>
      <c r="E10" s="39" t="s">
        <v>108</v>
      </c>
      <c r="F10" s="39" t="s">
        <v>37</v>
      </c>
      <c r="G10" s="39" t="s">
        <v>37</v>
      </c>
      <c r="H10" s="47" t="s">
        <v>37</v>
      </c>
      <c r="I10" s="39" t="s">
        <v>380</v>
      </c>
      <c r="J10" s="40" t="s">
        <v>37</v>
      </c>
      <c r="K10" s="40" t="s">
        <v>37</v>
      </c>
      <c r="L10" s="40" t="s">
        <v>37</v>
      </c>
      <c r="M10" s="40" t="s">
        <v>37</v>
      </c>
      <c r="N10" s="40" t="s">
        <v>37</v>
      </c>
      <c r="O10" s="40" t="s">
        <v>381</v>
      </c>
      <c r="P10" s="39" t="s">
        <v>379</v>
      </c>
    </row>
    <row r="11" spans="1:16" s="39" customFormat="1" ht="29" x14ac:dyDescent="0.35">
      <c r="A11" s="39">
        <v>5</v>
      </c>
      <c r="B11" s="39" t="str">
        <f>CONCATENATE($B$2, ".", A11)</f>
        <v>10.5</v>
      </c>
      <c r="C11" s="47" t="s">
        <v>38</v>
      </c>
      <c r="D11" s="39" t="s">
        <v>474</v>
      </c>
      <c r="E11" s="39" t="s">
        <v>36</v>
      </c>
      <c r="F11" s="39" t="s">
        <v>37</v>
      </c>
      <c r="G11" s="39" t="s">
        <v>37</v>
      </c>
      <c r="H11" s="47" t="s">
        <v>37</v>
      </c>
      <c r="I11" s="39" t="s">
        <v>10</v>
      </c>
      <c r="J11" s="40" t="s">
        <v>37</v>
      </c>
      <c r="K11" s="40" t="s">
        <v>37</v>
      </c>
      <c r="L11" s="40" t="s">
        <v>37</v>
      </c>
      <c r="M11" s="40" t="s">
        <v>37</v>
      </c>
      <c r="N11" s="40" t="s">
        <v>37</v>
      </c>
      <c r="O11" s="40" t="s">
        <v>382</v>
      </c>
    </row>
    <row r="12" spans="1:16" s="39" customFormat="1" ht="29" x14ac:dyDescent="0.35">
      <c r="A12" s="39">
        <v>6</v>
      </c>
      <c r="B12" s="39" t="str">
        <f t="shared" ref="B12:B14" si="1">CONCATENATE($B$2, ".", A12)</f>
        <v>10.6</v>
      </c>
      <c r="C12" s="47" t="s">
        <v>38</v>
      </c>
      <c r="D12" s="46" t="s">
        <v>475</v>
      </c>
      <c r="E12" s="39" t="s">
        <v>34</v>
      </c>
      <c r="F12" s="39" t="s">
        <v>37</v>
      </c>
      <c r="G12" s="39" t="s">
        <v>467</v>
      </c>
      <c r="H12" s="47" t="s">
        <v>37</v>
      </c>
      <c r="I12" s="39" t="s">
        <v>10</v>
      </c>
      <c r="J12" s="40" t="s">
        <v>37</v>
      </c>
      <c r="K12" s="40" t="s">
        <v>37</v>
      </c>
      <c r="L12" s="40" t="s">
        <v>37</v>
      </c>
      <c r="M12" s="40" t="s">
        <v>37</v>
      </c>
      <c r="N12" s="40" t="s">
        <v>37</v>
      </c>
      <c r="O12" s="40"/>
      <c r="P12" s="39" t="s">
        <v>471</v>
      </c>
    </row>
    <row r="13" spans="1:16" s="39" customFormat="1" ht="43.5" x14ac:dyDescent="0.35">
      <c r="A13" s="39">
        <v>7</v>
      </c>
      <c r="B13" s="39" t="str">
        <f t="shared" si="1"/>
        <v>10.7</v>
      </c>
      <c r="C13" s="47" t="s">
        <v>38</v>
      </c>
      <c r="D13" s="46" t="s">
        <v>476</v>
      </c>
      <c r="E13" s="39" t="s">
        <v>34</v>
      </c>
      <c r="F13" s="39" t="s">
        <v>37</v>
      </c>
      <c r="G13" s="39" t="s">
        <v>468</v>
      </c>
      <c r="H13" s="47" t="s">
        <v>37</v>
      </c>
      <c r="I13" s="39" t="s">
        <v>10</v>
      </c>
      <c r="J13" s="40" t="s">
        <v>37</v>
      </c>
      <c r="K13" s="40" t="s">
        <v>37</v>
      </c>
      <c r="L13" s="40" t="s">
        <v>37</v>
      </c>
      <c r="M13" s="40" t="s">
        <v>37</v>
      </c>
      <c r="N13" s="40" t="s">
        <v>37</v>
      </c>
      <c r="O13" s="40"/>
      <c r="P13" s="39" t="s">
        <v>471</v>
      </c>
    </row>
    <row r="14" spans="1:16" s="39" customFormat="1" ht="43.5" x14ac:dyDescent="0.35">
      <c r="A14" s="39">
        <v>8</v>
      </c>
      <c r="B14" s="39" t="str">
        <f t="shared" si="1"/>
        <v>10.8</v>
      </c>
      <c r="C14" s="47" t="s">
        <v>38</v>
      </c>
      <c r="D14" s="46" t="s">
        <v>477</v>
      </c>
      <c r="E14" s="39" t="s">
        <v>34</v>
      </c>
      <c r="F14" s="39" t="s">
        <v>37</v>
      </c>
      <c r="G14" s="39" t="s">
        <v>469</v>
      </c>
      <c r="H14" s="47" t="s">
        <v>37</v>
      </c>
      <c r="I14" s="39" t="s">
        <v>10</v>
      </c>
      <c r="J14" s="40" t="s">
        <v>37</v>
      </c>
      <c r="K14" s="40" t="s">
        <v>37</v>
      </c>
      <c r="L14" s="40" t="s">
        <v>37</v>
      </c>
      <c r="M14" s="40" t="s">
        <v>37</v>
      </c>
      <c r="N14" s="40" t="s">
        <v>37</v>
      </c>
      <c r="O14" s="40"/>
      <c r="P14" s="39" t="s">
        <v>471</v>
      </c>
    </row>
    <row r="15" spans="1:16" s="39" customFormat="1" ht="75.5" customHeight="1" x14ac:dyDescent="0.35">
      <c r="A15" s="39">
        <v>9</v>
      </c>
      <c r="B15" s="39" t="str">
        <f t="shared" si="0"/>
        <v>10.9</v>
      </c>
      <c r="C15" s="47" t="s">
        <v>38</v>
      </c>
      <c r="D15" s="39" t="s">
        <v>473</v>
      </c>
      <c r="E15" s="39" t="s">
        <v>30</v>
      </c>
      <c r="F15" s="39" t="s">
        <v>60</v>
      </c>
      <c r="G15" s="39" t="s">
        <v>37</v>
      </c>
      <c r="H15" s="47" t="s">
        <v>37</v>
      </c>
      <c r="I15" s="39" t="s">
        <v>10</v>
      </c>
      <c r="J15" s="40" t="s">
        <v>100</v>
      </c>
      <c r="K15" s="40" t="s">
        <v>52</v>
      </c>
      <c r="L15" s="40" t="s">
        <v>101</v>
      </c>
      <c r="M15" s="40" t="s">
        <v>37</v>
      </c>
      <c r="N15" s="40" t="s">
        <v>37</v>
      </c>
      <c r="O15" s="40" t="s">
        <v>472</v>
      </c>
      <c r="P15" s="39" t="s">
        <v>470</v>
      </c>
    </row>
    <row r="16" spans="1:16" s="39" customFormat="1" ht="116" x14ac:dyDescent="0.35">
      <c r="A16" s="39">
        <v>10</v>
      </c>
      <c r="B16" s="39" t="str">
        <f>CONCATENATE($B$2, ".", A16)</f>
        <v>10.10</v>
      </c>
      <c r="C16" s="47" t="s">
        <v>38</v>
      </c>
      <c r="D16" s="39" t="s">
        <v>56</v>
      </c>
      <c r="E16" s="39" t="s">
        <v>43</v>
      </c>
      <c r="F16" s="39" t="s">
        <v>37</v>
      </c>
      <c r="G16" s="39" t="s">
        <v>37</v>
      </c>
      <c r="H16" s="47" t="s">
        <v>37</v>
      </c>
      <c r="I16" s="39" t="s">
        <v>10</v>
      </c>
      <c r="J16" s="39" t="s">
        <v>37</v>
      </c>
      <c r="K16" s="39" t="s">
        <v>37</v>
      </c>
      <c r="L16" s="39" t="s">
        <v>37</v>
      </c>
      <c r="M16" s="39" t="s">
        <v>37</v>
      </c>
      <c r="N16" s="39" t="s">
        <v>37</v>
      </c>
      <c r="O16" s="39" t="s">
        <v>481</v>
      </c>
      <c r="P16" s="39" t="s">
        <v>463</v>
      </c>
    </row>
    <row r="17" spans="1:16" s="39" customFormat="1" ht="29" x14ac:dyDescent="0.35">
      <c r="A17" s="39">
        <v>11</v>
      </c>
      <c r="B17" s="39" t="str">
        <f t="shared" si="0"/>
        <v>10.11</v>
      </c>
      <c r="C17" s="47" t="s">
        <v>38</v>
      </c>
      <c r="D17" s="39" t="s">
        <v>55</v>
      </c>
      <c r="E17" s="39" t="s">
        <v>43</v>
      </c>
      <c r="F17" s="39" t="s">
        <v>37</v>
      </c>
      <c r="G17" s="39" t="s">
        <v>37</v>
      </c>
      <c r="H17" s="47" t="s">
        <v>37</v>
      </c>
      <c r="I17" s="39" t="s">
        <v>10</v>
      </c>
      <c r="J17" s="39" t="s">
        <v>37</v>
      </c>
      <c r="K17" s="39" t="s">
        <v>37</v>
      </c>
      <c r="L17" s="39" t="s">
        <v>37</v>
      </c>
      <c r="M17" s="39" t="s">
        <v>37</v>
      </c>
      <c r="N17" s="39" t="s">
        <v>37</v>
      </c>
      <c r="O17" s="39" t="s">
        <v>478</v>
      </c>
      <c r="P17" s="39" t="s">
        <v>463</v>
      </c>
    </row>
    <row r="18" spans="1:16" x14ac:dyDescent="0.35">
      <c r="D18" s="6" t="s">
        <v>69</v>
      </c>
      <c r="I18" s="39"/>
      <c r="J18" s="5"/>
      <c r="K18" s="5"/>
      <c r="L18" s="40"/>
      <c r="M18" s="40"/>
      <c r="N18" s="40"/>
      <c r="O18" s="40"/>
    </row>
    <row r="19" spans="1:16" x14ac:dyDescent="0.35">
      <c r="I19" s="39"/>
      <c r="J19" s="5"/>
      <c r="K19" s="5"/>
      <c r="L19" s="40"/>
      <c r="M19" s="40"/>
      <c r="N19" s="40"/>
      <c r="O19" s="85"/>
    </row>
    <row r="20" spans="1:16" x14ac:dyDescent="0.35">
      <c r="I20" s="39"/>
      <c r="J20" s="5"/>
      <c r="K20" s="5"/>
      <c r="L20" s="40"/>
      <c r="M20" s="40"/>
      <c r="N20" s="40"/>
      <c r="O20" s="40"/>
    </row>
    <row r="21" spans="1:16" x14ac:dyDescent="0.35">
      <c r="I21" s="39"/>
      <c r="J21" s="5"/>
      <c r="K21" s="5"/>
      <c r="L21" s="40"/>
      <c r="M21" s="40"/>
      <c r="N21" s="40"/>
      <c r="O21" s="40"/>
    </row>
    <row r="22" spans="1:16" x14ac:dyDescent="0.35">
      <c r="I22" s="39"/>
      <c r="J22" s="5"/>
      <c r="K22" s="5"/>
      <c r="L22" s="40"/>
      <c r="M22" s="40"/>
      <c r="N22" s="40"/>
      <c r="O22" s="40"/>
    </row>
    <row r="23" spans="1:16" x14ac:dyDescent="0.35">
      <c r="I23" s="39"/>
      <c r="J23" s="5"/>
      <c r="K23" s="5"/>
      <c r="L23" s="40"/>
      <c r="M23" s="40"/>
      <c r="N23" s="40"/>
      <c r="O23" s="40"/>
    </row>
    <row r="24" spans="1:16" x14ac:dyDescent="0.35">
      <c r="I24" s="39"/>
      <c r="J24" s="5"/>
      <c r="K24" s="5"/>
      <c r="L24" s="40"/>
      <c r="M24" s="40"/>
      <c r="N24" s="40"/>
      <c r="O24" s="40"/>
    </row>
  </sheetData>
  <autoFilter ref="A6:P17"/>
  <conditionalFormatting sqref="C8:C1048576">
    <cfRule type="cellIs" dxfId="211" priority="33" operator="equal">
      <formula>"WIP (see comments)"</formula>
    </cfRule>
    <cfRule type="cellIs" dxfId="210" priority="34" operator="equal">
      <formula>"Removed"</formula>
    </cfRule>
    <cfRule type="cellIs" dxfId="209" priority="35" operator="equal">
      <formula>"Updated"</formula>
    </cfRule>
    <cfRule type="cellIs" dxfId="208" priority="36" operator="equal">
      <formula>"New"</formula>
    </cfRule>
  </conditionalFormatting>
  <conditionalFormatting sqref="C7:C17">
    <cfRule type="cellIs" dxfId="207" priority="25" operator="equal">
      <formula>"WIP (see comments)"</formula>
    </cfRule>
    <cfRule type="cellIs" dxfId="206" priority="26" operator="equal">
      <formula>"Removed"</formula>
    </cfRule>
    <cfRule type="cellIs" dxfId="205" priority="27" operator="equal">
      <formula>"Updated"</formula>
    </cfRule>
    <cfRule type="cellIs" dxfId="204" priority="28" operator="equal">
      <formula>"New"</formula>
    </cfRule>
  </conditionalFormatting>
  <conditionalFormatting sqref="A3:XFD3 A4 C4:XFD4 A1:C2 E1:XFD2 A5:XFD10 A11:C11 E11:N11 P11:XFD11 A12:XFD1048576">
    <cfRule type="cellIs" dxfId="203" priority="16" operator="equal">
      <formula>"n/a"</formula>
    </cfRule>
  </conditionalFormatting>
  <conditionalFormatting sqref="B4">
    <cfRule type="cellIs" dxfId="202" priority="15" operator="equal">
      <formula>"n/a"</formula>
    </cfRule>
  </conditionalFormatting>
  <conditionalFormatting sqref="C7">
    <cfRule type="cellIs" dxfId="201" priority="11" operator="equal">
      <formula>"WIP (see comments)"</formula>
    </cfRule>
    <cfRule type="cellIs" dxfId="200" priority="12" operator="equal">
      <formula>"Removed"</formula>
    </cfRule>
    <cfRule type="cellIs" dxfId="199" priority="13" operator="equal">
      <formula>"Updated"</formula>
    </cfRule>
    <cfRule type="cellIs" dxfId="198" priority="14" operator="equal">
      <formula>"New"</formula>
    </cfRule>
  </conditionalFormatting>
  <conditionalFormatting sqref="D1">
    <cfRule type="cellIs" dxfId="197" priority="10" operator="equal">
      <formula>"n/a"</formula>
    </cfRule>
  </conditionalFormatting>
  <conditionalFormatting sqref="D2">
    <cfRule type="cellIs" dxfId="196" priority="9" operator="equal">
      <formula>"n/a"</formula>
    </cfRule>
  </conditionalFormatting>
  <conditionalFormatting sqref="D11">
    <cfRule type="cellIs" dxfId="195" priority="8" operator="equal">
      <formula>"n/a"</formula>
    </cfRule>
  </conditionalFormatting>
  <conditionalFormatting sqref="O11">
    <cfRule type="cellIs" dxfId="194" priority="7" operator="equal">
      <formula>"n/a"</formula>
    </cfRule>
  </conditionalFormatting>
  <dataValidations count="1">
    <dataValidation type="list" allowBlank="1" showInputMessage="1" showErrorMessage="1" sqref="C18:C1048576">
      <formula1>$B$5:$B$15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C7:C17</xm:sqref>
        </x14:dataValidation>
        <x14:dataValidation type="list" allowBlank="1" showInputMessage="1" showErrorMessage="1">
          <x14:formula1>
            <xm:f>'List Values'!$A$5:$A$29</xm:f>
          </x14:formula1>
          <xm:sqref>E7:E17 E18:E1048576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K7" activePane="bottomRight" state="frozen"/>
      <selection pane="topRight" activeCell="E1" sqref="E1"/>
      <selection pane="bottomLeft" activeCell="A7" sqref="A7"/>
      <selection pane="bottomRight" activeCell="K8" sqref="K8"/>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161</v>
      </c>
      <c r="C1" s="32"/>
      <c r="D1" s="29"/>
    </row>
    <row r="2" spans="1:16" s="30" customFormat="1" ht="18.5" x14ac:dyDescent="0.35">
      <c r="A2" s="28" t="s">
        <v>7</v>
      </c>
      <c r="B2" s="36">
        <v>11</v>
      </c>
      <c r="C2" s="35"/>
      <c r="D2" s="36"/>
    </row>
    <row r="3" spans="1:16" s="30" customFormat="1" ht="18.5" x14ac:dyDescent="0.35">
      <c r="A3" s="28" t="s">
        <v>44</v>
      </c>
      <c r="B3" s="36" t="s">
        <v>289</v>
      </c>
      <c r="C3" s="35"/>
      <c r="D3" s="36" t="s">
        <v>480</v>
      </c>
    </row>
    <row r="4" spans="1:16" s="30" customFormat="1" ht="18.5" x14ac:dyDescent="0.35">
      <c r="A4" s="28" t="s">
        <v>8</v>
      </c>
      <c r="B4" s="30" t="s">
        <v>162</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3" si="0">CONCATENATE($B$2, ".", A7)</f>
        <v>11.1</v>
      </c>
      <c r="C7" s="34" t="s">
        <v>38</v>
      </c>
      <c r="D7" s="39" t="s">
        <v>491</v>
      </c>
      <c r="E7" s="6" t="s">
        <v>403</v>
      </c>
      <c r="F7" s="6" t="s">
        <v>37</v>
      </c>
      <c r="G7" s="6" t="s">
        <v>37</v>
      </c>
      <c r="H7" s="34" t="s">
        <v>37</v>
      </c>
      <c r="I7" s="39" t="s">
        <v>10</v>
      </c>
      <c r="J7" s="5" t="s">
        <v>37</v>
      </c>
      <c r="K7" s="5" t="s">
        <v>37</v>
      </c>
      <c r="L7" s="5" t="s">
        <v>37</v>
      </c>
      <c r="M7" s="5" t="s">
        <v>37</v>
      </c>
      <c r="N7" s="5" t="s">
        <v>37</v>
      </c>
      <c r="O7" s="5" t="s">
        <v>37</v>
      </c>
      <c r="P7" s="6" t="s">
        <v>489</v>
      </c>
    </row>
    <row r="8" spans="1:16" x14ac:dyDescent="0.35">
      <c r="A8" s="6">
        <v>2</v>
      </c>
      <c r="B8" s="6" t="str">
        <f t="shared" si="0"/>
        <v>11.2</v>
      </c>
      <c r="C8" s="34" t="s">
        <v>40</v>
      </c>
      <c r="D8" s="39" t="s">
        <v>37</v>
      </c>
      <c r="E8" s="39" t="s">
        <v>48</v>
      </c>
      <c r="F8" s="6" t="s">
        <v>37</v>
      </c>
      <c r="G8" s="6" t="s">
        <v>37</v>
      </c>
      <c r="H8" s="34" t="s">
        <v>37</v>
      </c>
      <c r="I8" s="39" t="s">
        <v>10</v>
      </c>
      <c r="J8" s="5" t="s">
        <v>37</v>
      </c>
      <c r="K8" s="5" t="s">
        <v>37</v>
      </c>
      <c r="L8" s="5" t="s">
        <v>37</v>
      </c>
      <c r="M8" s="5" t="s">
        <v>37</v>
      </c>
      <c r="N8" s="5" t="s">
        <v>37</v>
      </c>
      <c r="O8" s="5" t="s">
        <v>37</v>
      </c>
    </row>
    <row r="9" spans="1:16" ht="58" x14ac:dyDescent="0.35">
      <c r="A9" s="6">
        <v>3</v>
      </c>
      <c r="B9" s="6" t="str">
        <f t="shared" si="0"/>
        <v>11.3</v>
      </c>
      <c r="C9" s="34" t="s">
        <v>38</v>
      </c>
      <c r="D9" s="39" t="s">
        <v>479</v>
      </c>
      <c r="E9" s="39" t="s">
        <v>34</v>
      </c>
      <c r="F9" s="6" t="s">
        <v>37</v>
      </c>
      <c r="G9" s="6" t="s">
        <v>37</v>
      </c>
      <c r="H9" s="34" t="s">
        <v>37</v>
      </c>
      <c r="I9" s="39" t="s">
        <v>10</v>
      </c>
      <c r="J9" s="5" t="s">
        <v>37</v>
      </c>
      <c r="K9" s="5" t="s">
        <v>37</v>
      </c>
      <c r="L9" s="5" t="s">
        <v>37</v>
      </c>
      <c r="M9" s="5" t="s">
        <v>37</v>
      </c>
      <c r="N9" s="5" t="s">
        <v>37</v>
      </c>
      <c r="O9" s="5" t="s">
        <v>37</v>
      </c>
      <c r="P9" s="6" t="s">
        <v>429</v>
      </c>
    </row>
    <row r="10" spans="1:16" ht="29" x14ac:dyDescent="0.35">
      <c r="A10" s="6">
        <v>4</v>
      </c>
      <c r="B10" s="6" t="str">
        <f t="shared" si="0"/>
        <v>11.4</v>
      </c>
      <c r="C10" s="34" t="s">
        <v>40</v>
      </c>
      <c r="D10" s="6" t="s">
        <v>187</v>
      </c>
      <c r="E10" s="94" t="s">
        <v>32</v>
      </c>
      <c r="F10" s="6" t="s">
        <v>60</v>
      </c>
      <c r="G10" s="6" t="s">
        <v>37</v>
      </c>
      <c r="H10" s="34" t="s">
        <v>37</v>
      </c>
      <c r="I10" s="39" t="s">
        <v>10</v>
      </c>
      <c r="J10" s="5" t="s">
        <v>156</v>
      </c>
      <c r="K10" s="90" t="s">
        <v>157</v>
      </c>
      <c r="L10" s="93" t="s">
        <v>188</v>
      </c>
      <c r="M10" s="5" t="s">
        <v>37</v>
      </c>
      <c r="N10" s="5" t="s">
        <v>37</v>
      </c>
      <c r="O10" s="95" t="s">
        <v>189</v>
      </c>
    </row>
    <row r="11" spans="1:16" ht="40.5" customHeight="1" x14ac:dyDescent="0.35">
      <c r="A11" s="6">
        <v>6</v>
      </c>
      <c r="B11" s="6" t="str">
        <f t="shared" si="0"/>
        <v>11.6</v>
      </c>
      <c r="C11" s="34" t="s">
        <v>40</v>
      </c>
      <c r="D11" s="6" t="s">
        <v>234</v>
      </c>
      <c r="E11" s="94"/>
      <c r="F11" s="6" t="s">
        <v>60</v>
      </c>
      <c r="G11" s="48" t="s">
        <v>37</v>
      </c>
      <c r="H11" s="72" t="s">
        <v>37</v>
      </c>
      <c r="I11" s="50" t="s">
        <v>10</v>
      </c>
      <c r="J11" s="5" t="s">
        <v>156</v>
      </c>
      <c r="K11" s="90"/>
      <c r="L11" s="93"/>
      <c r="M11" s="5" t="s">
        <v>37</v>
      </c>
      <c r="N11" s="5" t="s">
        <v>37</v>
      </c>
      <c r="O11" s="95"/>
    </row>
    <row r="12" spans="1:16" ht="231.75" customHeight="1" x14ac:dyDescent="0.35">
      <c r="A12" s="6">
        <v>7</v>
      </c>
      <c r="B12" s="6" t="str">
        <f t="shared" si="0"/>
        <v>11.7</v>
      </c>
      <c r="C12" s="34" t="s">
        <v>40</v>
      </c>
      <c r="D12" s="34" t="s">
        <v>235</v>
      </c>
      <c r="E12" s="39" t="s">
        <v>196</v>
      </c>
      <c r="F12" s="6" t="s">
        <v>37</v>
      </c>
      <c r="G12" s="6" t="s">
        <v>37</v>
      </c>
      <c r="H12" s="72" t="s">
        <v>37</v>
      </c>
      <c r="I12" s="50" t="s">
        <v>293</v>
      </c>
      <c r="J12" s="5" t="s">
        <v>37</v>
      </c>
      <c r="K12" s="5" t="s">
        <v>37</v>
      </c>
      <c r="L12" s="5" t="s">
        <v>37</v>
      </c>
      <c r="M12" s="5" t="s">
        <v>37</v>
      </c>
      <c r="N12" s="5" t="s">
        <v>37</v>
      </c>
      <c r="O12" s="5" t="s">
        <v>292</v>
      </c>
    </row>
    <row r="13" spans="1:16" ht="81.75" customHeight="1" x14ac:dyDescent="0.35">
      <c r="A13" s="6">
        <v>8</v>
      </c>
      <c r="B13" s="6" t="str">
        <f t="shared" si="0"/>
        <v>11.8</v>
      </c>
      <c r="C13" s="34" t="s">
        <v>40</v>
      </c>
      <c r="D13" s="39" t="s">
        <v>56</v>
      </c>
      <c r="E13" s="39" t="s">
        <v>43</v>
      </c>
      <c r="F13" s="39" t="s">
        <v>37</v>
      </c>
      <c r="G13" s="39" t="s">
        <v>37</v>
      </c>
      <c r="H13" s="47" t="s">
        <v>37</v>
      </c>
      <c r="I13" s="39" t="s">
        <v>10</v>
      </c>
      <c r="J13" s="39" t="s">
        <v>37</v>
      </c>
      <c r="K13" s="39" t="s">
        <v>37</v>
      </c>
      <c r="L13" s="39" t="s">
        <v>37</v>
      </c>
      <c r="M13" s="39" t="s">
        <v>37</v>
      </c>
      <c r="N13" s="39" t="s">
        <v>37</v>
      </c>
      <c r="O13" s="39" t="s">
        <v>291</v>
      </c>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mergeCells count="4">
    <mergeCell ref="K10:K11"/>
    <mergeCell ref="L10:L11"/>
    <mergeCell ref="E10:E11"/>
    <mergeCell ref="O10:O11"/>
  </mergeCells>
  <conditionalFormatting sqref="C7:C1048576">
    <cfRule type="cellIs" dxfId="193" priority="31" operator="equal">
      <formula>"WIP (see comments)"</formula>
    </cfRule>
    <cfRule type="cellIs" dxfId="192" priority="32" operator="equal">
      <formula>"Removed"</formula>
    </cfRule>
    <cfRule type="cellIs" dxfId="191" priority="33" operator="equal">
      <formula>"Updated"</formula>
    </cfRule>
    <cfRule type="cellIs" dxfId="190" priority="34" operator="equal">
      <formula>"New"</formula>
    </cfRule>
  </conditionalFormatting>
  <conditionalFormatting sqref="D10:E10 G10:I10 M10:O10 A10:C12 M11:N11 C11:C13 A7:O9">
    <cfRule type="cellIs" dxfId="189" priority="22" operator="equal">
      <formula>"n/a"</formula>
    </cfRule>
  </conditionalFormatting>
  <conditionalFormatting sqref="D11:D12 F11:J12">
    <cfRule type="cellIs" dxfId="188" priority="21" operator="equal">
      <formula>"n/a"</formula>
    </cfRule>
  </conditionalFormatting>
  <conditionalFormatting sqref="K10:L10">
    <cfRule type="cellIs" dxfId="187" priority="20" operator="equal">
      <formula>"n/a"</formula>
    </cfRule>
  </conditionalFormatting>
  <conditionalFormatting sqref="A13:B13">
    <cfRule type="cellIs" dxfId="186" priority="14" operator="equal">
      <formula>"n/a"</formula>
    </cfRule>
  </conditionalFormatting>
  <conditionalFormatting sqref="D13:N13">
    <cfRule type="cellIs" dxfId="185" priority="13" operator="equal">
      <formula>"n/a"</formula>
    </cfRule>
  </conditionalFormatting>
  <conditionalFormatting sqref="F10">
    <cfRule type="cellIs" dxfId="184" priority="11" operator="equal">
      <formula>"n/a"</formula>
    </cfRule>
  </conditionalFormatting>
  <conditionalFormatting sqref="J10">
    <cfRule type="cellIs" dxfId="183" priority="10" operator="equal">
      <formula>"n/a"</formula>
    </cfRule>
  </conditionalFormatting>
  <conditionalFormatting sqref="E12">
    <cfRule type="cellIs" dxfId="182" priority="9" operator="equal">
      <formula>"n/a"</formula>
    </cfRule>
  </conditionalFormatting>
  <conditionalFormatting sqref="K12">
    <cfRule type="cellIs" dxfId="181" priority="8" operator="equal">
      <formula>"n/a"</formula>
    </cfRule>
  </conditionalFormatting>
  <conditionalFormatting sqref="L12">
    <cfRule type="cellIs" dxfId="180" priority="7" operator="equal">
      <formula>"n/a"</formula>
    </cfRule>
  </conditionalFormatting>
  <conditionalFormatting sqref="M12">
    <cfRule type="cellIs" dxfId="179" priority="6" operator="equal">
      <formula>"n/a"</formula>
    </cfRule>
  </conditionalFormatting>
  <conditionalFormatting sqref="N12">
    <cfRule type="cellIs" dxfId="178" priority="5" operator="equal">
      <formula>"n/a"</formula>
    </cfRule>
  </conditionalFormatting>
  <conditionalFormatting sqref="O12">
    <cfRule type="cellIs" dxfId="177" priority="4" operator="equal">
      <formula>"n/a"</formula>
    </cfRule>
  </conditionalFormatting>
  <conditionalFormatting sqref="D1">
    <cfRule type="cellIs" dxfId="176" priority="3" operator="equal">
      <formula>"n/a"</formula>
    </cfRule>
  </conditionalFormatting>
  <conditionalFormatting sqref="B4">
    <cfRule type="cellIs" dxfId="175" priority="2" operator="equal">
      <formula>"n/a"</formula>
    </cfRule>
  </conditionalFormatting>
  <conditionalFormatting sqref="P8">
    <cfRule type="cellIs" dxfId="174"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Values'!$A$5:$A$29</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163</v>
      </c>
      <c r="C1" s="32"/>
      <c r="D1" s="29"/>
    </row>
    <row r="2" spans="1:16" s="30" customFormat="1" ht="18.5" x14ac:dyDescent="0.35">
      <c r="A2" s="28" t="s">
        <v>7</v>
      </c>
      <c r="B2" s="36">
        <v>12</v>
      </c>
      <c r="C2" s="35"/>
      <c r="D2" s="36"/>
    </row>
    <row r="3" spans="1:16" s="30" customFormat="1" ht="18.5" x14ac:dyDescent="0.35">
      <c r="A3" s="28" t="s">
        <v>44</v>
      </c>
      <c r="B3" s="36" t="s">
        <v>290</v>
      </c>
      <c r="C3" s="35"/>
      <c r="D3" s="36"/>
    </row>
    <row r="4" spans="1:16" s="30" customFormat="1" ht="18.5" x14ac:dyDescent="0.35">
      <c r="A4" s="28" t="s">
        <v>8</v>
      </c>
      <c r="B4" s="30" t="s">
        <v>162</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12.1</v>
      </c>
      <c r="C7" s="34" t="s">
        <v>38</v>
      </c>
      <c r="D7" s="39" t="s">
        <v>490</v>
      </c>
      <c r="E7" s="6" t="s">
        <v>403</v>
      </c>
      <c r="F7" s="6" t="s">
        <v>37</v>
      </c>
      <c r="G7" s="6" t="s">
        <v>37</v>
      </c>
      <c r="H7" s="34" t="s">
        <v>37</v>
      </c>
      <c r="I7" s="39" t="s">
        <v>10</v>
      </c>
      <c r="J7" s="5" t="s">
        <v>37</v>
      </c>
      <c r="K7" s="5" t="s">
        <v>37</v>
      </c>
      <c r="L7" s="5" t="s">
        <v>37</v>
      </c>
      <c r="M7" s="5" t="s">
        <v>37</v>
      </c>
      <c r="N7" s="5" t="s">
        <v>37</v>
      </c>
      <c r="O7" s="5" t="s">
        <v>37</v>
      </c>
      <c r="P7" s="6" t="s">
        <v>489</v>
      </c>
    </row>
    <row r="8" spans="1:16" x14ac:dyDescent="0.35">
      <c r="A8" s="6">
        <v>2</v>
      </c>
      <c r="B8" s="6" t="str">
        <f t="shared" si="0"/>
        <v>12.2</v>
      </c>
      <c r="C8" s="34" t="s">
        <v>40</v>
      </c>
      <c r="D8" s="39" t="s">
        <v>37</v>
      </c>
      <c r="E8" s="39" t="s">
        <v>48</v>
      </c>
      <c r="F8" s="6" t="s">
        <v>37</v>
      </c>
      <c r="G8" s="6" t="s">
        <v>37</v>
      </c>
      <c r="H8" s="34" t="s">
        <v>37</v>
      </c>
      <c r="I8" s="39" t="s">
        <v>10</v>
      </c>
      <c r="J8" s="5" t="s">
        <v>37</v>
      </c>
      <c r="K8" s="5" t="s">
        <v>37</v>
      </c>
      <c r="L8" s="5" t="s">
        <v>37</v>
      </c>
      <c r="M8" s="5" t="s">
        <v>37</v>
      </c>
      <c r="N8" s="5" t="s">
        <v>37</v>
      </c>
      <c r="O8" s="5" t="s">
        <v>37</v>
      </c>
    </row>
    <row r="9" spans="1:16" ht="81" customHeight="1" x14ac:dyDescent="0.35">
      <c r="A9" s="6">
        <v>3</v>
      </c>
      <c r="B9" s="6" t="str">
        <f t="shared" si="0"/>
        <v>12.3</v>
      </c>
      <c r="C9" s="34" t="s">
        <v>40</v>
      </c>
      <c r="D9" s="6" t="s">
        <v>37</v>
      </c>
      <c r="E9" s="6" t="s">
        <v>168</v>
      </c>
      <c r="F9" s="6" t="s">
        <v>37</v>
      </c>
      <c r="G9" s="6" t="s">
        <v>37</v>
      </c>
      <c r="H9" s="34" t="s">
        <v>37</v>
      </c>
      <c r="I9" s="39" t="s">
        <v>10</v>
      </c>
      <c r="J9" s="5" t="s">
        <v>37</v>
      </c>
      <c r="K9" s="5" t="s">
        <v>157</v>
      </c>
      <c r="L9" s="50" t="s">
        <v>37</v>
      </c>
      <c r="M9" s="5" t="s">
        <v>37</v>
      </c>
      <c r="N9" s="5" t="s">
        <v>37</v>
      </c>
      <c r="O9" s="40" t="s">
        <v>194</v>
      </c>
    </row>
    <row r="10" spans="1:16" ht="77" customHeight="1" x14ac:dyDescent="0.35">
      <c r="A10" s="6">
        <v>4</v>
      </c>
      <c r="B10" s="6" t="str">
        <f t="shared" si="0"/>
        <v>12.4</v>
      </c>
      <c r="C10" s="34" t="s">
        <v>40</v>
      </c>
      <c r="D10" s="6" t="s">
        <v>55</v>
      </c>
      <c r="E10" s="6" t="s">
        <v>43</v>
      </c>
      <c r="F10" s="6" t="s">
        <v>37</v>
      </c>
      <c r="G10" s="6" t="s">
        <v>37</v>
      </c>
      <c r="H10" s="34" t="s">
        <v>37</v>
      </c>
      <c r="I10" s="39" t="s">
        <v>211</v>
      </c>
      <c r="J10" s="5" t="s">
        <v>37</v>
      </c>
      <c r="K10" s="5" t="s">
        <v>37</v>
      </c>
      <c r="L10" s="50" t="s">
        <v>37</v>
      </c>
      <c r="M10" s="5" t="s">
        <v>37</v>
      </c>
      <c r="N10" s="5" t="s">
        <v>37</v>
      </c>
      <c r="O10" s="40" t="s">
        <v>294</v>
      </c>
    </row>
    <row r="11" spans="1:16" ht="116" x14ac:dyDescent="0.35">
      <c r="A11" s="6">
        <v>5</v>
      </c>
      <c r="B11" s="6" t="str">
        <f t="shared" si="0"/>
        <v>12.5</v>
      </c>
      <c r="C11" s="34" t="s">
        <v>40</v>
      </c>
      <c r="D11" s="39" t="s">
        <v>56</v>
      </c>
      <c r="E11" s="39" t="s">
        <v>43</v>
      </c>
      <c r="F11" s="39" t="s">
        <v>37</v>
      </c>
      <c r="G11" s="39" t="s">
        <v>37</v>
      </c>
      <c r="H11" s="47" t="s">
        <v>37</v>
      </c>
      <c r="I11" s="39" t="s">
        <v>10</v>
      </c>
      <c r="J11" s="39" t="s">
        <v>37</v>
      </c>
      <c r="K11" s="39" t="s">
        <v>37</v>
      </c>
      <c r="L11" s="39" t="s">
        <v>37</v>
      </c>
      <c r="M11" s="39" t="s">
        <v>37</v>
      </c>
      <c r="N11" s="39" t="s">
        <v>37</v>
      </c>
      <c r="O11" s="39" t="s">
        <v>482</v>
      </c>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sheetData>
  <conditionalFormatting sqref="C12:C1048576">
    <cfRule type="cellIs" dxfId="173" priority="16" operator="equal">
      <formula>"WIP (see comments)"</formula>
    </cfRule>
    <cfRule type="cellIs" dxfId="172" priority="17" operator="equal">
      <formula>"Removed"</formula>
    </cfRule>
    <cfRule type="cellIs" dxfId="171" priority="18" operator="equal">
      <formula>"Updated"</formula>
    </cfRule>
    <cfRule type="cellIs" dxfId="170" priority="19" operator="equal">
      <formula>"New"</formula>
    </cfRule>
  </conditionalFormatting>
  <conditionalFormatting sqref="C7:C10">
    <cfRule type="cellIs" dxfId="169" priority="12" operator="equal">
      <formula>"WIP (see comments)"</formula>
    </cfRule>
    <cfRule type="cellIs" dxfId="168" priority="13" operator="equal">
      <formula>"Removed"</formula>
    </cfRule>
    <cfRule type="cellIs" dxfId="167" priority="14" operator="equal">
      <formula>"Updated"</formula>
    </cfRule>
    <cfRule type="cellIs" dxfId="166" priority="15" operator="equal">
      <formula>"New"</formula>
    </cfRule>
  </conditionalFormatting>
  <conditionalFormatting sqref="A2:XFD8 A12:XFD1048576 P9:XFD10 M9:N10 A9:J9 C10:J10 A10:B11 A1:C1 E1:XFD1">
    <cfRule type="cellIs" dxfId="165" priority="11" operator="equal">
      <formula>"n/a"</formula>
    </cfRule>
  </conditionalFormatting>
  <conditionalFormatting sqref="K9:L10">
    <cfRule type="cellIs" dxfId="164" priority="9" operator="equal">
      <formula>"n/a"</formula>
    </cfRule>
  </conditionalFormatting>
  <conditionalFormatting sqref="O9:O10">
    <cfRule type="cellIs" dxfId="163" priority="8" operator="equal">
      <formula>"n/a"</formula>
    </cfRule>
  </conditionalFormatting>
  <conditionalFormatting sqref="C11">
    <cfRule type="cellIs" dxfId="162" priority="4" operator="equal">
      <formula>"WIP (see comments)"</formula>
    </cfRule>
    <cfRule type="cellIs" dxfId="161" priority="5" operator="equal">
      <formula>"Removed"</formula>
    </cfRule>
    <cfRule type="cellIs" dxfId="160" priority="6" operator="equal">
      <formula>"Updated"</formula>
    </cfRule>
    <cfRule type="cellIs" dxfId="159" priority="7" operator="equal">
      <formula>"New"</formula>
    </cfRule>
  </conditionalFormatting>
  <conditionalFormatting sqref="P11:XFD11 C11">
    <cfRule type="cellIs" dxfId="158" priority="3" operator="equal">
      <formula>"n/a"</formula>
    </cfRule>
  </conditionalFormatting>
  <conditionalFormatting sqref="D11:N11">
    <cfRule type="cellIs" dxfId="157" priority="2" operator="equal">
      <formula>"n/a"</formula>
    </cfRule>
  </conditionalFormatting>
  <conditionalFormatting sqref="D1">
    <cfRule type="cellIs" dxfId="15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190</v>
      </c>
      <c r="C1" s="32"/>
      <c r="D1" s="29"/>
    </row>
    <row r="2" spans="1:16" s="30" customFormat="1" ht="18.5" x14ac:dyDescent="0.35">
      <c r="A2" s="28" t="s">
        <v>7</v>
      </c>
      <c r="B2" s="36">
        <v>13</v>
      </c>
      <c r="C2" s="35"/>
      <c r="D2" s="36"/>
    </row>
    <row r="3" spans="1:16" s="30" customFormat="1" ht="18.5" x14ac:dyDescent="0.35">
      <c r="A3" s="28" t="s">
        <v>44</v>
      </c>
      <c r="B3" s="36" t="s">
        <v>295</v>
      </c>
      <c r="C3" s="35"/>
      <c r="D3" s="36" t="s">
        <v>487</v>
      </c>
    </row>
    <row r="4" spans="1:16" s="30" customFormat="1" ht="18.5" x14ac:dyDescent="0.35">
      <c r="A4" s="28" t="s">
        <v>8</v>
      </c>
      <c r="B4" s="30" t="s">
        <v>236</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5">
        <v>1</v>
      </c>
      <c r="B7" s="5" t="str">
        <f>CONCATENATE($B$2, ".", A7)</f>
        <v>13.1</v>
      </c>
      <c r="C7" s="71" t="s">
        <v>40</v>
      </c>
      <c r="D7" s="5" t="s">
        <v>37</v>
      </c>
      <c r="E7" s="40" t="s">
        <v>119</v>
      </c>
      <c r="F7" s="5" t="s">
        <v>37</v>
      </c>
      <c r="G7" s="5" t="s">
        <v>37</v>
      </c>
      <c r="H7" s="71" t="s">
        <v>37</v>
      </c>
      <c r="I7" s="40" t="s">
        <v>10</v>
      </c>
      <c r="J7" s="5" t="s">
        <v>37</v>
      </c>
      <c r="K7" s="5" t="s">
        <v>37</v>
      </c>
      <c r="L7" s="5" t="s">
        <v>37</v>
      </c>
      <c r="M7" s="5" t="s">
        <v>37</v>
      </c>
      <c r="N7" s="5" t="s">
        <v>37</v>
      </c>
      <c r="O7" s="40" t="s">
        <v>198</v>
      </c>
      <c r="P7" s="5" t="s">
        <v>493</v>
      </c>
    </row>
    <row r="8" spans="1:16" x14ac:dyDescent="0.35">
      <c r="A8" s="5">
        <v>2</v>
      </c>
      <c r="B8" s="5" t="str">
        <f t="shared" ref="B8" si="0">CONCATENATE($B$2, ".", A8)</f>
        <v>13.2</v>
      </c>
      <c r="C8" s="73" t="s">
        <v>200</v>
      </c>
      <c r="D8" s="40" t="s">
        <v>197</v>
      </c>
      <c r="E8" s="40" t="s">
        <v>120</v>
      </c>
      <c r="F8" s="5" t="s">
        <v>37</v>
      </c>
      <c r="G8" s="5" t="s">
        <v>37</v>
      </c>
      <c r="H8" s="71" t="s">
        <v>37</v>
      </c>
      <c r="I8" s="40" t="s">
        <v>10</v>
      </c>
      <c r="J8" s="5" t="s">
        <v>37</v>
      </c>
      <c r="K8" s="5" t="s">
        <v>37</v>
      </c>
      <c r="L8" s="5" t="s">
        <v>37</v>
      </c>
      <c r="M8" s="5" t="s">
        <v>37</v>
      </c>
      <c r="N8" s="5" t="s">
        <v>37</v>
      </c>
      <c r="O8" s="5"/>
      <c r="P8" s="5"/>
    </row>
    <row r="9" spans="1:16" ht="231" customHeight="1" x14ac:dyDescent="0.35">
      <c r="A9" s="6">
        <v>3</v>
      </c>
      <c r="B9" s="6" t="str">
        <f t="shared" ref="B9" si="1">CONCATENATE($B$2, ".", A9)</f>
        <v>13.3</v>
      </c>
      <c r="C9" s="73" t="s">
        <v>45</v>
      </c>
      <c r="D9" s="39" t="s">
        <v>483</v>
      </c>
      <c r="E9" s="39" t="s">
        <v>108</v>
      </c>
      <c r="F9" s="6" t="s">
        <v>37</v>
      </c>
      <c r="G9" s="6" t="s">
        <v>37</v>
      </c>
      <c r="H9" s="34" t="s">
        <v>37</v>
      </c>
      <c r="I9" s="39" t="s">
        <v>10</v>
      </c>
      <c r="J9" s="5" t="s">
        <v>37</v>
      </c>
      <c r="K9" s="5" t="s">
        <v>37</v>
      </c>
      <c r="L9" s="5" t="s">
        <v>37</v>
      </c>
      <c r="M9" s="5" t="s">
        <v>37</v>
      </c>
      <c r="N9" s="5" t="s">
        <v>37</v>
      </c>
      <c r="O9" s="5" t="s">
        <v>486</v>
      </c>
      <c r="P9" s="6" t="s">
        <v>484</v>
      </c>
    </row>
    <row r="10" spans="1:16" x14ac:dyDescent="0.35">
      <c r="I10" s="39"/>
      <c r="J10" s="5"/>
      <c r="K10" s="5"/>
      <c r="L10" s="40"/>
      <c r="M10" s="40"/>
      <c r="N10" s="40"/>
      <c r="O10" s="40"/>
    </row>
    <row r="11" spans="1:16" x14ac:dyDescent="0.35">
      <c r="I11" s="39"/>
      <c r="J11" s="5"/>
      <c r="K11" s="5"/>
      <c r="L11" s="40"/>
      <c r="M11" s="40"/>
      <c r="N11" s="40"/>
      <c r="O11" s="40"/>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sheetData>
  <conditionalFormatting sqref="C7:C1048576">
    <cfRule type="cellIs" dxfId="155" priority="23" operator="equal">
      <formula>"WIP (see comments)"</formula>
    </cfRule>
    <cfRule type="cellIs" dxfId="154" priority="24" operator="equal">
      <formula>"Removed"</formula>
    </cfRule>
    <cfRule type="cellIs" dxfId="153" priority="25" operator="equal">
      <formula>"Updated"</formula>
    </cfRule>
    <cfRule type="cellIs" dxfId="152" priority="26" operator="equal">
      <formula>"New"</formula>
    </cfRule>
  </conditionalFormatting>
  <conditionalFormatting sqref="A9:C9 E9:O9">
    <cfRule type="cellIs" dxfId="151" priority="22" operator="equal">
      <formula>"n/a"</formula>
    </cfRule>
  </conditionalFormatting>
  <conditionalFormatting sqref="A8:P8 E7:O7 A7:C7 C8:C9">
    <cfRule type="cellIs" dxfId="150" priority="6" operator="equal">
      <formula>"n/a"</formula>
    </cfRule>
  </conditionalFormatting>
  <conditionalFormatting sqref="P7">
    <cfRule type="cellIs" dxfId="149" priority="5" operator="equal">
      <formula>"n/a"</formula>
    </cfRule>
  </conditionalFormatting>
  <conditionalFormatting sqref="D7">
    <cfRule type="cellIs" dxfId="148" priority="4" operator="equal">
      <formula>"-"</formula>
    </cfRule>
  </conditionalFormatting>
  <conditionalFormatting sqref="D7">
    <cfRule type="cellIs" dxfId="147" priority="3" operator="equal">
      <formula>"n/a"</formula>
    </cfRule>
  </conditionalFormatting>
  <conditionalFormatting sqref="D1">
    <cfRule type="cellIs" dxfId="146" priority="2" operator="equal">
      <formula>"n/a"</formula>
    </cfRule>
  </conditionalFormatting>
  <conditionalFormatting sqref="D9">
    <cfRule type="cellIs" dxfId="14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Values'!$A$5:$A$29</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103</v>
      </c>
      <c r="C1" s="32"/>
      <c r="D1" s="29" t="s">
        <v>264</v>
      </c>
      <c r="H1" s="35"/>
    </row>
    <row r="2" spans="1:16" s="30" customFormat="1" ht="18.5" x14ac:dyDescent="0.35">
      <c r="A2" s="28" t="s">
        <v>7</v>
      </c>
      <c r="B2" s="36">
        <v>14</v>
      </c>
      <c r="C2" s="35"/>
      <c r="D2" s="29"/>
      <c r="H2" s="35"/>
    </row>
    <row r="3" spans="1:16" s="30" customFormat="1" ht="18.5" x14ac:dyDescent="0.35">
      <c r="A3" s="28" t="s">
        <v>44</v>
      </c>
      <c r="B3" s="36" t="s">
        <v>308</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9" si="0">CONCATENATE($B$2, ".", A7)</f>
        <v>14.1</v>
      </c>
      <c r="C7" s="34" t="s">
        <v>41</v>
      </c>
      <c r="D7" s="39" t="s">
        <v>309</v>
      </c>
      <c r="E7" s="6" t="s">
        <v>29</v>
      </c>
      <c r="F7" s="6" t="s">
        <v>37</v>
      </c>
      <c r="G7" s="6" t="s">
        <v>37</v>
      </c>
      <c r="H7" s="34" t="s">
        <v>37</v>
      </c>
      <c r="I7" s="39" t="s">
        <v>10</v>
      </c>
      <c r="J7" s="5" t="s">
        <v>37</v>
      </c>
      <c r="K7" s="5" t="s">
        <v>37</v>
      </c>
      <c r="L7" s="5" t="s">
        <v>37</v>
      </c>
      <c r="M7" s="5" t="s">
        <v>37</v>
      </c>
      <c r="N7" s="5" t="s">
        <v>37</v>
      </c>
      <c r="O7" s="5" t="s">
        <v>37</v>
      </c>
      <c r="P7" s="6" t="s">
        <v>230</v>
      </c>
    </row>
    <row r="8" spans="1:16" x14ac:dyDescent="0.35">
      <c r="A8" s="6">
        <v>2</v>
      </c>
      <c r="B8" s="6" t="str">
        <f t="shared" si="0"/>
        <v>14.2</v>
      </c>
      <c r="C8" s="34" t="s">
        <v>41</v>
      </c>
      <c r="D8" s="39" t="s">
        <v>37</v>
      </c>
      <c r="E8" s="39" t="s">
        <v>48</v>
      </c>
      <c r="F8" s="6" t="s">
        <v>37</v>
      </c>
      <c r="G8" s="6" t="s">
        <v>37</v>
      </c>
      <c r="H8" s="34" t="s">
        <v>37</v>
      </c>
      <c r="I8" s="39" t="s">
        <v>10</v>
      </c>
      <c r="J8" s="5" t="s">
        <v>37</v>
      </c>
      <c r="K8" s="5" t="s">
        <v>37</v>
      </c>
      <c r="L8" s="5" t="s">
        <v>37</v>
      </c>
      <c r="M8" s="5" t="s">
        <v>37</v>
      </c>
      <c r="N8" s="5" t="s">
        <v>37</v>
      </c>
      <c r="O8" s="5" t="s">
        <v>37</v>
      </c>
    </row>
    <row r="9" spans="1:16" ht="43.5" x14ac:dyDescent="0.35">
      <c r="A9" s="6">
        <v>3</v>
      </c>
      <c r="B9" s="6" t="str">
        <f t="shared" si="0"/>
        <v>14.3</v>
      </c>
      <c r="C9" s="34" t="s">
        <v>41</v>
      </c>
      <c r="D9" s="39" t="s">
        <v>361</v>
      </c>
      <c r="E9" s="39" t="s">
        <v>36</v>
      </c>
      <c r="F9" s="6" t="s">
        <v>37</v>
      </c>
      <c r="G9" s="6" t="s">
        <v>37</v>
      </c>
      <c r="H9" s="34" t="s">
        <v>37</v>
      </c>
      <c r="I9" s="39" t="s">
        <v>10</v>
      </c>
      <c r="J9" s="6" t="s">
        <v>37</v>
      </c>
      <c r="K9" s="6" t="s">
        <v>37</v>
      </c>
      <c r="L9" s="6" t="s">
        <v>37</v>
      </c>
      <c r="M9" s="5" t="s">
        <v>37</v>
      </c>
      <c r="N9" s="5" t="s">
        <v>37</v>
      </c>
      <c r="O9" s="5" t="s">
        <v>37</v>
      </c>
    </row>
    <row r="10" spans="1:16" ht="29" x14ac:dyDescent="0.35">
      <c r="A10" s="6">
        <v>4</v>
      </c>
      <c r="B10" s="6" t="str">
        <f t="shared" ref="B10:B11" si="1">CONCATENATE($B$2, ".", A10)</f>
        <v>14.4</v>
      </c>
      <c r="C10" s="34" t="s">
        <v>41</v>
      </c>
      <c r="D10" s="6" t="s">
        <v>342</v>
      </c>
      <c r="E10" s="6" t="s">
        <v>108</v>
      </c>
      <c r="F10" s="6" t="s">
        <v>37</v>
      </c>
      <c r="G10" s="6" t="s">
        <v>37</v>
      </c>
      <c r="H10" s="34" t="s">
        <v>37</v>
      </c>
      <c r="I10" s="6" t="s">
        <v>10</v>
      </c>
      <c r="J10" s="6" t="s">
        <v>37</v>
      </c>
      <c r="K10" s="6" t="s">
        <v>37</v>
      </c>
      <c r="L10" s="6" t="s">
        <v>37</v>
      </c>
      <c r="M10" s="6" t="s">
        <v>37</v>
      </c>
      <c r="N10" s="6" t="s">
        <v>37</v>
      </c>
      <c r="O10" s="6" t="s">
        <v>343</v>
      </c>
      <c r="P10" s="6" t="s">
        <v>344</v>
      </c>
    </row>
    <row r="11" spans="1:16" ht="43.5" x14ac:dyDescent="0.35">
      <c r="A11" s="6">
        <v>7</v>
      </c>
      <c r="B11" s="6" t="str">
        <f t="shared" si="1"/>
        <v>14.7</v>
      </c>
      <c r="C11" s="34" t="s">
        <v>41</v>
      </c>
      <c r="D11" s="6" t="s">
        <v>353</v>
      </c>
      <c r="E11" s="39" t="s">
        <v>30</v>
      </c>
      <c r="F11" s="39" t="s">
        <v>60</v>
      </c>
      <c r="G11" s="39" t="s">
        <v>37</v>
      </c>
      <c r="H11" s="47" t="s">
        <v>37</v>
      </c>
      <c r="I11" s="39" t="s">
        <v>10</v>
      </c>
      <c r="J11" s="40" t="s">
        <v>100</v>
      </c>
      <c r="K11" s="40" t="s">
        <v>52</v>
      </c>
      <c r="L11" s="40" t="s">
        <v>101</v>
      </c>
      <c r="M11" s="40" t="s">
        <v>37</v>
      </c>
      <c r="N11" s="40" t="s">
        <v>37</v>
      </c>
      <c r="O11" s="40" t="s">
        <v>102</v>
      </c>
      <c r="P11" s="39" t="s">
        <v>287</v>
      </c>
    </row>
    <row r="12" spans="1:16" x14ac:dyDescent="0.35">
      <c r="A12" s="6">
        <v>8</v>
      </c>
      <c r="B12" s="6" t="str">
        <f>CONCATENATE($B$2, ".", A12)</f>
        <v>14.8</v>
      </c>
      <c r="C12" s="34" t="s">
        <v>41</v>
      </c>
      <c r="D12" s="39" t="s">
        <v>56</v>
      </c>
      <c r="E12" s="39" t="s">
        <v>43</v>
      </c>
      <c r="F12" s="39" t="s">
        <v>37</v>
      </c>
      <c r="G12" s="39" t="s">
        <v>37</v>
      </c>
      <c r="H12" s="47" t="s">
        <v>37</v>
      </c>
      <c r="I12" s="39" t="s">
        <v>10</v>
      </c>
      <c r="J12" s="39" t="s">
        <v>37</v>
      </c>
      <c r="K12" s="39" t="s">
        <v>37</v>
      </c>
      <c r="L12" s="39" t="s">
        <v>37</v>
      </c>
      <c r="M12" s="39" t="s">
        <v>37</v>
      </c>
      <c r="N12" s="39" t="s">
        <v>37</v>
      </c>
      <c r="O12" s="39" t="s">
        <v>210</v>
      </c>
    </row>
    <row r="13" spans="1:16" ht="29" x14ac:dyDescent="0.35">
      <c r="A13" s="6">
        <v>17</v>
      </c>
      <c r="B13" s="6" t="s">
        <v>357</v>
      </c>
      <c r="C13" s="34" t="s">
        <v>41</v>
      </c>
      <c r="D13" s="6" t="s">
        <v>358</v>
      </c>
      <c r="E13" s="6" t="s">
        <v>30</v>
      </c>
      <c r="F13" s="6" t="s">
        <v>60</v>
      </c>
      <c r="G13" s="6" t="s">
        <v>37</v>
      </c>
      <c r="H13" s="34" t="s">
        <v>37</v>
      </c>
      <c r="I13" s="6" t="s">
        <v>10</v>
      </c>
      <c r="J13" s="6" t="s">
        <v>100</v>
      </c>
      <c r="K13" s="6" t="s">
        <v>52</v>
      </c>
      <c r="L13" s="6" t="s">
        <v>359</v>
      </c>
      <c r="M13" s="6" t="s">
        <v>37</v>
      </c>
      <c r="N13" s="6" t="s">
        <v>37</v>
      </c>
      <c r="O13" s="6" t="s">
        <v>360</v>
      </c>
    </row>
  </sheetData>
  <autoFilter ref="A6:P6"/>
  <conditionalFormatting sqref="C14:C1048576">
    <cfRule type="cellIs" dxfId="144" priority="31" operator="equal">
      <formula>"WIP (see comments)"</formula>
    </cfRule>
    <cfRule type="cellIs" dxfId="143" priority="32" operator="equal">
      <formula>"Removed"</formula>
    </cfRule>
    <cfRule type="cellIs" dxfId="142" priority="33" operator="equal">
      <formula>"Updated"</formula>
    </cfRule>
    <cfRule type="cellIs" dxfId="141" priority="34" operator="equal">
      <formula>"New"</formula>
    </cfRule>
  </conditionalFormatting>
  <conditionalFormatting sqref="C7:C13">
    <cfRule type="cellIs" dxfId="140" priority="11" operator="equal">
      <formula>"WIP (see comments)"</formula>
    </cfRule>
    <cfRule type="cellIs" dxfId="139" priority="12" operator="equal">
      <formula>"Removed"</formula>
    </cfRule>
    <cfRule type="cellIs" dxfId="138" priority="13" operator="equal">
      <formula>"Updated"</formula>
    </cfRule>
    <cfRule type="cellIs" dxfId="137" priority="14" operator="equal">
      <formula>"New"</formula>
    </cfRule>
  </conditionalFormatting>
  <conditionalFormatting sqref="P12:XFD12 A7:XFD7 G9:I9 M9:XFD9 D9:E9 A8:B12 D8:XFD8 C8:C13">
    <cfRule type="cellIs" dxfId="136" priority="10" operator="equal">
      <formula>"n/a"</formula>
    </cfRule>
  </conditionalFormatting>
  <conditionalFormatting sqref="D12:N12">
    <cfRule type="cellIs" dxfId="135" priority="9" operator="equal">
      <formula>"n/a"</formula>
    </cfRule>
  </conditionalFormatting>
  <conditionalFormatting sqref="D1:D2">
    <cfRule type="cellIs" dxfId="134" priority="8" operator="equal">
      <formula>"n/a"</formula>
    </cfRule>
  </conditionalFormatting>
  <conditionalFormatting sqref="E11:P11">
    <cfRule type="cellIs" dxfId="1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21"/>
  <sheetViews>
    <sheetView workbookViewId="0">
      <pane xSplit="4" ySplit="6" topLeftCell="M7" activePane="bottomRight" state="frozen"/>
      <selection pane="topRight" activeCell="E1" sqref="E1"/>
      <selection pane="bottomLeft" activeCell="A7" sqref="A7"/>
      <selection pane="bottomRight" activeCell="D10" sqref="D10"/>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104</v>
      </c>
      <c r="C1" s="32"/>
      <c r="D1" s="29" t="s">
        <v>383</v>
      </c>
      <c r="H1" s="35"/>
    </row>
    <row r="2" spans="1:16" s="30" customFormat="1" ht="18.5" x14ac:dyDescent="0.35">
      <c r="A2" s="28" t="s">
        <v>7</v>
      </c>
      <c r="B2" s="36"/>
      <c r="C2" s="35"/>
      <c r="D2" s="36"/>
      <c r="H2" s="35"/>
    </row>
    <row r="3" spans="1:16" s="30" customFormat="1" ht="18.5" x14ac:dyDescent="0.35">
      <c r="A3" s="28" t="s">
        <v>44</v>
      </c>
      <c r="B3" s="36" t="s">
        <v>335</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v>
      </c>
      <c r="C7" s="47" t="s">
        <v>41</v>
      </c>
      <c r="D7" s="39" t="s">
        <v>345</v>
      </c>
      <c r="E7" s="39" t="s">
        <v>29</v>
      </c>
      <c r="F7" s="39" t="s">
        <v>37</v>
      </c>
      <c r="G7" s="39" t="s">
        <v>37</v>
      </c>
      <c r="H7" s="34" t="s">
        <v>37</v>
      </c>
      <c r="I7" s="39" t="s">
        <v>10</v>
      </c>
      <c r="J7" s="5" t="s">
        <v>37</v>
      </c>
      <c r="K7" s="5" t="s">
        <v>37</v>
      </c>
      <c r="L7" s="5" t="s">
        <v>37</v>
      </c>
      <c r="M7" s="5" t="s">
        <v>37</v>
      </c>
      <c r="N7" s="5" t="s">
        <v>37</v>
      </c>
      <c r="O7" s="5" t="s">
        <v>37</v>
      </c>
      <c r="P7" s="6" t="s">
        <v>230</v>
      </c>
    </row>
    <row r="8" spans="1:16" x14ac:dyDescent="0.35">
      <c r="A8" s="6">
        <v>2</v>
      </c>
      <c r="B8" s="6" t="str">
        <f t="shared" si="0"/>
        <v>.2</v>
      </c>
      <c r="C8" s="47" t="s">
        <v>41</v>
      </c>
      <c r="D8" s="39" t="s">
        <v>37</v>
      </c>
      <c r="E8" s="39" t="s">
        <v>48</v>
      </c>
      <c r="F8" s="39" t="s">
        <v>37</v>
      </c>
      <c r="G8" s="39" t="s">
        <v>37</v>
      </c>
      <c r="H8" s="34" t="s">
        <v>37</v>
      </c>
      <c r="I8" s="39" t="s">
        <v>10</v>
      </c>
      <c r="J8" s="5" t="s">
        <v>37</v>
      </c>
      <c r="K8" s="5" t="s">
        <v>37</v>
      </c>
      <c r="L8" s="5" t="s">
        <v>37</v>
      </c>
      <c r="M8" s="5" t="s">
        <v>37</v>
      </c>
      <c r="N8" s="5" t="s">
        <v>37</v>
      </c>
      <c r="O8" s="5" t="s">
        <v>37</v>
      </c>
    </row>
    <row r="9" spans="1:16" s="39" customFormat="1" ht="144.75" customHeight="1" x14ac:dyDescent="0.35">
      <c r="A9" s="39">
        <v>3</v>
      </c>
      <c r="B9" s="39" t="str">
        <f t="shared" si="0"/>
        <v>.3</v>
      </c>
      <c r="C9" s="47" t="s">
        <v>41</v>
      </c>
      <c r="D9" s="39" t="s">
        <v>134</v>
      </c>
      <c r="E9" s="39" t="s">
        <v>35</v>
      </c>
      <c r="F9" s="39" t="s">
        <v>195</v>
      </c>
      <c r="G9" s="39" t="s">
        <v>352</v>
      </c>
      <c r="H9" s="47" t="s">
        <v>37</v>
      </c>
      <c r="I9" s="39" t="s">
        <v>10</v>
      </c>
      <c r="J9" s="40" t="s">
        <v>94</v>
      </c>
      <c r="K9" s="40" t="s">
        <v>52</v>
      </c>
      <c r="L9" s="40" t="s">
        <v>93</v>
      </c>
      <c r="M9" s="40" t="s">
        <v>37</v>
      </c>
      <c r="N9" s="40" t="s">
        <v>37</v>
      </c>
      <c r="O9" s="40" t="s">
        <v>37</v>
      </c>
      <c r="P9" s="39" t="s">
        <v>384</v>
      </c>
    </row>
    <row r="10" spans="1:16" s="39" customFormat="1" ht="185.25" customHeight="1" x14ac:dyDescent="0.35">
      <c r="A10" s="39">
        <v>4</v>
      </c>
      <c r="B10" s="39" t="str">
        <f t="shared" si="0"/>
        <v>.4</v>
      </c>
      <c r="C10" s="47" t="s">
        <v>41</v>
      </c>
      <c r="D10" s="39" t="s">
        <v>135</v>
      </c>
      <c r="E10" s="39" t="s">
        <v>33</v>
      </c>
      <c r="F10" s="39" t="s">
        <v>50</v>
      </c>
      <c r="G10" s="39" t="s">
        <v>37</v>
      </c>
      <c r="H10" s="47">
        <v>30</v>
      </c>
      <c r="I10" s="39" t="s">
        <v>151</v>
      </c>
      <c r="J10" s="40" t="s">
        <v>94</v>
      </c>
      <c r="K10" s="40" t="s">
        <v>52</v>
      </c>
      <c r="L10" s="40" t="s">
        <v>136</v>
      </c>
      <c r="M10" s="40" t="s">
        <v>37</v>
      </c>
      <c r="N10" s="40" t="s">
        <v>37</v>
      </c>
      <c r="O10" s="39" t="s">
        <v>95</v>
      </c>
    </row>
    <row r="11" spans="1:16" ht="119.25" customHeight="1" x14ac:dyDescent="0.35">
      <c r="A11" s="6">
        <v>5</v>
      </c>
      <c r="B11" s="6" t="str">
        <f t="shared" si="0"/>
        <v>.5</v>
      </c>
      <c r="C11" s="47" t="s">
        <v>41</v>
      </c>
      <c r="D11" s="39" t="s">
        <v>137</v>
      </c>
      <c r="E11" s="39" t="s">
        <v>32</v>
      </c>
      <c r="F11" s="6" t="s">
        <v>58</v>
      </c>
      <c r="G11" s="6" t="s">
        <v>138</v>
      </c>
      <c r="H11" s="34" t="s">
        <v>37</v>
      </c>
      <c r="I11" s="39" t="s">
        <v>105</v>
      </c>
      <c r="J11" s="5" t="s">
        <v>106</v>
      </c>
      <c r="K11" s="5" t="s">
        <v>52</v>
      </c>
      <c r="L11" s="5" t="s">
        <v>37</v>
      </c>
      <c r="M11" s="5" t="s">
        <v>37</v>
      </c>
      <c r="N11" s="5" t="s">
        <v>37</v>
      </c>
      <c r="O11" s="5"/>
    </row>
    <row r="12" spans="1:16" x14ac:dyDescent="0.35">
      <c r="A12" s="6">
        <v>6</v>
      </c>
      <c r="B12" s="6" t="str">
        <f>CONCATENATE($B$2, ".", A12)</f>
        <v>.6</v>
      </c>
      <c r="C12" s="47" t="s">
        <v>41</v>
      </c>
      <c r="D12" s="6" t="s">
        <v>56</v>
      </c>
      <c r="E12" s="6" t="s">
        <v>43</v>
      </c>
      <c r="F12" s="6" t="s">
        <v>37</v>
      </c>
      <c r="G12" s="6" t="s">
        <v>37</v>
      </c>
      <c r="H12" s="34" t="s">
        <v>37</v>
      </c>
      <c r="I12" s="6" t="s">
        <v>10</v>
      </c>
      <c r="J12" s="6" t="s">
        <v>37</v>
      </c>
      <c r="K12" s="6" t="s">
        <v>37</v>
      </c>
      <c r="L12" s="6" t="s">
        <v>37</v>
      </c>
      <c r="M12" s="6" t="s">
        <v>37</v>
      </c>
      <c r="N12" s="6" t="s">
        <v>37</v>
      </c>
      <c r="O12" s="6" t="s">
        <v>208</v>
      </c>
    </row>
    <row r="13" spans="1:16" x14ac:dyDescent="0.35">
      <c r="A13" s="6">
        <v>7</v>
      </c>
      <c r="B13" s="6" t="str">
        <f t="shared" ref="B13" si="1">CONCATENATE($B$2, ".", A13)</f>
        <v>.7</v>
      </c>
      <c r="C13" s="47" t="s">
        <v>41</v>
      </c>
      <c r="D13" s="6" t="s">
        <v>55</v>
      </c>
      <c r="E13" s="6" t="s">
        <v>43</v>
      </c>
      <c r="F13" s="6" t="s">
        <v>37</v>
      </c>
      <c r="G13" s="6" t="s">
        <v>37</v>
      </c>
      <c r="H13" s="34" t="s">
        <v>37</v>
      </c>
      <c r="I13" s="6" t="s">
        <v>10</v>
      </c>
      <c r="J13" s="6" t="s">
        <v>37</v>
      </c>
      <c r="K13" s="6" t="s">
        <v>37</v>
      </c>
      <c r="L13" s="6" t="s">
        <v>37</v>
      </c>
      <c r="M13" s="6" t="s">
        <v>37</v>
      </c>
      <c r="N13" s="6" t="s">
        <v>37</v>
      </c>
      <c r="O13" s="77" t="s">
        <v>209</v>
      </c>
    </row>
    <row r="14" spans="1:16" x14ac:dyDescent="0.35">
      <c r="I14" s="39"/>
      <c r="J14" s="5"/>
      <c r="K14" s="5"/>
      <c r="L14" s="40"/>
      <c r="M14" s="40"/>
      <c r="N14" s="40"/>
      <c r="O14" s="40"/>
    </row>
    <row r="15" spans="1:16" x14ac:dyDescent="0.35">
      <c r="D15" s="6" t="s">
        <v>69</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7:C1048576">
    <cfRule type="cellIs" dxfId="132" priority="19" operator="equal">
      <formula>"WIP (see comments)"</formula>
    </cfRule>
    <cfRule type="cellIs" dxfId="131" priority="20" operator="equal">
      <formula>"Removed"</formula>
    </cfRule>
    <cfRule type="cellIs" dxfId="130" priority="21" operator="equal">
      <formula>"Updated"</formula>
    </cfRule>
    <cfRule type="cellIs" dxfId="129" priority="22" operator="equal">
      <formula>"New"</formula>
    </cfRule>
  </conditionalFormatting>
  <conditionalFormatting sqref="A9:B10 D9:XFD10">
    <cfRule type="cellIs" dxfId="128" priority="2" operator="equal">
      <formula>"n/a"</formula>
    </cfRule>
  </conditionalFormatting>
  <conditionalFormatting sqref="D1">
    <cfRule type="cellIs" dxfId="12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4.269531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121</v>
      </c>
      <c r="C1" s="32"/>
      <c r="D1" s="29"/>
      <c r="H1" s="35"/>
    </row>
    <row r="2" spans="1:16" s="30" customFormat="1" ht="18.5" x14ac:dyDescent="0.35">
      <c r="A2" s="28" t="s">
        <v>7</v>
      </c>
      <c r="B2" s="36" t="s">
        <v>142</v>
      </c>
      <c r="C2" s="35"/>
      <c r="D2" s="36"/>
      <c r="H2" s="35"/>
    </row>
    <row r="3" spans="1:16" s="30" customFormat="1" ht="18.5" x14ac:dyDescent="0.35">
      <c r="A3" s="28" t="s">
        <v>44</v>
      </c>
      <c r="B3" s="36" t="s">
        <v>311</v>
      </c>
      <c r="C3" s="35"/>
      <c r="D3" s="36" t="s">
        <v>494</v>
      </c>
      <c r="H3" s="35"/>
    </row>
    <row r="4" spans="1:16" s="30" customFormat="1" ht="18.5" x14ac:dyDescent="0.35">
      <c r="A4" s="28" t="s">
        <v>8</v>
      </c>
      <c r="B4" s="30" t="s">
        <v>495</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A.1</v>
      </c>
      <c r="C7" s="51" t="s">
        <v>40</v>
      </c>
      <c r="D7" s="5" t="s">
        <v>37</v>
      </c>
      <c r="E7" s="40" t="s">
        <v>119</v>
      </c>
      <c r="F7" s="5" t="s">
        <v>37</v>
      </c>
      <c r="G7" s="5" t="s">
        <v>37</v>
      </c>
      <c r="H7" s="42" t="s">
        <v>37</v>
      </c>
      <c r="I7" s="40" t="s">
        <v>10</v>
      </c>
      <c r="J7" s="5" t="s">
        <v>37</v>
      </c>
      <c r="K7" s="5" t="s">
        <v>37</v>
      </c>
      <c r="L7" s="5" t="s">
        <v>37</v>
      </c>
      <c r="M7" s="5" t="s">
        <v>37</v>
      </c>
      <c r="N7" s="5" t="s">
        <v>37</v>
      </c>
      <c r="O7" s="5" t="s">
        <v>388</v>
      </c>
      <c r="P7" s="5" t="s">
        <v>389</v>
      </c>
    </row>
    <row r="8" spans="1:16" x14ac:dyDescent="0.35">
      <c r="A8" s="5">
        <v>2</v>
      </c>
      <c r="B8" s="5" t="str">
        <f t="shared" ref="B8:B10" si="0">CONCATENATE($B$2, ".", A8)</f>
        <v>A.2</v>
      </c>
      <c r="C8" s="42" t="s">
        <v>38</v>
      </c>
      <c r="D8" s="40" t="s">
        <v>310</v>
      </c>
      <c r="E8" s="40" t="s">
        <v>120</v>
      </c>
      <c r="F8" s="5" t="s">
        <v>37</v>
      </c>
      <c r="G8" s="5" t="s">
        <v>37</v>
      </c>
      <c r="H8" s="42" t="s">
        <v>37</v>
      </c>
      <c r="I8" s="40" t="s">
        <v>10</v>
      </c>
      <c r="J8" s="5" t="s">
        <v>37</v>
      </c>
      <c r="K8" s="5" t="s">
        <v>37</v>
      </c>
      <c r="L8" s="5" t="s">
        <v>37</v>
      </c>
      <c r="M8" s="5" t="s">
        <v>37</v>
      </c>
      <c r="N8" s="5" t="s">
        <v>37</v>
      </c>
    </row>
    <row r="9" spans="1:16" x14ac:dyDescent="0.35">
      <c r="A9" s="5">
        <v>3</v>
      </c>
      <c r="B9" s="5" t="str">
        <f t="shared" si="0"/>
        <v>A.3</v>
      </c>
      <c r="C9" s="51" t="s">
        <v>40</v>
      </c>
      <c r="D9" s="45" t="s">
        <v>132</v>
      </c>
      <c r="E9" s="40" t="s">
        <v>34</v>
      </c>
      <c r="F9" s="5" t="s">
        <v>37</v>
      </c>
      <c r="G9" s="5" t="s">
        <v>37</v>
      </c>
      <c r="H9" s="42" t="s">
        <v>37</v>
      </c>
      <c r="I9" s="40" t="s">
        <v>10</v>
      </c>
      <c r="J9" s="5" t="s">
        <v>37</v>
      </c>
      <c r="K9" s="5" t="s">
        <v>37</v>
      </c>
      <c r="L9" s="5" t="s">
        <v>37</v>
      </c>
      <c r="M9" s="5" t="s">
        <v>37</v>
      </c>
      <c r="N9" s="5" t="s">
        <v>37</v>
      </c>
    </row>
    <row r="10" spans="1:16" ht="81" customHeight="1" x14ac:dyDescent="0.35">
      <c r="A10" s="5">
        <v>4</v>
      </c>
      <c r="B10" s="5" t="str">
        <f t="shared" si="0"/>
        <v>A.4</v>
      </c>
      <c r="C10" s="51" t="s">
        <v>38</v>
      </c>
      <c r="D10" s="48" t="s">
        <v>485</v>
      </c>
      <c r="E10" s="40" t="s">
        <v>108</v>
      </c>
      <c r="F10" s="5" t="s">
        <v>37</v>
      </c>
      <c r="G10" s="5" t="s">
        <v>37</v>
      </c>
      <c r="H10" s="42" t="s">
        <v>37</v>
      </c>
      <c r="I10" s="40" t="s">
        <v>10</v>
      </c>
      <c r="J10" s="5" t="s">
        <v>37</v>
      </c>
      <c r="K10" s="5" t="s">
        <v>37</v>
      </c>
      <c r="L10" s="5" t="s">
        <v>37</v>
      </c>
      <c r="M10" s="5" t="s">
        <v>37</v>
      </c>
      <c r="N10" s="5" t="s">
        <v>37</v>
      </c>
      <c r="O10" s="5" t="s">
        <v>496</v>
      </c>
      <c r="P10" s="5" t="s">
        <v>429</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126" priority="7" operator="equal">
      <formula>"WIP (see comments)"</formula>
    </cfRule>
    <cfRule type="cellIs" dxfId="125" priority="8" operator="equal">
      <formula>"Removed"</formula>
    </cfRule>
    <cfRule type="cellIs" dxfId="124" priority="9" operator="equal">
      <formula>"Updated"</formula>
    </cfRule>
    <cfRule type="cellIs" dxfId="123" priority="10" operator="equal">
      <formula>"New"</formula>
    </cfRule>
  </conditionalFormatting>
  <conditionalFormatting sqref="D9">
    <cfRule type="cellIs" dxfId="122" priority="6" operator="equal">
      <formula>"-"</formula>
    </cfRule>
  </conditionalFormatting>
  <conditionalFormatting sqref="A2:XFD6 E7:XFD7 A8:XFD9 A7:C7 A1:C1 E1:XFD1 A11:XFD1048576 A10:C10 E10:XFD10">
    <cfRule type="cellIs" dxfId="121" priority="5" operator="equal">
      <formula>"n/a"</formula>
    </cfRule>
  </conditionalFormatting>
  <conditionalFormatting sqref="D7">
    <cfRule type="cellIs" dxfId="120" priority="4" operator="equal">
      <formula>"-"</formula>
    </cfRule>
  </conditionalFormatting>
  <conditionalFormatting sqref="D7">
    <cfRule type="cellIs" dxfId="119" priority="3" operator="equal">
      <formula>"n/a"</formula>
    </cfRule>
  </conditionalFormatting>
  <conditionalFormatting sqref="D1">
    <cfRule type="cellIs" dxfId="118" priority="2" operator="equal">
      <formula>"n/a"</formula>
    </cfRule>
  </conditionalFormatting>
  <conditionalFormatting sqref="D10">
    <cfRule type="cellIs" dxfId="117"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Values'!$A$5:$A$29</xm:f>
          </x14:formula1>
          <xm:sqref>E10:E1048576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1"/>
  <sheetViews>
    <sheetView workbookViewId="0">
      <pane xSplit="4" ySplit="6" topLeftCell="E7" activePane="bottomRight" state="frozen"/>
      <selection pane="topRight" activeCell="E1" sqref="E1"/>
      <selection pane="bottomLeft" activeCell="A7" sqref="A7"/>
      <selection pane="bottomRight" activeCell="E16" sqref="E16"/>
    </sheetView>
  </sheetViews>
  <sheetFormatPr defaultColWidth="9.1796875" defaultRowHeight="14.5" x14ac:dyDescent="0.35"/>
  <cols>
    <col min="1" max="1" width="14.7265625" style="5" customWidth="1"/>
    <col min="2" max="2" width="12.54296875" style="5" customWidth="1"/>
    <col min="3" max="3" width="15.816406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122</v>
      </c>
      <c r="C1" s="32"/>
      <c r="D1" s="29" t="s">
        <v>513</v>
      </c>
      <c r="H1" s="35"/>
    </row>
    <row r="2" spans="1:16" s="30" customFormat="1" ht="18.5" x14ac:dyDescent="0.35">
      <c r="A2" s="28" t="s">
        <v>7</v>
      </c>
      <c r="B2" s="36" t="s">
        <v>143</v>
      </c>
      <c r="C2" s="35"/>
      <c r="D2" s="36"/>
      <c r="H2" s="35"/>
    </row>
    <row r="3" spans="1:16" s="30" customFormat="1" ht="18.5" x14ac:dyDescent="0.35">
      <c r="A3" s="28" t="s">
        <v>44</v>
      </c>
      <c r="B3" s="36" t="s">
        <v>312</v>
      </c>
      <c r="C3" s="35"/>
      <c r="D3" s="63"/>
      <c r="H3" s="35"/>
    </row>
    <row r="4" spans="1:16" s="30" customFormat="1" ht="18.5" x14ac:dyDescent="0.35">
      <c r="A4" s="28" t="s">
        <v>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B.1</v>
      </c>
      <c r="C7" s="51" t="s">
        <v>41</v>
      </c>
      <c r="D7" s="5" t="s">
        <v>37</v>
      </c>
      <c r="E7" s="40" t="s">
        <v>119</v>
      </c>
      <c r="F7" s="5" t="s">
        <v>37</v>
      </c>
      <c r="G7" s="5" t="s">
        <v>37</v>
      </c>
      <c r="H7" s="42" t="s">
        <v>37</v>
      </c>
      <c r="I7" s="40" t="s">
        <v>10</v>
      </c>
      <c r="J7" s="5" t="s">
        <v>37</v>
      </c>
      <c r="K7" s="5" t="s">
        <v>37</v>
      </c>
      <c r="L7" s="5" t="s">
        <v>37</v>
      </c>
      <c r="M7" s="5" t="s">
        <v>37</v>
      </c>
      <c r="N7" s="5" t="s">
        <v>37</v>
      </c>
      <c r="O7" s="5" t="s">
        <v>390</v>
      </c>
      <c r="P7" s="5" t="s">
        <v>389</v>
      </c>
    </row>
    <row r="8" spans="1:16" x14ac:dyDescent="0.35">
      <c r="A8" s="5">
        <v>2</v>
      </c>
      <c r="B8" s="5" t="str">
        <f t="shared" ref="B8:B9" si="0">CONCATENATE($B$2, ".", A8)</f>
        <v>B.2</v>
      </c>
      <c r="C8" s="89" t="s">
        <v>41</v>
      </c>
      <c r="D8" s="40" t="s">
        <v>133</v>
      </c>
      <c r="E8" s="40" t="s">
        <v>120</v>
      </c>
      <c r="F8" s="5" t="s">
        <v>37</v>
      </c>
      <c r="G8" s="5" t="s">
        <v>37</v>
      </c>
      <c r="H8" s="42" t="s">
        <v>37</v>
      </c>
      <c r="I8" s="40" t="s">
        <v>10</v>
      </c>
      <c r="J8" s="5" t="s">
        <v>37</v>
      </c>
      <c r="K8" s="5" t="s">
        <v>37</v>
      </c>
      <c r="L8" s="5" t="s">
        <v>37</v>
      </c>
      <c r="M8" s="5" t="s">
        <v>37</v>
      </c>
      <c r="N8" s="5" t="s">
        <v>37</v>
      </c>
    </row>
    <row r="9" spans="1:16" ht="71.25" customHeight="1" x14ac:dyDescent="0.35">
      <c r="A9" s="5">
        <v>3</v>
      </c>
      <c r="B9" s="5" t="str">
        <f t="shared" si="0"/>
        <v>B.3</v>
      </c>
      <c r="C9" s="89" t="s">
        <v>41</v>
      </c>
      <c r="D9" s="48" t="s">
        <v>497</v>
      </c>
      <c r="E9" s="40" t="s">
        <v>108</v>
      </c>
      <c r="F9" s="5" t="s">
        <v>37</v>
      </c>
      <c r="G9" s="5" t="s">
        <v>37</v>
      </c>
      <c r="H9" s="42" t="s">
        <v>37</v>
      </c>
      <c r="I9" s="40" t="s">
        <v>10</v>
      </c>
      <c r="J9" s="5" t="s">
        <v>37</v>
      </c>
      <c r="K9" s="5" t="s">
        <v>37</v>
      </c>
      <c r="L9" s="5" t="s">
        <v>37</v>
      </c>
      <c r="M9" s="5" t="s">
        <v>37</v>
      </c>
      <c r="N9" s="5" t="s">
        <v>37</v>
      </c>
      <c r="O9" s="5" t="s">
        <v>498</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116" priority="10" operator="equal">
      <formula>"WIP (see comments)"</formula>
    </cfRule>
    <cfRule type="cellIs" dxfId="115" priority="11" operator="equal">
      <formula>"Removed"</formula>
    </cfRule>
    <cfRule type="cellIs" dxfId="114" priority="12" operator="equal">
      <formula>"Updated"</formula>
    </cfRule>
    <cfRule type="cellIs" dxfId="113" priority="13" operator="equal">
      <formula>"New"</formula>
    </cfRule>
  </conditionalFormatting>
  <conditionalFormatting sqref="A12:XFD1048576 A11:C11 E11:XFD11 P9:XFD9 A10:XFD10 A2:XFD2 Q7:XFD7 E7:O7 A8:XFD8 A9:C9 A7:C7 A1:C1 E1:XFD1 E9:N9 A4:XFD6 A3:C3 E3:XFD3 C8:C9">
    <cfRule type="cellIs" dxfId="112" priority="8" operator="equal">
      <formula>"n/a"</formula>
    </cfRule>
  </conditionalFormatting>
  <conditionalFormatting sqref="O9">
    <cfRule type="cellIs" dxfId="111" priority="7" operator="equal">
      <formula>"n/a"</formula>
    </cfRule>
  </conditionalFormatting>
  <conditionalFormatting sqref="P7">
    <cfRule type="cellIs" dxfId="110" priority="6" operator="equal">
      <formula>"n/a"</formula>
    </cfRule>
  </conditionalFormatting>
  <conditionalFormatting sqref="D7">
    <cfRule type="cellIs" dxfId="109" priority="5" operator="equal">
      <formula>"-"</formula>
    </cfRule>
  </conditionalFormatting>
  <conditionalFormatting sqref="D7">
    <cfRule type="cellIs" dxfId="108" priority="4" operator="equal">
      <formula>"n/a"</formula>
    </cfRule>
  </conditionalFormatting>
  <conditionalFormatting sqref="D1">
    <cfRule type="cellIs" dxfId="107" priority="3" operator="equal">
      <formula>"n/a"</formula>
    </cfRule>
  </conditionalFormatting>
  <conditionalFormatting sqref="D9">
    <cfRule type="cellIs" dxfId="106" priority="2" operator="equal">
      <formula>"n/a"</formula>
    </cfRule>
  </conditionalFormatting>
  <conditionalFormatting sqref="D3">
    <cfRule type="cellIs" dxfId="105" priority="1" operator="equal">
      <formula>"n/a"</formula>
    </cfRule>
  </conditionalFormatting>
  <dataValidations count="1">
    <dataValidation type="list" allowBlank="1" showInputMessage="1" showErrorMessage="1" sqref="E7: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E9:E1048576</xm:sqref>
        </x14:dataValidation>
        <x14:dataValidation type="list" allowBlank="1" showInputMessage="1" showErrorMessage="1">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123</v>
      </c>
      <c r="C1" s="32"/>
      <c r="D1" s="29"/>
      <c r="H1" s="35"/>
    </row>
    <row r="2" spans="1:16" s="30" customFormat="1" ht="18.5" x14ac:dyDescent="0.35">
      <c r="A2" s="28" t="s">
        <v>7</v>
      </c>
      <c r="B2" s="36" t="s">
        <v>144</v>
      </c>
      <c r="C2" s="35"/>
      <c r="D2" s="36"/>
      <c r="H2" s="35"/>
    </row>
    <row r="3" spans="1:16" s="30" customFormat="1" ht="18.5" x14ac:dyDescent="0.35">
      <c r="A3" s="28" t="s">
        <v>44</v>
      </c>
      <c r="B3" s="36" t="s">
        <v>315</v>
      </c>
      <c r="C3" s="35"/>
      <c r="D3" s="80"/>
      <c r="H3" s="35"/>
    </row>
    <row r="4" spans="1:16" s="30" customFormat="1" ht="18.5" x14ac:dyDescent="0.35">
      <c r="A4" s="28" t="s">
        <v>8</v>
      </c>
      <c r="B4" s="30" t="s">
        <v>237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C.1</v>
      </c>
      <c r="C7" s="51" t="s">
        <v>40</v>
      </c>
      <c r="D7" s="5" t="s">
        <v>37</v>
      </c>
      <c r="E7" s="40" t="s">
        <v>119</v>
      </c>
      <c r="F7" s="5" t="s">
        <v>37</v>
      </c>
      <c r="G7" s="5" t="s">
        <v>37</v>
      </c>
      <c r="H7" s="42" t="s">
        <v>37</v>
      </c>
      <c r="I7" s="40" t="s">
        <v>10</v>
      </c>
      <c r="J7" s="5" t="s">
        <v>37</v>
      </c>
      <c r="K7" s="5" t="s">
        <v>37</v>
      </c>
      <c r="L7" s="5" t="s">
        <v>37</v>
      </c>
      <c r="M7" s="5" t="s">
        <v>37</v>
      </c>
      <c r="N7" s="5" t="s">
        <v>37</v>
      </c>
      <c r="O7" s="5" t="s">
        <v>385</v>
      </c>
      <c r="P7" s="5" t="s">
        <v>389</v>
      </c>
    </row>
    <row r="8" spans="1:16" x14ac:dyDescent="0.35">
      <c r="A8" s="5">
        <v>2</v>
      </c>
      <c r="B8" s="5" t="str">
        <f t="shared" ref="B8:B10" si="0">CONCATENATE($B$2, ".", A8)</f>
        <v>C.2</v>
      </c>
      <c r="C8" s="84" t="s">
        <v>40</v>
      </c>
      <c r="D8" s="40" t="s">
        <v>124</v>
      </c>
      <c r="E8" s="40" t="s">
        <v>120</v>
      </c>
      <c r="F8" s="5" t="s">
        <v>37</v>
      </c>
      <c r="G8" s="5" t="s">
        <v>37</v>
      </c>
      <c r="H8" s="42" t="s">
        <v>37</v>
      </c>
      <c r="I8" s="40" t="s">
        <v>10</v>
      </c>
      <c r="J8" s="5" t="s">
        <v>37</v>
      </c>
      <c r="K8" s="5" t="s">
        <v>37</v>
      </c>
      <c r="L8" s="5" t="s">
        <v>37</v>
      </c>
      <c r="M8" s="5" t="s">
        <v>37</v>
      </c>
      <c r="N8" s="5" t="s">
        <v>37</v>
      </c>
    </row>
    <row r="9" spans="1:16" ht="29" x14ac:dyDescent="0.35">
      <c r="A9" s="5">
        <v>3</v>
      </c>
      <c r="B9" s="5" t="str">
        <f t="shared" si="0"/>
        <v>C.3</v>
      </c>
      <c r="C9" s="84" t="s">
        <v>40</v>
      </c>
      <c r="D9" s="5" t="s">
        <v>313</v>
      </c>
      <c r="E9" s="40" t="s">
        <v>34</v>
      </c>
      <c r="F9" s="5" t="s">
        <v>37</v>
      </c>
      <c r="G9" s="5" t="s">
        <v>37</v>
      </c>
      <c r="H9" s="42" t="s">
        <v>37</v>
      </c>
      <c r="I9" s="40" t="s">
        <v>10</v>
      </c>
      <c r="J9" s="5" t="s">
        <v>37</v>
      </c>
      <c r="K9" s="5" t="s">
        <v>37</v>
      </c>
      <c r="L9" s="5" t="s">
        <v>37</v>
      </c>
      <c r="M9" s="5" t="s">
        <v>37</v>
      </c>
      <c r="N9" s="5" t="s">
        <v>37</v>
      </c>
    </row>
    <row r="10" spans="1:16" ht="54" customHeight="1" x14ac:dyDescent="0.35">
      <c r="A10" s="5">
        <v>4</v>
      </c>
      <c r="B10" s="5" t="str">
        <f t="shared" si="0"/>
        <v>C.4</v>
      </c>
      <c r="C10" s="84" t="s">
        <v>40</v>
      </c>
      <c r="D10" s="5" t="s">
        <v>314</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104" priority="6" operator="equal">
      <formula>"WIP (see comments)"</formula>
    </cfRule>
    <cfRule type="cellIs" dxfId="103" priority="7" operator="equal">
      <formula>"Removed"</formula>
    </cfRule>
    <cfRule type="cellIs" dxfId="102" priority="8" operator="equal">
      <formula>"Updated"</formula>
    </cfRule>
    <cfRule type="cellIs" dxfId="101" priority="9" operator="equal">
      <formula>"New"</formula>
    </cfRule>
  </conditionalFormatting>
  <conditionalFormatting sqref="D9 D7">
    <cfRule type="cellIs" dxfId="100" priority="5" operator="equal">
      <formula>"-"</formula>
    </cfRule>
  </conditionalFormatting>
  <conditionalFormatting sqref="A2:XFD2 Q7:XFD7 A7:O7 A1:C1 E1:XFD1 A4:XFD6 A3:C3 E3:XFD3 A8:XFD1048576">
    <cfRule type="cellIs" dxfId="99" priority="4" operator="equal">
      <formula>"n/a"</formula>
    </cfRule>
  </conditionalFormatting>
  <conditionalFormatting sqref="P7">
    <cfRule type="cellIs" dxfId="98" priority="3" operator="equal">
      <formula>"n/a"</formula>
    </cfRule>
  </conditionalFormatting>
  <conditionalFormatting sqref="D1">
    <cfRule type="cellIs" dxfId="97" priority="2" operator="equal">
      <formula>"n/a"</formula>
    </cfRule>
  </conditionalFormatting>
  <conditionalFormatting sqref="D3">
    <cfRule type="cellIs" dxfId="96"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Values'!$A$5:$A$29</xm:f>
          </x14:formula1>
          <xm:sqref>E10:E1048576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125</v>
      </c>
      <c r="C1" s="32"/>
      <c r="D1" s="29"/>
      <c r="H1" s="35"/>
    </row>
    <row r="2" spans="1:16" s="30" customFormat="1" ht="18.5" x14ac:dyDescent="0.35">
      <c r="A2" s="28" t="s">
        <v>7</v>
      </c>
      <c r="B2" s="36" t="s">
        <v>145</v>
      </c>
      <c r="C2" s="35"/>
      <c r="D2" s="36"/>
      <c r="H2" s="35"/>
    </row>
    <row r="3" spans="1:16" s="30" customFormat="1" ht="18.5" x14ac:dyDescent="0.35">
      <c r="A3" s="28" t="s">
        <v>44</v>
      </c>
      <c r="B3" s="36" t="s">
        <v>316</v>
      </c>
      <c r="C3" s="35"/>
      <c r="D3" s="36" t="s">
        <v>501</v>
      </c>
      <c r="H3" s="35"/>
    </row>
    <row r="4" spans="1:16" s="30" customFormat="1" ht="18.5" x14ac:dyDescent="0.35">
      <c r="A4" s="28" t="s">
        <v>8</v>
      </c>
      <c r="B4" s="30" t="s">
        <v>126</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D.1</v>
      </c>
      <c r="C7" s="51" t="s">
        <v>40</v>
      </c>
      <c r="D7" s="5" t="s">
        <v>37</v>
      </c>
      <c r="E7" s="40" t="s">
        <v>119</v>
      </c>
      <c r="F7" s="5" t="s">
        <v>37</v>
      </c>
      <c r="G7" s="5" t="s">
        <v>37</v>
      </c>
      <c r="H7" s="42" t="s">
        <v>37</v>
      </c>
      <c r="I7" s="40" t="s">
        <v>10</v>
      </c>
      <c r="J7" s="5" t="s">
        <v>37</v>
      </c>
      <c r="K7" s="5" t="s">
        <v>37</v>
      </c>
      <c r="L7" s="5" t="s">
        <v>37</v>
      </c>
      <c r="M7" s="5" t="s">
        <v>37</v>
      </c>
      <c r="N7" s="5" t="s">
        <v>37</v>
      </c>
      <c r="O7" s="5" t="s">
        <v>386</v>
      </c>
      <c r="P7" s="5" t="s">
        <v>389</v>
      </c>
    </row>
    <row r="8" spans="1:16" x14ac:dyDescent="0.35">
      <c r="A8" s="5">
        <v>2</v>
      </c>
      <c r="B8" s="5" t="str">
        <f t="shared" ref="B8:B9" si="0">CONCATENATE($B$2, ".", A8)</f>
        <v>D.2</v>
      </c>
      <c r="C8" s="79" t="s">
        <v>40</v>
      </c>
      <c r="D8" s="40" t="s">
        <v>127</v>
      </c>
      <c r="E8" s="40" t="s">
        <v>120</v>
      </c>
      <c r="F8" s="5" t="s">
        <v>37</v>
      </c>
      <c r="G8" s="5" t="s">
        <v>37</v>
      </c>
      <c r="H8" s="42" t="s">
        <v>37</v>
      </c>
      <c r="I8" s="40" t="s">
        <v>10</v>
      </c>
      <c r="J8" s="5" t="s">
        <v>37</v>
      </c>
      <c r="K8" s="5" t="s">
        <v>37</v>
      </c>
      <c r="L8" s="5" t="s">
        <v>37</v>
      </c>
      <c r="M8" s="5" t="s">
        <v>37</v>
      </c>
      <c r="N8" s="5" t="s">
        <v>37</v>
      </c>
    </row>
    <row r="9" spans="1:16" ht="43.5" x14ac:dyDescent="0.35">
      <c r="A9" s="5">
        <v>3</v>
      </c>
      <c r="B9" s="5" t="str">
        <f t="shared" si="0"/>
        <v>D.3</v>
      </c>
      <c r="C9" s="79" t="s">
        <v>38</v>
      </c>
      <c r="D9" s="45" t="s">
        <v>499</v>
      </c>
      <c r="E9" s="40" t="s">
        <v>108</v>
      </c>
      <c r="F9" s="5" t="s">
        <v>37</v>
      </c>
      <c r="G9" s="5" t="s">
        <v>37</v>
      </c>
      <c r="H9" s="42" t="s">
        <v>37</v>
      </c>
      <c r="I9" s="40" t="s">
        <v>10</v>
      </c>
      <c r="J9" s="5" t="s">
        <v>37</v>
      </c>
      <c r="K9" s="5" t="s">
        <v>37</v>
      </c>
      <c r="L9" s="5" t="s">
        <v>37</v>
      </c>
      <c r="M9" s="5" t="s">
        <v>37</v>
      </c>
      <c r="N9" s="5" t="s">
        <v>37</v>
      </c>
      <c r="O9" s="5" t="s">
        <v>500</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95" priority="6" operator="equal">
      <formula>"WIP (see comments)"</formula>
    </cfRule>
    <cfRule type="cellIs" dxfId="94" priority="7" operator="equal">
      <formula>"Removed"</formula>
    </cfRule>
    <cfRule type="cellIs" dxfId="93" priority="8" operator="equal">
      <formula>"Updated"</formula>
    </cfRule>
    <cfRule type="cellIs" dxfId="92" priority="9" operator="equal">
      <formula>"New"</formula>
    </cfRule>
  </conditionalFormatting>
  <conditionalFormatting sqref="D9 D7">
    <cfRule type="cellIs" dxfId="91" priority="5" operator="equal">
      <formula>"-"</formula>
    </cfRule>
  </conditionalFormatting>
  <conditionalFormatting sqref="A2:XFD2 Q7:XFD7 A7:O7 A1:C1 E1:XFD1 A8:XFD1048576 A4:XFD6 A3:C3 E3:XFD3">
    <cfRule type="cellIs" dxfId="90" priority="4" operator="equal">
      <formula>"n/a"</formula>
    </cfRule>
  </conditionalFormatting>
  <conditionalFormatting sqref="P7">
    <cfRule type="cellIs" dxfId="89" priority="3" operator="equal">
      <formula>"n/a"</formula>
    </cfRule>
  </conditionalFormatting>
  <conditionalFormatting sqref="D1">
    <cfRule type="cellIs" dxfId="88" priority="2" operator="equal">
      <formula>"n/a"</formula>
    </cfRule>
  </conditionalFormatting>
  <conditionalFormatting sqref="D3">
    <cfRule type="cellIs" dxfId="87"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E10:E1048576</xm:sqref>
        </x14:dataValidation>
        <x14:dataValidation type="list" allowBlank="1" showInputMessage="1" showErrorMessage="1">
          <x14:formula1>
            <xm:f>'List Values'!$B$5:$B$13</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pane="topRight" activeCell="E1" sqref="E1"/>
      <selection pane="bottomLeft" activeCell="A7" sqref="A7"/>
      <selection pane="bottomRight" activeCell="D4" sqref="D4"/>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128</v>
      </c>
      <c r="C1" s="32"/>
      <c r="D1" s="29"/>
      <c r="H1" s="35"/>
    </row>
    <row r="2" spans="1:16" s="30" customFormat="1" ht="18.5" x14ac:dyDescent="0.35">
      <c r="A2" s="28" t="s">
        <v>7</v>
      </c>
      <c r="B2" s="36" t="s">
        <v>146</v>
      </c>
      <c r="C2" s="35"/>
      <c r="D2" s="36"/>
      <c r="H2" s="35"/>
    </row>
    <row r="3" spans="1:16" s="30" customFormat="1" ht="18.5" x14ac:dyDescent="0.35">
      <c r="A3" s="28" t="s">
        <v>44</v>
      </c>
      <c r="B3" s="36" t="s">
        <v>317</v>
      </c>
      <c r="C3" s="35"/>
      <c r="D3" s="36" t="s">
        <v>503</v>
      </c>
      <c r="H3" s="35"/>
    </row>
    <row r="4" spans="1:16" s="30" customFormat="1" ht="18.5" x14ac:dyDescent="0.35">
      <c r="A4" s="28" t="s">
        <v>8</v>
      </c>
      <c r="B4" s="30" t="s">
        <v>129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E.1</v>
      </c>
      <c r="C7" s="51" t="s">
        <v>40</v>
      </c>
      <c r="D7" s="5" t="s">
        <v>37</v>
      </c>
      <c r="E7" s="40" t="s">
        <v>119</v>
      </c>
      <c r="F7" s="5" t="s">
        <v>37</v>
      </c>
      <c r="G7" s="5" t="s">
        <v>37</v>
      </c>
      <c r="H7" s="42" t="s">
        <v>37</v>
      </c>
      <c r="I7" s="40" t="s">
        <v>10</v>
      </c>
      <c r="J7" s="5" t="s">
        <v>37</v>
      </c>
      <c r="K7" s="5" t="s">
        <v>37</v>
      </c>
      <c r="L7" s="5" t="s">
        <v>37</v>
      </c>
      <c r="M7" s="5" t="s">
        <v>37</v>
      </c>
      <c r="N7" s="5" t="s">
        <v>37</v>
      </c>
      <c r="O7" s="5" t="s">
        <v>391</v>
      </c>
      <c r="P7" s="5" t="s">
        <v>389</v>
      </c>
    </row>
    <row r="8" spans="1:16" x14ac:dyDescent="0.35">
      <c r="A8" s="5">
        <v>2</v>
      </c>
      <c r="B8" s="5" t="str">
        <f t="shared" ref="B8:B10" si="0">CONCATENATE($B$2, ".", A8)</f>
        <v>E.2</v>
      </c>
      <c r="C8" s="42" t="s">
        <v>38</v>
      </c>
      <c r="D8" s="40" t="s">
        <v>502</v>
      </c>
      <c r="E8" s="40" t="s">
        <v>120</v>
      </c>
      <c r="F8" s="5" t="s">
        <v>37</v>
      </c>
      <c r="G8" s="5" t="s">
        <v>37</v>
      </c>
      <c r="H8" s="42" t="s">
        <v>37</v>
      </c>
      <c r="I8" s="40" t="s">
        <v>10</v>
      </c>
      <c r="J8" s="5" t="s">
        <v>37</v>
      </c>
      <c r="K8" s="5" t="s">
        <v>37</v>
      </c>
      <c r="L8" s="5" t="s">
        <v>37</v>
      </c>
      <c r="M8" s="5" t="s">
        <v>37</v>
      </c>
      <c r="N8" s="5" t="s">
        <v>37</v>
      </c>
    </row>
    <row r="9" spans="1:16" ht="29" x14ac:dyDescent="0.35">
      <c r="A9" s="5">
        <v>3</v>
      </c>
      <c r="B9" s="5" t="str">
        <f t="shared" si="0"/>
        <v>E.3</v>
      </c>
      <c r="C9" s="51" t="s">
        <v>38</v>
      </c>
      <c r="D9" s="45" t="s">
        <v>318</v>
      </c>
      <c r="E9" s="40" t="s">
        <v>34</v>
      </c>
      <c r="F9" s="5" t="s">
        <v>37</v>
      </c>
      <c r="G9" s="5" t="s">
        <v>37</v>
      </c>
      <c r="H9" s="42" t="s">
        <v>37</v>
      </c>
      <c r="I9" s="40" t="s">
        <v>10</v>
      </c>
      <c r="J9" s="5" t="s">
        <v>37</v>
      </c>
      <c r="K9" s="5" t="s">
        <v>37</v>
      </c>
      <c r="L9" s="5" t="s">
        <v>37</v>
      </c>
      <c r="M9" s="5" t="s">
        <v>37</v>
      </c>
      <c r="N9" s="5" t="s">
        <v>37</v>
      </c>
    </row>
    <row r="10" spans="1:16" ht="79.5" customHeight="1" x14ac:dyDescent="0.35">
      <c r="A10" s="5">
        <v>4</v>
      </c>
      <c r="B10" s="5" t="str">
        <f t="shared" si="0"/>
        <v>E.4</v>
      </c>
      <c r="C10" s="51" t="s">
        <v>38</v>
      </c>
      <c r="D10" s="5" t="s">
        <v>319</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86" priority="6" operator="equal">
      <formula>"WIP (see comments)"</formula>
    </cfRule>
    <cfRule type="cellIs" dxfId="85" priority="7" operator="equal">
      <formula>"Removed"</formula>
    </cfRule>
    <cfRule type="cellIs" dxfId="84" priority="8" operator="equal">
      <formula>"Updated"</formula>
    </cfRule>
    <cfRule type="cellIs" dxfId="83" priority="9" operator="equal">
      <formula>"New"</formula>
    </cfRule>
  </conditionalFormatting>
  <conditionalFormatting sqref="D9 D7">
    <cfRule type="cellIs" dxfId="82" priority="5" operator="equal">
      <formula>"-"</formula>
    </cfRule>
  </conditionalFormatting>
  <conditionalFormatting sqref="A2:XFD2 Q7:XFD7 A8:XFD1048576 A7:O7 A1:C1 E1:XFD1 A4:XFD6 A3:C3 E3:XFD3">
    <cfRule type="cellIs" dxfId="81" priority="4" operator="equal">
      <formula>"n/a"</formula>
    </cfRule>
  </conditionalFormatting>
  <conditionalFormatting sqref="P7">
    <cfRule type="cellIs" dxfId="80" priority="3" operator="equal">
      <formula>"n/a"</formula>
    </cfRule>
  </conditionalFormatting>
  <conditionalFormatting sqref="D1">
    <cfRule type="cellIs" dxfId="79" priority="2" operator="equal">
      <formula>"n/a"</formula>
    </cfRule>
  </conditionalFormatting>
  <conditionalFormatting sqref="D3">
    <cfRule type="cellIs" dxfId="78"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Values'!$A$5:$A$29</xm:f>
          </x14:formula1>
          <xm:sqref>E10:E1048576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130</v>
      </c>
      <c r="C1" s="32"/>
      <c r="D1" s="29"/>
      <c r="H1" s="35"/>
    </row>
    <row r="2" spans="1:16" s="30" customFormat="1" ht="18.5" x14ac:dyDescent="0.35">
      <c r="A2" s="28" t="s">
        <v>7</v>
      </c>
      <c r="B2" s="36" t="s">
        <v>147</v>
      </c>
      <c r="C2" s="35"/>
      <c r="D2" s="36"/>
      <c r="H2" s="35"/>
    </row>
    <row r="3" spans="1:16" s="30" customFormat="1" ht="18.5" x14ac:dyDescent="0.35">
      <c r="A3" s="28" t="s">
        <v>44</v>
      </c>
      <c r="B3" s="36" t="s">
        <v>322</v>
      </c>
      <c r="C3" s="35"/>
      <c r="D3" s="36" t="s">
        <v>504</v>
      </c>
      <c r="H3" s="35"/>
    </row>
    <row r="4" spans="1:16" s="30" customFormat="1" ht="18.5" x14ac:dyDescent="0.35">
      <c r="A4" s="28" t="s">
        <v>8</v>
      </c>
      <c r="B4" s="30" t="s">
        <v>131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F.1</v>
      </c>
      <c r="C7" s="51" t="s">
        <v>38</v>
      </c>
      <c r="D7" s="40" t="s">
        <v>306</v>
      </c>
      <c r="E7" s="40" t="s">
        <v>120</v>
      </c>
      <c r="F7" s="5" t="s">
        <v>37</v>
      </c>
      <c r="G7" s="5" t="s">
        <v>37</v>
      </c>
      <c r="H7" s="51" t="s">
        <v>37</v>
      </c>
      <c r="I7" s="40" t="s">
        <v>10</v>
      </c>
      <c r="J7" s="5" t="s">
        <v>37</v>
      </c>
      <c r="K7" s="5" t="s">
        <v>37</v>
      </c>
      <c r="L7" s="5" t="s">
        <v>37</v>
      </c>
      <c r="M7" s="5" t="s">
        <v>37</v>
      </c>
      <c r="N7" s="5" t="s">
        <v>37</v>
      </c>
    </row>
    <row r="8" spans="1:16" ht="43.5" x14ac:dyDescent="0.35">
      <c r="A8" s="5">
        <v>2</v>
      </c>
      <c r="B8" s="5" t="str">
        <f t="shared" si="0"/>
        <v>F.2</v>
      </c>
      <c r="C8" s="51" t="s">
        <v>38</v>
      </c>
      <c r="D8" s="45" t="s">
        <v>213</v>
      </c>
      <c r="E8" s="40" t="s">
        <v>34</v>
      </c>
      <c r="F8" s="5" t="s">
        <v>37</v>
      </c>
      <c r="G8" s="5" t="s">
        <v>37</v>
      </c>
      <c r="H8" s="51" t="s">
        <v>37</v>
      </c>
      <c r="I8" s="40" t="s">
        <v>10</v>
      </c>
      <c r="J8" s="5" t="s">
        <v>37</v>
      </c>
      <c r="K8" s="5" t="s">
        <v>37</v>
      </c>
      <c r="L8" s="5" t="s">
        <v>37</v>
      </c>
      <c r="M8" s="5" t="s">
        <v>37</v>
      </c>
      <c r="N8" s="5" t="s">
        <v>37</v>
      </c>
      <c r="P8" s="5" t="s">
        <v>320</v>
      </c>
    </row>
    <row r="9" spans="1:16" x14ac:dyDescent="0.35">
      <c r="A9" s="5">
        <v>3</v>
      </c>
      <c r="B9" s="5" t="str">
        <f t="shared" si="0"/>
        <v>F.3</v>
      </c>
      <c r="C9" s="53" t="s">
        <v>40</v>
      </c>
      <c r="D9" s="45" t="s">
        <v>164</v>
      </c>
      <c r="E9" s="40" t="s">
        <v>33</v>
      </c>
      <c r="F9" s="5" t="s">
        <v>37</v>
      </c>
      <c r="G9" s="5" t="s">
        <v>37</v>
      </c>
      <c r="H9" s="51" t="s">
        <v>37</v>
      </c>
      <c r="I9" s="40" t="s">
        <v>10</v>
      </c>
      <c r="J9" s="5" t="s">
        <v>37</v>
      </c>
      <c r="K9" s="5" t="s">
        <v>37</v>
      </c>
      <c r="L9" s="5" t="s">
        <v>37</v>
      </c>
      <c r="M9" s="5" t="s">
        <v>37</v>
      </c>
      <c r="N9" s="5" t="s">
        <v>37</v>
      </c>
    </row>
    <row r="10" spans="1:16" x14ac:dyDescent="0.35">
      <c r="A10" s="5">
        <v>4</v>
      </c>
      <c r="B10" s="5" t="str">
        <f t="shared" si="0"/>
        <v>F.4</v>
      </c>
      <c r="C10" s="53" t="s">
        <v>40</v>
      </c>
      <c r="D10" s="5" t="s">
        <v>165</v>
      </c>
      <c r="E10" s="5" t="s">
        <v>43</v>
      </c>
      <c r="F10" s="5" t="s">
        <v>37</v>
      </c>
      <c r="G10" s="5" t="s">
        <v>37</v>
      </c>
      <c r="H10" s="51" t="s">
        <v>37</v>
      </c>
      <c r="I10" s="40" t="s">
        <v>10</v>
      </c>
      <c r="J10" s="5" t="s">
        <v>37</v>
      </c>
      <c r="K10" s="5" t="s">
        <v>37</v>
      </c>
      <c r="L10" s="5" t="s">
        <v>37</v>
      </c>
      <c r="M10" s="5" t="s">
        <v>37</v>
      </c>
      <c r="N10" s="5" t="s">
        <v>37</v>
      </c>
      <c r="O10" s="40" t="s">
        <v>321</v>
      </c>
    </row>
    <row r="11" spans="1:16" x14ac:dyDescent="0.35">
      <c r="A11" s="5">
        <v>5</v>
      </c>
      <c r="B11" s="5" t="str">
        <f t="shared" si="0"/>
        <v>F.5</v>
      </c>
      <c r="C11" s="53" t="s">
        <v>40</v>
      </c>
      <c r="D11" s="5" t="s">
        <v>206</v>
      </c>
      <c r="E11" s="5" t="s">
        <v>43</v>
      </c>
      <c r="F11" s="5" t="s">
        <v>37</v>
      </c>
      <c r="G11" s="5" t="s">
        <v>37</v>
      </c>
      <c r="H11" s="51" t="s">
        <v>37</v>
      </c>
      <c r="I11" s="40" t="s">
        <v>10</v>
      </c>
      <c r="J11" s="5" t="s">
        <v>37</v>
      </c>
      <c r="K11" s="5" t="s">
        <v>37</v>
      </c>
      <c r="L11" s="5" t="s">
        <v>37</v>
      </c>
      <c r="M11" s="5" t="s">
        <v>37</v>
      </c>
      <c r="N11" s="5" t="s">
        <v>37</v>
      </c>
      <c r="O11" s="40" t="s">
        <v>215</v>
      </c>
    </row>
  </sheetData>
  <autoFilter ref="A6:P6"/>
  <conditionalFormatting sqref="C12:C1048576">
    <cfRule type="cellIs" dxfId="77" priority="22" operator="equal">
      <formula>"WIP (see comments)"</formula>
    </cfRule>
    <cfRule type="cellIs" dxfId="76" priority="23" operator="equal">
      <formula>"Removed"</formula>
    </cfRule>
    <cfRule type="cellIs" dxfId="75" priority="24" operator="equal">
      <formula>"Updated"</formula>
    </cfRule>
    <cfRule type="cellIs" dxfId="74" priority="25" operator="equal">
      <formula>"New"</formula>
    </cfRule>
  </conditionalFormatting>
  <conditionalFormatting sqref="A2:XFD2 A12:XFD1048576 A1:C1 E1:XFD1 A4:XFD6 A3:C3 E3:XFD3">
    <cfRule type="cellIs" dxfId="73" priority="20" operator="equal">
      <formula>"n/a"</formula>
    </cfRule>
  </conditionalFormatting>
  <conditionalFormatting sqref="D8:D9">
    <cfRule type="cellIs" dxfId="72" priority="19" operator="equal">
      <formula>"-"</formula>
    </cfRule>
  </conditionalFormatting>
  <conditionalFormatting sqref="A8:B9 D8:XFD9">
    <cfRule type="cellIs" dxfId="71" priority="18" operator="equal">
      <formula>"n/a"</formula>
    </cfRule>
  </conditionalFormatting>
  <conditionalFormatting sqref="C7:C11">
    <cfRule type="cellIs" dxfId="70" priority="14" operator="equal">
      <formula>"WIP (see comments)"</formula>
    </cfRule>
    <cfRule type="cellIs" dxfId="69" priority="15" operator="equal">
      <formula>"Removed"</formula>
    </cfRule>
    <cfRule type="cellIs" dxfId="68" priority="16" operator="equal">
      <formula>"Updated"</formula>
    </cfRule>
    <cfRule type="cellIs" dxfId="67" priority="17" operator="equal">
      <formula>"New"</formula>
    </cfRule>
  </conditionalFormatting>
  <conditionalFormatting sqref="A7:XFD7 C8:C11">
    <cfRule type="cellIs" dxfId="66" priority="13" operator="equal">
      <formula>"n/a"</formula>
    </cfRule>
  </conditionalFormatting>
  <conditionalFormatting sqref="A10:B10 D10:XFD10">
    <cfRule type="cellIs" dxfId="65" priority="8" operator="equal">
      <formula>"n/a"</formula>
    </cfRule>
  </conditionalFormatting>
  <conditionalFormatting sqref="A11:B11 D11:XFD11">
    <cfRule type="cellIs" dxfId="64" priority="3" operator="equal">
      <formula>"n/a"</formula>
    </cfRule>
  </conditionalFormatting>
  <conditionalFormatting sqref="D1">
    <cfRule type="cellIs" dxfId="63" priority="2" operator="equal">
      <formula>"n/a"</formula>
    </cfRule>
  </conditionalFormatting>
  <conditionalFormatting sqref="D3">
    <cfRule type="cellIs" dxfId="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53" customWidth="1"/>
    <col min="4" max="4" width="45.1796875" style="5" customWidth="1"/>
    <col min="5" max="5" width="28.7265625" style="5" customWidth="1"/>
    <col min="6" max="6" width="37" style="5" customWidth="1"/>
    <col min="7" max="7" width="29.26953125" style="5" customWidth="1"/>
    <col min="8" max="8" width="11.54296875" style="5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172</v>
      </c>
      <c r="C1" s="32"/>
      <c r="D1" s="29"/>
      <c r="H1" s="35"/>
    </row>
    <row r="2" spans="1:16" s="30" customFormat="1" ht="18.5" x14ac:dyDescent="0.35">
      <c r="A2" s="28" t="s">
        <v>7</v>
      </c>
      <c r="B2" s="36" t="s">
        <v>170</v>
      </c>
      <c r="C2" s="35"/>
      <c r="D2" s="36"/>
      <c r="H2" s="35"/>
    </row>
    <row r="3" spans="1:16" s="30" customFormat="1" ht="18.5" x14ac:dyDescent="0.35">
      <c r="A3" s="28" t="s">
        <v>44</v>
      </c>
      <c r="B3" s="36" t="s">
        <v>323</v>
      </c>
      <c r="C3" s="35"/>
      <c r="D3" s="36" t="s">
        <v>69</v>
      </c>
      <c r="H3" s="35"/>
    </row>
    <row r="4" spans="1:16" s="30" customFormat="1" ht="18.5" x14ac:dyDescent="0.35">
      <c r="A4" s="28" t="s">
        <v>8</v>
      </c>
      <c r="B4" s="30" t="s">
        <v>171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G.1</v>
      </c>
      <c r="C7" s="53" t="s">
        <v>200</v>
      </c>
      <c r="D7" s="40" t="s">
        <v>173</v>
      </c>
      <c r="E7" s="40" t="s">
        <v>120</v>
      </c>
      <c r="F7" s="5" t="s">
        <v>37</v>
      </c>
      <c r="G7" s="5" t="s">
        <v>37</v>
      </c>
      <c r="H7" s="53" t="s">
        <v>37</v>
      </c>
      <c r="I7" s="40" t="s">
        <v>10</v>
      </c>
      <c r="J7" s="5" t="s">
        <v>37</v>
      </c>
      <c r="K7" s="5" t="s">
        <v>37</v>
      </c>
      <c r="L7" s="5" t="s">
        <v>37</v>
      </c>
      <c r="M7" s="5" t="s">
        <v>37</v>
      </c>
      <c r="N7" s="5" t="s">
        <v>37</v>
      </c>
    </row>
    <row r="8" spans="1:16" ht="29" x14ac:dyDescent="0.35">
      <c r="A8" s="5">
        <v>3</v>
      </c>
      <c r="B8" s="5" t="str">
        <f>CONCATENATE($B$2, ".", A8)</f>
        <v>G.3</v>
      </c>
      <c r="C8" s="73" t="s">
        <v>200</v>
      </c>
      <c r="D8" s="45" t="s">
        <v>177</v>
      </c>
      <c r="E8" s="40" t="s">
        <v>176</v>
      </c>
      <c r="F8" s="5" t="s">
        <v>37</v>
      </c>
      <c r="G8" s="5" t="s">
        <v>37</v>
      </c>
      <c r="H8" s="53" t="s">
        <v>37</v>
      </c>
      <c r="I8" s="40" t="s">
        <v>10</v>
      </c>
      <c r="J8" s="5" t="s">
        <v>37</v>
      </c>
      <c r="K8" s="5" t="s">
        <v>37</v>
      </c>
      <c r="L8" s="5" t="s">
        <v>37</v>
      </c>
      <c r="M8" s="5" t="s">
        <v>37</v>
      </c>
      <c r="N8" s="5" t="s">
        <v>37</v>
      </c>
      <c r="O8" s="5" t="s">
        <v>178</v>
      </c>
    </row>
    <row r="9" spans="1:16" ht="29" x14ac:dyDescent="0.35">
      <c r="A9" s="5">
        <v>2</v>
      </c>
      <c r="B9" s="5" t="str">
        <f t="shared" si="0"/>
        <v>G.2</v>
      </c>
      <c r="C9" s="73" t="s">
        <v>200</v>
      </c>
      <c r="D9" s="5" t="s">
        <v>174</v>
      </c>
      <c r="E9" s="40" t="s">
        <v>34</v>
      </c>
      <c r="F9" s="5" t="s">
        <v>37</v>
      </c>
      <c r="G9" s="5" t="s">
        <v>37</v>
      </c>
      <c r="H9" s="53" t="s">
        <v>37</v>
      </c>
      <c r="I9" s="40" t="s">
        <v>10</v>
      </c>
      <c r="J9" s="5" t="s">
        <v>37</v>
      </c>
      <c r="K9" s="5" t="s">
        <v>37</v>
      </c>
      <c r="L9" s="5" t="s">
        <v>37</v>
      </c>
      <c r="M9" s="5" t="s">
        <v>37</v>
      </c>
      <c r="N9" s="5" t="s">
        <v>37</v>
      </c>
    </row>
    <row r="10" spans="1:16" ht="43.5" x14ac:dyDescent="0.35">
      <c r="A10" s="5">
        <v>4</v>
      </c>
      <c r="B10" s="5" t="str">
        <f t="shared" si="0"/>
        <v>G.4</v>
      </c>
      <c r="C10" s="73" t="s">
        <v>200</v>
      </c>
      <c r="D10" s="5" t="s">
        <v>165</v>
      </c>
      <c r="E10" s="5" t="s">
        <v>43</v>
      </c>
      <c r="F10" s="5" t="s">
        <v>37</v>
      </c>
      <c r="G10" s="5" t="s">
        <v>37</v>
      </c>
      <c r="H10" s="53" t="s">
        <v>37</v>
      </c>
      <c r="I10" s="40" t="s">
        <v>10</v>
      </c>
      <c r="J10" s="5" t="s">
        <v>37</v>
      </c>
      <c r="K10" s="5" t="s">
        <v>37</v>
      </c>
      <c r="L10" s="5" t="s">
        <v>37</v>
      </c>
      <c r="M10" s="5" t="s">
        <v>37</v>
      </c>
      <c r="N10" s="5" t="s">
        <v>37</v>
      </c>
      <c r="O10" s="40" t="s">
        <v>175</v>
      </c>
    </row>
  </sheetData>
  <autoFilter ref="A6:P6"/>
  <conditionalFormatting sqref="C11:C1048576">
    <cfRule type="cellIs" dxfId="61" priority="12" operator="equal">
      <formula>"WIP (see comments)"</formula>
    </cfRule>
    <cfRule type="cellIs" dxfId="60" priority="13" operator="equal">
      <formula>"Removed"</formula>
    </cfRule>
    <cfRule type="cellIs" dxfId="59" priority="14" operator="equal">
      <formula>"Updated"</formula>
    </cfRule>
    <cfRule type="cellIs" dxfId="58" priority="15" operator="equal">
      <formula>"New"</formula>
    </cfRule>
  </conditionalFormatting>
  <conditionalFormatting sqref="A2:XFD6 A11:XFD1048576 A8:B9 D8:XFD9 A1:C1 E1:XFD1">
    <cfRule type="cellIs" dxfId="57" priority="11" operator="equal">
      <formula>"n/a"</formula>
    </cfRule>
  </conditionalFormatting>
  <conditionalFormatting sqref="D8:D9">
    <cfRule type="cellIs" dxfId="56" priority="10" operator="equal">
      <formula>"-"</formula>
    </cfRule>
  </conditionalFormatting>
  <conditionalFormatting sqref="C7:C10">
    <cfRule type="cellIs" dxfId="55" priority="5" operator="equal">
      <formula>"WIP (see comments)"</formula>
    </cfRule>
    <cfRule type="cellIs" dxfId="54" priority="6" operator="equal">
      <formula>"Removed"</formula>
    </cfRule>
    <cfRule type="cellIs" dxfId="53" priority="7" operator="equal">
      <formula>"Updated"</formula>
    </cfRule>
    <cfRule type="cellIs" dxfId="52" priority="8" operator="equal">
      <formula>"New"</formula>
    </cfRule>
  </conditionalFormatting>
  <conditionalFormatting sqref="A7:XFD7 C8:C10">
    <cfRule type="cellIs" dxfId="51" priority="4" operator="equal">
      <formula>"n/a"</formula>
    </cfRule>
  </conditionalFormatting>
  <conditionalFormatting sqref="A10:B10 D10:XFD10">
    <cfRule type="cellIs" dxfId="50" priority="3" operator="equal">
      <formula>"n/a"</formula>
    </cfRule>
  </conditionalFormatting>
  <conditionalFormatting sqref="D1">
    <cfRule type="cellIs" dxfId="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179</v>
      </c>
      <c r="C1" s="32"/>
      <c r="D1" s="29"/>
      <c r="H1" s="35"/>
    </row>
    <row r="2" spans="1:16" s="30" customFormat="1" ht="18.5" x14ac:dyDescent="0.35">
      <c r="A2" s="28" t="s">
        <v>7</v>
      </c>
      <c r="B2" s="36" t="s">
        <v>181</v>
      </c>
      <c r="C2" s="35"/>
      <c r="D2" s="36"/>
      <c r="H2" s="35"/>
    </row>
    <row r="3" spans="1:16" s="30" customFormat="1" ht="18.5" x14ac:dyDescent="0.35">
      <c r="A3" s="28" t="s">
        <v>44</v>
      </c>
      <c r="B3" s="36" t="s">
        <v>325</v>
      </c>
      <c r="C3" s="35"/>
      <c r="D3" s="36" t="s">
        <v>69</v>
      </c>
      <c r="H3" s="35"/>
    </row>
    <row r="4" spans="1:16" s="30" customFormat="1" ht="18.5" x14ac:dyDescent="0.35">
      <c r="A4" s="28" t="s">
        <v>8</v>
      </c>
      <c r="B4" s="30" t="s">
        <v>180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43.5" x14ac:dyDescent="0.35">
      <c r="A7" s="5">
        <v>1</v>
      </c>
      <c r="B7" s="5" t="str">
        <f t="shared" ref="B7" si="0">CONCATENATE($B$2, ".", A7)</f>
        <v>H.1</v>
      </c>
      <c r="C7" s="69" t="s">
        <v>40</v>
      </c>
      <c r="D7" s="40" t="s">
        <v>37</v>
      </c>
      <c r="E7" s="40" t="s">
        <v>119</v>
      </c>
      <c r="F7" s="5" t="s">
        <v>37</v>
      </c>
      <c r="G7" s="5" t="s">
        <v>37</v>
      </c>
      <c r="H7" s="69" t="s">
        <v>37</v>
      </c>
      <c r="I7" s="40" t="s">
        <v>10</v>
      </c>
      <c r="J7" s="5" t="s">
        <v>37</v>
      </c>
      <c r="K7" s="5" t="s">
        <v>37</v>
      </c>
      <c r="L7" s="5" t="s">
        <v>37</v>
      </c>
      <c r="M7" s="5" t="s">
        <v>37</v>
      </c>
      <c r="N7" s="5" t="s">
        <v>37</v>
      </c>
      <c r="O7" s="40" t="s">
        <v>505</v>
      </c>
    </row>
  </sheetData>
  <autoFilter ref="A6:P6"/>
  <conditionalFormatting sqref="C8:C1048576">
    <cfRule type="cellIs" dxfId="48" priority="12" operator="equal">
      <formula>"WIP (see comments)"</formula>
    </cfRule>
    <cfRule type="cellIs" dxfId="47" priority="13" operator="equal">
      <formula>"Removed"</formula>
    </cfRule>
    <cfRule type="cellIs" dxfId="46" priority="14" operator="equal">
      <formula>"Updated"</formula>
    </cfRule>
    <cfRule type="cellIs" dxfId="45" priority="15" operator="equal">
      <formula>"New"</formula>
    </cfRule>
  </conditionalFormatting>
  <conditionalFormatting sqref="A2:XFD6 A8:XFD1048576 A1:C1 E1:XFD1">
    <cfRule type="cellIs" dxfId="44" priority="11" operator="equal">
      <formula>"n/a"</formula>
    </cfRule>
  </conditionalFormatting>
  <conditionalFormatting sqref="C7">
    <cfRule type="cellIs" dxfId="43" priority="6" operator="equal">
      <formula>"WIP (see comments)"</formula>
    </cfRule>
    <cfRule type="cellIs" dxfId="42" priority="7" operator="equal">
      <formula>"Removed"</formula>
    </cfRule>
    <cfRule type="cellIs" dxfId="41" priority="8" operator="equal">
      <formula>"Updated"</formula>
    </cfRule>
    <cfRule type="cellIs" dxfId="40" priority="9" operator="equal">
      <formula>"New"</formula>
    </cfRule>
  </conditionalFormatting>
  <conditionalFormatting sqref="A7:N7 P7:XFD7">
    <cfRule type="cellIs" dxfId="39" priority="5" operator="equal">
      <formula>"n/a"</formula>
    </cfRule>
  </conditionalFormatting>
  <conditionalFormatting sqref="D1">
    <cfRule type="cellIs" dxfId="38" priority="2" operator="equal">
      <formula>"n/a"</formula>
    </cfRule>
  </conditionalFormatting>
  <conditionalFormatting sqref="O7">
    <cfRule type="cellIs" dxfId="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Values'!$A$5:$A$29</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202</v>
      </c>
      <c r="C1" s="32"/>
      <c r="D1" s="29"/>
      <c r="H1" s="35"/>
    </row>
    <row r="2" spans="1:16" s="30" customFormat="1" ht="18.5" x14ac:dyDescent="0.35">
      <c r="A2" s="28" t="s">
        <v>7</v>
      </c>
      <c r="B2" s="36" t="s">
        <v>201</v>
      </c>
      <c r="C2" s="35"/>
      <c r="D2" s="36"/>
      <c r="H2" s="35"/>
    </row>
    <row r="3" spans="1:16" s="30" customFormat="1" ht="18.5" x14ac:dyDescent="0.35">
      <c r="A3" s="28" t="s">
        <v>44</v>
      </c>
      <c r="B3" s="36" t="s">
        <v>324</v>
      </c>
      <c r="C3" s="35"/>
      <c r="D3" s="63" t="s">
        <v>509</v>
      </c>
      <c r="H3" s="35"/>
    </row>
    <row r="4" spans="1:16" s="30" customFormat="1" ht="18.5" x14ac:dyDescent="0.35">
      <c r="A4" s="28" t="s">
        <v>8</v>
      </c>
      <c r="B4" s="30" t="s">
        <v>205</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I.1</v>
      </c>
      <c r="C7" s="73" t="s">
        <v>38</v>
      </c>
      <c r="D7" s="40" t="s">
        <v>508</v>
      </c>
      <c r="E7" s="40" t="s">
        <v>120</v>
      </c>
      <c r="F7" s="5" t="s">
        <v>37</v>
      </c>
      <c r="G7" s="5" t="s">
        <v>37</v>
      </c>
      <c r="H7" s="73" t="s">
        <v>37</v>
      </c>
      <c r="I7" s="40" t="s">
        <v>10</v>
      </c>
      <c r="J7" s="5" t="s">
        <v>37</v>
      </c>
      <c r="K7" s="5" t="s">
        <v>37</v>
      </c>
      <c r="L7" s="5" t="s">
        <v>37</v>
      </c>
      <c r="M7" s="5" t="s">
        <v>37</v>
      </c>
      <c r="N7" s="5" t="s">
        <v>37</v>
      </c>
    </row>
    <row r="8" spans="1:16" ht="92" customHeight="1" x14ac:dyDescent="0.35">
      <c r="A8" s="5">
        <v>2</v>
      </c>
      <c r="B8" s="5" t="str">
        <f t="shared" si="0"/>
        <v>I.2</v>
      </c>
      <c r="C8" s="74" t="s">
        <v>38</v>
      </c>
      <c r="D8" s="81" t="s">
        <v>506</v>
      </c>
      <c r="E8" s="40" t="s">
        <v>34</v>
      </c>
      <c r="F8" s="5" t="s">
        <v>37</v>
      </c>
      <c r="G8" s="5" t="s">
        <v>37</v>
      </c>
      <c r="H8" s="73" t="s">
        <v>37</v>
      </c>
      <c r="I8" s="40" t="s">
        <v>10</v>
      </c>
      <c r="J8" s="5" t="s">
        <v>37</v>
      </c>
      <c r="K8" s="5" t="s">
        <v>37</v>
      </c>
      <c r="L8" s="5" t="s">
        <v>37</v>
      </c>
      <c r="M8" s="5" t="s">
        <v>37</v>
      </c>
      <c r="N8" s="5" t="s">
        <v>37</v>
      </c>
      <c r="O8" s="5" t="s">
        <v>507</v>
      </c>
    </row>
    <row r="9" spans="1:16" x14ac:dyDescent="0.35">
      <c r="A9" s="5">
        <v>3</v>
      </c>
      <c r="B9" s="5" t="str">
        <f t="shared" si="0"/>
        <v>I.3</v>
      </c>
      <c r="C9" s="74" t="s">
        <v>200</v>
      </c>
      <c r="D9" s="45" t="s">
        <v>203</v>
      </c>
      <c r="E9" s="40" t="s">
        <v>36</v>
      </c>
      <c r="F9" s="5" t="s">
        <v>37</v>
      </c>
      <c r="G9" s="5" t="s">
        <v>37</v>
      </c>
      <c r="H9" s="73" t="s">
        <v>37</v>
      </c>
      <c r="I9" s="40" t="s">
        <v>10</v>
      </c>
      <c r="J9" s="5" t="s">
        <v>37</v>
      </c>
      <c r="K9" s="5" t="s">
        <v>37</v>
      </c>
      <c r="L9" s="5" t="s">
        <v>37</v>
      </c>
      <c r="M9" s="5" t="s">
        <v>37</v>
      </c>
      <c r="N9" s="5" t="s">
        <v>37</v>
      </c>
    </row>
    <row r="10" spans="1:16" ht="29" x14ac:dyDescent="0.35">
      <c r="A10" s="5">
        <v>4</v>
      </c>
      <c r="B10" s="5" t="str">
        <f t="shared" si="0"/>
        <v>I.4</v>
      </c>
      <c r="C10" s="74" t="s">
        <v>200</v>
      </c>
      <c r="D10" s="5" t="s">
        <v>204</v>
      </c>
      <c r="E10" s="40" t="s">
        <v>34</v>
      </c>
      <c r="F10" s="5" t="s">
        <v>37</v>
      </c>
      <c r="G10" s="5" t="s">
        <v>37</v>
      </c>
      <c r="H10" s="73" t="s">
        <v>37</v>
      </c>
      <c r="I10" s="40" t="s">
        <v>10</v>
      </c>
      <c r="J10" s="5" t="s">
        <v>37</v>
      </c>
      <c r="K10" s="5" t="s">
        <v>37</v>
      </c>
      <c r="L10" s="5" t="s">
        <v>37</v>
      </c>
      <c r="M10" s="5" t="s">
        <v>37</v>
      </c>
      <c r="N10" s="5" t="s">
        <v>37</v>
      </c>
      <c r="O10" s="40"/>
    </row>
  </sheetData>
  <autoFilter ref="A6:P6"/>
  <conditionalFormatting sqref="C11:C1048576">
    <cfRule type="cellIs" dxfId="36" priority="17" operator="equal">
      <formula>"WIP (see comments)"</formula>
    </cfRule>
    <cfRule type="cellIs" dxfId="35" priority="18" operator="equal">
      <formula>"Removed"</formula>
    </cfRule>
    <cfRule type="cellIs" dxfId="34" priority="19" operator="equal">
      <formula>"Updated"</formula>
    </cfRule>
    <cfRule type="cellIs" dxfId="33" priority="20" operator="equal">
      <formula>"New"</formula>
    </cfRule>
  </conditionalFormatting>
  <conditionalFormatting sqref="A2:XFD2 A11:XFD1048576 A1:C1 E1:XFD1 A4:XFD6 A3:C3 E3:XFD3">
    <cfRule type="cellIs" dxfId="32" priority="16" operator="equal">
      <formula>"n/a"</formula>
    </cfRule>
  </conditionalFormatting>
  <conditionalFormatting sqref="D9">
    <cfRule type="cellIs" dxfId="31" priority="15" operator="equal">
      <formula>"-"</formula>
    </cfRule>
  </conditionalFormatting>
  <conditionalFormatting sqref="A8:B9 D9:XFD9 E8:N8 P8:XFD8">
    <cfRule type="cellIs" dxfId="30" priority="14" operator="equal">
      <formula>"n/a"</formula>
    </cfRule>
  </conditionalFormatting>
  <conditionalFormatting sqref="C7:C10">
    <cfRule type="cellIs" dxfId="29" priority="10" operator="equal">
      <formula>"WIP (see comments)"</formula>
    </cfRule>
    <cfRule type="cellIs" dxfId="28" priority="11" operator="equal">
      <formula>"Removed"</formula>
    </cfRule>
    <cfRule type="cellIs" dxfId="27" priority="12" operator="equal">
      <formula>"Updated"</formula>
    </cfRule>
    <cfRule type="cellIs" dxfId="26" priority="13" operator="equal">
      <formula>"New"</formula>
    </cfRule>
  </conditionalFormatting>
  <conditionalFormatting sqref="A7:XFD7 C8:C10">
    <cfRule type="cellIs" dxfId="25" priority="9" operator="equal">
      <formula>"n/a"</formula>
    </cfRule>
  </conditionalFormatting>
  <conditionalFormatting sqref="A10:B10 D10 F10:XFD10">
    <cfRule type="cellIs" dxfId="24" priority="8" operator="equal">
      <formula>"n/a"</formula>
    </cfRule>
  </conditionalFormatting>
  <conditionalFormatting sqref="E10">
    <cfRule type="cellIs" dxfId="23" priority="6" operator="equal">
      <formula>"n/a"</formula>
    </cfRule>
  </conditionalFormatting>
  <conditionalFormatting sqref="O8">
    <cfRule type="cellIs" dxfId="22" priority="5" operator="equal">
      <formula>"n/a"</formula>
    </cfRule>
  </conditionalFormatting>
  <conditionalFormatting sqref="D1">
    <cfRule type="cellIs" dxfId="21" priority="4" operator="equal">
      <formula>"n/a"</formula>
    </cfRule>
  </conditionalFormatting>
  <conditionalFormatting sqref="D8">
    <cfRule type="cellIs" dxfId="20" priority="3" operator="equal">
      <formula>"-"</formula>
    </cfRule>
  </conditionalFormatting>
  <conditionalFormatting sqref="D8">
    <cfRule type="cellIs" dxfId="19" priority="2" operator="equal">
      <formula>"n/a"</formula>
    </cfRule>
  </conditionalFormatting>
  <conditionalFormatting sqref="D3">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Values'!$A$5:$A$29</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9.26953125" style="86" customWidth="1"/>
    <col min="4" max="4" width="45.1796875" style="5" customWidth="1"/>
    <col min="5" max="5" width="28.7265625" style="5" customWidth="1"/>
    <col min="6" max="6" width="37" style="5" customWidth="1"/>
    <col min="7" max="7" width="29.26953125" style="5" customWidth="1"/>
    <col min="8" max="8" width="11.54296875" style="8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396</v>
      </c>
      <c r="C1" s="32"/>
      <c r="D1" s="29"/>
      <c r="H1" s="35"/>
    </row>
    <row r="2" spans="1:16" s="30" customFormat="1" ht="18.5" x14ac:dyDescent="0.35">
      <c r="A2" s="28" t="s">
        <v>7</v>
      </c>
      <c r="B2" s="36" t="s">
        <v>395</v>
      </c>
      <c r="C2" s="35"/>
      <c r="D2" s="36"/>
      <c r="H2" s="35"/>
    </row>
    <row r="3" spans="1:16" s="30" customFormat="1" ht="18.5" x14ac:dyDescent="0.35">
      <c r="A3" s="28" t="s">
        <v>44</v>
      </c>
      <c r="B3" s="36" t="s">
        <v>397</v>
      </c>
      <c r="C3" s="35"/>
      <c r="D3" s="36" t="s">
        <v>512</v>
      </c>
      <c r="H3" s="35"/>
    </row>
    <row r="4" spans="1:16" s="30" customFormat="1" ht="18.5" x14ac:dyDescent="0.35">
      <c r="A4" s="28" t="s">
        <v>8</v>
      </c>
      <c r="B4" s="30" t="s">
        <v>237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J.1</v>
      </c>
      <c r="C7" s="86" t="s">
        <v>40</v>
      </c>
      <c r="D7" s="40" t="s">
        <v>392</v>
      </c>
      <c r="E7" s="40" t="s">
        <v>119</v>
      </c>
      <c r="F7" s="5" t="s">
        <v>37</v>
      </c>
      <c r="G7" s="5" t="s">
        <v>37</v>
      </c>
      <c r="H7" s="86" t="s">
        <v>37</v>
      </c>
      <c r="I7" s="40" t="s">
        <v>10</v>
      </c>
      <c r="J7" s="5" t="s">
        <v>37</v>
      </c>
      <c r="K7" s="5" t="s">
        <v>37</v>
      </c>
      <c r="L7" s="5" t="s">
        <v>37</v>
      </c>
      <c r="M7" s="5" t="s">
        <v>37</v>
      </c>
      <c r="N7" s="5" t="s">
        <v>37</v>
      </c>
      <c r="O7" s="5" t="s">
        <v>393</v>
      </c>
      <c r="P7" s="5" t="s">
        <v>394</v>
      </c>
    </row>
    <row r="8" spans="1:16" x14ac:dyDescent="0.35">
      <c r="A8" s="5">
        <v>2</v>
      </c>
      <c r="B8" s="5" t="str">
        <f t="shared" si="0"/>
        <v>J.2</v>
      </c>
      <c r="C8" s="86" t="s">
        <v>38</v>
      </c>
      <c r="D8" s="40" t="s">
        <v>510</v>
      </c>
      <c r="E8" s="40" t="s">
        <v>120</v>
      </c>
      <c r="F8" s="5" t="s">
        <v>37</v>
      </c>
      <c r="G8" s="5" t="s">
        <v>37</v>
      </c>
      <c r="H8" s="86" t="s">
        <v>37</v>
      </c>
      <c r="I8" s="40" t="s">
        <v>10</v>
      </c>
      <c r="J8" s="5" t="s">
        <v>37</v>
      </c>
      <c r="K8" s="5" t="s">
        <v>37</v>
      </c>
      <c r="L8" s="5" t="s">
        <v>37</v>
      </c>
      <c r="M8" s="5" t="s">
        <v>37</v>
      </c>
      <c r="N8" s="5" t="s">
        <v>37</v>
      </c>
      <c r="P8" s="5" t="s">
        <v>489</v>
      </c>
    </row>
    <row r="9" spans="1:16" ht="122.5" customHeight="1" x14ac:dyDescent="0.35">
      <c r="A9" s="5">
        <v>3</v>
      </c>
      <c r="B9" s="5" t="str">
        <f t="shared" si="0"/>
        <v>J.3</v>
      </c>
      <c r="C9" s="89" t="s">
        <v>38</v>
      </c>
      <c r="D9" s="81" t="s">
        <v>511</v>
      </c>
      <c r="E9" s="40" t="s">
        <v>34</v>
      </c>
      <c r="F9" s="5" t="s">
        <v>37</v>
      </c>
      <c r="G9" s="5" t="s">
        <v>37</v>
      </c>
      <c r="H9" s="86" t="s">
        <v>37</v>
      </c>
      <c r="I9" s="40" t="s">
        <v>10</v>
      </c>
      <c r="J9" s="5" t="s">
        <v>37</v>
      </c>
      <c r="K9" s="5" t="s">
        <v>37</v>
      </c>
      <c r="L9" s="5" t="s">
        <v>37</v>
      </c>
      <c r="M9" s="5" t="s">
        <v>37</v>
      </c>
      <c r="N9" s="5" t="s">
        <v>37</v>
      </c>
      <c r="O9" s="5" t="s">
        <v>507</v>
      </c>
      <c r="P9" s="5" t="s">
        <v>489</v>
      </c>
    </row>
    <row r="10" spans="1:16" x14ac:dyDescent="0.35">
      <c r="A10" s="5">
        <v>4</v>
      </c>
      <c r="B10" s="5" t="str">
        <f t="shared" si="0"/>
        <v>J.4</v>
      </c>
      <c r="C10" s="86" t="s">
        <v>40</v>
      </c>
      <c r="D10" s="45" t="s">
        <v>203</v>
      </c>
      <c r="E10" s="40" t="s">
        <v>36</v>
      </c>
      <c r="F10" s="5" t="s">
        <v>37</v>
      </c>
      <c r="G10" s="5" t="s">
        <v>37</v>
      </c>
      <c r="H10" s="86" t="s">
        <v>37</v>
      </c>
      <c r="I10" s="40" t="s">
        <v>10</v>
      </c>
      <c r="J10" s="5" t="s">
        <v>37</v>
      </c>
      <c r="K10" s="5" t="s">
        <v>37</v>
      </c>
      <c r="L10" s="5" t="s">
        <v>37</v>
      </c>
      <c r="M10" s="5" t="s">
        <v>37</v>
      </c>
      <c r="N10" s="5" t="s">
        <v>37</v>
      </c>
    </row>
    <row r="11" spans="1:16" ht="29" x14ac:dyDescent="0.35">
      <c r="A11" s="5">
        <v>5</v>
      </c>
      <c r="B11" s="5" t="str">
        <f t="shared" si="0"/>
        <v>J.5</v>
      </c>
      <c r="C11" s="86" t="s">
        <v>40</v>
      </c>
      <c r="D11" s="5" t="s">
        <v>204</v>
      </c>
      <c r="E11" s="40" t="s">
        <v>34</v>
      </c>
      <c r="F11" s="5" t="s">
        <v>37</v>
      </c>
      <c r="G11" s="5" t="s">
        <v>37</v>
      </c>
      <c r="H11" s="86" t="s">
        <v>37</v>
      </c>
      <c r="I11" s="40" t="s">
        <v>10</v>
      </c>
      <c r="J11" s="5" t="s">
        <v>37</v>
      </c>
      <c r="K11" s="5" t="s">
        <v>37</v>
      </c>
      <c r="L11" s="5" t="s">
        <v>37</v>
      </c>
      <c r="M11" s="5" t="s">
        <v>37</v>
      </c>
      <c r="N11" s="5" t="s">
        <v>37</v>
      </c>
      <c r="O11" s="40"/>
    </row>
  </sheetData>
  <autoFilter ref="A6:P6"/>
  <conditionalFormatting sqref="C12:C1048576">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A2:XFD6 A12:XFD1048576 A1:C1 E1:XFD1">
    <cfRule type="cellIs" dxfId="13" priority="14" operator="equal">
      <formula>"n/a"</formula>
    </cfRule>
  </conditionalFormatting>
  <conditionalFormatting sqref="D10">
    <cfRule type="cellIs" dxfId="12" priority="13" operator="equal">
      <formula>"-"</formula>
    </cfRule>
  </conditionalFormatting>
  <conditionalFormatting sqref="A9:B10 D10:XFD10 E9:N9 P9:XFD9">
    <cfRule type="cellIs" dxfId="11" priority="12" operator="equal">
      <formula>"n/a"</formula>
    </cfRule>
  </conditionalFormatting>
  <conditionalFormatting sqref="C7:C11">
    <cfRule type="cellIs" dxfId="10" priority="8" operator="equal">
      <formula>"WIP (see comments)"</formula>
    </cfRule>
    <cfRule type="cellIs" dxfId="9" priority="9" operator="equal">
      <formula>"Removed"</formula>
    </cfRule>
    <cfRule type="cellIs" dxfId="8" priority="10" operator="equal">
      <formula>"Updated"</formula>
    </cfRule>
    <cfRule type="cellIs" dxfId="7" priority="11" operator="equal">
      <formula>"New"</formula>
    </cfRule>
  </conditionalFormatting>
  <conditionalFormatting sqref="A7:XFD8 C8:C11">
    <cfRule type="cellIs" dxfId="6" priority="7" operator="equal">
      <formula>"n/a"</formula>
    </cfRule>
  </conditionalFormatting>
  <conditionalFormatting sqref="A11:B11 D11 F11:XFD11">
    <cfRule type="cellIs" dxfId="5" priority="6" operator="equal">
      <formula>"n/a"</formula>
    </cfRule>
  </conditionalFormatting>
  <conditionalFormatting sqref="E11">
    <cfRule type="cellIs" dxfId="4" priority="5" operator="equal">
      <formula>"n/a"</formula>
    </cfRule>
  </conditionalFormatting>
  <conditionalFormatting sqref="O9">
    <cfRule type="cellIs" dxfId="3" priority="4" operator="equal">
      <formula>"n/a"</formula>
    </cfRule>
  </conditionalFormatting>
  <conditionalFormatting sqref="D1">
    <cfRule type="cellIs" dxfId="2" priority="3" operator="equal">
      <formula>"n/a"</formula>
    </cfRule>
  </conditionalFormatting>
  <conditionalFormatting sqref="D9">
    <cfRule type="cellIs" dxfId="1" priority="2" operator="equal">
      <formula>"-"</formula>
    </cfRule>
  </conditionalFormatting>
  <conditionalFormatting sqref="D9">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Values'!$A$5:$A$29</xm:f>
          </x14:formula1>
          <xm:sqref>E7:E1048576</xm:sqref>
        </x14:dataValidation>
        <x14:dataValidation type="list" allowBlank="1" showInputMessage="1" showErrorMessage="1">
          <x14:formula1>
            <xm:f>'List Values'!$B$5:$B$12</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873DF4-A2F2-46E7-AEB7-94876694B737}">
  <ds:schemaRef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FBFEE26-D9EA-4C5A-92F5-F1DF9C7FFD9B}">
  <ds:schemaRefs>
    <ds:schemaRef ds:uri="http://schemas.microsoft.com/sharepoint/v3/contenttype/forms"/>
  </ds:schemaRefs>
</ds:datastoreItem>
</file>

<file path=customXml/itemProps3.xml><?xml version="1.0" encoding="utf-8"?>
<ds:datastoreItem xmlns:ds="http://schemas.openxmlformats.org/officeDocument/2006/customXml" ds:itemID="{AB9027C5-4C9C-47A6-8623-A642694E54BF}"/>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Revision Control</vt:lpstr>
      <vt:lpstr>List Values</vt:lpstr>
      <vt:lpstr>1. Entry Page</vt:lpstr>
      <vt:lpstr>2. Landing Page</vt:lpstr>
      <vt:lpstr>3. Existing Cust. Check</vt:lpstr>
      <vt:lpstr>4. Contact Info</vt:lpstr>
      <vt:lpstr>4a. Mobile Verify</vt:lpstr>
      <vt:lpstr>5. Qualifying Questions</vt:lpstr>
      <vt:lpstr>6. IDScan</vt:lpstr>
      <vt:lpstr>7. Name &amp; Address</vt:lpstr>
      <vt:lpstr>DEPRECATED Address</vt:lpstr>
      <vt:lpstr>8. Birthday, SIN &amp; Occ.</vt:lpstr>
      <vt:lpstr>9. Security Question</vt:lpstr>
      <vt:lpstr>10. eConsent</vt:lpstr>
      <vt:lpstr>11. Alternate IDV</vt:lpstr>
      <vt:lpstr>12. Flinks</vt:lpstr>
      <vt:lpstr>13. Manual IDV</vt:lpstr>
      <vt:lpstr>DEPRECATED Dynamic Disclosures</vt:lpstr>
      <vt:lpstr>DEPRECATED Account Options</vt:lpstr>
      <vt:lpstr>A. Generic Error</vt:lpstr>
      <vt:lpstr>DEPRECATED Manual Review</vt:lpstr>
      <vt:lpstr>C. Decline</vt:lpstr>
      <vt:lpstr>D. Cancel</vt:lpstr>
      <vt:lpstr>E. Save</vt:lpstr>
      <vt:lpstr>F. Resume</vt:lpstr>
      <vt:lpstr>G. Time Out</vt:lpstr>
      <vt:lpstr>H. Progress</vt:lpstr>
      <vt:lpstr>I. Previously Submitted</vt:lpstr>
      <vt:lpstr>J. Submission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2021-03-13T00:17:46Z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587300</vt:r8>
  </property>
  <property fmtid="{D5CDD505-2E9C-101B-9397-08002B2CF9AE}" pid="4" name="URL">
    <vt:lpwstr/>
  </property>
</Properties>
</file>