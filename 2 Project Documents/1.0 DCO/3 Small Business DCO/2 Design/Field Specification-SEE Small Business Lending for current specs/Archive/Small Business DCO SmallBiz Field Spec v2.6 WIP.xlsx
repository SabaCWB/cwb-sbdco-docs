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19200" windowHeight="7050" tabRatio="856" activeTab="27"/>
  </bookViews>
  <sheets>
    <sheet name="Revision Control" sheetId="1" r:id="rId1"/>
    <sheet name="List Values" sheetId="3" r:id="rId2"/>
    <sheet name="1. Qualifying Questions" sheetId="9" r:id="rId3"/>
    <sheet name="1a. Not Qualified Info Page" sheetId="50" r:id="rId4"/>
    <sheet name="2. Existing Cust. Check" sheetId="52" r:id="rId5"/>
    <sheet name="3. Contact Info" sheetId="5" r:id="rId6"/>
    <sheet name="4. Verify Mobile" sheetId="2" r:id="rId7"/>
    <sheet name="DEPRECATED Screening Questions" sheetId="41" state="hidden" r:id="rId8"/>
    <sheet name="DEPRECATED Failed Screening" sheetId="51" state="hidden" r:id="rId9"/>
    <sheet name="5. Business eConsent" sheetId="42" r:id="rId10"/>
    <sheet name="6. About Your Business - CODAT" sheetId="43" r:id="rId11"/>
    <sheet name="7. Log into CODAT" sheetId="35" r:id="rId12"/>
    <sheet name="8. Your Business" sheetId="7" r:id="rId13"/>
    <sheet name="9. More About Your Business" sheetId="44" r:id="rId14"/>
    <sheet name="10. App - IDScan" sheetId="11" r:id="rId15"/>
    <sheet name="11. App - Name &amp; Address" sheetId="12" r:id="rId16"/>
    <sheet name="12. App - Birthday, SIN &amp; Occ." sheetId="14" r:id="rId17"/>
    <sheet name="12a. App-Security Question" sheetId="63" r:id="rId18"/>
    <sheet name="13. App - eConsent" sheetId="16" r:id="rId19"/>
    <sheet name="14. App- Alternate IDV" sheetId="29" r:id="rId20"/>
    <sheet name="15. App - Flinks" sheetId="31" r:id="rId21"/>
    <sheet name="16. App - Manual IDV" sheetId="36" r:id="rId22"/>
    <sheet name="17. Your Role" sheetId="60" r:id="rId23"/>
    <sheet name="18. Owners, Directors+Signers" sheetId="49" r:id="rId24"/>
    <sheet name="18. Authorized Signers" sheetId="59" state="hidden" r:id="rId25"/>
    <sheet name="18a. Non-signing Owners" sheetId="61" r:id="rId26"/>
    <sheet name="19a. Disclosures-Tax Residency" sheetId="53" r:id="rId27"/>
    <sheet name="19. Business Disclosures" sheetId="65" r:id="rId28"/>
    <sheet name="20. Await Auth Signers" sheetId="56" r:id="rId29"/>
    <sheet name="21. Account Options" sheetId="45" r:id="rId30"/>
    <sheet name="22. Complementary Services" sheetId="46" r:id="rId31"/>
    <sheet name="23. Online Banking+Delegates" sheetId="62" r:id="rId32"/>
    <sheet name="A. Generic Error" sheetId="22" r:id="rId33"/>
    <sheet name="B. Manual Review" sheetId="23" r:id="rId34"/>
    <sheet name="C. Decline" sheetId="24" r:id="rId35"/>
    <sheet name="D. Cancel" sheetId="26" r:id="rId36"/>
    <sheet name="E. Save" sheetId="27" r:id="rId37"/>
    <sheet name="F. Resume" sheetId="28" r:id="rId38"/>
    <sheet name="G. Time Out" sheetId="33" r:id="rId39"/>
    <sheet name="H. Progress" sheetId="34" r:id="rId40"/>
    <sheet name="I. Previously Submitted" sheetId="37" r:id="rId41"/>
    <sheet name="J. Concurrent App" sheetId="55" r:id="rId42"/>
    <sheet name="DEPRECATED Unable to Resume" sheetId="57" r:id="rId43"/>
    <sheet name="L. Submission Complete" sheetId="64" r:id="rId44"/>
    <sheet name="Not Qualified" sheetId="47" state="hidden" r:id="rId45"/>
    <sheet name="Failed Screening" sheetId="48" state="hidden" r:id="rId46"/>
  </sheets>
  <externalReferences>
    <externalReference r:id="rId47"/>
    <externalReference r:id="rId48"/>
    <externalReference r:id="rId49"/>
  </externalReferences>
  <definedNames>
    <definedName name="_xlnm._FilterDatabase" localSheetId="16" hidden="1">'12. App - Birthday, SIN &amp; Occ.'!$A$6:$P$13</definedName>
    <definedName name="_xlnm._FilterDatabase" localSheetId="17" hidden="1">'12a. App-Security Question'!$A$6:$P$6</definedName>
    <definedName name="_xlnm._FilterDatabase" localSheetId="18" hidden="1">'13. App - eConsent'!$A$6:$P$17</definedName>
    <definedName name="_xlnm._FilterDatabase" localSheetId="22" hidden="1">'17. Your Role'!$A$6:$P$6</definedName>
    <definedName name="_xlnm._FilterDatabase" localSheetId="24" hidden="1">'18. Authorized Signers'!$A$6:$P$6</definedName>
    <definedName name="_xlnm._FilterDatabase" localSheetId="23" hidden="1">'18. Owners, Directors+Signers'!$A$6:$P$6</definedName>
    <definedName name="_xlnm._FilterDatabase" localSheetId="25" hidden="1">'18a. Non-signing Owners'!$A$6:$P$6</definedName>
    <definedName name="_xlnm._FilterDatabase" localSheetId="27" hidden="1">'19. Business Disclosures'!$A$6:$P$6</definedName>
    <definedName name="_xlnm._FilterDatabase" localSheetId="26" hidden="1">'19a. Disclosures-Tax Residency'!$A$6:$P$6</definedName>
    <definedName name="_xlnm._FilterDatabase" localSheetId="28" hidden="1">'20. Await Auth Signers'!$A$6:$P$21</definedName>
    <definedName name="_xlnm._FilterDatabase" localSheetId="29" hidden="1">'21. Account Options'!$A$6:$P$19</definedName>
    <definedName name="_xlnm._FilterDatabase" localSheetId="30" hidden="1">'22. Complementary Services'!$A$6:$P$19</definedName>
    <definedName name="_xlnm._FilterDatabase" localSheetId="31" hidden="1">'23. Online Banking+Delegates'!$A$6:$P$37</definedName>
    <definedName name="_xlnm._FilterDatabase" localSheetId="9" hidden="1">'5. Business eConsent'!$A$6:$P$13</definedName>
    <definedName name="_xlnm._FilterDatabase" localSheetId="11" hidden="1">'7. Log into CODAT'!$A$6:$P$6</definedName>
    <definedName name="_xlnm._FilterDatabase" localSheetId="32" hidden="1">'A. Generic Error'!$A$6:$P$9</definedName>
    <definedName name="_xlnm._FilterDatabase" localSheetId="33" hidden="1">'B. Manual Review'!$A$6:$P$9</definedName>
    <definedName name="_xlnm._FilterDatabase" localSheetId="34" hidden="1">'C. Decline'!$A$6:$P$9</definedName>
    <definedName name="_xlnm._FilterDatabase" localSheetId="35" hidden="1">'D. Cancel'!$A$6:$P$9</definedName>
    <definedName name="_xlnm._FilterDatabase" localSheetId="42" hidden="1">'DEPRECATED Unable to Resume'!$A$6:$P$6</definedName>
    <definedName name="_xlnm._FilterDatabase" localSheetId="36" hidden="1">'E. Save'!$A$6:$P$9</definedName>
    <definedName name="_xlnm._FilterDatabase" localSheetId="37" hidden="1">'F. Resume'!$A$6:$P$6</definedName>
    <definedName name="_xlnm._FilterDatabase" localSheetId="45" hidden="1">'Failed Screening'!$A$6:$P$9</definedName>
    <definedName name="_xlnm._FilterDatabase" localSheetId="38" hidden="1">'G. Time Out'!$A$6:$P$6</definedName>
    <definedName name="_xlnm._FilterDatabase" localSheetId="39" hidden="1">'H. Progress'!$A$6:$P$6</definedName>
    <definedName name="_xlnm._FilterDatabase" localSheetId="40" hidden="1">'I. Previously Submitted'!$A$6:$P$6</definedName>
    <definedName name="_xlnm._FilterDatabase" localSheetId="41" hidden="1">'J. Concurrent App'!$A$6:$P$6</definedName>
    <definedName name="_xlnm._FilterDatabase" localSheetId="43" hidden="1">'L. Submission Complete'!$A$6:$P$6</definedName>
    <definedName name="_xlnm._FilterDatabase" localSheetId="44" hidden="1">'Not Qualified'!$A$6:$P$9</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19" i="65" l="1"/>
  <c r="B18" i="65"/>
  <c r="B17" i="65"/>
  <c r="B16" i="65"/>
  <c r="B15" i="65"/>
  <c r="B14" i="65"/>
  <c r="B13" i="65"/>
  <c r="B12" i="65"/>
  <c r="B11" i="65"/>
  <c r="B10" i="65"/>
  <c r="B9" i="65"/>
  <c r="B8" i="65"/>
  <c r="B7" i="65"/>
  <c r="B10" i="35" l="1"/>
  <c r="B7" i="64"/>
  <c r="B11" i="64"/>
  <c r="B10" i="64"/>
  <c r="B9" i="64"/>
  <c r="B8" i="64"/>
  <c r="B14" i="61"/>
  <c r="B13" i="61"/>
  <c r="B9" i="16"/>
  <c r="B10" i="16"/>
  <c r="B34" i="62"/>
  <c r="B13" i="62"/>
  <c r="B17" i="62"/>
  <c r="B29" i="62"/>
  <c r="B24" i="62"/>
  <c r="B13" i="63"/>
  <c r="B8" i="63"/>
  <c r="B12" i="63"/>
  <c r="B11" i="63"/>
  <c r="B10" i="63"/>
  <c r="B9" i="63"/>
  <c r="B7" i="63"/>
  <c r="B11" i="61"/>
  <c r="B12" i="61"/>
  <c r="B15" i="46"/>
  <c r="B15" i="56"/>
  <c r="B16" i="56"/>
  <c r="B8" i="52"/>
  <c r="B9" i="52"/>
  <c r="B10" i="52"/>
  <c r="B11" i="52"/>
  <c r="B7" i="52"/>
  <c r="B36" i="49"/>
  <c r="B34" i="49"/>
  <c r="B28" i="49"/>
  <c r="B26" i="49"/>
  <c r="B22" i="61"/>
  <c r="B21" i="61"/>
  <c r="B20" i="61"/>
  <c r="B19" i="61"/>
  <c r="B18" i="61"/>
  <c r="B17" i="61"/>
  <c r="B15" i="61"/>
  <c r="B33" i="62"/>
  <c r="B32" i="62"/>
  <c r="B31" i="62"/>
  <c r="B21" i="62"/>
  <c r="B30" i="62"/>
  <c r="B28" i="62"/>
  <c r="B26" i="62"/>
  <c r="B27" i="62"/>
  <c r="B25" i="62"/>
  <c r="B23" i="62"/>
  <c r="B20" i="62"/>
  <c r="B19" i="62"/>
  <c r="B12" i="62"/>
  <c r="B11" i="62"/>
  <c r="B10" i="46"/>
  <c r="B37" i="62"/>
  <c r="B36" i="62"/>
  <c r="B16" i="62"/>
  <c r="B15" i="62"/>
  <c r="B9" i="62"/>
  <c r="B8" i="62"/>
  <c r="B7" i="62"/>
  <c r="B7" i="57"/>
  <c r="B22" i="56"/>
  <c r="B44" i="49"/>
  <c r="B41" i="49"/>
  <c r="B39" i="49"/>
  <c r="B37" i="49"/>
  <c r="B26" i="61"/>
  <c r="B25" i="61"/>
  <c r="B9" i="61"/>
  <c r="B8" i="61"/>
  <c r="B7" i="61"/>
  <c r="B40" i="49"/>
  <c r="B31" i="49"/>
  <c r="B22" i="49"/>
  <c r="B43" i="49"/>
  <c r="B24" i="49"/>
  <c r="B23" i="49"/>
  <c r="B7" i="35"/>
  <c r="B13" i="45"/>
  <c r="B19" i="56"/>
  <c r="B18" i="56"/>
  <c r="B12" i="56"/>
  <c r="B22" i="9"/>
  <c r="B42" i="49"/>
  <c r="B38" i="49"/>
  <c r="B35" i="49"/>
  <c r="B33" i="49"/>
  <c r="B21" i="49"/>
  <c r="B20" i="49"/>
  <c r="B19" i="49"/>
  <c r="B16" i="49"/>
  <c r="B17" i="49"/>
  <c r="B18" i="49"/>
  <c r="B10" i="49"/>
  <c r="B7" i="60"/>
  <c r="B12" i="60"/>
  <c r="B11" i="60"/>
  <c r="B10" i="60"/>
  <c r="B9" i="60"/>
  <c r="B8" i="60"/>
  <c r="B12" i="59"/>
  <c r="B11" i="59"/>
  <c r="B10" i="59"/>
  <c r="B9" i="59"/>
  <c r="B8" i="59"/>
  <c r="B7" i="59"/>
  <c r="B14" i="44"/>
  <c r="B10" i="44"/>
  <c r="B12" i="44"/>
  <c r="B12" i="35"/>
  <c r="B13" i="56"/>
  <c r="B17" i="56"/>
  <c r="B11" i="56"/>
  <c r="B17" i="46"/>
  <c r="B14" i="46"/>
  <c r="B13" i="46"/>
  <c r="B9" i="46"/>
  <c r="B11" i="46"/>
  <c r="B12" i="45"/>
  <c r="B14" i="45"/>
  <c r="B15" i="45"/>
  <c r="B16" i="45"/>
  <c r="B17" i="45"/>
  <c r="B7" i="45"/>
  <c r="B9" i="45"/>
  <c r="B10" i="45"/>
  <c r="B11" i="45"/>
  <c r="B9" i="35"/>
  <c r="B14" i="35"/>
  <c r="B13" i="35"/>
  <c r="B11" i="35"/>
  <c r="B8" i="35"/>
  <c r="B9" i="57"/>
  <c r="B8" i="57"/>
  <c r="B21" i="56"/>
  <c r="B10" i="56"/>
  <c r="B9" i="56"/>
  <c r="B8" i="56"/>
  <c r="B7" i="56"/>
  <c r="B17" i="55"/>
  <c r="B16" i="55"/>
  <c r="B15" i="55"/>
  <c r="B13" i="55"/>
  <c r="B12" i="55"/>
  <c r="B11" i="55"/>
  <c r="B9" i="55"/>
  <c r="B8" i="55"/>
  <c r="B47" i="49"/>
  <c r="B48" i="49"/>
  <c r="B27" i="49"/>
  <c r="B46" i="49"/>
  <c r="B29" i="49"/>
  <c r="B30" i="49"/>
  <c r="B25" i="49"/>
  <c r="B15" i="49"/>
  <c r="B24" i="44"/>
  <c r="B25" i="44"/>
  <c r="B23" i="44"/>
  <c r="B20" i="44"/>
  <c r="B21" i="44"/>
  <c r="B22" i="44"/>
  <c r="B19" i="44"/>
  <c r="B18" i="44"/>
  <c r="B15" i="44"/>
  <c r="B16" i="44"/>
  <c r="B17" i="44"/>
  <c r="B13" i="44"/>
  <c r="B11" i="44"/>
  <c r="B12" i="7"/>
  <c r="B11" i="7"/>
  <c r="B33" i="7"/>
  <c r="B34" i="7"/>
  <c r="B24" i="7"/>
  <c r="B22" i="7"/>
  <c r="B13" i="7"/>
  <c r="B10" i="7"/>
  <c r="B31" i="7"/>
  <c r="B30" i="7"/>
  <c r="B29" i="7"/>
  <c r="B28" i="7"/>
  <c r="B27" i="7"/>
  <c r="B26" i="7"/>
  <c r="B20" i="7"/>
  <c r="B19" i="7"/>
  <c r="B18" i="7"/>
  <c r="B17" i="7"/>
  <c r="B16" i="7"/>
  <c r="B15" i="7"/>
  <c r="B8" i="43"/>
  <c r="B9" i="43"/>
  <c r="B10" i="50"/>
  <c r="B11" i="50"/>
  <c r="B12" i="50"/>
  <c r="B13" i="50"/>
  <c r="B10" i="53"/>
  <c r="B11" i="53"/>
  <c r="B12" i="53"/>
  <c r="B13" i="53"/>
  <c r="B14" i="53"/>
  <c r="B7" i="53"/>
  <c r="B9" i="53"/>
  <c r="B8" i="53"/>
  <c r="B12" i="43"/>
  <c r="B13" i="43"/>
  <c r="B10" i="42"/>
  <c r="B11" i="42"/>
  <c r="B15" i="50"/>
  <c r="B19" i="50"/>
  <c r="B16" i="50"/>
  <c r="B17" i="50"/>
  <c r="B18" i="50"/>
  <c r="B12" i="42"/>
  <c r="B13" i="42"/>
  <c r="B11" i="29"/>
  <c r="B12" i="29"/>
  <c r="B13" i="29"/>
  <c r="B14" i="50"/>
  <c r="B21" i="9"/>
  <c r="B10" i="43"/>
  <c r="B11" i="43"/>
  <c r="B34" i="12"/>
  <c r="B35" i="12"/>
  <c r="B12" i="2"/>
  <c r="B15" i="9"/>
  <c r="B16" i="9"/>
  <c r="B17" i="9"/>
  <c r="B18" i="9"/>
  <c r="B19" i="9"/>
  <c r="B20" i="9"/>
  <c r="B14" i="9"/>
  <c r="B14" i="51"/>
  <c r="B13" i="51"/>
  <c r="B12" i="51"/>
  <c r="B11" i="51"/>
  <c r="B10" i="51"/>
  <c r="B9" i="51"/>
  <c r="B8" i="51"/>
  <c r="B7" i="51"/>
  <c r="B9" i="50"/>
  <c r="B8" i="50"/>
  <c r="B7" i="50"/>
  <c r="B13" i="49"/>
  <c r="B12" i="49"/>
  <c r="B11" i="49"/>
  <c r="B8" i="49"/>
  <c r="B7" i="49"/>
  <c r="B10" i="48"/>
  <c r="B9" i="48"/>
  <c r="B8" i="48"/>
  <c r="B7" i="48"/>
  <c r="B10" i="47"/>
  <c r="B9" i="47"/>
  <c r="B8" i="47"/>
  <c r="B7" i="47"/>
  <c r="B19" i="46"/>
  <c r="B18" i="46"/>
  <c r="B8" i="46"/>
  <c r="B7" i="46"/>
  <c r="B19" i="45"/>
  <c r="B18" i="45"/>
  <c r="B8" i="45"/>
  <c r="B33" i="12"/>
  <c r="B32" i="12"/>
  <c r="B31" i="12"/>
  <c r="B30" i="12"/>
  <c r="B29" i="12"/>
  <c r="B28" i="12"/>
  <c r="B27" i="12"/>
  <c r="B26" i="12"/>
  <c r="B25" i="12"/>
  <c r="B24" i="12"/>
  <c r="B23" i="12"/>
  <c r="B22" i="12"/>
  <c r="B21" i="12"/>
  <c r="B20" i="12"/>
  <c r="B19" i="12"/>
  <c r="B18" i="12"/>
  <c r="B17" i="12"/>
  <c r="B16" i="12"/>
  <c r="B15" i="12"/>
  <c r="B14" i="12"/>
  <c r="B13" i="12"/>
  <c r="B12" i="12"/>
  <c r="B11" i="12"/>
  <c r="B9" i="44"/>
  <c r="B8" i="44"/>
  <c r="B7" i="44"/>
  <c r="B7" i="43"/>
  <c r="B9" i="42"/>
  <c r="B8" i="42"/>
  <c r="B7" i="42"/>
  <c r="B14" i="41"/>
  <c r="B13" i="41"/>
  <c r="B12" i="41"/>
  <c r="B11" i="41"/>
  <c r="B10" i="41"/>
  <c r="B9" i="41"/>
  <c r="B8" i="41"/>
  <c r="B7" i="41"/>
  <c r="B10" i="31"/>
  <c r="B11" i="31"/>
  <c r="B10" i="37"/>
  <c r="B9" i="37"/>
  <c r="B8" i="37"/>
  <c r="B7" i="37"/>
  <c r="B7" i="36"/>
  <c r="B8" i="36"/>
  <c r="B11" i="14"/>
  <c r="B9" i="36"/>
  <c r="B9" i="29"/>
  <c r="B10" i="29"/>
  <c r="B8" i="29"/>
  <c r="B7" i="29"/>
  <c r="B13" i="11"/>
  <c r="B12" i="11"/>
  <c r="B12" i="5"/>
  <c r="B7" i="34"/>
  <c r="B10" i="33"/>
  <c r="B8" i="33"/>
  <c r="B9" i="33"/>
  <c r="B7" i="33"/>
  <c r="B9" i="31"/>
  <c r="B11" i="28"/>
  <c r="B10" i="28"/>
  <c r="B9" i="28"/>
  <c r="B8" i="28"/>
  <c r="B7" i="28"/>
  <c r="B13" i="9"/>
  <c r="B10" i="5"/>
  <c r="B8" i="31"/>
  <c r="B7" i="31"/>
  <c r="B15" i="11"/>
  <c r="B14" i="11"/>
  <c r="B11" i="11"/>
  <c r="B10" i="11"/>
  <c r="B9" i="11"/>
  <c r="B8" i="11"/>
  <c r="B7" i="11"/>
  <c r="B12" i="16"/>
  <c r="B13" i="16"/>
  <c r="B14" i="16"/>
  <c r="B10" i="27"/>
  <c r="B7" i="27"/>
  <c r="B9" i="27"/>
  <c r="B8" i="27"/>
  <c r="B7" i="26"/>
  <c r="B9" i="26"/>
  <c r="B8" i="26"/>
  <c r="B10" i="24"/>
  <c r="B7" i="24"/>
  <c r="B9" i="24"/>
  <c r="B8" i="24"/>
  <c r="B7" i="23"/>
  <c r="B9" i="23"/>
  <c r="B8" i="23"/>
  <c r="B10" i="22"/>
  <c r="B7" i="22"/>
  <c r="B9" i="22"/>
  <c r="B8" i="22"/>
  <c r="B12" i="9"/>
  <c r="B11" i="9"/>
  <c r="B10" i="9"/>
  <c r="B9" i="9"/>
  <c r="B9" i="7"/>
  <c r="B11" i="16"/>
  <c r="B15" i="16"/>
  <c r="B16" i="16"/>
  <c r="B17" i="16"/>
  <c r="B8" i="16"/>
  <c r="B7" i="16"/>
  <c r="B12" i="14"/>
  <c r="B13" i="14"/>
  <c r="B10" i="14"/>
  <c r="B9" i="14"/>
  <c r="B8" i="14"/>
  <c r="B7" i="14"/>
  <c r="B10" i="12"/>
  <c r="B9" i="12"/>
  <c r="B8" i="12"/>
  <c r="B7" i="12"/>
  <c r="B7" i="9"/>
  <c r="B7" i="7"/>
  <c r="B8" i="9"/>
  <c r="B8" i="7"/>
  <c r="B13" i="5"/>
  <c r="B14" i="5"/>
  <c r="B11" i="5"/>
  <c r="B9" i="5"/>
  <c r="B8" i="5"/>
  <c r="B7" i="5"/>
  <c r="B11" i="2"/>
  <c r="B8" i="2"/>
  <c r="B9" i="2"/>
  <c r="B10" i="2"/>
  <c r="B7" i="2"/>
</calcChain>
</file>

<file path=xl/sharedStrings.xml><?xml version="1.0" encoding="utf-8"?>
<sst xmlns="http://schemas.openxmlformats.org/spreadsheetml/2006/main" count="6481" uniqueCount="1029">
  <si>
    <t>Field Specification - Revision Control Form</t>
  </si>
  <si>
    <t>Document Version</t>
  </si>
  <si>
    <t>Revision Date</t>
  </si>
  <si>
    <t>Change Summary</t>
  </si>
  <si>
    <t>Updated by</t>
  </si>
  <si>
    <t>Approved by</t>
  </si>
  <si>
    <t>Page Name</t>
  </si>
  <si>
    <t>Page ID</t>
  </si>
  <si>
    <t>Visibility</t>
  </si>
  <si>
    <t>Always</t>
  </si>
  <si>
    <t>ID</t>
  </si>
  <si>
    <t>Field ID</t>
  </si>
  <si>
    <t>Type</t>
  </si>
  <si>
    <t>Permitted Data</t>
  </si>
  <si>
    <t>Inline Help</t>
  </si>
  <si>
    <t>Length</t>
  </si>
  <si>
    <t>Display</t>
  </si>
  <si>
    <t>Default Value</t>
  </si>
  <si>
    <t>Mandatory</t>
  </si>
  <si>
    <t>Mandatory Message</t>
  </si>
  <si>
    <t>Validation Rule/Regex</t>
  </si>
  <si>
    <t>Validation Message</t>
  </si>
  <si>
    <t>Business Rules</t>
  </si>
  <si>
    <t>Comments/Questions</t>
  </si>
  <si>
    <t>Caption</t>
  </si>
  <si>
    <t>Status</t>
  </si>
  <si>
    <t>Field Specification - List Values</t>
  </si>
  <si>
    <t>Field Type</t>
  </si>
  <si>
    <t>Section (sub-heading)</t>
  </si>
  <si>
    <t>Checkbox</t>
  </si>
  <si>
    <t>Section (footer)</t>
  </si>
  <si>
    <t>Radio button group</t>
  </si>
  <si>
    <t>Text field</t>
  </si>
  <si>
    <t>Static text</t>
  </si>
  <si>
    <t>Drop-down list</t>
  </si>
  <si>
    <t>Static text with parameter(s)</t>
  </si>
  <si>
    <t>n/a</t>
  </si>
  <si>
    <t>Updated</t>
  </si>
  <si>
    <t>Field Status</t>
  </si>
  <si>
    <t>No Change</t>
  </si>
  <si>
    <t>Removed</t>
  </si>
  <si>
    <t>New</t>
  </si>
  <si>
    <t>Button</t>
  </si>
  <si>
    <t>Story ID</t>
  </si>
  <si>
    <t>WIP (see comments)</t>
  </si>
  <si>
    <t>Contact Info</t>
  </si>
  <si>
    <t>Always Show</t>
  </si>
  <si>
    <t>Progress bar</t>
  </si>
  <si>
    <t>Progress Bar</t>
  </si>
  <si>
    <t>Email address:</t>
  </si>
  <si>
    <t>Numbers, spaces, dashes, parentheses</t>
  </si>
  <si>
    <t>Alphanumeric</t>
  </si>
  <si>
    <t>54 characters</t>
  </si>
  <si>
    <t>Yes</t>
  </si>
  <si>
    <t>A) 10 digits
B) 14 incl. spaces, dashes, parentheses</t>
  </si>
  <si>
    <t>North American Numbering Plan (NANP) format:
"NXX-NXX-XXXX" 
or "(NXX) NXX-XXXX", 
where N is 2 to 9, and X is 0 to 9.</t>
  </si>
  <si>
    <t>Back</t>
  </si>
  <si>
    <t>Next</t>
  </si>
  <si>
    <t>A) Yes
B) No</t>
  </si>
  <si>
    <t>Checkbox Group</t>
  </si>
  <si>
    <t>A) Checked
B) Unchecked</t>
  </si>
  <si>
    <t>Qualifying Questions</t>
  </si>
  <si>
    <t>No Selection</t>
  </si>
  <si>
    <t>If IDScan returned results, use the scanned first name. Otherwise leave blank.</t>
  </si>
  <si>
    <t>If IDScan returned results, use the scanned last name. Otherwise leave blank.</t>
  </si>
  <si>
    <t>Please tell us your first name.</t>
  </si>
  <si>
    <t>Please tell us your last name.</t>
  </si>
  <si>
    <t>Pre-populate this field with IDScan data if it's available.</t>
  </si>
  <si>
    <t xml:space="preserve"> </t>
  </si>
  <si>
    <t>If IDScan returned results, use the scanned address. Otherwise leave blank.</t>
  </si>
  <si>
    <t>Unit</t>
  </si>
  <si>
    <t>City</t>
  </si>
  <si>
    <t>Province</t>
  </si>
  <si>
    <t>Postal code</t>
  </si>
  <si>
    <t>Text field (with suggestions)</t>
  </si>
  <si>
    <t>Street number</t>
  </si>
  <si>
    <t>Yes, if using manual address mode</t>
  </si>
  <si>
    <t>Yes, if not in manual address mode</t>
  </si>
  <si>
    <t>no</t>
  </si>
  <si>
    <t>Value must come from a drop down list of valid Canadian provinces. Must not be Quebec.</t>
  </si>
  <si>
    <t>Have you lived at this address for more than 2 years?</t>
  </si>
  <si>
    <t>Please tell us whether you've lived at your current address for more than 2 years.</t>
  </si>
  <si>
    <t>What is your mailing address?</t>
  </si>
  <si>
    <t>No</t>
  </si>
  <si>
    <t>What is your Social Insurance Number (SIN)?</t>
  </si>
  <si>
    <t>Date Picker</t>
  </si>
  <si>
    <t>Date</t>
  </si>
  <si>
    <t>Numeric</t>
  </si>
  <si>
    <t>none</t>
  </si>
  <si>
    <t>Applicant must be over 18 years of age.</t>
  </si>
  <si>
    <t>Sorry, we are unable to provide banking services to individuals under the age of 18.</t>
  </si>
  <si>
    <t>Applicants must be over the age of 18 to proceed with the DCO process.</t>
  </si>
  <si>
    <t>None</t>
  </si>
  <si>
    <t>What is your current occupation?</t>
  </si>
  <si>
    <t>Text must be a valid entry in the Canadian National Occupancy Classification (NOC) list.</t>
  </si>
  <si>
    <t>Hyperlink to the following URL:
https://www.cwb.com/about-us/privacy</t>
  </si>
  <si>
    <t>Unchecked</t>
  </si>
  <si>
    <t>Please check the box to agree to the terms and conditions provided.</t>
  </si>
  <si>
    <t>Users must check this box to proceed with their application.</t>
  </si>
  <si>
    <t>Static text with hyperlink</t>
  </si>
  <si>
    <t>Email address format:
"local-part@DomainName"</t>
  </si>
  <si>
    <t>Mobile phone number:</t>
  </si>
  <si>
    <t>First name:</t>
  </si>
  <si>
    <t>Last name:</t>
  </si>
  <si>
    <t>What is your home address?</t>
  </si>
  <si>
    <t>What was your previous home address?</t>
  </si>
  <si>
    <t>Please tell us whether your mailing address matches your home address.</t>
  </si>
  <si>
    <t>Empty</t>
  </si>
  <si>
    <t>Street name</t>
  </si>
  <si>
    <t>If value = "Quebec" then
"Sorry, but we are unable to offer banking services to residents of Quebec at this time."</t>
  </si>
  <si>
    <t>Street name or P.O. box</t>
  </si>
  <si>
    <t>We are unable to open accounts for residents of Quebec.</t>
  </si>
  <si>
    <t>We are unable to open accounts for individuals under 18 years of age.</t>
  </si>
  <si>
    <t>As Required (in response to unexpected errors, or Fraud check failures)</t>
  </si>
  <si>
    <t>Image</t>
  </si>
  <si>
    <t>Section (heading)</t>
  </si>
  <si>
    <t>Generic Error Message</t>
  </si>
  <si>
    <t>Manual Review Message</t>
  </si>
  <si>
    <t>Decline Message</t>
  </si>
  <si>
    <t>Thank you for applying.</t>
  </si>
  <si>
    <t>Cancel Message</t>
  </si>
  <si>
    <t>As Required (in response to a user-initiated cancellation)</t>
  </si>
  <si>
    <t>We're sorry to see you go.</t>
  </si>
  <si>
    <t>Save Message</t>
  </si>
  <si>
    <t>As Required (in response to a user-initiated save)</t>
  </si>
  <si>
    <t>Resume Page</t>
  </si>
  <si>
    <t>As Required (in response to a user-initiated application resume)</t>
  </si>
  <si>
    <t>A little help from our friends</t>
  </si>
  <si>
    <t>We weren't able to process your application.</t>
  </si>
  <si>
    <t>We're reviewing your application.</t>
  </si>
  <si>
    <t>We use this information to verify your identity.</t>
  </si>
  <si>
    <t>We use this information to verify your identity, and that you are at least 18 years of age.</t>
  </si>
  <si>
    <t>Must match the format: 
###-###-###
Number provided must pass Luhn (Mod 10) Algorithm validation.</t>
  </si>
  <si>
    <t>A</t>
  </si>
  <si>
    <t>B</t>
  </si>
  <si>
    <t>C</t>
  </si>
  <si>
    <t>D</t>
  </si>
  <si>
    <t>E</t>
  </si>
  <si>
    <t>F</t>
  </si>
  <si>
    <t>The email address should by hyperlinked.</t>
  </si>
  <si>
    <t>Value must come from a drop down list of valid Canadian provinces. Note: "Quebec" is a valid selection for previous address.</t>
  </si>
  <si>
    <t>Value must come from a drop down list of valid Canadian provinces. Note: "Quebec" is a valid selection for mailing address.</t>
  </si>
  <si>
    <t>- Collect and maintain the information submitted in this application</t>
  </si>
  <si>
    <t>- Use my information to confirm my identity</t>
  </si>
  <si>
    <t>- Use my information to confirm my credit score</t>
  </si>
  <si>
    <t>On click, start Fraud Check procedures.</t>
  </si>
  <si>
    <t>When is your birthday? (MM/DD/YYYY)</t>
  </si>
  <si>
    <t>Text typed into this field should be used to search the NOC list in real time.  As the user types, relevant NOC list suggestions should appear in a drop-down list.
The data stored as part of this selection should be the numeric NOC (code), not the text-based occupation description.</t>
  </si>
  <si>
    <t>Your occupation helps us to identify you and secure your account.</t>
  </si>
  <si>
    <t>ID Scan Control</t>
  </si>
  <si>
    <t>Skip this step</t>
  </si>
  <si>
    <t>B) Unchecked</t>
  </si>
  <si>
    <t>Yes
(see business logic)</t>
  </si>
  <si>
    <t>Please scan/upload an image of your driver's license, or click "skip this step" to proceed.</t>
  </si>
  <si>
    <t>This is the on-page IDScan control that manages image uploading, scanning, and preview.
Mandatory field: before leaving the page, users must either complete an ID scan using this control, or opt out using the skip checkbox.</t>
  </si>
  <si>
    <t>Mandatory field: before leaving the page, users must either check this box or complete an ID scan/upload using the IDScan control.</t>
  </si>
  <si>
    <t>As Required (in response to events that trigger the manual review workflow)</t>
  </si>
  <si>
    <t>Only visible when primary IDV fails</t>
  </si>
  <si>
    <t>Display "thankyou.svg" image</t>
  </si>
  <si>
    <t>&lt;&lt;no caption&gt;&gt;</t>
  </si>
  <si>
    <t>Continue</t>
  </si>
  <si>
    <t>On click, resend PIN to mobile number.</t>
  </si>
  <si>
    <t>Is your mailing address the same as your home address?</t>
  </si>
  <si>
    <t>G</t>
  </si>
  <si>
    <t>Application Time Out Page</t>
  </si>
  <si>
    <t>Your application is going to expire in</t>
  </si>
  <si>
    <t>Continue with your application to keep things moving</t>
  </si>
  <si>
    <t>On click, close the time out page, and return the user to the page they were working on when the time out event occurred.</t>
  </si>
  <si>
    <t>Timer</t>
  </si>
  <si>
    <t>&lt;&lt;Countdown timer - m:ss &gt;&gt;</t>
  </si>
  <si>
    <t>Display the time remaining until application expiry,  using the format m:ss (example: 1:07).</t>
  </si>
  <si>
    <t>Verification Progress Page</t>
  </si>
  <si>
    <t>As Required (in response to system processing)</t>
  </si>
  <si>
    <t>H</t>
  </si>
  <si>
    <t>Google reCAPTCHA</t>
  </si>
  <si>
    <t>Only the first time the page is displayed.  If the user returns to the page, reCAPTCHA does not need to take place a second time.</t>
  </si>
  <si>
    <t>Please verify that you are not a robot.</t>
  </si>
  <si>
    <t>[Sample barcode instruction text - decision pending]</t>
  </si>
  <si>
    <t>The SIN you provided is not valid. Please provide a valid SIN.</t>
  </si>
  <si>
    <t>I'd like to sign into my other bank or financial institution to verify my identity.</t>
  </si>
  <si>
    <t>Mandatory field.
The user must select one of the radio buttons from this group.</t>
  </si>
  <si>
    <t>Pre-populate this field with IDScan data if it's available.
Use Canada Post Address Verification API to provide suggestions for typed addresses.
A) Do not include PO boxes in API response
B) Include Quebec addresses in API response</t>
  </si>
  <si>
    <t>Use Canada Post Address Verification API to provide suggestions for typed addresses.
A) Do not include PO boxes in API response
B) Include Quebec addresses in API response</t>
  </si>
  <si>
    <t>Use Canada Post Address Verification API to provide suggestions for typed addresses.
A) Include PO boxes in API response
B) Include Quebec addresses in API response</t>
  </si>
  <si>
    <t>This is the Flinks widget that manages identity verification.
Mandatory field: before leaving the page, users must complete the Flinks IDV process.</t>
  </si>
  <si>
    <t>More about you</t>
  </si>
  <si>
    <t>Confirmation Message (modal)</t>
  </si>
  <si>
    <t>To complete your application</t>
  </si>
  <si>
    <t>If specified address is a Quebec address then
"Sorry, but we are unable to offer banking services to residents of Quebec at this time."</t>
  </si>
  <si>
    <t>No change</t>
  </si>
  <si>
    <t>I</t>
  </si>
  <si>
    <t>Previously Submitted Page</t>
  </si>
  <si>
    <t>&lt;&lt;Application Number&gt;&gt;</t>
  </si>
  <si>
    <t>Please include this number in any inquiries about your application.</t>
  </si>
  <si>
    <t>Submission Complete</t>
  </si>
  <si>
    <t>As Required (in response to a user trying to access a previously submitted application)</t>
  </si>
  <si>
    <t>[Sample barcode image]</t>
  </si>
  <si>
    <t>Yes, if radio button 8.10 is "No", and not in manual address mode.</t>
  </si>
  <si>
    <t>Yes, if radio button 8.18 is "No", and not in manual address mode.</t>
  </si>
  <si>
    <t>Only when a response has not been received from the Flinks service.
Hide button when response arrives.</t>
  </si>
  <si>
    <t>Always show</t>
  </si>
  <si>
    <t>0.1</t>
  </si>
  <si>
    <t>Cloned for use with Small Business DCO</t>
  </si>
  <si>
    <t>Ian Hicks</t>
  </si>
  <si>
    <t>CWB-xxx</t>
  </si>
  <si>
    <t>CWB is unable to open an account that will be used by, or on behalf of, anyone other than the named account holder.</t>
  </si>
  <si>
    <t>Review for language</t>
  </si>
  <si>
    <t>I'd like to provide CWB with additional proof of my identity.</t>
  </si>
  <si>
    <t>By choosing this option, you will have to provide additional documents to CWB to complete your online application. This will require you to send copies of documents to be verified by CWB.
Are you sure you want to do this?
Yes, I'm sure                            No, go back</t>
  </si>
  <si>
    <t>Review language</t>
  </si>
  <si>
    <t>As Required</t>
  </si>
  <si>
    <t>Small Business Digital Client Onboarding (DCO) - SmallBiz Form</t>
  </si>
  <si>
    <t>Refactored to constitute basis of SmallBiz DCO Form</t>
  </si>
  <si>
    <t>Dean Poole</t>
  </si>
  <si>
    <t>Screening Questions</t>
  </si>
  <si>
    <t>Business eConsent</t>
  </si>
  <si>
    <t>Log into CODAT</t>
  </si>
  <si>
    <t>More About Your Business</t>
  </si>
  <si>
    <t>App - Name &amp; Address</t>
  </si>
  <si>
    <t>App - ID Scan Form</t>
  </si>
  <si>
    <t>App - Birthday, SIN &amp; Occupation</t>
  </si>
  <si>
    <t>App - eConsent</t>
  </si>
  <si>
    <t>App - Alternate IDV Selection</t>
  </si>
  <si>
    <t>App - Flinks IDV</t>
  </si>
  <si>
    <t>App - Manual IDV</t>
  </si>
  <si>
    <t xml:space="preserve">Please contact us at </t>
  </si>
  <si>
    <t>Based on your answers so far, we would recommend that you contact CWB for further assistance.</t>
  </si>
  <si>
    <t>J</t>
  </si>
  <si>
    <t>Not Qualified</t>
  </si>
  <si>
    <t>Verify Mobile</t>
  </si>
  <si>
    <t>Failed Screening</t>
  </si>
  <si>
    <t>K</t>
  </si>
  <si>
    <t>Your Business</t>
  </si>
  <si>
    <t>Authorized Signers</t>
  </si>
  <si>
    <t>Not Qualified Info Page</t>
  </si>
  <si>
    <t>1A</t>
  </si>
  <si>
    <t>CWBSB-13</t>
  </si>
  <si>
    <t>Failed Screening Info Page</t>
  </si>
  <si>
    <t>CWBSB-18</t>
  </si>
  <si>
    <t>0.1 WIP</t>
  </si>
  <si>
    <t>Existing Customer Check</t>
  </si>
  <si>
    <t>Added not qualified/screening info and existing cust check pages</t>
  </si>
  <si>
    <t>You must have the authority to open an account. Depending on the type of business, this means you are:
- a Director (of a Corporation)
- a Partner (in a General Partnership), or
- the Proprietor (of a Sole Proprietorship)</t>
  </si>
  <si>
    <t>To be added</t>
  </si>
  <si>
    <t>On click, navigate to "xxx" page (CWBSB-xx)</t>
  </si>
  <si>
    <t>Inline help text TBC</t>
  </si>
  <si>
    <t>CWBSB-12</t>
  </si>
  <si>
    <t>CWBSB-14</t>
  </si>
  <si>
    <t>[Verbiage] Getting your business on board</t>
  </si>
  <si>
    <t>[Verbiage] Our digital experience will only work for some types and sizes of small business. 
Please tell us if any of these conditions apply to your business:</t>
  </si>
  <si>
    <t>- Organized as something other than a Corporation, General Partnership or Sole Proprietorship, e.g. a Not-for-Profit Organization or a Charity</t>
  </si>
  <si>
    <t>- Owned by more than 3 individuals, or (wholly or partly) by another business</t>
  </si>
  <si>
    <t>- None of the above apply to my business</t>
  </si>
  <si>
    <t>Disable if any of previous 3 boxes (4.3, 4.4, 4.5) are checked</t>
  </si>
  <si>
    <t>On click
- If any of 4.3, 4.4 or 4.5 = checked, navigate to "Failed Screening Info" page (CWBSB-18)
- If 4.6 = checked, navigate to "Business eConsent" page (CWBSB-19)</t>
  </si>
  <si>
    <t>- Operates in an industry restricted by CWB (Legalized and Medicinal Marijuana Growers or Distributors, Casino, White Label ATMs, Precious Metals &amp; Stones Dealers, Online Pharmaceutical Sales)</t>
  </si>
  <si>
    <t>CWBSB-17</t>
  </si>
  <si>
    <t>[Verbiage] We can't get you on board through our digital experience, but we'd love to help you</t>
  </si>
  <si>
    <t>[Verbiage] Contact option 1</t>
  </si>
  <si>
    <t>[Verbiage] Contact option 2</t>
  </si>
  <si>
    <t>[Verbiage] Contact option 3</t>
  </si>
  <si>
    <t>[Verbiage] Contact option 4</t>
  </si>
  <si>
    <t>[Verbiage] Contact option 5</t>
  </si>
  <si>
    <t>CWBSB-16</t>
  </si>
  <si>
    <t>Please verify your mobile device</t>
  </si>
  <si>
    <t>Resend Token</t>
  </si>
  <si>
    <t>On click, navigate to "Contact Info" page (CWBSB-14)</t>
  </si>
  <si>
    <t>We just sent a 4-7 digit token to your mobile number.  Please enter it below to continue with your application.
If you take a break from this application, we'll send a one-time password to your mobile phone, so that you may resume later.</t>
  </si>
  <si>
    <t>Text/verbiage updates for SB CWBSB-74</t>
  </si>
  <si>
    <t>Text/verbiage updates for SB CWBSB-75</t>
  </si>
  <si>
    <t>CWBSB-38</t>
  </si>
  <si>
    <t>CWBSB-39</t>
  </si>
  <si>
    <t>On click, navigate to "More About Your Business" page (CWBSB-25)</t>
  </si>
  <si>
    <t>On click, navigate to "App - ID Scan" page (CWBSB-38)</t>
  </si>
  <si>
    <t>On click, navigate to "App - Birthday, SIN &amp; Occupation" page (CWBSB-40)</t>
  </si>
  <si>
    <t>On click, navigate to "App - Name &amp; Address" page (CWBSB-39)</t>
  </si>
  <si>
    <t>Text/verbiage updates for SB CWBSB-76</t>
  </si>
  <si>
    <t>Text/verbiage updates for SB CWBSB-77</t>
  </si>
  <si>
    <t>CWBSB-40</t>
  </si>
  <si>
    <t>Text/verbiage updates for SB CWBSB-78</t>
  </si>
  <si>
    <t>On click, navigate to the "App - eConsent" page (CWBSB-41)</t>
  </si>
  <si>
    <t>CWBSB-41</t>
  </si>
  <si>
    <t>On click, navigate back to "App - Birthday, SIN &amp; Occupation" page CWBSB-40</t>
  </si>
  <si>
    <t>Text/verbiage updates for SB CWBSB-90</t>
  </si>
  <si>
    <t>CWBSB-42</t>
  </si>
  <si>
    <t>On click, navigate to "Authorized Signers" page (CWBSB-43)</t>
  </si>
  <si>
    <t>CWBSB-48</t>
  </si>
  <si>
    <t>Text/verbiage updates for SB CWBSB-92</t>
  </si>
  <si>
    <t>CWBSB-49</t>
  </si>
  <si>
    <t>Text/verbiage updates for SB CWBSB-93</t>
  </si>
  <si>
    <t>Text/verbiage updates for SB CWBSB-94</t>
  </si>
  <si>
    <t>CWBSB-50</t>
  </si>
  <si>
    <t>1.0 WIP</t>
  </si>
  <si>
    <t>Text/verbiage updates for SB CWBSB-95</t>
  </si>
  <si>
    <t>CWBSB-57</t>
  </si>
  <si>
    <t>CWBSB-19</t>
  </si>
  <si>
    <t>1.1 WIP</t>
  </si>
  <si>
    <t>Final text/verbiage - CWBSB-171</t>
  </si>
  <si>
    <t>For your information:
As part of the application process, we will search and retrieve (publicly available) information about your business from the corporate registry of the province(s) in which you operate.</t>
  </si>
  <si>
    <t>About Your Business - CODAT</t>
  </si>
  <si>
    <t>CWBSB-20</t>
  </si>
  <si>
    <t>On click, navigate to "About Your Business-CODAT" (CWBSB-20)</t>
  </si>
  <si>
    <t>CWBSB-24</t>
  </si>
  <si>
    <t>Your business is:</t>
  </si>
  <si>
    <t>We are unable to open an account if your business operates as any of the following:
- Online gambling provider or transfer agent
- Unlicensed marijuana producer or retailer
- Virtual currency exchange dealer or ATM operator (such as Bitcoin)
- Money service business</t>
  </si>
  <si>
    <t>Name</t>
  </si>
  <si>
    <t>Email</t>
  </si>
  <si>
    <t>Contact phone number</t>
  </si>
  <si>
    <t>What's the best time to reach you?</t>
  </si>
  <si>
    <t>Want to get in touch with us sooner?</t>
  </si>
  <si>
    <t>Chat now</t>
  </si>
  <si>
    <r>
      <t xml:space="preserve">Call us at </t>
    </r>
    <r>
      <rPr>
        <u/>
        <sz val="11"/>
        <color theme="1"/>
        <rFont val="Calibri"/>
        <family val="2"/>
        <scheme val="minor"/>
      </rPr>
      <t>1-866-843-3917</t>
    </r>
    <r>
      <rPr>
        <sz val="11"/>
        <color theme="1"/>
        <rFont val="Calibri"/>
        <family val="2"/>
        <scheme val="minor"/>
      </rPr>
      <t xml:space="preserve"> or </t>
    </r>
    <r>
      <rPr>
        <u/>
        <sz val="11"/>
        <color theme="1"/>
        <rFont val="Calibri"/>
        <family val="2"/>
        <scheme val="minor"/>
      </rPr>
      <t>find the nearest CWB branch</t>
    </r>
  </si>
  <si>
    <t>Please let us know the best time to reach you</t>
  </si>
  <si>
    <t>Conditional - see business rules in Qualifying Questions page CWBSB-12</t>
  </si>
  <si>
    <t>DEPRECATED</t>
  </si>
  <si>
    <t>Complementary Services</t>
  </si>
  <si>
    <t>Text/verbiage updates CWBSB-174</t>
  </si>
  <si>
    <t>Text bullet (accordion with expandable inline help)</t>
  </si>
  <si>
    <t>Reveal text shown under Inline Help when the bullet is expanded (click twisty or "Expand All")</t>
  </si>
  <si>
    <t>First things first</t>
  </si>
  <si>
    <t>Section (accordion with Expand All/Collapse All)</t>
  </si>
  <si>
    <t>At least 18 years of age</t>
  </si>
  <si>
    <t>A resident of Canada</t>
  </si>
  <si>
    <t>Not a resident of Quebec</t>
  </si>
  <si>
    <t xml:space="preserve">Not opening the account(s) for use by, or benefit of a third party </t>
  </si>
  <si>
    <t>Authorized to open a bank account with CWB on behalf of your business</t>
  </si>
  <si>
    <t>Organized as a Corporation, General Partnership or Sole Proprietorship</t>
  </si>
  <si>
    <t>Registered and/or operating in Canada (except Quebec)</t>
  </si>
  <si>
    <t>Not a Registered Charity and does not solicit donations from the public</t>
  </si>
  <si>
    <t xml:space="preserve">Not operating in an industry prohibited by CWB </t>
  </si>
  <si>
    <t>On click, navigate to "Existing Customer Check" page (CWBSB-175)</t>
  </si>
  <si>
    <t>Submit</t>
  </si>
  <si>
    <t>On click, open chat window (modal) URL TBC</t>
  </si>
  <si>
    <t>Text/verbiage updates CWBSB-176</t>
  </si>
  <si>
    <t>CWBSB-52</t>
  </si>
  <si>
    <t>CWBSB-53</t>
  </si>
  <si>
    <t>With your permission…</t>
  </si>
  <si>
    <t>Help us help you</t>
  </si>
  <si>
    <t>Text/verbiage updates CWBSB-180</t>
  </si>
  <si>
    <t>You must inform us within 30 days if any of the tax residency information for your business changes.</t>
  </si>
  <si>
    <t>CWBSB-182</t>
  </si>
  <si>
    <t>Text/verbiage updates for SB CWBSB-183</t>
  </si>
  <si>
    <t>After the user clicks "Next", if radio button 14.5 has been selected.</t>
  </si>
  <si>
    <t>If the user selects radio button 14.5 and clicks "Next" (14.7), this text should be displayed in a modal confirmation box (pop-up or overlay, for example).  
The confirmation should include the two buttons underlined in the caption column.  
Clicking "Yes, I'm sure" should navigate the user to the next page in the journey flow (Manual IDV page).
 Clicking "No, go back" should cancel the navigation action, and return the user to the Alternate IDV page (this page).</t>
  </si>
  <si>
    <t>Updated Story references in resusable pages from Motive/personal, incl. second stories for text/verbiage updates; tabs coloured green for pages that are ready for dev.
3. Contact Info
4. Verify Mobile
10. App-ID Scan
11. App-Name &amp; Address
12. App-Birthday, SIN &amp; Occupation
13. App-eConsent
15. App-Flinks
A. Generic Error
B. Manual Review
C. Decline
I. Previously Submitted</t>
  </si>
  <si>
    <t>Christina Mullin</t>
  </si>
  <si>
    <t>Hyperlink phone number (click to call)
Hyperlink "find the nearest CWB branch" to branch locator URL https://www.cwbank.com/branch-locator?sc_trk=GlobalFindABranch</t>
  </si>
  <si>
    <t>Pending final decision on page navigation</t>
  </si>
  <si>
    <t>Christina Mullin
Stacy Schmidt</t>
  </si>
  <si>
    <t>Pending decision on page navigation</t>
  </si>
  <si>
    <t>1.2 WIP</t>
  </si>
  <si>
    <t>Please check the box to indicate your agreement.</t>
  </si>
  <si>
    <t>I agree, on behalf of my business, to allow CWB to collect and maintain the business information submitted in this application.</t>
  </si>
  <si>
    <t>Conditional</t>
  </si>
  <si>
    <t>A) No preference
B) Business hours (8am-5pm)
C) Morning
D) Afternoon
E) Evening (after 5pm)</t>
  </si>
  <si>
    <t>A) No preference</t>
  </si>
  <si>
    <t>Validate on Submit</t>
  </si>
  <si>
    <t>Please tell us a little about your business</t>
  </si>
  <si>
    <t>No validation required - default selected</t>
  </si>
  <si>
    <t>On click, navigate to "Business eConsent" (CWBSB-19)</t>
  </si>
  <si>
    <t>Disclosures - Tax Residency</t>
  </si>
  <si>
    <t>Conditional: display only if business entity type = Corporation or General Partnership</t>
  </si>
  <si>
    <t>The business entity named above is:</t>
  </si>
  <si>
    <t>Tax residency information for &lt;&lt;business legal name&gt;&gt;</t>
  </si>
  <si>
    <t>Hyperlink the underlined URL in the inline help.</t>
  </si>
  <si>
    <r>
      <t xml:space="preserve">To fit this classification, less than 50% of your business' gross income is passive income (e.g. investment income) and less than 50% of its assets produce passive income. For more information, refer to </t>
    </r>
    <r>
      <rPr>
        <u/>
        <sz val="11"/>
        <rFont val="Calibri"/>
        <family val="2"/>
        <scheme val="minor"/>
      </rPr>
      <t>https://www.canada.ca/content/dam/cra-arc/formspubs/pbg/rc519/rc519-18e.pdf</t>
    </r>
  </si>
  <si>
    <t>If check box 18a.6 is checked, on click, navigate to "Business Disclosures" page CWBSB-44.
If check box 18a.6 is unchecked, on click, remain on page and display mandatory message as shown above.</t>
  </si>
  <si>
    <t>On click, navigate to "Authorized Signers" page CWBSB-43</t>
  </si>
  <si>
    <t>CWBSB-190</t>
  </si>
  <si>
    <t>Text/verbiage updates CWBSB-191</t>
  </si>
  <si>
    <t>If box in unchecked and user clicks "Next", remain on page and display mandatory message.</t>
  </si>
  <si>
    <t>150 characters</t>
  </si>
  <si>
    <t>Validate for length</t>
  </si>
  <si>
    <t>Validate based on mandatory/conditional fields above</t>
  </si>
  <si>
    <t>Initial business-specific pages identified for dev:
1. Qualifying Questions
DEPRECATED Screening Questions and Failed Screening based on team review.
Additional resuable pages identified for dev:
14. App-Alternate IDV
E. Save
F. Resume</t>
  </si>
  <si>
    <t>Business specific-pages identified for dev:
1a. Not Qualified Info Page
5. Business eConsent
6. About Your Business-CODAT
18a. Disclosures-Tax Residency
18. Business Disclosures</t>
  </si>
  <si>
    <t>50 characters</t>
  </si>
  <si>
    <t>This is my preferred contact method</t>
  </si>
  <si>
    <t>A) Unchecked
B) Checked</t>
  </si>
  <si>
    <t>A) Unchecked</t>
  </si>
  <si>
    <t>Allow only one of the 2 "This is my preferred contact method" boxes to be checked</t>
  </si>
  <si>
    <t>See Validation Rule</t>
  </si>
  <si>
    <t>Validate on Submit.
Conditional: data entry required if preferred contact method check box for Email field is checked</t>
  </si>
  <si>
    <t>Validate on Submit.
Conditional: data entry required if preferred contact method check box for Contact phone number field is checked</t>
  </si>
  <si>
    <t>CWBSB-43</t>
  </si>
  <si>
    <t>1.3 WIP</t>
  </si>
  <si>
    <t>CWBSB-56</t>
  </si>
  <si>
    <t>As Required (in response to user inactivity)</t>
  </si>
  <si>
    <t>See NFR CWBSB-196 for time out parameters</t>
  </si>
  <si>
    <t>See CWBSB-197 for text/verbiage updates</t>
  </si>
  <si>
    <t>Contact phone# and email are to be determined</t>
  </si>
  <si>
    <t>CWBSB-55</t>
  </si>
  <si>
    <t>Text/verbiage updates CWBSB-213</t>
  </si>
  <si>
    <t>The email address should be hyperlinked.</t>
  </si>
  <si>
    <t>CWBSB-175</t>
  </si>
  <si>
    <t>Image asset to be confirmed</t>
  </si>
  <si>
    <t>Modal page - only for users that select Manual IDV on the Alternate IDV page</t>
  </si>
  <si>
    <t>The email address should by hyperlinked (mailto link).</t>
  </si>
  <si>
    <t>CWBSB-220</t>
  </si>
  <si>
    <t>Text/verbiage and link updates - CWBSB-221</t>
  </si>
  <si>
    <t>2.0 WIP</t>
  </si>
  <si>
    <t>On Click...
Navigate back to the "App-Alternate IDV" page (CWBSB-182)</t>
  </si>
  <si>
    <t>To start, let's first confirm you and your business meet the following conditions for opening a CWB business account:
You are:</t>
  </si>
  <si>
    <t>We are only able to open accounts for Canadian residents.</t>
  </si>
  <si>
    <t xml:space="preserve">If your business is not one of these, we may still be able to help you outside of this online application. </t>
  </si>
  <si>
    <t>Owned by 4 or less individuals and not owned (in whole or part) by another business</t>
  </si>
  <si>
    <t>If your business has a different ownership structure, we may still be able to help you outside of this online application.</t>
  </si>
  <si>
    <t>If your business is a charity, we may still be able to help you outside of this online application.</t>
  </si>
  <si>
    <t>We are only able to open accounts for Canadian businesses (with the exception of Quebec).</t>
  </si>
  <si>
    <t>Pending final decision on progress/navigation</t>
  </si>
  <si>
    <t xml:space="preserve">We're sorry, but we're unable to complete your request through this online application.
So, let's connect and explore some options! </t>
  </si>
  <si>
    <t>We'll contact you: please let us know how and when we can reach you.</t>
  </si>
  <si>
    <t>Format, content and destination for generated email to be confirmed - see email spec.</t>
  </si>
  <si>
    <t>Contact number to be confirmed</t>
  </si>
  <si>
    <t>Additional resuable pages identified for dev:
16. App-Manual IDV
D. Cancel
G. Time Out</t>
  </si>
  <si>
    <t>How may we reach you?</t>
  </si>
  <si>
    <r>
      <t xml:space="preserve">We'll use this information to communicate with you about this application on an ongoing basis, as per our </t>
    </r>
    <r>
      <rPr>
        <u/>
        <sz val="11"/>
        <color theme="1"/>
        <rFont val="Calibri"/>
        <family val="2"/>
        <scheme val="minor"/>
      </rPr>
      <t>privacy statement</t>
    </r>
    <r>
      <rPr>
        <sz val="11"/>
        <color theme="1"/>
        <rFont val="Calibri"/>
        <family val="2"/>
        <scheme val="minor"/>
      </rPr>
      <t>.</t>
    </r>
  </si>
  <si>
    <t>We'll send you status updates and important information about your application.</t>
  </si>
  <si>
    <t>Need to take a break? We'll save your application and send a one-time token to your mobile phone, so you can resume it later.</t>
  </si>
  <si>
    <t>Only if the user has already passed ReCAPTCHA verification (field 3.6)</t>
  </si>
  <si>
    <t>CWBSB-219 - text/verbiage updates</t>
  </si>
  <si>
    <t>CWBSB-233 - content/link/control updates once authenticated path details are known</t>
  </si>
  <si>
    <t>We can scan the back of your driver's licence to quickly fill in your personal information. Upload an image or skip this step if you wish to fill in this information yourself.</t>
  </si>
  <si>
    <t>Let's get started</t>
  </si>
  <si>
    <t>All about you</t>
  </si>
  <si>
    <t>Only if radio button 11.12 is "No".</t>
  </si>
  <si>
    <t>Only if radio button 11.12 is "No", and manual address mode is enabled on field 11.13 (previous address).</t>
  </si>
  <si>
    <t>Only if manual address mode is enabled on field 11.5 (current address).</t>
  </si>
  <si>
    <t>Only if radio button 11.20 is "No".</t>
  </si>
  <si>
    <t>Only if radio button 11.20 is "No", and manual address mode is enabled on field 11.13 (previous address).</t>
  </si>
  <si>
    <t>Single lookup field to be replaced with dependent drop-downs to match revised approach on personal - see CWBSB-226</t>
  </si>
  <si>
    <t>Occupation field updates CWBSB-226</t>
  </si>
  <si>
    <t>We will use third party sources to validate and confirm the information you submitted.</t>
  </si>
  <si>
    <t>We will use a deposit inquiry credit score for opening your account.</t>
  </si>
  <si>
    <t>Pending decision on progress/navigation</t>
  </si>
  <si>
    <t>On click, navigate to one of the following pages, based on the user's radio button selection:
14.4 selected: navigate to "App - Flinks" page (CWBSB-42)
14.5 AND "Yes, I'm sure" selected in modal (14.6 above), navigate to "Manual IDV" (CWBSB-220)</t>
  </si>
  <si>
    <t>By submission of this application, I certify that the tax jurisdiction information above is correct and complete. I will notify CWB within 30 days of any change in circumstances that cause this tax jurisdiction information to become incomplete or inaccurate.</t>
  </si>
  <si>
    <t>Something went wrong…</t>
  </si>
  <si>
    <t>Unfortunately, we are unable to approve your application at this time.</t>
  </si>
  <si>
    <t xml:space="preserve">You are welcome to reapply to CWB in six months. </t>
  </si>
  <si>
    <t>Your application is safe with us</t>
  </si>
  <si>
    <t>We have saved your information so you can resume where you left off.</t>
  </si>
  <si>
    <t>Please check your email for instructions for resuming your application.</t>
  </si>
  <si>
    <t>Text/verbiage updates CWBSB-177</t>
  </si>
  <si>
    <t>We just sent a 4-7 digit token to your mobile number. Please enter it below to continue with your application.</t>
  </si>
  <si>
    <t>Welcome…</t>
  </si>
  <si>
    <t>Text/verbiage updates CWBSB-178</t>
  </si>
  <si>
    <t>Note: generic wording required in heading and main paragraph as this resume page is also used for initial invitation to Auth Signers.</t>
  </si>
  <si>
    <t>Business Legal Name</t>
  </si>
  <si>
    <t>Business Legal (Registered) Address</t>
  </si>
  <si>
    <t>Yes, if not in manual address mode or address not pre-filled from Codat</t>
  </si>
  <si>
    <t>If specified address is a Quebec address then
"Sorry, but we are unable to offer banking services to businesses registered in Quebec at this time."</t>
  </si>
  <si>
    <t>Street / RR number</t>
  </si>
  <si>
    <t>Street / RR name</t>
  </si>
  <si>
    <t>Pre-fill if address received from Codat</t>
  </si>
  <si>
    <t>Business Mailing Address</t>
  </si>
  <si>
    <t>Validate for field length</t>
  </si>
  <si>
    <t>Conditional - see Business Rules</t>
  </si>
  <si>
    <t>Value must come from a drop down list of valid Canadian provinces/territories. Must not be Quebec.</t>
  </si>
  <si>
    <t>Business Phone</t>
  </si>
  <si>
    <t>Business Email</t>
  </si>
  <si>
    <t>CWBSB-25</t>
  </si>
  <si>
    <t>On click, navigate to "More About Your Business" (CWBSB-25)</t>
  </si>
  <si>
    <t>On click, navigate to "About Your Business-Codat" (CWBSB-20)</t>
  </si>
  <si>
    <t>Business Type</t>
  </si>
  <si>
    <t>A) Corporation
B) General Partnership
C) Sole Proprietorship</t>
  </si>
  <si>
    <t>No selection</t>
  </si>
  <si>
    <t>Industry Sector</t>
  </si>
  <si>
    <t>Industry</t>
  </si>
  <si>
    <t>Annual Revenue</t>
  </si>
  <si>
    <t>Numeric (currency)</t>
  </si>
  <si>
    <t>11 including 2 decimal places (nnnnnnnn.nn)</t>
  </si>
  <si>
    <t>Accept 0 (0.00) as a valid input value</t>
  </si>
  <si>
    <t>Number Picker (spinner)</t>
  </si>
  <si>
    <t>Small Business Digital Client Onboarding (DCO)</t>
  </si>
  <si>
    <t>Number of Employees</t>
  </si>
  <si>
    <t>Business Registration</t>
  </si>
  <si>
    <t>Province / Territory of Registration</t>
  </si>
  <si>
    <t>List of Canadian provinces &amp; territories</t>
  </si>
  <si>
    <t>Registration Number</t>
  </si>
  <si>
    <t>Please enter your provincial / territorial registration number</t>
  </si>
  <si>
    <t>Mandatory if Business Type (9.3) = Corporation
Else optional (if Business Type = General Partnership or Sole Proprietorship).
If no value selected, application must be flagged for Manual Review.</t>
  </si>
  <si>
    <t>Mandatory if Business Type (9.3) = Corporation
Else optional (if Business Type = General Partnership or Sole Proprietorship).
If no value entered, application must be flagged for Manual Review.</t>
  </si>
  <si>
    <t>Is your business registered in another province or territory?</t>
  </si>
  <si>
    <t>Additional Province / Territory of Registration</t>
  </si>
  <si>
    <t>Conditional - see business rules</t>
  </si>
  <si>
    <t>Business Number (Federal BIN / GST Registration Number)</t>
  </si>
  <si>
    <t>On click, navigate to "About Your Business" CWBSB-24</t>
  </si>
  <si>
    <t>Contact info (inline help) to be confirmed</t>
  </si>
  <si>
    <t>Conditional, based on business type: always show if Corporation or General Partnership; skip if Sole Proprietorship</t>
  </si>
  <si>
    <t>Your role</t>
  </si>
  <si>
    <t>Are you a shareholder / owner or partner in the business?</t>
  </si>
  <si>
    <t>Percentage ownership</t>
  </si>
  <si>
    <t>Please enter the percentage of the business you own.</t>
  </si>
  <si>
    <t>Role(s)</t>
  </si>
  <si>
    <t>% Ownership</t>
  </si>
  <si>
    <t>Table - column header</t>
  </si>
  <si>
    <t>Table - cell</t>
  </si>
  <si>
    <t>On click, navigate to "App-eConsent" page (CWBSB-41)</t>
  </si>
  <si>
    <t>CWBSB-192</t>
  </si>
  <si>
    <t>CWBSB-45</t>
  </si>
  <si>
    <t>CWBSB-46</t>
  </si>
  <si>
    <t>On click, validate token, and resume application.</t>
  </si>
  <si>
    <t>On click, resend token to mobile number.</t>
  </si>
  <si>
    <t>CWBSB-243</t>
  </si>
  <si>
    <t>Concurrent Application Page</t>
  </si>
  <si>
    <t>As Required (in response to a user trying to start a concurrent application)</t>
  </si>
  <si>
    <t>&lt;&lt;Original Application Number&gt;&gt;</t>
  </si>
  <si>
    <t>Page header content - dynamic display based on the status of the applicant's previously created application</t>
  </si>
  <si>
    <t>Welcome back!</t>
  </si>
  <si>
    <t>Only if pre-existing application has a status of "Saved" or "Review"</t>
  </si>
  <si>
    <t>Thank you for applying</t>
  </si>
  <si>
    <t>Only if pre-existing application has a status of "Declined"</t>
  </si>
  <si>
    <t>Main body content - dynamic display based on the status of the applicant's previously created application</t>
  </si>
  <si>
    <t>It looks like you've already started an application with us.  You'll have to complete or cancel your other application before starting a new one.
Check your email for details about how to complete your previous application.</t>
  </si>
  <si>
    <t>Only if pre-existing application has a status of "Saved"</t>
  </si>
  <si>
    <t>It looks like you've already started an application that is still under review. Please wait for the review to be completed.</t>
  </si>
  <si>
    <t>Only if pre-existing application has a status of "Review"</t>
  </si>
  <si>
    <t>It looks like you recently completed another application which we were unable to approve.
If you'd like to reapply to CWB, you may do so in six months.</t>
  </si>
  <si>
    <t>Contact instructions - dynamic display based on the status of the applicant's previously created application</t>
  </si>
  <si>
    <t>Await Authorized Signers information page</t>
  </si>
  <si>
    <t>CWBSB-254</t>
  </si>
  <si>
    <t>Conditional - displayed only if user has chosen to connect their accounting software in the About Your Business-Codat page (CWBSB-20)</t>
  </si>
  <si>
    <t>Third Party Widget (e.g. Codat, Flinks)</t>
  </si>
  <si>
    <t>On Click, navigate back to the "About Your Business-Codat" page (CWBSB-20)</t>
  </si>
  <si>
    <t>May need modal or similar if connection to Codat is unsuccessful (choice - retry, or continue/enter info manually?)</t>
  </si>
  <si>
    <t>Almost there</t>
  </si>
  <si>
    <t>Some questions about your new business account(s)</t>
  </si>
  <si>
    <t>&lt;&lt;product name&gt;&gt;</t>
  </si>
  <si>
    <t>Insert product name for the account being opened, e.g. 
Cash Management Account (Standard)</t>
  </si>
  <si>
    <t>What is the intended use for this account?</t>
  </si>
  <si>
    <t>End repeatable section</t>
  </si>
  <si>
    <t>IF &lt;&lt;product name&gt;&gt; = Business Savings Account, default "General savings or accrue interest" and non-editable;
ELSE default no selection</t>
  </si>
  <si>
    <t>Hyperlink underlined text as a "mailto" with subject line "Small Business application &lt;&lt;application ID&gt;&gt;"</t>
  </si>
  <si>
    <t>Business Account Options / AML Questions</t>
  </si>
  <si>
    <t>A) No
B) Yes</t>
  </si>
  <si>
    <t>A) No</t>
  </si>
  <si>
    <t>We need to confirm some details and ask you a few questions about your new business account(s) to comply with Canadian Anti-Money Laundering and Terrorist Financing legislation.</t>
  </si>
  <si>
    <t>Repeatable section: repeat for each complementary product chosen in Product Selector</t>
  </si>
  <si>
    <t>&lt;&lt;provisioning info&gt;&gt;</t>
  </si>
  <si>
    <t>&lt;&lt;product name&gt;&gt; attribute from Product Catalogue</t>
  </si>
  <si>
    <t>&lt;&lt;provisioning info&gt;&gt; attribute from Product Catalogue</t>
  </si>
  <si>
    <t>Display/repeat for each complementary (cash management) product;
Omit if no complementary products selected.</t>
  </si>
  <si>
    <t>See Display column.
Populate with Product Name attribute from corresponding Product Catalogue item</t>
  </si>
  <si>
    <t>See Display column.
Populate with Provisioning Info attribute from corresponding Product Catalogue item</t>
  </si>
  <si>
    <t>On click, navigate back to the "Account Options" page (CWBSB-45)</t>
  </si>
  <si>
    <t>Assumes Product Catalogue can support this attribute. May include hyperlink to a partner/third party provider for some cash management products.</t>
  </si>
  <si>
    <t>CWBSB-255</t>
  </si>
  <si>
    <t>Format email address as Mailto link.</t>
  </si>
  <si>
    <t>Trade or Operating Name</t>
  </si>
  <si>
    <r>
      <t xml:space="preserve">For assistance, please email CWB at </t>
    </r>
    <r>
      <rPr>
        <u/>
        <sz val="11"/>
        <color theme="1"/>
        <rFont val="Calibri"/>
        <family val="2"/>
        <scheme val="minor"/>
      </rPr>
      <t>Business-Onboarding@CWBank.com</t>
    </r>
    <r>
      <rPr>
        <sz val="11"/>
        <color theme="1"/>
        <rFont val="Calibri"/>
        <family val="2"/>
        <scheme val="minor"/>
      </rPr>
      <t>.
Your reference number is:</t>
    </r>
  </si>
  <si>
    <t>Your business associates</t>
  </si>
  <si>
    <t>&lt;&lt;first name&gt;&gt; &lt;&lt;last name&gt;&gt;</t>
  </si>
  <si>
    <t>Enumerated progress steps - see Permitted Data</t>
  </si>
  <si>
    <t>Status checker (linear)</t>
  </si>
  <si>
    <t>Proceed to next step</t>
  </si>
  <si>
    <t>Start repeatable section - Status checker (linear)</t>
  </si>
  <si>
    <t>The email address should be hyperlinked ("mailto" link).</t>
  </si>
  <si>
    <t>Text field (masked input)</t>
  </si>
  <si>
    <t>CWBSB-263</t>
  </si>
  <si>
    <t>Review for language.
Destination page/URL for OKTA log in is to be confirmed.</t>
  </si>
  <si>
    <t>This leads to the "authenticated path" if they are existing - i.e. skip business verification and profile (go to product selection)</t>
  </si>
  <si>
    <t>This is the Codat widget for the user to log in to their accounting software in order to retrieve company profile data.
Mandatory: must make a selection in order to activate Next button</t>
  </si>
  <si>
    <t>Industry Sub Sector</t>
  </si>
  <si>
    <t>Reveal additional Province / Territory (9.13) and Registration Number (9.14) fields ONLY if user selects (A) Yes</t>
  </si>
  <si>
    <t>Visible only if radio button 9.12 selection = (A) Yes
Mandatory if radio button 9.12 selection = (A) Yes</t>
  </si>
  <si>
    <t>Industry Sector from NAICS sheet</t>
  </si>
  <si>
    <t>Sub Sector from NAICS sheet</t>
  </si>
  <si>
    <t>Industry from NAICS sheet</t>
  </si>
  <si>
    <t>Your Industry</t>
  </si>
  <si>
    <t>Revenue and Employees</t>
  </si>
  <si>
    <t>Ian Hicks
Roland Matsuba</t>
  </si>
  <si>
    <t>Sector value selected filters the available values in the Sub Sector  list (9.6)</t>
  </si>
  <si>
    <t>Sub Sector value selected filters the available values in the Industry list (9.7)</t>
  </si>
  <si>
    <t>Available values in the Industry list (9.7) are dependent on the Sector value (9.5) and Sub Sector (9.6) selected</t>
  </si>
  <si>
    <t>Disabled on page entry; enable when selection is made in Industry Sector (9.5).
Pre-fill this field if only one Sub Sector value is available.</t>
  </si>
  <si>
    <t>19a</t>
  </si>
  <si>
    <t>Your Role</t>
  </si>
  <si>
    <t>Up to 3 + 2 decimal places</t>
  </si>
  <si>
    <t>Validate that a value is present in 17a.4 if radio button 17a.3 = "Yes"</t>
  </si>
  <si>
    <t>See Mandatory Message for 17a.4</t>
  </si>
  <si>
    <t>Allow type-ahead or drop-down to select.
Disabled on page entry; enable when selection is made in Industry Sub Sector (9.6).</t>
  </si>
  <si>
    <t>CWBSB-295</t>
  </si>
  <si>
    <t>CWBSB-294</t>
  </si>
  <si>
    <t>The people in your business</t>
  </si>
  <si>
    <t>&lt;&lt;applicant first name&gt;&gt; &lt;&lt;applicant last name&gt;&gt;</t>
  </si>
  <si>
    <t>Director</t>
  </si>
  <si>
    <t>Include only if business entity type = Corporation</t>
  </si>
  <si>
    <t>Owner/Shareholder or Partner</t>
  </si>
  <si>
    <t>Insert only if business entity type = Corporation</t>
  </si>
  <si>
    <r>
      <t>Owner/Shareholder or Partner (&lt;&lt;</t>
    </r>
    <r>
      <rPr>
        <i/>
        <sz val="11"/>
        <color theme="1"/>
        <rFont val="Calibri"/>
        <family val="2"/>
        <scheme val="minor"/>
      </rPr>
      <t>nn.nn</t>
    </r>
    <r>
      <rPr>
        <sz val="11"/>
        <color theme="1"/>
        <rFont val="Calibri"/>
        <family val="2"/>
        <scheme val="minor"/>
      </rPr>
      <t>&gt;&gt;%)</t>
    </r>
  </si>
  <si>
    <t>Who else is in the business with you?</t>
  </si>
  <si>
    <t>Include only if business entity type = Corporation
Render director image to left of text</t>
  </si>
  <si>
    <t>Director image asset to be provided</t>
  </si>
  <si>
    <t>Render Owner/Shareholder/Partner image to left of text</t>
  </si>
  <si>
    <t>Owner/Shareholder/Partner image asset to be provided</t>
  </si>
  <si>
    <t>no caption (cell for email address)</t>
  </si>
  <si>
    <t>See business rules</t>
  </si>
  <si>
    <t>no caption (cell for percentage ownership)</t>
  </si>
  <si>
    <t>+ Add another person</t>
  </si>
  <si>
    <t>On click, save entered person info (name, roles, % ownership, email) to form and add another row to the table.</t>
  </si>
  <si>
    <t>On click, navigate to "Your Role" page (CWBSB-295)</t>
  </si>
  <si>
    <t>End table</t>
  </si>
  <si>
    <t>On click, navigate to "Owners &amp; Directors" page (CWBSB-294)</t>
  </si>
  <si>
    <t>On click, navigate to "Disclosures-Tax Residency" page (CWBSB-190)</t>
  </si>
  <si>
    <t>no caption</t>
  </si>
  <si>
    <t>A) Yes, I meet the above criteria
B) Don't qualify? We're here to help</t>
  </si>
  <si>
    <t>Selection required; if no selection, display mandatory message when "Next" is clicked.</t>
  </si>
  <si>
    <t>Pre-fill if data received from Codat</t>
  </si>
  <si>
    <t>Pre-fill if mailing address received from Codat</t>
  </si>
  <si>
    <t>On click, navigate to "App-IDScan" CWBSB-38 and invoke Business Verification (Business Search) service.</t>
  </si>
  <si>
    <t>Next will be required to trigger API call to the Thirdstream Business Verification (Business Search) service.</t>
  </si>
  <si>
    <t>Your business application ID is: &lt;&lt;application ID&gt;&gt;</t>
  </si>
  <si>
    <t>Your business associates will be joining us soon</t>
  </si>
  <si>
    <r>
      <t>Insert number of days remaining to complete the Journey Manager form in the field indicated by &lt;&lt;</t>
    </r>
    <r>
      <rPr>
        <i/>
        <sz val="11"/>
        <color theme="1"/>
        <rFont val="Calibri"/>
        <family val="2"/>
        <scheme val="minor"/>
      </rPr>
      <t>day count</t>
    </r>
    <r>
      <rPr>
        <sz val="11"/>
        <color theme="1"/>
        <rFont val="Calibri"/>
        <family val="2"/>
        <scheme val="minor"/>
      </rPr>
      <t>&gt;&gt;.
The first time this page is rendered, expected value will be 45.</t>
    </r>
  </si>
  <si>
    <t>Conditional - when 1 or more Authorized Signers have been identified and invitation emails sent (see CWBSB-43)</t>
  </si>
  <si>
    <t>Resend email</t>
  </si>
  <si>
    <t>Render text as a hyperlink. When clicked, regenerate invitation email for the corresponding Authorized Signer.</t>
  </si>
  <si>
    <t>ID: &lt;&lt;application ID&gt;&gt;</t>
  </si>
  <si>
    <t>Insert system-generated application ID (for the business application) where indicated by &lt;&lt; &gt;&gt; tags.</t>
  </si>
  <si>
    <t>Justify right, beneath status checker for each Authorized Signer.
Insert system-generated application ID (for the corresponding Authorized Signer) where indicated by &lt;&lt; &gt;&gt; tags.</t>
  </si>
  <si>
    <t>Added/updated final verbiage (from Marketing / Connie S) for sign off
1. Qualifying Questions, 1a. Not Qualified Info Page, 3. Contact Info, 4. Verify Mobile, 5. Business eConsent, 6. About Your Business-CODAT, 10. App-IDScan, 11. App-Name &amp; Address, 
12. App-Birthday, SIN &amp; Occupation, 13. App-eConsent, 14. App-Alternate IDV, 15. App-Flinks, 18a. Disclosures-Tax residency, 18. Business Disclosures
A. Generic Error, B. Manual Review, C. Decline, E. Save, F. Resume, I. Previously Submitted
Page fields and controls for approval (final wording review not done):
8. Your Business
9. More About Your Business
17a. Your Role
17. Owners &amp; Directors
20. Await Auth Signers
Updated controls for 1. Qualification and 1a. Not Qualified Info Page to meet Temenos template constraints.
Added specs for remaining pages, for future sprints (not yet ready for approval):
CPE. Common Page Elements
2. Existing Customer Check
7. Login to Codat
18. Authorized Signers
21. Account Options
22. Complementary Services
H. Progress, J. Concurrent App, K. Unable to Resume</t>
  </si>
  <si>
    <t>Enabled for selection on page entry
Drop down list of all values of sector</t>
  </si>
  <si>
    <t>This tells us how many signatures will be required on instruments such as cheques written on behalf of your business.</t>
  </si>
  <si>
    <t>2.1 WIP</t>
  </si>
  <si>
    <t>Roland Matsuba</t>
  </si>
  <si>
    <t>Use this as my business mailing address</t>
  </si>
  <si>
    <t>Select your accounting software from the list or skip this step to continue.</t>
  </si>
  <si>
    <t>Accounts receivable
GST
Day to day operations
Taxes
Payroll
Accounts payable
Project
Cash management
General savings or accrue interest</t>
  </si>
  <si>
    <t>I would like to connect my accounting software</t>
  </si>
  <si>
    <t>A) Yes, I approve CWB to access my business accounting software
B) No, I'll do it manually later</t>
  </si>
  <si>
    <t>This will be used to retain our connection to your accounting system so we can offer you advice and analysis about your business in the future. You may opt out at anytime if you no longer wish to take advantage of this feature.</t>
  </si>
  <si>
    <t>Please make a selection to continue.</t>
  </si>
  <si>
    <t>.</t>
  </si>
  <si>
    <t>Please provide a valid email address.</t>
  </si>
  <si>
    <t>Please provide a valid  phone number.</t>
  </si>
  <si>
    <t>Please select only one preferred contact method.</t>
  </si>
  <si>
    <t>Please enter your name.</t>
  </si>
  <si>
    <t>Please provide a valid mobile phone number.</t>
  </si>
  <si>
    <t>You must confirm your agreement to continue.</t>
  </si>
  <si>
    <t>Please enter the Business Legal (Registered) Name.</t>
  </si>
  <si>
    <t>Please provide a valid business phone number.</t>
  </si>
  <si>
    <t>Please provide a valid business email address.</t>
  </si>
  <si>
    <t>Please provide a street  / RR number.</t>
  </si>
  <si>
    <t>Please provide a street / RR name.</t>
  </si>
  <si>
    <t>Please provide a city name.</t>
  </si>
  <si>
    <t>Please select a province.</t>
  </si>
  <si>
    <t>Please provide a postal code.</t>
  </si>
  <si>
    <t>Please provide a street / RR / PO Box number.</t>
  </si>
  <si>
    <t>Please select a Business Type.</t>
  </si>
  <si>
    <t>Please select an Industry Sector.</t>
  </si>
  <si>
    <t>Please select an Industry Sub Sector.</t>
  </si>
  <si>
    <t>Please select an Industry.</t>
  </si>
  <si>
    <t>Please select Yes or No.</t>
  </si>
  <si>
    <t>Please tell us your physical address.</t>
  </si>
  <si>
    <t>Please provide a street number.</t>
  </si>
  <si>
    <t>Please provide a street name.</t>
  </si>
  <si>
    <t>Please tell us your previous physical address.</t>
  </si>
  <si>
    <t>Please tell us your mailing address.</t>
  </si>
  <si>
    <t>Please provide a street name or P.O. box number.</t>
  </si>
  <si>
    <t>Please provide a province/state name.</t>
  </si>
  <si>
    <t>Please tell us your birthday.</t>
  </si>
  <si>
    <t>Please tell us your current occupation.</t>
  </si>
  <si>
    <t>Please select your preferred method of identity verification.</t>
  </si>
  <si>
    <t>Please enter your associate's first name.</t>
  </si>
  <si>
    <t>You must identify everyone who has ownership in your business to continue.</t>
  </si>
  <si>
    <t>Please check the box to certify the tax residency information for your business.</t>
  </si>
  <si>
    <t>Please tell us what this account will be used for.</t>
  </si>
  <si>
    <t>Updated 8.9 - 8.12 to remove validation on address fields to be consistent with address fields for Personal and Motive.
Updated 8.15 - 8.17 wording changed to Use this as my business mailing address and updated based on if checked or unchecked.
Updated 7.5 - changed Skip this step to a checkbox
Updated 21.5 - Intended Use codes updated based on feedback from Regulatory Compliance.
Updated 6.3-6.6 based on UX changes to use radio controls and remove accordian help.
Added in periods for all mandatory messages and validation messages.</t>
  </si>
  <si>
    <t>IF selection = (A) Yes I meet the above criteria, on click, navigate to "Existing Customer Check" page (CWBSB-175);
ELSE IF selection = (B) Don't qualify, we're here to help, on click, navigate to "Not Qualified Info Page" page (CWBSB-13)</t>
  </si>
  <si>
    <t>Value must come from a drop down list of valid Canadian provinces/territories.</t>
  </si>
  <si>
    <t>2.2 WIP</t>
  </si>
  <si>
    <t>Or skip this step</t>
  </si>
  <si>
    <t xml:space="preserve">On click, apply the following conditional logic:
A) If mobile verification has not yet taken place, navigate to "Verify Mobile" page (CWBSB-16)
B) If mobile verification was previously completed, navigate to "Product Selector" page </t>
  </si>
  <si>
    <t>This page needs to be displayed per account being opened.</t>
  </si>
  <si>
    <t>We are looking forward to completing your business application, however we are waiting for some further information before we can do so.
Please watch your email for an invitation to resume. Thank you for your patience.</t>
  </si>
  <si>
    <t>no caption (checkbox for signer)</t>
  </si>
  <si>
    <t>An individual who is a board member of a Corporation. They may hold other title(s) in connection with their company duties, such as President, Chairperson or Secretary.</t>
  </si>
  <si>
    <t>Signer</t>
  </si>
  <si>
    <t>A person who can sign a cheque or approve a banking transaction on behalf of the business.</t>
  </si>
  <si>
    <t>Mandatory if role selection 17.25 includes "Shareholder/Owner or Partner";
Input not permitted if role selection 17.25 = "Director" only.</t>
  </si>
  <si>
    <t>Delete</t>
  </si>
  <si>
    <t>Alpha characters, spaces, dashes, special characters &amp;'()+,-./:?</t>
  </si>
  <si>
    <t>Updated allowable characters to include special characters for consistency across name fields.</t>
  </si>
  <si>
    <t>A tax resident of Canada and not a tax resident of the United States, or another jurisdiction</t>
  </si>
  <si>
    <t>Engaged in an active trade or business, and is not a Financial Institution.</t>
  </si>
  <si>
    <t>Removed hyphen from in front of text block.</t>
  </si>
  <si>
    <t>Owners, Directors and Signers</t>
  </si>
  <si>
    <t>(note original story CWBSB-43 deprecated)</t>
  </si>
  <si>
    <t>Card</t>
  </si>
  <si>
    <t>Begin Card Section (with main applicant info)</t>
  </si>
  <si>
    <t>On click, validate as described.
If validation passes, navigate to "Owners, Directors and Signers" page (CWBSB-294)</t>
  </si>
  <si>
    <t>In-line with person/initials image 18.3.
Insert first and last name of Applicant in tagged fields indicated by &lt;&lt;&gt;&gt;; bold font</t>
  </si>
  <si>
    <r>
      <t>Include only if selection in Your Role page (radio button 17.4) = "Yes"
Insert percentage ownership value in field tagged &lt;&lt;</t>
    </r>
    <r>
      <rPr>
        <i/>
        <sz val="11"/>
        <color theme="1"/>
        <rFont val="Calibri"/>
        <family val="2"/>
        <scheme val="minor"/>
      </rPr>
      <t>nn.nn</t>
    </r>
    <r>
      <rPr>
        <sz val="11"/>
        <color theme="1"/>
        <rFont val="Calibri"/>
        <family val="2"/>
        <scheme val="minor"/>
      </rPr>
      <t>&gt;&gt;</t>
    </r>
  </si>
  <si>
    <t>End Card Section</t>
  </si>
  <si>
    <t>Signer image asset to be provided</t>
  </si>
  <si>
    <t>Selectable pill control</t>
  </si>
  <si>
    <t>Display only if business type = Corporation</t>
  </si>
  <si>
    <t>Shareholder/Owner or Partner</t>
  </si>
  <si>
    <t>18a</t>
  </si>
  <si>
    <t>IF business type = General Partnership, pill should be selected by default and non-editable;
ELSE IF business type = Corporation, render unselected by  default and optional.</t>
  </si>
  <si>
    <t>no caption (Director role selection)</t>
  </si>
  <si>
    <t>no caption (Shareholder/Owner or Partner role selection)</t>
  </si>
  <si>
    <t>Conditional - see business rules for "Director" selection 18.25</t>
  </si>
  <si>
    <t>Delete confirmation
Deleting this row cannot be undone and all data within the fields will be erased
Cancel       Delete</t>
  </si>
  <si>
    <t>Only when "Delete" hyperlink (18.30) is clicked in any row of the table</t>
  </si>
  <si>
    <t>Display modal only when "Delete" hyperlink (18.30) is clicked for any table row.
IF user selects "Cancel", close modal and return to main screen - do not delete data from the table
ELSE IF user selects "Delete", close modal and delete the row from the table.</t>
  </si>
  <si>
    <t>Render following section as a table - align underneath column headers (18.17-18.21). Use "Add another person" control (18.32) to add another row.</t>
  </si>
  <si>
    <t>Validate % ownership for Applicant and all other owners entered in the table &gt;=99.99% (see 18.28 above)</t>
  </si>
  <si>
    <t>Text/verbiage updates CWBSB-308</t>
  </si>
  <si>
    <t>How many people need to authorize transactions?</t>
  </si>
  <si>
    <t>Cheque deposits</t>
  </si>
  <si>
    <t>Incoming wire transfers</t>
  </si>
  <si>
    <t>Outgoing wire transfers</t>
  </si>
  <si>
    <t>Numeric value (whole number between 1 and 4)</t>
  </si>
  <si>
    <t>Validate entry of a whole number value between 1 and 4</t>
  </si>
  <si>
    <t>IF applicant has chosen to open &gt;1 account, save form data
AND reload a blank instance of this page, with applicable  &lt;&lt;product name&gt;&gt; populated (21.4)
THEN repeat for any additional accounts.
Once data on this page has been captured for each account, invoke T24 provisioning services (create customer, create account, issue PAN)
AND navigate to the "Complementary Services" page (CWBSB-46).</t>
  </si>
  <si>
    <t xml:space="preserve">On average, what amount do you expect to deposit in cash to this account every month? </t>
  </si>
  <si>
    <t>On average, what amount do you expect to deposit in cheques to this account every month?</t>
  </si>
  <si>
    <t xml:space="preserve">On average, what amount do you expect to deposit into this account via wire transfers every month? </t>
  </si>
  <si>
    <t>On average, what amount do you expect to withdraw from this account via wire transfers every month?</t>
  </si>
  <si>
    <t>&lt;&lt;applicant initials&gt;&gt;</t>
  </si>
  <si>
    <t>Image assets to be provided</t>
  </si>
  <si>
    <t>These are the avatar and check mark images associated with the "Director" pill control 18.25.
IF unselected show avatar image
ELSE IF selected show check mark image</t>
  </si>
  <si>
    <t>These are the avatar and check mark images associated with the 'Shareholder/Owner or Partner" pill control 18.27
IF unselected show avatar image
ELSE IF selected show check mark image</t>
  </si>
  <si>
    <t>Disable button until all Authorized Signers in the progress steps table (20.8-20.11) are in status "Complete".
On click, navigate to Account Options (CWBSB-45).</t>
  </si>
  <si>
    <t>Cash deposits</t>
  </si>
  <si>
    <t>IF selection = "$0" pass 0 to T24
ELSE IF selection is a range, pass maximum value from selected range to T24 
(T24 field AVG.MO.CASH.DEP in Create Account service).</t>
  </si>
  <si>
    <t>IF selection = "$0" pass 0 to T24
ELSE IF selection is a range, pass maximum value from selected range to T24 
(T24 field AVG.MO.CHQ.DEP in Create Account service).</t>
  </si>
  <si>
    <t>IF selection = "$0" pass 0 to T24
ELSE IF selection is a range, pass maximum value from selected range to T24 
(T24 field AVG.MO.INC.WIRE in Create Account service).</t>
  </si>
  <si>
    <t>IF selection = "$0" pass 0 to T24
ELSE IF selection is a range, pass maximum value from selected range to T24 
(T24 field AVG.MO.OUT.WIRE in Create Account service).</t>
  </si>
  <si>
    <t>$0
Less than $2,999
Between $3,000 and $9,999
Between $10,000 and $20,000
More than $20,000</t>
  </si>
  <si>
    <t>Text/verbiage updates: CWBSB-390</t>
  </si>
  <si>
    <t>Insert image (flying envelope)</t>
  </si>
  <si>
    <t>We're stilll waiting for some further information</t>
  </si>
  <si>
    <t>Review language
Note: generic wording required as this could be due to Auth Signers incomplete, or Business Search (detailed report) not received.</t>
  </si>
  <si>
    <t>Roland Matsuba
Ian Hicks</t>
  </si>
  <si>
    <t>CWBSB-324</t>
  </si>
  <si>
    <t>For each row in the table:
IF "Signer" box is checked, Authorized Signer invitation email (with link) must be generated for the identified individual; skip "Non-signing Owner" page on page exit.
ELSE IF "Signer" box is unchecked
AND individual is identified as "Shareholder/Owner or Partner"
AND ownership % &gt;=25%
THEN route form to "Non-signing Owner" page CWBSB-324.
ELSE IF "Signer" box is unchecked
AND individual ownership &lt;25%
OR individual has no ownership
THEN skip "Non-signing Owner" page and no Authorized Signer invitation is required.</t>
  </si>
  <si>
    <t>Updated 21.7  - 21.11 Updated inline help and mandatory message based on change to be a poplist of ranges. 
Updated 3.7 - corrected the pages that the Next takes you to based on if already verified mobile or not.
Update 8.3 and 8.4 to allow special characters such as ‘ ( ) + , - . / : ? &amp;
Update 9.10  to be a numeric value instead of a number picker.
Pages for Sprint 6: 
- CWBSB-43 deprecated in favour of CWBS-294 Owners, Directors &amp; Signers
- CWBSB-45 Business Account Options
- CWBSB-254 Await Authorised Signers 
- CWBSB-255 Unable to Resume
- CWBSB-243 Progress (pending new animated GIF image)</t>
  </si>
  <si>
    <t>Maximum 4 individuals may be identified as Signers</t>
  </si>
  <si>
    <t>Please make a selection for cash deposits.</t>
  </si>
  <si>
    <t>Please make a selection for cheque deposits.</t>
  </si>
  <si>
    <t>Please make a selection for incoming wire transfers.</t>
  </si>
  <si>
    <t>Please make a selection for outgoing wire transfers.</t>
  </si>
  <si>
    <t>Unable to Resume Page (modal)</t>
  </si>
  <si>
    <t>Render as a modal, as required (in response to a user-initiated application resume when one or more Auth Signers is incomplete)</t>
  </si>
  <si>
    <t>Online Banking &amp; Delegates</t>
  </si>
  <si>
    <t>CWBSB-388</t>
  </si>
  <si>
    <t xml:space="preserve">Included with your new business account(s). Access for you and your associates will be set up on the next page. </t>
  </si>
  <si>
    <t>&lt;&lt;authorized signer initials&gt;&gt;</t>
  </si>
  <si>
    <t>&lt;&lt;authorized signer first name&gt;&gt; &lt;&lt;authorized signer  last name&gt;&gt;</t>
  </si>
  <si>
    <t>Repeatable card section: repeat for each Authorized Signer</t>
  </si>
  <si>
    <t>End repeatable card section</t>
  </si>
  <si>
    <t>Begin card section (with main applicant info)</t>
  </si>
  <si>
    <t>Mobile Phone</t>
  </si>
  <si>
    <t>no caption (cell for mobile phone number)</t>
  </si>
  <si>
    <t>no caption (cell for role)</t>
  </si>
  <si>
    <t>Please provide a valid phone number.</t>
  </si>
  <si>
    <t>Review language.
Assumes that at least name, email, phone required to provision Okta credential and OLB profile.</t>
  </si>
  <si>
    <t>Enter this individual's role with the business (optional)</t>
  </si>
  <si>
    <t>On click, navigate back to the "Complementary Services" page (CWBSB-46)</t>
  </si>
  <si>
    <t>Can initiate transactions</t>
  </si>
  <si>
    <r>
      <rPr>
        <sz val="11"/>
        <color rgb="FFFF0000"/>
        <rFont val="Calibri"/>
        <family val="2"/>
        <scheme val="minor"/>
      </rPr>
      <t>Logic is to be determined, depending on what roles (in Infinity DBX) are available and can/should be provisioned from DCO.</t>
    </r>
    <r>
      <rPr>
        <sz val="11"/>
        <color theme="1"/>
        <rFont val="Calibri"/>
        <family val="2"/>
        <scheme val="minor"/>
      </rPr>
      <t xml:space="preserve">
Review language</t>
    </r>
  </si>
  <si>
    <r>
      <t>If unchecked, individual in this table row will have online banking access provisioned as "view only" (</t>
    </r>
    <r>
      <rPr>
        <sz val="11"/>
        <color rgb="FFFF0000"/>
        <rFont val="Calibri"/>
        <family val="2"/>
        <scheme val="minor"/>
      </rPr>
      <t>TBC</t>
    </r>
    <r>
      <rPr>
        <sz val="11"/>
        <color theme="1"/>
        <rFont val="Calibri"/>
        <family val="2"/>
        <scheme val="minor"/>
      </rPr>
      <t>)
If checked, individual in this table row will have online banking access provisioned as (</t>
    </r>
    <r>
      <rPr>
        <sz val="11"/>
        <color rgb="FFFF0000"/>
        <rFont val="Calibri"/>
        <family val="2"/>
        <scheme val="minor"/>
      </rPr>
      <t>ROLE TBC</t>
    </r>
    <r>
      <rPr>
        <sz val="11"/>
        <color theme="1"/>
        <rFont val="Calibri"/>
        <family val="2"/>
        <scheme val="minor"/>
      </rPr>
      <t>)</t>
    </r>
  </si>
  <si>
    <t>On click, navigate to the "Online Banking &amp; Delegates" page CWBSB-388</t>
  </si>
  <si>
    <t>Non-signing Owners</t>
  </si>
  <si>
    <t>First name</t>
  </si>
  <si>
    <t>Last name</t>
  </si>
  <si>
    <t>Conditional - only if one or more individuals with &gt;=25% ownership who are NOT signers were identified in Owners, Directors &amp; Signers page (CWBSB-294)</t>
  </si>
  <si>
    <t>Owner's residential address is required.</t>
  </si>
  <si>
    <t>Navigate to "Owners, Directors and Signers" page (CWBSB-294)</t>
  </si>
  <si>
    <t>Navigate to "Disclosures-Tax Residency" page CWBSB-190</t>
  </si>
  <si>
    <t>2.3 WIP</t>
  </si>
  <si>
    <t>Manual mode fields - reveal only if user selects "Manually enter address"</t>
  </si>
  <si>
    <t>End manual mode fields</t>
  </si>
  <si>
    <t>Disallow user entry if address is pre-filled from Codat.
Use Canada Post Address Complete API to provide suggestions for typed addresses.
A) Do not include PO boxes in API response
B) Include Quebec addresses in API response</t>
  </si>
  <si>
    <t>If in manual mode, or address has been received from Codat</t>
  </si>
  <si>
    <t>Last Name</t>
  </si>
  <si>
    <t>First Name</t>
  </si>
  <si>
    <t>Mobile phone</t>
  </si>
  <si>
    <t>no caption (cell for first name)</t>
  </si>
  <si>
    <t>no caption (cell for last name)</t>
  </si>
  <si>
    <t>no caption (cell for mobile phone)</t>
  </si>
  <si>
    <t>Manual mode fields (Legal Address) 8.8-8.13 - reveal only if in manual mode OR address is pre-filled from Codat</t>
  </si>
  <si>
    <t>Business Mailing Address fields - display only if selection 8.14 = (B) No</t>
  </si>
  <si>
    <t>Manual mode fields (Mailing Address) 8.16-8.21 - display only if in manual mode OR mailing address is pre-filled from Codat</t>
  </si>
  <si>
    <t>IF selection = (A) Yes, hide Business Mailing Address fields 8.15 - 8.21 unless mailing address pre-filled from Codat.
ELSE IF selection = (B) No
AND/OR mailing address pre-filled from Codat
THEN reveal Business Mailing Address fields 8.15 - 8.21.</t>
  </si>
  <si>
    <t>Display only if selection 8.14 = (B) No
Disallow user entry if address is pre-filled from Codat.
Use Canada Post Address Complete API to provide suggestions for typed addresses.
Include PO Box and Quebec addresses in API response</t>
  </si>
  <si>
    <t>Conditional:
Required if selection 8.14 = (B) No AND not in manual address mode or address not pre-filled from Codat.</t>
  </si>
  <si>
    <t>Are you already a CWB or Motive Financial banking customer?</t>
  </si>
  <si>
    <t>On click
IF radio button 2.3 = "No", navigate to the "Contact Info" page (CWBSB-14);
ELSE IF radio button 2.3 = "Yes" go to OKTA log in</t>
  </si>
  <si>
    <t>On click, navigate to the "Qualifying Questions" page (CWBSB-12)</t>
  </si>
  <si>
    <t>Text/verbiage updates CWBSB-305</t>
  </si>
  <si>
    <t>Text/verbiage updates CWBSB-306</t>
  </si>
  <si>
    <t>Text/verbiage updates CWBSB-307</t>
  </si>
  <si>
    <t>(step 1) Invitation email sent
(step 2) In progress
(step 3) In review
(step 4) Complete</t>
  </si>
  <si>
    <t>&lt;&lt;Auth Signer initials&gt;&gt;</t>
  </si>
  <si>
    <t>Repeat 20.8-20.12 for each individual identified as an Authorized Signer (CWBSB-294).
Render applicant initials as an image to left of name 
(20.7 concatenate first and last initial - see wireframe for UX treatment) 
(20.8) Insert first and last name in tagged &lt;&lt;&gt;&gt; fields.
On entry, progress step will be set to "Invitation email sent".
Update according to status of identified individual's Authorized Signer flow.</t>
  </si>
  <si>
    <t>&lt;&lt;provisioning link&gt;&gt;</t>
  </si>
  <si>
    <t>&lt;&lt;provisioning link&gt;&gt; attribute from Product Catalogue</t>
  </si>
  <si>
    <t>See Display column.
Populate with Provisioning Link attribute from corresponding Product Catalogue item</t>
  </si>
  <si>
    <t>Your CWB cash management and business solutions</t>
  </si>
  <si>
    <r>
      <t xml:space="preserve">Need more information?
</t>
    </r>
    <r>
      <rPr>
        <u/>
        <sz val="11"/>
        <color theme="1"/>
        <rFont val="Calibri"/>
        <family val="2"/>
        <scheme val="minor"/>
      </rPr>
      <t>Explore our cash management and business solutions</t>
    </r>
  </si>
  <si>
    <t>Text/verbiage updates CWBSB-428</t>
  </si>
  <si>
    <t>To comply with Canadian anti-money laundering legislation, we need the name(s) and address(es) of anyone who owns 25% or more of your business, but will not be authorized to sign or transact on the new business account(s) you are opening.</t>
  </si>
  <si>
    <t>Non-signing Beneficial Owners</t>
  </si>
  <si>
    <t>Only in manual address mode</t>
  </si>
  <si>
    <t>&lt;&lt;non-signing owner initials&gt;&gt;</t>
  </si>
  <si>
    <t>Render applicant initials as an image to left of name (concatenate first and last initial - see wireframe for UI treatment)</t>
  </si>
  <si>
    <t>Text/verbiage updates CWBSB-429</t>
  </si>
  <si>
    <t>Text/verbiage updates CWBSB-436</t>
  </si>
  <si>
    <t>If selected value = "Quebec" then
"Sorry, but we are unable to offer banking services to businesses registered in Quebec at this time."</t>
  </si>
  <si>
    <t>Pages for Sprint 7:
- CWBSB-324 Non-signing Owners
- CWBSB-46 Complementary Services
- CWBSB-263 Concurrent Application
Updates to Quebec validation on Your Business CWBSB-24 and More About Your Business CWBSB-25 (both covered by CWBSB-391).
Update to CWBSB-254 Await Auth Signers based on Temenos feedback in Jira.</t>
  </si>
  <si>
    <t>We are unable to offer banking services to businesses registered in Quebec at this time</t>
  </si>
  <si>
    <t>2.4 WIP</t>
  </si>
  <si>
    <t>Security question</t>
  </si>
  <si>
    <t>If you ever need to contact a CWB representative about your business account(s), we may use this question to help confirm your identity and secure your account.</t>
  </si>
  <si>
    <t xml:space="preserve">If you ever need to contact a CWB representative, we may use this question to help confirm your identity and secure your account. </t>
  </si>
  <si>
    <t>Please choose a security question.</t>
  </si>
  <si>
    <t>Please provide an answer to your security question.</t>
  </si>
  <si>
    <t>Use this field after the creation of the T24 CIF, to create a new record in CR.CONTACT.LOG with the following values:
A) CONTACT.CLIENT = [CIF for new client]
B) CONTACT.TYPE = "NOTES"
C) CONTACT.STATUS = "NEW"
D) CONTACT.DESC = "Security Question"
E) CONTACT.NOTES = [Field value]
F) CONTACT.CHANNEL = "EMAIL"
G) CONTACT. DATE = [Date of the application]</t>
  </si>
  <si>
    <t>Please select yes or no.</t>
  </si>
  <si>
    <t>Updated to no default and mandatory selection, following sprint 6 demo (2020-02-02)</t>
  </si>
  <si>
    <t>If 6.5 A) Yes, I approve CWB to access my business accounting software, on click, navigate to "Log into CODAT" (CWBSB-192)
If 6.5 B) No, I'll do it manually later, navigate to "Your Business" (CWBSB-24)</t>
  </si>
  <si>
    <t>12a</t>
  </si>
  <si>
    <t>Choose your security question</t>
  </si>
  <si>
    <t>Answer your security question</t>
  </si>
  <si>
    <t>On click, navigate to 'App-eConsent' page CWBSB-41</t>
  </si>
  <si>
    <t>On click, navigate back to 'App-Birthday, SIN and Occupation' page CWBSB-40</t>
  </si>
  <si>
    <t>(no caption)</t>
  </si>
  <si>
    <t>Render Authorized Signer initials as an image (avatar) to left of name (concatenate first and last initial - see wireframe for UX treatment)</t>
  </si>
  <si>
    <t>In-line with initials avatar 23.7.
Insert first and last name of Authorized Signer in tagged fields indicated by &lt;&lt;&gt;&gt;; bold font</t>
  </si>
  <si>
    <t>TO BE ADDED in verbiage review</t>
  </si>
  <si>
    <t>Numeric
Whole numbers 0-100 OR up to 2 decimal places 0.01-100.00
Negative values not permitted</t>
  </si>
  <si>
    <t>Blank</t>
  </si>
  <si>
    <t>Hide field on page entry.
Reveal if radio button 17.3 selection = (A) Yes.
Input is mandatory once field is revealed.</t>
  </si>
  <si>
    <t>Validate for length and format - see permitted data</t>
  </si>
  <si>
    <t>Enter a value greater than 0 and less than 100.00</t>
  </si>
  <si>
    <t>Enter the percentage of the business you own. You can enter a whole number (up to 100) or up to 2 decimal places if required.</t>
  </si>
  <si>
    <t>Enter the percentage ownership for each owner/shareholder or partner. You can enter a whole number (up to 100) or up to 2 decimal places if required.</t>
  </si>
  <si>
    <t>Validate for length and format - see permitted data.</t>
  </si>
  <si>
    <t>Sum of all percentage ownership values entered in this screen AND 'Your Role' (CWBSB-295) must &gt;=99.99 and =&lt;100.00</t>
  </si>
  <si>
    <t>Percentage ownership for all owners/shareholders or partners must add up to 99.99 or 100</t>
  </si>
  <si>
    <t>Update % ownership validations CWBSB-471</t>
  </si>
  <si>
    <t>Validations updated (CWBSB-471)</t>
  </si>
  <si>
    <t>Render applicant initials as an image (avatar) to left of name (concatenate first and last initial - see wireframe for UX treatment)</t>
  </si>
  <si>
    <t>Insert check mark image, in line with initials avatar 23.4 and name 23.5</t>
  </si>
  <si>
    <t>In-line with initials avatar 23.4.
Insert first and last name of Applicant in tagged fields indicated by &lt;&lt;&gt;&gt;; bold font</t>
  </si>
  <si>
    <t>Insert check mark image, in line with initials avatar 23.7 and name 23.8</t>
  </si>
  <si>
    <t>On click, save entered person info (name, email, phone, role) to form and add another row to the table.
Maximum number of rows for this table = 4</t>
  </si>
  <si>
    <t>Disallow add row when total rows in table =4</t>
  </si>
  <si>
    <t>Add one table row when "+ Add another person" control (23.12) is clicked. Align cells underneath column headers (23.13-23.17).</t>
  </si>
  <si>
    <t>On click, delete the corresponding row</t>
  </si>
  <si>
    <t>Please enter your delegate's first name or delete this row to continue.</t>
  </si>
  <si>
    <t>Please enter your delegate's last name or delete this row to continue.</t>
  </si>
  <si>
    <t>Please provide a valid email address or delete this row to continue.</t>
  </si>
  <si>
    <t>Please provide a valid business phone number or delete this row to continue.</t>
  </si>
  <si>
    <t>On click, validate for completion of table row mandatory fields.
IF mandatory fields complete, invoke the Small Business Funding Form ('Application Approval' CWBSB-248)
ELSE IF mandatory fields incomplete, show applicable mandatory message(s).</t>
  </si>
  <si>
    <t>Alphanumeric plus spaces and special characters</t>
  </si>
  <si>
    <t>Allow free format text input</t>
  </si>
  <si>
    <t>Do you need a business debit card?</t>
  </si>
  <si>
    <t>I, &lt;&lt;applicant first name&gt;&gt; &lt;&lt;applicant last name&gt;&gt;, agree to allow CWB to:</t>
  </si>
  <si>
    <t>Insert Applicant first and last name in fields indicated by &lt;&lt;&gt;&gt; tags</t>
  </si>
  <si>
    <t>UX recommendation to move the check box to the bottom of the page.</t>
  </si>
  <si>
    <t>Reveal only if radio button 13.3 selection = "Yes"</t>
  </si>
  <si>
    <t>Link URL for Business Debit Card/PIN Agreement is to be confirmed.</t>
  </si>
  <si>
    <t>Users must check this box to proceed with their application.
Hyperlink underlined text to the following URL:
https://www.cwb.com/about-us/privacy
(open in new browser tab)</t>
  </si>
  <si>
    <t>Reveal only if check box 13.3 selection = "Yes".
Hyperlink underlined text to this URL:
TBC
(open in new browser tab)</t>
  </si>
  <si>
    <r>
      <t xml:space="preserve">Please check the box to indicate your agreement. For more information about how we use and protect your information, please view our </t>
    </r>
    <r>
      <rPr>
        <u/>
        <sz val="11"/>
        <color theme="1"/>
        <rFont val="Calibri"/>
        <family val="2"/>
        <scheme val="minor"/>
      </rPr>
      <t>privacy statement</t>
    </r>
  </si>
  <si>
    <t>Please confirm whether you require a business debit card.</t>
  </si>
  <si>
    <r>
      <t xml:space="preserve">By checking the box at the bottom of this page, I acknowledge I have read and accept the conditions set out in the </t>
    </r>
    <r>
      <rPr>
        <u/>
        <sz val="11"/>
        <color theme="1"/>
        <rFont val="Calibri"/>
        <family val="2"/>
        <scheme val="minor"/>
      </rPr>
      <t>Business Debit Card and PIN Agreement.</t>
    </r>
  </si>
  <si>
    <t>Alphanumeric, spaces and special characters including ‘ ( ) + , - . / : ? &amp;</t>
  </si>
  <si>
    <t>CWBSB-480</t>
  </si>
  <si>
    <t>App - Security Question (Contact Log)</t>
  </si>
  <si>
    <t>Updated allowable characters to be consistent with Motive, personal and business name fields</t>
  </si>
  <si>
    <t>Updated allowable characters to be consistent with other name fields</t>
  </si>
  <si>
    <t>Review language.
Updated allowable characters to be consistent with other name fields.</t>
  </si>
  <si>
    <t>Addition of debit card question, move check box CWBSB-485</t>
  </si>
  <si>
    <t>See Default Value column.
Map drop-down values to the following numeric codes and pass to T24 CA.INTEND.USE field in the Create Account service:
Accounts receivable - 64
GST - 68
Day to day operations - 70
Taxes - 87
Payroll - 91
Accounts payable - 92
Project - 94
Cash management - 95
General savings or accrue interest - 97</t>
  </si>
  <si>
    <t>Pages for Sprint 8:
- CWBSB-480 (tab 12a) new page for Security Question
- CWBSB-388 (tab 23) Online Banking &amp; Delegates.
- CWBSB-471 updated validation logic related to percentage of ownership in 17. Your Role and 18. Owners, Directors &amp; Signers (bug CWBSB-466).
- CWBSB-485 added debit card question to 13. App-eConsent page (CWBSB-41) as agreed with DCO team.
- Added related PAN issuance logic to 21. Account Options page (CWBSB-45).
- Updated pages with (personal or business) name and address fields to include all allowable characters for consistency - 8. Your Business, 11. App-Name &amp; Address, 18. Owners, Directors &amp; Signers, 23. Online Banking &amp; Delegates.
- Corrected handling for mailing address fields in 8. Your Business (no validation required to disallow Quebec in business mailing address - bug CWBSB-391) - consistent with personal address fields.</t>
  </si>
  <si>
    <t>Alphanumeric, spaces and special characters ‘ ( ) + , - . / : ? &amp;</t>
  </si>
  <si>
    <t>2.5 WIP</t>
  </si>
  <si>
    <t>Numeric (whole numbers)</t>
  </si>
  <si>
    <t>Validate input is a whole number between 0 and 50</t>
  </si>
  <si>
    <t>1) Value must come from a drop down list of valid Canadian provinces/territories. Must not be Quebec.
2) Selection must &lt;&gt; selection in 9.12 Province/Territory of Registration</t>
  </si>
  <si>
    <t>If selected value = "Quebec", then
"Sorry, but we are unable to offer banking services to businesses registered in Quebec at this time."
If selected value = value in 9.12 (Province/Territory of Registration), then
"Please select a different province or territory."</t>
  </si>
  <si>
    <t>Registration number must be 20 characters or less.</t>
  </si>
  <si>
    <t>On click, navigate to Product Selector Welcome Page (CWBSB-201)</t>
  </si>
  <si>
    <t>On click, navigate back to Product Selector "Product Review" page (CWBSB-199)</t>
  </si>
  <si>
    <t>On click, validate as described.
IF validation fails, remain on page and display validation message.
ELSE if validation passes
AND non-signing owner(s) exist (see 18.33 above)
THEN navigate to "Non-signing Owners" page CWBSB-324
ELSE IF validation passes
AND there are no non-signing owners
THEN navigate to "Disclosures-Tax Residency" page CWBSB-190</t>
  </si>
  <si>
    <t>&lt;&lt;non-signing owner first name&gt;&gt; &lt;&lt;non-signing owner last name&gt;&gt;</t>
  </si>
  <si>
    <t>(&lt;&lt;% ownership&gt;&gt;%)</t>
  </si>
  <si>
    <t>Repeatable card/fields section - repeat for all non-signing beneficial owners identified in the previous screen</t>
  </si>
  <si>
    <t>Render non-signing owner initials as an image (avatar) to left side of "card" (concatenate first and last initial - see wireframe for UI treatment)</t>
  </si>
  <si>
    <t>Insert first/last name of individual identified in "Owners, Directors &amp; Signers" page CWBSB-294 (see wireframe for UI treatment)</t>
  </si>
  <si>
    <t>See wireframe for UI treatment</t>
  </si>
  <si>
    <t>Insert % ownership of non-signing owner (should always be &gt;=25%) (see wireframe for UI treatment)</t>
  </si>
  <si>
    <t>CWBSB-521</t>
  </si>
  <si>
    <t>L</t>
  </si>
  <si>
    <t>Submission Complete page</t>
  </si>
  <si>
    <t>Insert standard submission complete image</t>
  </si>
  <si>
    <t>Refer to CWB design system for image asset</t>
  </si>
  <si>
    <r>
      <t xml:space="preserve">Thank you for your interest in CWB business banking. A representative will contact you within 3 business days.
For further assistance, please e-mail </t>
    </r>
    <r>
      <rPr>
        <u/>
        <sz val="11"/>
        <rFont val="Calibri"/>
        <family val="2"/>
        <scheme val="minor"/>
      </rPr>
      <t>business-onboarding@cwbank.com</t>
    </r>
    <r>
      <rPr>
        <sz val="11"/>
        <rFont val="Calibri"/>
        <family val="2"/>
        <scheme val="minor"/>
      </rPr>
      <t>.
Your reference number is:</t>
    </r>
  </si>
  <si>
    <t>Review language and content</t>
  </si>
  <si>
    <t>On click, display 'Submisson Complete' modal page (tab L, CWSB-521) and generate formatted email - see xxxx</t>
  </si>
  <si>
    <t>Sprint 8
- Updated 19. Business Disclosures (CWBSB-44) based on confirmation of required agreements with Legal (2/10)
- Updated 'Next' navigation from 3. Contact Info to include story# for Product Selector Welcome page (CWBSB-201)
- Updated 'Back' navigation from 5. Business eConsent to include story# for Product Selector Product Review page (CWBSB-199)
- Added L. Submission Complete modal page (CWBSB-521) as termination page after 1a. Not Qualified Info Page (resolves bug CWBSB-421).</t>
  </si>
  <si>
    <t>Text/verbiage updates CWBSB-533</t>
  </si>
  <si>
    <t>2.6 WIP</t>
  </si>
  <si>
    <r>
      <t xml:space="preserve">Pass the value entered to T24 NO.OF.SIGNERS field in the Create Account service.
</t>
    </r>
    <r>
      <rPr>
        <b/>
        <sz val="11"/>
        <color theme="1"/>
        <rFont val="Calibri"/>
        <family val="2"/>
        <scheme val="minor"/>
      </rPr>
      <t>Note:</t>
    </r>
    <r>
      <rPr>
        <sz val="11"/>
        <color theme="1"/>
        <rFont val="Calibri"/>
        <family val="2"/>
        <scheme val="minor"/>
      </rPr>
      <t xml:space="preserve"> IF selection &gt;1
OR debit card = 'No', PAN must be issued with prefix 'CWB'
ELSE IF debit card = 'Yes' issue PAN with prefix 'FLS'
(see Applicant or Auth Signer eConsent pages - related stories for this field CWBSB-485, CWBSB-486)</t>
    </r>
  </si>
  <si>
    <t>Confirmed chat option is not in scope for initial release.</t>
  </si>
  <si>
    <t>To help us complete your application we can connect to your business accounting software.</t>
  </si>
  <si>
    <t>We can retrieve your company information by logging in from the following: 
- FreeAgent
- Freshbooks
- Kashoo
- Pandle
- Quickbooks Online
- Sage Business Cloud (Sage One)
- Wave
- Xero
- Zoho Books</t>
  </si>
  <si>
    <t>Pending finalization of navigation approach</t>
  </si>
  <si>
    <t>NOTE: Codat authorization cannot be embedded in an iFrame. 
Expecting to implement CODAT API to create this page, which will initiate creation of Company UID in Codat and retrieval of profile data (Company Info dataset in Codat), then redirect to next step in JM form (Your Business page).</t>
  </si>
  <si>
    <r>
      <t xml:space="preserve">IF check box 7.5 left unchecked, 'Next' navigation will invoke Codat service </t>
    </r>
    <r>
      <rPr>
        <sz val="11"/>
        <color rgb="FFFF0000"/>
        <rFont val="Calibri"/>
        <family val="2"/>
        <scheme val="minor"/>
      </rPr>
      <t>URL/target page to be confirmed</t>
    </r>
    <r>
      <rPr>
        <sz val="11"/>
        <color theme="1"/>
        <rFont val="Calibri"/>
        <family val="2"/>
        <scheme val="minor"/>
      </rPr>
      <t xml:space="preserve">
ELSE if check box 7.5 is checked, 'Next' navigation will go to "Your Business" page (CWBSB-24) </t>
    </r>
  </si>
  <si>
    <t>See 'Next' navigation behaviour (7.7 below)</t>
  </si>
  <si>
    <t>Text/verbiage updates CWBSB-193</t>
  </si>
  <si>
    <t>About your business</t>
  </si>
  <si>
    <t>Street / RR Number</t>
  </si>
  <si>
    <t>Street / RR Name</t>
  </si>
  <si>
    <t>Postal Code</t>
  </si>
  <si>
    <t>Street / RR / PO Box Number</t>
  </si>
  <si>
    <t>Street / RR / Station Name</t>
  </si>
  <si>
    <t>Subject to confirming navigation approach</t>
  </si>
  <si>
    <t>Please provide the legal (registered) address for your business.</t>
  </si>
  <si>
    <t>CS wording review (sentence case)</t>
  </si>
  <si>
    <t>CS wording review (mandatory message)</t>
  </si>
  <si>
    <t>Need to account for Municipal or Rural address modes.
CS wording review (labels, uppercase for consistency)</t>
  </si>
  <si>
    <t>CS wording review (labels, uppercase for consistency)</t>
  </si>
  <si>
    <t>Need to account for Municipal, Rural or PO Box address modes.
CS wording review (labels, uppercase for consistency).</t>
  </si>
  <si>
    <t>Please provide the mailing address for your business (if applicable).</t>
  </si>
  <si>
    <t>Please provide a street / RR / station name.</t>
  </si>
  <si>
    <t>Need to account for Municipal, Rural or PO Box address modes.
CS wording review (labels, uppercase for consistency, mandatory message)</t>
  </si>
  <si>
    <t>CS wording review (caption)</t>
  </si>
  <si>
    <t>We need to know how your business is structured and  organized. If your business is not one of these types, we can't set you up online - please call us for other options 1-xxx-xxx-xxxx.</t>
  </si>
  <si>
    <t>More about your business</t>
  </si>
  <si>
    <t xml:space="preserve">Please select the description that best matches the main sector you do business in. </t>
  </si>
  <si>
    <t>CS wording review (inline help)</t>
  </si>
  <si>
    <t>Please select the description that best matches the sub sector you do business in.</t>
  </si>
  <si>
    <t>Please select the description that best matches the main industry you do business in.</t>
  </si>
  <si>
    <t>Please enter number of employees between 0 and 50.</t>
  </si>
  <si>
    <t>Number must be between 0 and 50.</t>
  </si>
  <si>
    <t>Clarified validation - should be whole numbers 0-50.
CS wording review (inline help, validation message)</t>
  </si>
  <si>
    <t>Please select the jurisdiction in which you first registered and primarily do business.</t>
  </si>
  <si>
    <t>Please select your Province or Territory of registration.</t>
  </si>
  <si>
    <t>CS wording review (inline help, mandatory message)</t>
  </si>
  <si>
    <t>Please enter your Provincial / Territorial Registration Number.</t>
  </si>
  <si>
    <t>Field length based on specs of ESC service (utilized by Thirdstream Business Search).
CS wording review (inline help, mandatory message)</t>
  </si>
  <si>
    <t>We need to know if your business is registered in another jurisdiction (extra-provincial registration).</t>
  </si>
  <si>
    <t>Please select your Additional Province or Territory of Registration.</t>
  </si>
  <si>
    <t>Added Quebec validation (same as main registration); added validation that additional province/territory cannot be the same as primary registration.
CS wording review (mandatory message)</t>
  </si>
  <si>
    <t>Please enter your Additional Provincial / Territorial Registration Number.</t>
  </si>
  <si>
    <t>Field length based on specs of ESC service (utilized by Thirdstream Business Search).
CS wording review (mandatory message).</t>
  </si>
  <si>
    <t>If you have one, please enter your company's Federal Business Number (also known as BIN) or GST registration number.</t>
  </si>
  <si>
    <t>Specified this is a free text field due to bug (CWBSB-420)</t>
  </si>
  <si>
    <t>We require this information to open your new account.</t>
  </si>
  <si>
    <t>CS wording review (inline help punctuation)</t>
  </si>
  <si>
    <t>If your new business account(s) will only require one person to authorize a transaction, you can request a debit card for in-person transactions and ATM access.</t>
  </si>
  <si>
    <t>Company name</t>
  </si>
  <si>
    <t>You can pre-fill some of your business profile information by logging into your accounting software.
Enter your company name and then select the software you use.
Don't see your software here? Skip this step to provide your details manually.</t>
  </si>
  <si>
    <t>Company name is a required input to call Codat service.</t>
  </si>
  <si>
    <r>
      <t xml:space="preserve">Alphanumeric, spaces and special characters ‘ ( ) + , - . / : ? &amp;
</t>
    </r>
    <r>
      <rPr>
        <sz val="11"/>
        <color rgb="FFFF0000"/>
        <rFont val="Calibri"/>
        <family val="2"/>
        <scheme val="minor"/>
      </rPr>
      <t>To be validated with Codat</t>
    </r>
  </si>
  <si>
    <t>We were unable to verify some of your personal information. To protect your identity, we need a little help from you. Please choose one of the methods below to continue.</t>
  </si>
  <si>
    <t>See CWB design system for image asset</t>
  </si>
  <si>
    <t>Uses "flying envelope" image</t>
  </si>
  <si>
    <r>
      <t xml:space="preserve">Please send one of the following documents to </t>
    </r>
    <r>
      <rPr>
        <u/>
        <sz val="11"/>
        <color theme="1"/>
        <rFont val="Calibri"/>
        <family val="2"/>
        <scheme val="minor"/>
      </rPr>
      <t>business-onboarding@cwbank.com</t>
    </r>
    <r>
      <rPr>
        <sz val="11"/>
        <color theme="1"/>
        <rFont val="Calibri"/>
        <family val="2"/>
        <scheme val="minor"/>
      </rPr>
      <t xml:space="preserve"> (only original electronic copies will be accepted):
- Credit Card Statement
- Bank Account Statement
- Loan Account Statement
- Utility Bill (for example, electricity, water, telecommunications)
The above information and additional instructions will be sent to the e-mail address you provided with your application. If you have any questions, please contact us at 1 (866) 843-3917.</t>
    </r>
  </si>
  <si>
    <t>Review language/content.
Contact phone # to be confirmed.</t>
  </si>
  <si>
    <t>Please indicate if you are a shareholder / owner or partner in the business.</t>
  </si>
  <si>
    <t>Please enter the percentage you own of the business.</t>
  </si>
  <si>
    <t>Anyone who has an ownership stake in the business. We need to know who these individuals are and their percentage of ownership.</t>
  </si>
  <si>
    <t>To apply for a business account with us online, your business must have no more than 4 signers.</t>
  </si>
  <si>
    <t>On the previous page you told us that at least one individual owns 25% or more of your business but will not be authorized to sign or transact on the new business account(s) you're opening. To comply with Canadian anti-money laundering legislation, we need their name(s) and residential address(es). Please confirm this information below.</t>
  </si>
  <si>
    <t>Beneficial Owner / non-signer</t>
  </si>
  <si>
    <t>Residential address</t>
  </si>
  <si>
    <r>
      <t xml:space="preserve">We are required under Canadian tax law to collect this information to determine the tax residency of 
all our account holders.
If you need help with the tax residency information for your business, see the CRA website </t>
    </r>
    <r>
      <rPr>
        <u/>
        <sz val="11"/>
        <rFont val="Calibri"/>
        <family val="2"/>
        <scheme val="minor"/>
      </rPr>
      <t>https://www.canada.ca/taxes-international-business</t>
    </r>
  </si>
  <si>
    <t>Removed hyphen from in front of text block, updated inline help (wording review).</t>
  </si>
  <si>
    <t>We'll let you know when your associates have finished their section so you can resume and complete the application.
We've also emailed you a link to this page so you can track their progress.</t>
  </si>
  <si>
    <t>You have &lt;&lt;day count&gt;&gt; days left to complete this application.</t>
  </si>
  <si>
    <r>
      <t xml:space="preserve">If you have any questions in the meantime, please contact us at </t>
    </r>
    <r>
      <rPr>
        <u/>
        <sz val="11"/>
        <color theme="1"/>
        <rFont val="Calibri"/>
        <family val="2"/>
        <scheme val="minor"/>
      </rPr>
      <t>business-onboarding@cwbank.com</t>
    </r>
  </si>
  <si>
    <t>In order to proceed, all business associates listed above must complete their portion of this application.</t>
  </si>
  <si>
    <t>Text/verbiage updates CWBSB-576</t>
  </si>
  <si>
    <t>For each category below, choose the option that best matches your expected monthly transactions.</t>
  </si>
  <si>
    <t>Enter a number between 1 and 4.</t>
  </si>
  <si>
    <t>Use product name as defined in Product Specification for business accounts.</t>
  </si>
  <si>
    <t>Added business logic for PAN issuance as debit card PAN ('FLS' prefix) only possible if # signers = 1.</t>
  </si>
  <si>
    <t>Hyperlink underlined text to Sitecore page:
https://www.cwbank.com/en/business/cash-management
(Open in new window)</t>
  </si>
  <si>
    <t xml:space="preserve">Business digital banking </t>
  </si>
  <si>
    <t>Access to digital banking</t>
  </si>
  <si>
    <t>All Authorized Signers will have access to CWB digital banking, and will be able to initiate and approve banking transactions.</t>
  </si>
  <si>
    <t>Your business delegates</t>
  </si>
  <si>
    <t>Do you need digital banking access for someone else who helps with your business banking, such as an accountant or bookkeeper? You can either add them here now, or do so later by logging into digital banking.</t>
  </si>
  <si>
    <t>You can add up to 4 people here. Log in to digital banking if you need to add more.</t>
  </si>
  <si>
    <t>As the person who started the online application for your business, we'll set you up with administration and transaction access in digital banking.</t>
  </si>
  <si>
    <t>Check this box if this individual should be able to request a transaction, such as a bill payment or transfer. Authorized Signers will still need to approve any transactions.</t>
  </si>
  <si>
    <r>
      <rPr>
        <strike/>
        <sz val="11"/>
        <color theme="1"/>
        <rFont val="Calibri"/>
        <family val="2"/>
        <scheme val="minor"/>
      </rPr>
      <t>Display image "CWB Loading Triangles.gif".</t>
    </r>
    <r>
      <rPr>
        <sz val="11"/>
        <color theme="1"/>
        <rFont val="Calibri"/>
        <family val="2"/>
        <scheme val="minor"/>
      </rPr>
      <t xml:space="preserve">
Refer to the CWB Design System for image asset.
(new shards image with text)</t>
    </r>
  </si>
  <si>
    <r>
      <t xml:space="preserve">For assistance, please email </t>
    </r>
    <r>
      <rPr>
        <u/>
        <sz val="11"/>
        <rFont val="Calibri"/>
        <family val="2"/>
        <scheme val="minor"/>
      </rPr>
      <t>business-onboarding@cwbank.com</t>
    </r>
    <r>
      <rPr>
        <sz val="11"/>
        <rFont val="Calibri"/>
        <family val="2"/>
        <scheme val="minor"/>
      </rPr>
      <t>, and we will be happy to help you complete your application.</t>
    </r>
  </si>
  <si>
    <r>
      <t xml:space="preserve">Please check your email for some next steps, or contact a CWB Business team member at </t>
    </r>
    <r>
      <rPr>
        <u/>
        <sz val="11"/>
        <rFont val="Calibri"/>
        <family val="2"/>
        <scheme val="minor"/>
      </rPr>
      <t>business-onboarding@cwbank.com</t>
    </r>
    <r>
      <rPr>
        <sz val="11"/>
        <rFont val="Calibri"/>
        <family val="2"/>
        <scheme val="minor"/>
      </rPr>
      <t>.</t>
    </r>
  </si>
  <si>
    <r>
      <t xml:space="preserve">We've cancelled your application, but if you change your mind, please email us at </t>
    </r>
    <r>
      <rPr>
        <u/>
        <sz val="11"/>
        <color theme="1"/>
        <rFont val="Calibri"/>
        <family val="2"/>
        <scheme val="minor"/>
      </rPr>
      <t>business-onboarding</t>
    </r>
    <r>
      <rPr>
        <u/>
        <sz val="11"/>
        <rFont val="Calibri"/>
        <family val="2"/>
        <scheme val="minor"/>
      </rPr>
      <t>@cwbank.com</t>
    </r>
    <r>
      <rPr>
        <sz val="11"/>
        <rFont val="Calibri"/>
        <family val="2"/>
        <scheme val="minor"/>
      </rPr>
      <t>.</t>
    </r>
  </si>
  <si>
    <r>
      <t xml:space="preserve">You have already submitted an application.
For assistance, please e-mail CWB at </t>
    </r>
    <r>
      <rPr>
        <u/>
        <sz val="11"/>
        <rFont val="Calibri"/>
        <family val="2"/>
        <scheme val="minor"/>
      </rPr>
      <t>business-onboarding@cwbank.com.</t>
    </r>
    <r>
      <rPr>
        <sz val="11"/>
        <rFont val="Calibri"/>
        <family val="2"/>
        <scheme val="minor"/>
      </rPr>
      <t xml:space="preserve">
Your reference number is:</t>
    </r>
  </si>
  <si>
    <t>Submission complete</t>
  </si>
  <si>
    <t>Note: currently in main SB Journey Flow this is only used in response to the "Not Qualified Info Page" (CWBSB-13)</t>
  </si>
  <si>
    <t>A) What was your favorite restaurant in college or university?
B) What is your father's middle name?
C) In what city was your mother born? 
D) What is the first name of your oldest nephew?
E) What was the name of your first pet?
F) What was the colour of your first car?</t>
  </si>
  <si>
    <t>Business Disclosures and Signature</t>
  </si>
  <si>
    <t>CWBSB-44</t>
  </si>
  <si>
    <t>Text/verbiage updates CWBSB-181</t>
  </si>
  <si>
    <t>Our fine print</t>
  </si>
  <si>
    <t>I, &lt;&lt;First Name&gt;&gt; &lt;&lt;Last Name&gt;&gt;, agree to the following on behalf of &lt;&lt;Business Legal Name&gt;&gt;:</t>
  </si>
  <si>
    <t>Insert applicant First Name, Last Name and Business Legal Name in &lt;&lt;&gt;&gt; tagged fields (Caption column)</t>
  </si>
  <si>
    <t>I have read and agree to these terms and conditions:</t>
  </si>
  <si>
    <t>CWB Business Account Agreement</t>
  </si>
  <si>
    <t>Hyperlink to URL: TBD
Open in new tab</t>
  </si>
  <si>
    <t>URL to be confirmed</t>
  </si>
  <si>
    <t>CWB Cash Management Online Services Agreement</t>
  </si>
  <si>
    <t>I am duly authorized to make this application on behalf of the business entity named above.</t>
  </si>
  <si>
    <t>You must have authority to open the account on behalf of the business. This means you are:
- A Director (if the business is a Corporation)
- A Partner (if the business is a General Partnership)
- The Proprietor (if the business is a Sole Proprietorship)</t>
  </si>
  <si>
    <t>I acknowledge that the Directors of &lt;&lt;business legal name&gt;&gt; are required to pass (or have already passed) resolutions:
1. THAT Canadian Western Bank (CWB) is appointed one of the bankers of the corporation.
2. THAT the Authorized Signing Officers of the corporation identified in this online application are authorized on behalf of the corporation to sign such agreements and other documents, instruments and cheques and deliver such instructions as may be required by CWB in accordance with this online application and the Business Account Agreement to provide banking services to the corporation.
3. THAT these resolutions shall be irrevocable until alternate resolutions shall have been passed and a certified copy delivered to CWB.</t>
  </si>
  <si>
    <t>Banking resolutions as described must be passed by your corporation's Board of Directors and retained with your corporate records.</t>
  </si>
  <si>
    <t>Conditional - only if business entity type = 'Corporation'</t>
  </si>
  <si>
    <t>Dynamic text section - reveal only if business entity type = 'Corporation'</t>
  </si>
  <si>
    <t>Added this dynamic text section to meet Banking Resolution requirement</t>
  </si>
  <si>
    <t>I have the authority and necessary consent to provide personal information about other Authorized Signers, Directors, Owners/Shareholders and/or Partners of my business in this application.</t>
  </si>
  <si>
    <t>You must have consent from any other individuals identified in this application to share their personal information (name, email, phone) with CWB.</t>
  </si>
  <si>
    <t>I am not opening this account(s) for use by or benefit of a third party</t>
  </si>
  <si>
    <t>On behalf of the business entity named above, I certify this information</t>
  </si>
  <si>
    <t>Please check the box to confirm your agreement.</t>
  </si>
  <si>
    <t>If box is unchecked and user clicks "Next", remain on page and display mandatory message</t>
  </si>
  <si>
    <t>See mandatory rules for check box 19.11.
IF &gt;=1 other individual has been identified with role of "Signer" in 'Owners, Directors and Signers' page (CWBSB-294), navigate to Await Authorized Signers page (CWBSB-254)
ELSE IF no other individuals have a "Signer" role, navigate to Account Options (CWBSB-45)</t>
  </si>
  <si>
    <t>Removed "chat" option in 1a. Not Qualified Info Page - OOS for initial release.
Corrected typo in 12a. Security question (navigation instructions were reversed).
Corrected debit card prefix info in 21. Account Options (values transposed in error).
Added dynamic text banking resolution section to 18. Business Disclosures (CWBSB-44)
Wording updates (from Connie Smart) on:
7. Log into Codat
8. Your Business
9. More About Your Business
13. Applicant-eConsent
14. Applicant-Alternate IDV
17. Your Role
18. Owners, Directors &amp; Signers
18a. Non-signing Owners
20. Await Authorized Signers
21. Account Options
22. Complementary Services
23. Online Banking &amp; Delegates
I. Previously Submitted
Note: yellow tabs denote pages with future content updates needed (e.g. hyperlinks, contact numbers) that may be unknown at present, or still require wording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</si>
</sst>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7"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4"/>
      <color theme="1"/>
      <name val="Calibri"/>
      <family val="2"/>
      <scheme val="minor"/>
    </font>
    <font>
      <sz val="14"/>
      <name val="Calibri"/>
      <family val="2"/>
      <scheme val="minor"/>
    </font>
    <font>
      <sz val="14"/>
      <color rgb="FFFF0000"/>
      <name val="Calibri"/>
      <family val="2"/>
      <scheme val="minor"/>
    </font>
    <font>
      <u/>
      <sz val="11"/>
      <color theme="1"/>
      <name val="Calibri"/>
      <family val="2"/>
      <scheme val="minor"/>
    </font>
    <font>
      <sz val="11"/>
      <name val="Calibri"/>
      <family val="2"/>
      <scheme val="minor"/>
    </font>
    <font>
      <u/>
      <sz val="11"/>
      <name val="Calibri"/>
      <family val="2"/>
      <scheme val="minor"/>
    </font>
    <font>
      <b/>
      <sz val="11"/>
      <color theme="0"/>
      <name val="Calibri"/>
      <family val="2"/>
      <scheme val="minor"/>
    </font>
    <font>
      <sz val="11"/>
      <color rgb="FFFF0000"/>
      <name val="Calibri"/>
      <family val="2"/>
      <scheme val="minor"/>
    </font>
    <font>
      <b/>
      <sz val="11"/>
      <color theme="0" tint="-4.9989318521683403E-2"/>
      <name val="Calibri"/>
      <family val="2"/>
      <scheme val="minor"/>
    </font>
    <font>
      <u/>
      <sz val="11"/>
      <color theme="10"/>
      <name val="Calibri"/>
      <family val="2"/>
      <scheme val="minor"/>
    </font>
    <font>
      <i/>
      <sz val="11"/>
      <color theme="1"/>
      <name val="Calibri"/>
      <family val="2"/>
      <scheme val="minor"/>
    </font>
    <font>
      <strike/>
      <sz val="11"/>
      <color theme="1"/>
      <name val="Calibri"/>
      <family val="2"/>
      <scheme val="minor"/>
    </font>
    <font>
      <sz val="11"/>
      <color theme="0"/>
      <name val="Calibri"/>
      <family val="2"/>
      <scheme val="minor"/>
    </font>
  </fonts>
  <fills count="10">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rgb="FFFFFF00"/>
        <bgColor indexed="64"/>
      </patternFill>
    </fill>
    <fill>
      <patternFill patternType="solid">
        <fgColor theme="0" tint="-0.499984740745262"/>
        <bgColor indexed="64"/>
      </patternFill>
    </fill>
    <fill>
      <patternFill patternType="solid">
        <fgColor theme="1" tint="0.34998626667073579"/>
        <bgColor indexed="64"/>
      </patternFill>
    </fill>
    <fill>
      <patternFill patternType="solid">
        <fgColor theme="7" tint="0.39997558519241921"/>
        <bgColor indexed="64"/>
      </patternFill>
    </fill>
    <fill>
      <patternFill patternType="solid">
        <fgColor theme="0" tint="-0.34998626667073579"/>
        <bgColor indexed="64"/>
      </patternFill>
    </fill>
  </fills>
  <borders count="20">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s>
  <cellStyleXfs count="2">
    <xf numFmtId="0" fontId="0" fillId="0" borderId="0"/>
    <xf numFmtId="0" fontId="13" fillId="0" borderId="0" applyNumberFormat="0" applyFill="0" applyBorder="0" applyAlignment="0" applyProtection="0"/>
  </cellStyleXfs>
  <cellXfs count="170">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Font="1" applyAlignment="1">
      <alignment vertical="center" wrapText="1"/>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applyFont="1" applyBorder="1" applyAlignment="1">
      <alignment vertical="center" wrapText="1"/>
    </xf>
    <xf numFmtId="49" fontId="0" fillId="0" borderId="7" xfId="0" applyNumberFormat="1" applyBorder="1" applyAlignment="1">
      <alignment horizontal="center" vertical="center"/>
    </xf>
    <xf numFmtId="164" fontId="0" fillId="0" borderId="8" xfId="0" applyNumberFormat="1" applyBorder="1" applyAlignment="1">
      <alignment horizontal="center" vertical="center"/>
    </xf>
    <xf numFmtId="0" fontId="3" fillId="0" borderId="8" xfId="0" quotePrefix="1" applyFont="1" applyBorder="1" applyAlignment="1">
      <alignment vertical="center" wrapText="1"/>
    </xf>
    <xf numFmtId="0" fontId="0" fillId="0" borderId="9" xfId="0" applyBorder="1" applyAlignment="1">
      <alignment horizontal="center" vertical="center"/>
    </xf>
    <xf numFmtId="0" fontId="3" fillId="0" borderId="8" xfId="0" applyFont="1" applyBorder="1" applyAlignment="1">
      <alignment vertical="center" wrapText="1"/>
    </xf>
    <xf numFmtId="0" fontId="0" fillId="0" borderId="5" xfId="0" applyBorder="1" applyAlignment="1">
      <alignment horizontal="center" vertical="center"/>
    </xf>
    <xf numFmtId="0" fontId="0" fillId="0" borderId="8" xfId="0" applyBorder="1" applyAlignment="1">
      <alignment horizontal="center" vertical="center"/>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1" fillId="0" borderId="0" xfId="0" applyFont="1"/>
    <xf numFmtId="0" fontId="2"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1" fillId="4" borderId="10" xfId="0" applyFont="1" applyFill="1" applyBorder="1" applyAlignment="1">
      <alignment vertical="center" wrapText="1"/>
    </xf>
    <xf numFmtId="0" fontId="6" fillId="0" borderId="0" xfId="0" applyFont="1" applyAlignment="1">
      <alignment horizontal="center" vertical="center"/>
    </xf>
    <xf numFmtId="0" fontId="1" fillId="4" borderId="10" xfId="0" applyFont="1" applyFill="1"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0" fillId="0" borderId="0" xfId="0" applyAlignment="1">
      <alignment horizontal="center" vertical="center"/>
    </xf>
    <xf numFmtId="0" fontId="5" fillId="0" borderId="0" xfId="0" applyFont="1" applyAlignment="1">
      <alignment vertical="center"/>
    </xf>
    <xf numFmtId="0" fontId="0" fillId="0" borderId="0" xfId="0" applyFill="1" applyAlignment="1">
      <alignment vertical="center" wrapText="1"/>
    </xf>
    <xf numFmtId="0" fontId="0" fillId="0" borderId="0" xfId="0" applyFont="1" applyFill="1" applyAlignment="1">
      <alignment vertical="center" wrapText="1"/>
    </xf>
    <xf numFmtId="0" fontId="0" fillId="0" borderId="0" xfId="0" applyFill="1" applyAlignment="1">
      <alignment horizontal="left" vertical="center" wrapText="1"/>
    </xf>
    <xf numFmtId="0" fontId="0" fillId="0" borderId="0" xfId="0" applyFont="1" applyAlignment="1">
      <alignment horizontal="center" vertical="center" wrapText="1"/>
    </xf>
    <xf numFmtId="0" fontId="0" fillId="0" borderId="0" xfId="0" applyFont="1" applyAlignment="1">
      <alignment vertical="center"/>
    </xf>
    <xf numFmtId="0" fontId="0" fillId="0" borderId="0" xfId="0" applyFont="1" applyAlignment="1">
      <alignment horizontal="center" vertical="center"/>
    </xf>
    <xf numFmtId="0" fontId="0" fillId="0" borderId="0" xfId="0" applyFont="1" applyAlignment="1">
      <alignment vertical="top" wrapText="1"/>
    </xf>
    <xf numFmtId="0" fontId="0" fillId="0" borderId="9" xfId="0" applyBorder="1" applyAlignment="1">
      <alignment horizontal="center" vertical="center" wrapText="1"/>
    </xf>
    <xf numFmtId="0" fontId="0" fillId="0" borderId="0" xfId="0" quotePrefix="1" applyFill="1" applyAlignment="1">
      <alignment vertical="center" wrapText="1"/>
    </xf>
    <xf numFmtId="0" fontId="0" fillId="0" borderId="0" xfId="0" applyFill="1" applyAlignment="1">
      <alignment horizontal="center" vertical="center" wrapText="1"/>
    </xf>
    <xf numFmtId="0" fontId="8" fillId="0" borderId="0" xfId="0" applyFont="1" applyAlignment="1">
      <alignment vertical="center" wrapText="1"/>
    </xf>
    <xf numFmtId="0" fontId="8" fillId="0" borderId="0" xfId="0" applyFont="1" applyAlignment="1">
      <alignment horizontal="center" vertical="center" wrapText="1"/>
    </xf>
    <xf numFmtId="0" fontId="8" fillId="0" borderId="0" xfId="0" applyFont="1" applyFill="1" applyAlignment="1">
      <alignment vertical="center" wrapText="1"/>
    </xf>
    <xf numFmtId="0" fontId="0" fillId="0" borderId="0" xfId="0" applyFont="1" applyAlignment="1">
      <alignment horizontal="center" vertical="center" wrapText="1"/>
    </xf>
    <xf numFmtId="0" fontId="0" fillId="0" borderId="0" xfId="0" quotePrefix="1" applyAlignment="1">
      <alignment vertical="center" wrapText="1"/>
    </xf>
    <xf numFmtId="0" fontId="0" fillId="0" borderId="0" xfId="0" applyFont="1" applyAlignment="1">
      <alignment horizontal="center" vertical="center" wrapText="1"/>
    </xf>
    <xf numFmtId="49" fontId="0" fillId="0" borderId="11" xfId="0" applyNumberFormat="1" applyBorder="1" applyAlignment="1">
      <alignment horizontal="center" vertical="center"/>
    </xf>
    <xf numFmtId="164" fontId="0" fillId="0" borderId="12" xfId="0" applyNumberFormat="1" applyBorder="1" applyAlignment="1">
      <alignment horizontal="center" vertical="center"/>
    </xf>
    <xf numFmtId="0" fontId="3" fillId="0" borderId="12" xfId="0" applyFont="1" applyBorder="1" applyAlignment="1">
      <alignment vertical="center" wrapText="1"/>
    </xf>
    <xf numFmtId="0" fontId="0" fillId="0" borderId="12" xfId="0" applyBorder="1" applyAlignment="1">
      <alignment horizontal="center" vertical="center"/>
    </xf>
    <xf numFmtId="0" fontId="2" fillId="0" borderId="0" xfId="0" applyFont="1" applyFill="1" applyAlignment="1">
      <alignment vertical="center"/>
    </xf>
    <xf numFmtId="0" fontId="4" fillId="0" borderId="0" xfId="0" applyFont="1" applyFill="1" applyAlignment="1">
      <alignment vertical="center"/>
    </xf>
    <xf numFmtId="0" fontId="4" fillId="0" borderId="0" xfId="0" applyFont="1" applyFill="1" applyAlignment="1">
      <alignment horizontal="left" vertical="center"/>
    </xf>
    <xf numFmtId="0" fontId="4" fillId="0" borderId="0" xfId="0" applyFont="1" applyFill="1" applyAlignment="1">
      <alignment horizontal="center" vertical="center"/>
    </xf>
    <xf numFmtId="0" fontId="0" fillId="0" borderId="0" xfId="0" applyFill="1" applyAlignment="1">
      <alignment vertical="center"/>
    </xf>
    <xf numFmtId="0" fontId="0" fillId="0" borderId="0" xfId="0" applyFill="1" applyAlignment="1">
      <alignment horizontal="center" vertical="center"/>
    </xf>
    <xf numFmtId="0" fontId="1" fillId="2" borderId="10" xfId="0" applyFont="1" applyFill="1" applyBorder="1" applyAlignment="1">
      <alignment vertical="center" wrapText="1"/>
    </xf>
    <xf numFmtId="0" fontId="1" fillId="2" borderId="10" xfId="0" applyFont="1" applyFill="1" applyBorder="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13" xfId="0" applyBorder="1" applyAlignment="1">
      <alignment horizontal="center" vertical="center" wrapText="1"/>
    </xf>
    <xf numFmtId="0" fontId="8" fillId="0" borderId="0" xfId="0" applyFont="1" applyAlignment="1">
      <alignment horizontal="center" vertical="center" wrapText="1"/>
    </xf>
    <xf numFmtId="49" fontId="0" fillId="0" borderId="14" xfId="0" applyNumberFormat="1" applyBorder="1" applyAlignment="1">
      <alignment horizontal="center" vertical="center"/>
    </xf>
    <xf numFmtId="164" fontId="0" fillId="0" borderId="15" xfId="0" applyNumberFormat="1" applyBorder="1" applyAlignment="1">
      <alignment horizontal="center" vertical="center"/>
    </xf>
    <xf numFmtId="0" fontId="3" fillId="0" borderId="15" xfId="0" applyFont="1" applyBorder="1" applyAlignment="1">
      <alignment vertical="center" wrapText="1"/>
    </xf>
    <xf numFmtId="0" fontId="0" fillId="0" borderId="15" xfId="0" applyBorder="1" applyAlignment="1">
      <alignment horizontal="center" vertical="center"/>
    </xf>
    <xf numFmtId="0" fontId="0" fillId="0" borderId="16" xfId="0" applyBorder="1" applyAlignment="1">
      <alignment horizontal="center" vertical="center" wrapText="1"/>
    </xf>
    <xf numFmtId="0" fontId="0"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Fill="1" applyAlignment="1">
      <alignment horizontal="left" vertical="center"/>
    </xf>
    <xf numFmtId="0" fontId="4" fillId="0" borderId="0" xfId="0" applyFont="1" applyAlignment="1">
      <alignment horizontal="left" vertical="center"/>
    </xf>
    <xf numFmtId="0" fontId="4" fillId="0" borderId="0" xfId="0" applyFont="1" applyFill="1" applyAlignment="1">
      <alignment horizontal="left" vertical="center"/>
    </xf>
    <xf numFmtId="0" fontId="0" fillId="0" borderId="0" xfId="0" applyFont="1" applyAlignment="1">
      <alignment horizontal="center" vertical="center" wrapText="1"/>
    </xf>
    <xf numFmtId="0" fontId="8" fillId="0" borderId="0" xfId="0" applyFont="1" applyAlignment="1">
      <alignment horizontal="center" vertical="center" wrapText="1"/>
    </xf>
    <xf numFmtId="0" fontId="4" fillId="0" borderId="0" xfId="0" applyFont="1" applyFill="1" applyAlignment="1">
      <alignment horizontal="left" vertical="center"/>
    </xf>
    <xf numFmtId="0" fontId="4" fillId="0" borderId="0" xfId="0" applyFont="1" applyFill="1" applyAlignment="1">
      <alignment horizontal="left" vertical="center"/>
    </xf>
    <xf numFmtId="0" fontId="4" fillId="0" borderId="0" xfId="0" applyFont="1" applyFill="1" applyAlignment="1">
      <alignment horizontal="left" vertical="center"/>
    </xf>
    <xf numFmtId="0" fontId="8" fillId="0" borderId="0" xfId="0" applyFont="1" applyAlignment="1">
      <alignment horizontal="center" vertical="center" wrapText="1"/>
    </xf>
    <xf numFmtId="0" fontId="4" fillId="0" borderId="0" xfId="0" applyFont="1" applyAlignment="1">
      <alignment horizontal="left" vertical="center"/>
    </xf>
    <xf numFmtId="0" fontId="8" fillId="0" borderId="0" xfId="0" applyFont="1" applyAlignment="1">
      <alignment horizontal="center" vertical="center" wrapText="1"/>
    </xf>
    <xf numFmtId="0" fontId="0" fillId="5" borderId="0" xfId="0" applyFill="1" applyAlignment="1">
      <alignment vertical="center" wrapText="1"/>
    </xf>
    <xf numFmtId="0" fontId="8" fillId="0" borderId="0" xfId="0" applyFont="1" applyAlignment="1">
      <alignment vertical="top" wrapText="1"/>
    </xf>
    <xf numFmtId="0" fontId="0" fillId="6" borderId="0" xfId="0" applyFill="1" applyAlignment="1">
      <alignment vertical="center" wrapText="1"/>
    </xf>
    <xf numFmtId="0" fontId="8" fillId="6" borderId="0" xfId="0" applyFont="1" applyFill="1" applyAlignment="1">
      <alignment horizontal="center" vertical="center" wrapText="1"/>
    </xf>
    <xf numFmtId="0" fontId="0" fillId="6" borderId="0" xfId="0" applyFill="1" applyAlignment="1">
      <alignment horizontal="left" vertical="center" wrapText="1"/>
    </xf>
    <xf numFmtId="0" fontId="0" fillId="6" borderId="0" xfId="0" applyFont="1" applyFill="1" applyAlignment="1">
      <alignment vertical="center" wrapText="1"/>
    </xf>
    <xf numFmtId="0" fontId="10" fillId="6" borderId="0" xfId="0" applyFont="1" applyFill="1" applyAlignment="1">
      <alignment vertical="center"/>
    </xf>
    <xf numFmtId="0" fontId="4" fillId="0" borderId="0" xfId="0" applyFont="1" applyAlignment="1">
      <alignment horizontal="left" vertical="center"/>
    </xf>
    <xf numFmtId="0" fontId="0" fillId="0" borderId="0" xfId="0" applyAlignment="1">
      <alignment horizontal="left" vertical="center" wrapText="1"/>
    </xf>
    <xf numFmtId="0" fontId="0" fillId="6" borderId="0" xfId="0" applyFill="1" applyAlignment="1">
      <alignment horizontal="center" vertical="center" wrapText="1"/>
    </xf>
    <xf numFmtId="0" fontId="0" fillId="6" borderId="0" xfId="0" quotePrefix="1" applyFill="1" applyAlignment="1">
      <alignment vertical="center" wrapText="1"/>
    </xf>
    <xf numFmtId="0" fontId="0" fillId="0" borderId="0" xfId="0" applyAlignment="1">
      <alignment horizontal="left" vertical="center"/>
    </xf>
    <xf numFmtId="0" fontId="1" fillId="4" borderId="10" xfId="0" applyFont="1" applyFill="1" applyBorder="1" applyAlignment="1">
      <alignment horizontal="left" vertical="center" wrapText="1"/>
    </xf>
    <xf numFmtId="0" fontId="0" fillId="0" borderId="0" xfId="0" applyFont="1" applyFill="1" applyAlignment="1">
      <alignment vertical="top" wrapText="1"/>
    </xf>
    <xf numFmtId="0" fontId="4" fillId="0" borderId="0" xfId="0" applyFont="1" applyAlignment="1">
      <alignment horizontal="left" vertical="center"/>
    </xf>
    <xf numFmtId="0" fontId="0" fillId="0" borderId="0" xfId="0" applyFont="1" applyAlignment="1">
      <alignment horizontal="center" vertical="center" wrapText="1"/>
    </xf>
    <xf numFmtId="0" fontId="4" fillId="0" borderId="0" xfId="0" applyFont="1" applyAlignment="1">
      <alignment horizontal="left" vertical="center"/>
    </xf>
    <xf numFmtId="0" fontId="12" fillId="7" borderId="0" xfId="0" applyFont="1" applyFill="1" applyAlignment="1">
      <alignment vertical="center"/>
    </xf>
    <xf numFmtId="0" fontId="12" fillId="7" borderId="0" xfId="0" applyFont="1" applyFill="1" applyAlignment="1">
      <alignment vertical="center" wrapText="1"/>
    </xf>
    <xf numFmtId="0" fontId="0" fillId="0" borderId="0" xfId="0" applyFont="1" applyFill="1" applyAlignment="1">
      <alignment horizontal="center" vertical="center" wrapText="1"/>
    </xf>
    <xf numFmtId="0" fontId="4" fillId="0" borderId="0" xfId="0" applyFont="1" applyAlignment="1">
      <alignment horizontal="left" vertical="center"/>
    </xf>
    <xf numFmtId="0" fontId="0" fillId="0" borderId="0" xfId="0" applyFont="1" applyAlignment="1">
      <alignment horizontal="center" vertical="center" wrapText="1"/>
    </xf>
    <xf numFmtId="0" fontId="13" fillId="0" borderId="0" xfId="1" applyFill="1" applyAlignment="1">
      <alignment vertical="center" wrapText="1"/>
    </xf>
    <xf numFmtId="0" fontId="10" fillId="6" borderId="0" xfId="0" applyFont="1" applyFill="1" applyAlignment="1">
      <alignment vertical="center" wrapText="1"/>
    </xf>
    <xf numFmtId="0" fontId="10" fillId="6" borderId="0" xfId="0" applyFont="1" applyFill="1" applyAlignment="1">
      <alignment horizontal="center" vertical="center" wrapText="1"/>
    </xf>
    <xf numFmtId="0" fontId="10" fillId="6" borderId="0" xfId="0" applyFont="1" applyFill="1" applyAlignment="1">
      <alignment horizontal="center" vertical="center"/>
    </xf>
    <xf numFmtId="0" fontId="4" fillId="0" borderId="0" xfId="0" applyFont="1" applyAlignment="1">
      <alignment horizontal="left" vertical="center"/>
    </xf>
    <xf numFmtId="0" fontId="0" fillId="0" borderId="0" xfId="0" applyAlignment="1">
      <alignment horizontal="left" vertical="center" wrapText="1"/>
    </xf>
    <xf numFmtId="0" fontId="0" fillId="0" borderId="12" xfId="0" applyBorder="1" applyAlignment="1">
      <alignment horizontal="center" vertical="center" wrapText="1"/>
    </xf>
    <xf numFmtId="0" fontId="0" fillId="8" borderId="0" xfId="0" applyFill="1" applyAlignment="1">
      <alignment vertical="center" wrapText="1"/>
    </xf>
    <xf numFmtId="0" fontId="0" fillId="0" borderId="0" xfId="0" applyAlignment="1">
      <alignment horizontal="left" vertical="center" wrapText="1"/>
    </xf>
    <xf numFmtId="0" fontId="4" fillId="0" borderId="0" xfId="0" applyFont="1" applyAlignment="1">
      <alignment horizontal="left" vertical="center"/>
    </xf>
    <xf numFmtId="0" fontId="0" fillId="0" borderId="0" xfId="0" applyAlignment="1">
      <alignment horizontal="left" vertical="center" wrapText="1"/>
    </xf>
    <xf numFmtId="0" fontId="0" fillId="0" borderId="0" xfId="0" applyFont="1" applyAlignment="1">
      <alignment horizontal="center" vertical="center" wrapText="1"/>
    </xf>
    <xf numFmtId="0" fontId="0" fillId="9" borderId="0" xfId="0" applyFill="1" applyAlignment="1">
      <alignment vertical="center" wrapText="1"/>
    </xf>
    <xf numFmtId="0" fontId="0" fillId="9" borderId="0" xfId="0" applyFill="1" applyAlignment="1">
      <alignment horizontal="center" vertical="center" wrapText="1"/>
    </xf>
    <xf numFmtId="0" fontId="0" fillId="9" borderId="0" xfId="0" applyFill="1" applyAlignment="1">
      <alignment horizontal="left" vertical="center" wrapText="1"/>
    </xf>
    <xf numFmtId="0" fontId="0" fillId="9" borderId="0" xfId="0" applyFont="1" applyFill="1" applyAlignment="1">
      <alignment vertical="center" wrapText="1"/>
    </xf>
    <xf numFmtId="0" fontId="10" fillId="9" borderId="0" xfId="0" applyFont="1" applyFill="1" applyAlignment="1">
      <alignment vertical="center"/>
    </xf>
    <xf numFmtId="0" fontId="8" fillId="0" borderId="0" xfId="0" quotePrefix="1" applyFont="1" applyFill="1" applyAlignment="1">
      <alignment vertical="center" wrapText="1"/>
    </xf>
    <xf numFmtId="0" fontId="4" fillId="0" borderId="0" xfId="0" applyFont="1" applyAlignment="1">
      <alignment horizontal="left" vertical="center"/>
    </xf>
    <xf numFmtId="0" fontId="0" fillId="0" borderId="0" xfId="0" applyAlignment="1">
      <alignment horizontal="left" vertical="center" wrapText="1"/>
    </xf>
    <xf numFmtId="0" fontId="8" fillId="0" borderId="0" xfId="0" applyFont="1" applyAlignment="1">
      <alignment horizontal="center" vertical="center" wrapText="1"/>
    </xf>
    <xf numFmtId="0" fontId="0" fillId="0" borderId="0" xfId="0" applyAlignment="1">
      <alignment horizontal="left" vertical="center" wrapText="1"/>
    </xf>
    <xf numFmtId="0" fontId="16" fillId="6" borderId="0" xfId="0" applyFont="1" applyFill="1" applyAlignment="1">
      <alignment vertical="center" wrapText="1"/>
    </xf>
    <xf numFmtId="0" fontId="16" fillId="6" borderId="0" xfId="0" applyFont="1" applyFill="1" applyAlignment="1">
      <alignment horizontal="center" vertical="center" wrapText="1"/>
    </xf>
    <xf numFmtId="0" fontId="16" fillId="6" borderId="0" xfId="0" quotePrefix="1" applyFont="1" applyFill="1" applyAlignment="1">
      <alignment vertical="center" wrapText="1"/>
    </xf>
    <xf numFmtId="0" fontId="16" fillId="6" borderId="0" xfId="0" applyFont="1" applyFill="1" applyAlignment="1">
      <alignment horizontal="left" vertical="center" wrapText="1"/>
    </xf>
    <xf numFmtId="0" fontId="0" fillId="0" borderId="0" xfId="0" applyAlignment="1">
      <alignment horizontal="left" vertical="center" wrapText="1"/>
    </xf>
    <xf numFmtId="0" fontId="4" fillId="0" borderId="0" xfId="0" applyFont="1" applyAlignment="1">
      <alignment horizontal="left" vertical="center"/>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Alignment="1">
      <alignment horizontal="left" vertical="center" wrapText="1"/>
    </xf>
    <xf numFmtId="0" fontId="4" fillId="0" borderId="0" xfId="0" applyFont="1" applyAlignment="1">
      <alignment horizontal="left" vertical="center"/>
    </xf>
    <xf numFmtId="0" fontId="0" fillId="0" borderId="0" xfId="0" applyAlignment="1">
      <alignment horizontal="left" vertical="center" wrapText="1"/>
    </xf>
    <xf numFmtId="0" fontId="8" fillId="0" borderId="0" xfId="0" applyFont="1" applyAlignment="1">
      <alignment horizontal="center" vertical="center" wrapText="1"/>
    </xf>
    <xf numFmtId="0" fontId="11" fillId="0" borderId="0" xfId="0" applyFont="1" applyAlignment="1">
      <alignment vertical="center" wrapText="1"/>
    </xf>
    <xf numFmtId="49" fontId="0" fillId="0" borderId="17" xfId="0" applyNumberFormat="1" applyBorder="1" applyAlignment="1">
      <alignment horizontal="center" vertical="center"/>
    </xf>
    <xf numFmtId="164" fontId="0" fillId="0" borderId="18" xfId="0" applyNumberFormat="1" applyBorder="1" applyAlignment="1">
      <alignment horizontal="center" vertical="center"/>
    </xf>
    <xf numFmtId="0" fontId="3" fillId="0" borderId="18" xfId="0" applyFont="1" applyBorder="1" applyAlignment="1">
      <alignment vertical="center" wrapText="1"/>
    </xf>
    <xf numFmtId="0" fontId="0" fillId="0" borderId="18" xfId="0" applyBorder="1" applyAlignment="1">
      <alignment horizontal="center" vertical="center"/>
    </xf>
    <xf numFmtId="0" fontId="0" fillId="0" borderId="19" xfId="0" applyBorder="1" applyAlignment="1">
      <alignment horizontal="center" vertical="center"/>
    </xf>
    <xf numFmtId="0" fontId="4" fillId="0" borderId="0" xfId="0" applyFont="1" applyFill="1" applyAlignment="1">
      <alignment horizontal="left" vertical="center"/>
    </xf>
    <xf numFmtId="0" fontId="4" fillId="0" borderId="0" xfId="0" applyFont="1" applyAlignment="1">
      <alignment horizontal="left" vertical="center"/>
    </xf>
    <xf numFmtId="0" fontId="0" fillId="0" borderId="0" xfId="0" applyFont="1" applyAlignment="1">
      <alignment horizontal="center" vertical="center" wrapText="1"/>
    </xf>
    <xf numFmtId="0" fontId="0" fillId="0" borderId="0" xfId="0" applyAlignment="1">
      <alignment horizontal="left" vertical="center" wrapText="1"/>
    </xf>
    <xf numFmtId="0" fontId="5" fillId="0" borderId="0" xfId="0" applyFont="1" applyAlignment="1">
      <alignment horizontal="left" vertical="center"/>
    </xf>
    <xf numFmtId="0" fontId="0" fillId="0" borderId="0" xfId="0" applyFont="1" applyAlignment="1">
      <alignment horizontal="center" vertical="center" wrapText="1"/>
    </xf>
    <xf numFmtId="0" fontId="4" fillId="0" borderId="0" xfId="0" applyFont="1" applyAlignment="1">
      <alignment horizontal="left" vertical="center"/>
    </xf>
    <xf numFmtId="0" fontId="5" fillId="0" borderId="0" xfId="0" applyFont="1" applyFill="1" applyAlignment="1">
      <alignment horizontal="left" vertical="center"/>
    </xf>
    <xf numFmtId="0" fontId="4" fillId="0" borderId="0" xfId="0" applyFont="1" applyFill="1" applyAlignment="1">
      <alignment horizontal="left" vertical="center"/>
    </xf>
    <xf numFmtId="0" fontId="5" fillId="0" borderId="0" xfId="0" applyFont="1" applyAlignment="1">
      <alignment horizontal="left" vertical="center"/>
    </xf>
    <xf numFmtId="0" fontId="4" fillId="0" borderId="0" xfId="0" applyFont="1" applyAlignment="1">
      <alignment horizontal="left" vertical="center"/>
    </xf>
    <xf numFmtId="0" fontId="0" fillId="0" borderId="0" xfId="0" applyFont="1" applyAlignment="1">
      <alignment horizontal="center" vertical="center" wrapText="1"/>
    </xf>
    <xf numFmtId="0" fontId="8" fillId="0" borderId="0" xfId="0" applyFont="1" applyAlignment="1">
      <alignment horizontal="center" vertical="center" wrapText="1"/>
    </xf>
    <xf numFmtId="0" fontId="8" fillId="0" borderId="0" xfId="0" applyFont="1" applyFill="1" applyAlignment="1">
      <alignment horizontal="center" vertical="center" wrapText="1"/>
    </xf>
    <xf numFmtId="0" fontId="0" fillId="0" borderId="0" xfId="0" applyAlignment="1">
      <alignment horizontal="left" vertical="center" wrapText="1"/>
    </xf>
    <xf numFmtId="0" fontId="0" fillId="0" borderId="0" xfId="0" applyFont="1" applyFill="1" applyAlignment="1">
      <alignment horizontal="left" vertical="center" wrapText="1"/>
    </xf>
  </cellXfs>
  <cellStyles count="2">
    <cellStyle name="Hyperlink" xfId="1" builtinId="8"/>
    <cellStyle name="Normal" xfId="0" builtinId="0"/>
  </cellStyles>
  <dxfs count="792">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1.xml"/><Relationship Id="rId50" Type="http://schemas.openxmlformats.org/officeDocument/2006/relationships/theme" Target="theme/theme1.xml"/><Relationship Id="rId55"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2.xml"/><Relationship Id="rId56"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icksi/Documents/Small%20Business%20DCO/Field%20Specs/Small%20Business%20DCO%20Small%20Business%20Form%20Field%20Spec%20v0.1%20WI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mall%20Business%20DCO%20Funding%20Form%20Field%20Spec%20v1.1%20WIP.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hicksi/Documents/Personal%20DCO/CWB%20Personal%20DCO%20Primary%20Applicant%20Field%20Spec%20(Ver%20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Control"/>
      <sheetName val="List Values"/>
      <sheetName val="1. Application Approval"/>
      <sheetName val="1a. PAN Confirmation"/>
      <sheetName val="2. Method Selection"/>
      <sheetName val="3. Me-to-Me Session Mgmt."/>
      <sheetName val="4. Funds Transfer"/>
      <sheetName val="4a. Transfer Error"/>
      <sheetName val="5. Dynamic Finish"/>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Control"/>
      <sheetName val="List Values"/>
      <sheetName val="1. Landing Page"/>
      <sheetName val="2. Existing Cust. Check"/>
      <sheetName val="3. Contact Info"/>
      <sheetName val="3a. Mobile Verify"/>
      <sheetName val="4. Product Selector"/>
      <sheetName val="4a. Product Information"/>
      <sheetName val="4b. Conditions Confirmation"/>
      <sheetName val="5. Qualifying Questions"/>
      <sheetName val="6. ID Scan"/>
      <sheetName val="7. Name"/>
      <sheetName val="8. Address"/>
      <sheetName val="9. Birthday &amp; SIN"/>
      <sheetName val="9a. Underage Warning"/>
      <sheetName val="9b. Age Restriction"/>
      <sheetName val="10. Co-app Name"/>
      <sheetName val="11. Co-app Contact"/>
      <sheetName val="11a. Co-app Confirmation"/>
      <sheetName val="12. Account Options"/>
      <sheetName val="13. eConsent"/>
      <sheetName val="14. Alternate IDV"/>
      <sheetName val="15. Flinks"/>
      <sheetName val="16. Manual IDV"/>
      <sheetName val="17. Dynamic Disclosures"/>
      <sheetName val="A. Generic Error"/>
      <sheetName val="B. Manual Review"/>
      <sheetName val="C. Decline"/>
      <sheetName val="D. Cancel"/>
      <sheetName val="E. Save"/>
      <sheetName val="F. Resume"/>
      <sheetName val="G. Time Out"/>
      <sheetName val="H. Progress"/>
      <sheetName val="I. Previously Submitted"/>
      <sheetName val="J. Concurrent Ap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7"/>
  <sheetViews>
    <sheetView zoomScaleNormal="100" workbookViewId="0">
      <pane ySplit="3" topLeftCell="A16" activePane="bottomLeft" state="frozen"/>
      <selection activeCell="O8" sqref="O8"/>
      <selection pane="bottomLeft" activeCell="D17" sqref="D17"/>
    </sheetView>
  </sheetViews>
  <sheetFormatPr defaultRowHeight="14.5" x14ac:dyDescent="0.35"/>
  <cols>
    <col min="1" max="1" width="19.81640625" customWidth="1"/>
    <col min="2" max="2" width="18.7265625" bestFit="1" customWidth="1"/>
    <col min="3" max="3" width="73.26953125" customWidth="1"/>
    <col min="4" max="5" width="21.54296875" customWidth="1"/>
    <col min="6" max="6" width="20.1796875" customWidth="1"/>
  </cols>
  <sheetData>
    <row r="1" spans="1:15" s="1" customFormat="1" ht="18.5" x14ac:dyDescent="0.35">
      <c r="A1" s="1" t="s">
        <v>211</v>
      </c>
      <c r="B1" s="2"/>
      <c r="C1" s="2"/>
      <c r="D1" s="2"/>
      <c r="E1" s="2"/>
      <c r="F1" s="3"/>
      <c r="G1" s="2"/>
      <c r="H1" s="3"/>
      <c r="I1" s="3"/>
      <c r="J1" s="3"/>
      <c r="K1" s="2"/>
      <c r="L1" s="2"/>
      <c r="M1" s="2"/>
      <c r="N1" s="2"/>
      <c r="O1" s="2"/>
    </row>
    <row r="2" spans="1:15" s="1" customFormat="1" ht="19" thickBot="1" x14ac:dyDescent="0.4">
      <c r="A2" s="1" t="s">
        <v>0</v>
      </c>
      <c r="B2" s="2"/>
      <c r="C2" s="2"/>
      <c r="D2" s="2"/>
      <c r="E2" s="2"/>
      <c r="F2" s="3"/>
      <c r="G2" s="2"/>
      <c r="H2" s="3"/>
      <c r="I2" s="3"/>
      <c r="J2" s="3"/>
      <c r="K2" s="2"/>
      <c r="L2" s="2"/>
      <c r="M2" s="2"/>
      <c r="N2" s="2"/>
      <c r="O2" s="2"/>
    </row>
    <row r="3" spans="1:15" s="11" customFormat="1" ht="15" thickBot="1" x14ac:dyDescent="0.4">
      <c r="A3" s="7" t="s">
        <v>1</v>
      </c>
      <c r="B3" s="8" t="s">
        <v>2</v>
      </c>
      <c r="C3" s="9" t="s">
        <v>3</v>
      </c>
      <c r="D3" s="8" t="s">
        <v>4</v>
      </c>
      <c r="E3" s="10" t="s">
        <v>5</v>
      </c>
    </row>
    <row r="4" spans="1:15" s="4" customFormat="1" x14ac:dyDescent="0.35">
      <c r="A4" s="12" t="s">
        <v>201</v>
      </c>
      <c r="B4" s="13">
        <v>44027</v>
      </c>
      <c r="C4" s="14" t="s">
        <v>202</v>
      </c>
      <c r="D4" s="20" t="s">
        <v>203</v>
      </c>
      <c r="E4" s="22"/>
    </row>
    <row r="5" spans="1:15" s="4" customFormat="1" ht="17.149999999999999" customHeight="1" x14ac:dyDescent="0.35">
      <c r="A5" s="72" t="s">
        <v>201</v>
      </c>
      <c r="B5" s="73">
        <v>44028</v>
      </c>
      <c r="C5" s="74" t="s">
        <v>212</v>
      </c>
      <c r="D5" s="75" t="s">
        <v>213</v>
      </c>
      <c r="E5" s="76"/>
    </row>
    <row r="6" spans="1:15" s="4" customFormat="1" ht="17.5" customHeight="1" x14ac:dyDescent="0.35">
      <c r="A6" s="15" t="s">
        <v>239</v>
      </c>
      <c r="B6" s="16">
        <v>44032</v>
      </c>
      <c r="C6" s="17" t="s">
        <v>241</v>
      </c>
      <c r="D6" s="23" t="s">
        <v>203</v>
      </c>
      <c r="E6" s="18"/>
    </row>
    <row r="7" spans="1:15" s="4" customFormat="1" ht="169.5" customHeight="1" x14ac:dyDescent="0.35">
      <c r="A7" s="15" t="s">
        <v>292</v>
      </c>
      <c r="B7" s="16">
        <v>44036</v>
      </c>
      <c r="C7" s="17" t="s">
        <v>344</v>
      </c>
      <c r="D7" s="21" t="s">
        <v>203</v>
      </c>
      <c r="E7" s="43" t="s">
        <v>345</v>
      </c>
    </row>
    <row r="8" spans="1:15" s="4" customFormat="1" ht="93" customHeight="1" x14ac:dyDescent="0.35">
      <c r="A8" s="15" t="s">
        <v>296</v>
      </c>
      <c r="B8" s="16">
        <v>44056</v>
      </c>
      <c r="C8" s="17" t="s">
        <v>374</v>
      </c>
      <c r="D8" s="21" t="s">
        <v>203</v>
      </c>
      <c r="E8" s="43" t="s">
        <v>348</v>
      </c>
    </row>
    <row r="9" spans="1:15" s="4" customFormat="1" ht="78" x14ac:dyDescent="0.35">
      <c r="A9" s="15" t="s">
        <v>350</v>
      </c>
      <c r="B9" s="16">
        <v>44067</v>
      </c>
      <c r="C9" s="19" t="s">
        <v>375</v>
      </c>
      <c r="D9" s="21" t="s">
        <v>203</v>
      </c>
      <c r="E9" s="43"/>
    </row>
    <row r="10" spans="1:15" s="4" customFormat="1" ht="52" x14ac:dyDescent="0.35">
      <c r="A10" s="52" t="s">
        <v>385</v>
      </c>
      <c r="B10" s="53">
        <v>44085</v>
      </c>
      <c r="C10" s="54" t="s">
        <v>414</v>
      </c>
      <c r="D10" s="55" t="s">
        <v>203</v>
      </c>
      <c r="E10" s="70"/>
    </row>
    <row r="11" spans="1:15" s="4" customFormat="1" ht="345.5" customHeight="1" x14ac:dyDescent="0.35">
      <c r="A11" s="52" t="s">
        <v>400</v>
      </c>
      <c r="B11" s="53"/>
      <c r="C11" s="54" t="s">
        <v>621</v>
      </c>
      <c r="D11" s="118" t="s">
        <v>571</v>
      </c>
      <c r="E11" s="43" t="s">
        <v>348</v>
      </c>
    </row>
    <row r="12" spans="1:15" s="4" customFormat="1" ht="104" x14ac:dyDescent="0.35">
      <c r="A12" s="52" t="s">
        <v>624</v>
      </c>
      <c r="B12" s="53">
        <v>43835</v>
      </c>
      <c r="C12" s="54" t="s">
        <v>668</v>
      </c>
      <c r="D12" s="55" t="s">
        <v>625</v>
      </c>
      <c r="E12" s="70"/>
    </row>
    <row r="13" spans="1:15" s="4" customFormat="1" ht="182" x14ac:dyDescent="0.35">
      <c r="A13" s="52" t="s">
        <v>671</v>
      </c>
      <c r="B13" s="53">
        <v>44217</v>
      </c>
      <c r="C13" s="54" t="s">
        <v>739</v>
      </c>
      <c r="D13" s="118" t="s">
        <v>736</v>
      </c>
      <c r="E13" s="70" t="s">
        <v>348</v>
      </c>
    </row>
    <row r="14" spans="1:15" s="4" customFormat="1" ht="104" x14ac:dyDescent="0.35">
      <c r="A14" s="52" t="s">
        <v>773</v>
      </c>
      <c r="B14" s="53">
        <v>44225</v>
      </c>
      <c r="C14" s="54" t="s">
        <v>813</v>
      </c>
      <c r="D14" s="118" t="s">
        <v>203</v>
      </c>
      <c r="E14" s="70"/>
    </row>
    <row r="15" spans="1:15" ht="234" x14ac:dyDescent="0.35">
      <c r="A15" s="15" t="s">
        <v>815</v>
      </c>
      <c r="B15" s="16">
        <v>44236</v>
      </c>
      <c r="C15" s="19" t="s">
        <v>880</v>
      </c>
      <c r="D15" s="21" t="s">
        <v>203</v>
      </c>
      <c r="E15" s="18"/>
    </row>
    <row r="16" spans="1:15" ht="117" x14ac:dyDescent="0.35">
      <c r="A16" s="15" t="s">
        <v>882</v>
      </c>
      <c r="B16" s="16">
        <v>44239</v>
      </c>
      <c r="C16" s="19" t="s">
        <v>906</v>
      </c>
      <c r="D16" s="21" t="s">
        <v>203</v>
      </c>
      <c r="E16" s="18"/>
    </row>
    <row r="17" spans="1:5" ht="260.5" thickBot="1" x14ac:dyDescent="0.4">
      <c r="A17" s="149" t="s">
        <v>908</v>
      </c>
      <c r="B17" s="150">
        <v>44253</v>
      </c>
      <c r="C17" s="151" t="s">
        <v>1028</v>
      </c>
      <c r="D17" s="152" t="s">
        <v>203</v>
      </c>
      <c r="E17" s="153"/>
    </row>
  </sheetData>
  <conditionalFormatting sqref="H1:I2">
    <cfRule type="cellIs" dxfId="791" priority="10" operator="equal">
      <formula>"Not Applicable"</formula>
    </cfRule>
    <cfRule type="cellIs" dxfId="790" priority="11" operator="equal">
      <formula>"4 - Future Initiative (out of scope)"</formula>
    </cfRule>
    <cfRule type="cellIs" dxfId="789" priority="12" operator="equal">
      <formula>"3 - Desirable (Nice To Have)"</formula>
    </cfRule>
    <cfRule type="cellIs" dxfId="788" priority="13" operator="equal">
      <formula>"2 - Recommended (Best Practice)"</formula>
    </cfRule>
    <cfRule type="cellIs" dxfId="787" priority="14" operator="equal">
      <formula>"1 - Mandatory (Must Have)"</formula>
    </cfRule>
  </conditionalFormatting>
  <conditionalFormatting sqref="F1:F2">
    <cfRule type="cellIs" dxfId="786" priority="8" operator="equal">
      <formula>"Non-functional"</formula>
    </cfRule>
    <cfRule type="cellIs" dxfId="785" priority="9" operator="equal">
      <formula>"Functional"</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4"/>
  <sheetViews>
    <sheetView workbookViewId="0">
      <selection activeCell="O8" sqref="O8"/>
    </sheetView>
  </sheetViews>
  <sheetFormatPr defaultRowHeight="14.5" x14ac:dyDescent="0.35"/>
  <cols>
    <col min="1" max="1" width="47.26953125" bestFit="1" customWidth="1"/>
    <col min="2" max="2" width="25.54296875" customWidth="1"/>
  </cols>
  <sheetData>
    <row r="1" spans="1:15" s="1" customFormat="1" ht="18.5" x14ac:dyDescent="0.35">
      <c r="A1" s="1" t="s">
        <v>474</v>
      </c>
      <c r="B1" s="2"/>
      <c r="C1" s="2"/>
      <c r="D1" s="2"/>
      <c r="E1" s="2"/>
      <c r="F1" s="3"/>
      <c r="G1" s="2"/>
      <c r="H1" s="3"/>
      <c r="I1" s="3"/>
      <c r="J1" s="3"/>
      <c r="K1" s="2"/>
      <c r="L1" s="2"/>
      <c r="M1" s="2"/>
      <c r="N1" s="2"/>
      <c r="O1" s="2"/>
    </row>
    <row r="2" spans="1:15" s="1" customFormat="1" ht="18.5" x14ac:dyDescent="0.35">
      <c r="A2" s="1" t="s">
        <v>26</v>
      </c>
      <c r="B2" s="2"/>
      <c r="C2" s="2"/>
      <c r="D2" s="2"/>
      <c r="E2" s="2"/>
      <c r="F2" s="3"/>
      <c r="G2" s="2"/>
      <c r="H2" s="3"/>
      <c r="I2" s="3"/>
      <c r="J2" s="3"/>
      <c r="K2" s="2"/>
      <c r="L2" s="2"/>
      <c r="M2" s="2"/>
      <c r="N2" s="2"/>
      <c r="O2" s="2"/>
    </row>
    <row r="4" spans="1:15" s="24" customFormat="1" x14ac:dyDescent="0.35">
      <c r="A4" s="24" t="s">
        <v>27</v>
      </c>
      <c r="B4" s="24" t="s">
        <v>38</v>
      </c>
    </row>
    <row r="5" spans="1:15" x14ac:dyDescent="0.35">
      <c r="A5" t="s">
        <v>42</v>
      </c>
      <c r="B5" t="s">
        <v>41</v>
      </c>
    </row>
    <row r="6" spans="1:15" x14ac:dyDescent="0.35">
      <c r="A6" t="s">
        <v>689</v>
      </c>
      <c r="B6" t="s">
        <v>39</v>
      </c>
    </row>
    <row r="7" spans="1:15" x14ac:dyDescent="0.35">
      <c r="A7" t="s">
        <v>29</v>
      </c>
      <c r="B7" t="s">
        <v>40</v>
      </c>
    </row>
    <row r="8" spans="1:15" x14ac:dyDescent="0.35">
      <c r="A8" t="s">
        <v>59</v>
      </c>
      <c r="B8" t="s">
        <v>37</v>
      </c>
    </row>
    <row r="9" spans="1:15" x14ac:dyDescent="0.35">
      <c r="A9" t="s">
        <v>186</v>
      </c>
      <c r="B9" t="s">
        <v>44</v>
      </c>
    </row>
    <row r="10" spans="1:15" x14ac:dyDescent="0.35">
      <c r="A10" t="s">
        <v>85</v>
      </c>
    </row>
    <row r="11" spans="1:15" x14ac:dyDescent="0.35">
      <c r="A11" t="s">
        <v>34</v>
      </c>
    </row>
    <row r="12" spans="1:15" x14ac:dyDescent="0.35">
      <c r="A12" t="s">
        <v>523</v>
      </c>
    </row>
    <row r="13" spans="1:15" x14ac:dyDescent="0.35">
      <c r="A13" t="s">
        <v>174</v>
      </c>
    </row>
    <row r="14" spans="1:15" x14ac:dyDescent="0.35">
      <c r="A14" t="s">
        <v>149</v>
      </c>
    </row>
    <row r="15" spans="1:15" x14ac:dyDescent="0.35">
      <c r="A15" t="s">
        <v>114</v>
      </c>
    </row>
    <row r="16" spans="1:15" x14ac:dyDescent="0.35">
      <c r="A16" t="s">
        <v>473</v>
      </c>
    </row>
    <row r="17" spans="1:1" x14ac:dyDescent="0.35">
      <c r="A17" t="s">
        <v>696</v>
      </c>
    </row>
    <row r="18" spans="1:1" x14ac:dyDescent="0.35">
      <c r="A18" t="s">
        <v>47</v>
      </c>
    </row>
    <row r="19" spans="1:1" x14ac:dyDescent="0.35">
      <c r="A19" t="s">
        <v>31</v>
      </c>
    </row>
    <row r="20" spans="1:1" x14ac:dyDescent="0.35">
      <c r="A20" t="s">
        <v>30</v>
      </c>
    </row>
    <row r="21" spans="1:1" x14ac:dyDescent="0.35">
      <c r="A21" t="s">
        <v>115</v>
      </c>
    </row>
    <row r="22" spans="1:1" x14ac:dyDescent="0.35">
      <c r="A22" t="s">
        <v>28</v>
      </c>
    </row>
    <row r="23" spans="1:1" x14ac:dyDescent="0.35">
      <c r="A23" t="s">
        <v>320</v>
      </c>
    </row>
    <row r="24" spans="1:1" x14ac:dyDescent="0.35">
      <c r="A24" t="s">
        <v>99</v>
      </c>
    </row>
    <row r="25" spans="1:1" x14ac:dyDescent="0.35">
      <c r="A25" t="s">
        <v>33</v>
      </c>
    </row>
    <row r="26" spans="1:1" x14ac:dyDescent="0.35">
      <c r="A26" t="s">
        <v>35</v>
      </c>
    </row>
    <row r="27" spans="1:1" x14ac:dyDescent="0.35">
      <c r="A27" t="s">
        <v>554</v>
      </c>
    </row>
    <row r="28" spans="1:1" x14ac:dyDescent="0.35">
      <c r="A28" t="s">
        <v>496</v>
      </c>
    </row>
    <row r="29" spans="1:1" x14ac:dyDescent="0.35">
      <c r="A29" t="s">
        <v>497</v>
      </c>
    </row>
    <row r="30" spans="1:1" x14ac:dyDescent="0.35">
      <c r="A30" t="s">
        <v>317</v>
      </c>
    </row>
    <row r="31" spans="1:1" x14ac:dyDescent="0.35">
      <c r="A31" t="s">
        <v>32</v>
      </c>
    </row>
    <row r="32" spans="1:1" x14ac:dyDescent="0.35">
      <c r="A32" t="s">
        <v>558</v>
      </c>
    </row>
    <row r="33" spans="1:1" x14ac:dyDescent="0.35">
      <c r="A33" t="s">
        <v>74</v>
      </c>
    </row>
    <row r="34" spans="1:1" x14ac:dyDescent="0.35">
      <c r="A34" t="s">
        <v>168</v>
      </c>
    </row>
  </sheetData>
  <sortState ref="A5:A15">
    <sortCondition ref="A16"/>
  </sortState>
  <conditionalFormatting sqref="H1:I2">
    <cfRule type="cellIs" dxfId="784" priority="3" operator="equal">
      <formula>"Not Applicable"</formula>
    </cfRule>
    <cfRule type="cellIs" dxfId="783" priority="4" operator="equal">
      <formula>"4 - Future Initiative (out of scope)"</formula>
    </cfRule>
    <cfRule type="cellIs" dxfId="782" priority="5" operator="equal">
      <formula>"3 - Desirable (Nice To Have)"</formula>
    </cfRule>
    <cfRule type="cellIs" dxfId="781" priority="6" operator="equal">
      <formula>"2 - Recommended (Best Practice)"</formula>
    </cfRule>
    <cfRule type="cellIs" dxfId="780" priority="7" operator="equal">
      <formula>"1 - Mandatory (Must Have)"</formula>
    </cfRule>
  </conditionalFormatting>
  <conditionalFormatting sqref="F1:F2">
    <cfRule type="cellIs" dxfId="779" priority="1" operator="equal">
      <formula>"Non-functional"</formula>
    </cfRule>
    <cfRule type="cellIs" dxfId="778" priority="2" operator="equal">
      <formula>"Functional"</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2"/>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36" customWidth="1"/>
    <col min="2" max="2" width="12.54296875" style="36" customWidth="1"/>
    <col min="3" max="3" width="13" style="45" customWidth="1"/>
    <col min="4" max="4" width="45.1796875" style="36" customWidth="1"/>
    <col min="5" max="6" width="28.7265625" style="36" customWidth="1"/>
    <col min="7" max="7" width="29.26953125" style="36" customWidth="1"/>
    <col min="8" max="8" width="27.81640625" style="36" customWidth="1"/>
    <col min="9" max="9" width="34.81640625" style="36" customWidth="1"/>
    <col min="10" max="10" width="28.1796875" style="36" customWidth="1"/>
    <col min="11" max="11" width="10.7265625" style="36" bestFit="1" customWidth="1"/>
    <col min="12" max="12" width="23" style="36" customWidth="1"/>
    <col min="13" max="13" width="29" style="36" customWidth="1"/>
    <col min="14" max="14" width="18.7265625" style="36" bestFit="1" customWidth="1"/>
    <col min="15" max="15" width="48.453125" style="36" customWidth="1"/>
    <col min="16" max="16" width="41.81640625" style="36" customWidth="1"/>
    <col min="17" max="16384" width="9.1796875" style="36"/>
  </cols>
  <sheetData>
    <row r="1" spans="1:16" s="57" customFormat="1" ht="18.5" x14ac:dyDescent="0.35">
      <c r="A1" s="56" t="s">
        <v>6</v>
      </c>
      <c r="B1" s="161" t="s">
        <v>61</v>
      </c>
      <c r="C1" s="161"/>
      <c r="D1" s="26"/>
    </row>
    <row r="2" spans="1:16" s="57" customFormat="1" ht="18.5" x14ac:dyDescent="0.35">
      <c r="A2" s="56" t="s">
        <v>7</v>
      </c>
      <c r="B2" s="162">
        <v>1</v>
      </c>
      <c r="C2" s="162"/>
      <c r="D2" s="58"/>
    </row>
    <row r="3" spans="1:16" s="57" customFormat="1" ht="18.5" x14ac:dyDescent="0.35">
      <c r="A3" s="56" t="s">
        <v>43</v>
      </c>
      <c r="B3" s="162" t="s">
        <v>246</v>
      </c>
      <c r="C3" s="162"/>
      <c r="D3" s="58" t="s">
        <v>316</v>
      </c>
    </row>
    <row r="4" spans="1:16" s="57" customFormat="1" ht="18.5" x14ac:dyDescent="0.35">
      <c r="A4" s="56" t="s">
        <v>8</v>
      </c>
      <c r="B4" s="162" t="s">
        <v>46</v>
      </c>
      <c r="C4" s="162"/>
    </row>
    <row r="5" spans="1:16" s="60" customFormat="1" x14ac:dyDescent="0.35">
      <c r="C5" s="61"/>
    </row>
    <row r="6" spans="1:16" s="62" customFormat="1" ht="15" thickBot="1" x14ac:dyDescent="0.4">
      <c r="A6" s="62" t="s">
        <v>10</v>
      </c>
      <c r="B6" s="62" t="s">
        <v>11</v>
      </c>
      <c r="C6" s="63" t="s">
        <v>25</v>
      </c>
      <c r="D6" s="62" t="s">
        <v>24</v>
      </c>
      <c r="E6" s="62" t="s">
        <v>12</v>
      </c>
      <c r="F6" s="62" t="s">
        <v>13</v>
      </c>
      <c r="G6" s="62" t="s">
        <v>14</v>
      </c>
      <c r="H6" s="62" t="s">
        <v>15</v>
      </c>
      <c r="I6" s="62" t="s">
        <v>16</v>
      </c>
      <c r="J6" s="62" t="s">
        <v>17</v>
      </c>
      <c r="K6" s="62" t="s">
        <v>18</v>
      </c>
      <c r="L6" s="62" t="s">
        <v>19</v>
      </c>
      <c r="M6" s="62" t="s">
        <v>20</v>
      </c>
      <c r="N6" s="62" t="s">
        <v>21</v>
      </c>
      <c r="O6" s="62" t="s">
        <v>22</v>
      </c>
      <c r="P6" s="62" t="s">
        <v>23</v>
      </c>
    </row>
    <row r="7" spans="1:16" x14ac:dyDescent="0.35">
      <c r="A7" s="36">
        <v>1</v>
      </c>
      <c r="B7" s="36" t="str">
        <f>CONCATENATE($B$2, ".", A7)</f>
        <v>1.1</v>
      </c>
      <c r="C7" s="45" t="s">
        <v>39</v>
      </c>
      <c r="D7" s="36" t="s">
        <v>319</v>
      </c>
      <c r="E7" s="36" t="s">
        <v>28</v>
      </c>
      <c r="F7" s="36" t="s">
        <v>36</v>
      </c>
      <c r="G7" s="36" t="s">
        <v>36</v>
      </c>
      <c r="H7" s="36" t="s">
        <v>36</v>
      </c>
      <c r="I7" s="36" t="s">
        <v>9</v>
      </c>
      <c r="J7" s="37" t="s">
        <v>36</v>
      </c>
      <c r="K7" s="37" t="s">
        <v>36</v>
      </c>
      <c r="L7" s="37" t="s">
        <v>36</v>
      </c>
      <c r="M7" s="37" t="s">
        <v>36</v>
      </c>
      <c r="N7" s="37" t="s">
        <v>36</v>
      </c>
      <c r="O7" s="37" t="s">
        <v>36</v>
      </c>
    </row>
    <row r="8" spans="1:16" x14ac:dyDescent="0.35">
      <c r="A8" s="36">
        <v>2</v>
      </c>
      <c r="B8" s="36" t="str">
        <f t="shared" ref="B8:B13" si="0">CONCATENATE($B$2, ".", A8)</f>
        <v>1.2</v>
      </c>
      <c r="C8" s="45" t="s">
        <v>39</v>
      </c>
      <c r="D8" s="36" t="s">
        <v>36</v>
      </c>
      <c r="E8" s="36" t="s">
        <v>48</v>
      </c>
      <c r="F8" s="36" t="s">
        <v>36</v>
      </c>
      <c r="G8" s="36" t="s">
        <v>36</v>
      </c>
      <c r="H8" s="36" t="s">
        <v>36</v>
      </c>
      <c r="I8" s="36" t="s">
        <v>9</v>
      </c>
      <c r="J8" s="37" t="s">
        <v>36</v>
      </c>
      <c r="K8" s="37" t="s">
        <v>36</v>
      </c>
      <c r="L8" s="37" t="s">
        <v>36</v>
      </c>
      <c r="M8" s="37" t="s">
        <v>36</v>
      </c>
      <c r="N8" s="37" t="s">
        <v>36</v>
      </c>
      <c r="O8" s="37" t="s">
        <v>36</v>
      </c>
    </row>
    <row r="9" spans="1:16" ht="84.75" customHeight="1" x14ac:dyDescent="0.35">
      <c r="A9" s="36">
        <v>3</v>
      </c>
      <c r="B9" s="36" t="str">
        <f t="shared" si="0"/>
        <v>1.3</v>
      </c>
      <c r="C9" s="45" t="s">
        <v>37</v>
      </c>
      <c r="D9" s="36" t="s">
        <v>402</v>
      </c>
      <c r="E9" s="36" t="s">
        <v>320</v>
      </c>
      <c r="F9" s="36" t="s">
        <v>36</v>
      </c>
      <c r="G9" s="36" t="s">
        <v>36</v>
      </c>
      <c r="H9" s="36" t="s">
        <v>36</v>
      </c>
      <c r="I9" s="36" t="s">
        <v>9</v>
      </c>
      <c r="J9" s="37" t="s">
        <v>36</v>
      </c>
      <c r="K9" s="37" t="s">
        <v>36</v>
      </c>
      <c r="L9" s="37" t="s">
        <v>36</v>
      </c>
      <c r="M9" s="37" t="s">
        <v>36</v>
      </c>
      <c r="N9" s="37" t="s">
        <v>36</v>
      </c>
      <c r="O9" s="37" t="s">
        <v>36</v>
      </c>
    </row>
    <row r="10" spans="1:16" ht="46" customHeight="1" x14ac:dyDescent="0.35">
      <c r="A10" s="36">
        <v>4</v>
      </c>
      <c r="B10" s="36" t="str">
        <f t="shared" si="0"/>
        <v>1.4</v>
      </c>
      <c r="C10" s="45" t="s">
        <v>39</v>
      </c>
      <c r="D10" s="44" t="s">
        <v>321</v>
      </c>
      <c r="E10" s="36" t="s">
        <v>317</v>
      </c>
      <c r="F10" s="36" t="s">
        <v>36</v>
      </c>
      <c r="G10" s="36" t="s">
        <v>112</v>
      </c>
      <c r="H10" s="36" t="s">
        <v>36</v>
      </c>
      <c r="I10" s="36" t="s">
        <v>9</v>
      </c>
      <c r="J10" s="37" t="s">
        <v>36</v>
      </c>
      <c r="K10" s="37" t="s">
        <v>36</v>
      </c>
      <c r="L10" s="37" t="s">
        <v>36</v>
      </c>
      <c r="M10" s="37" t="s">
        <v>36</v>
      </c>
      <c r="N10" s="37" t="s">
        <v>36</v>
      </c>
      <c r="O10" s="36" t="s">
        <v>318</v>
      </c>
    </row>
    <row r="11" spans="1:16" ht="29" x14ac:dyDescent="0.35">
      <c r="A11" s="36">
        <v>5</v>
      </c>
      <c r="B11" s="36" t="str">
        <f t="shared" si="0"/>
        <v>1.5</v>
      </c>
      <c r="C11" s="45" t="s">
        <v>37</v>
      </c>
      <c r="D11" s="44" t="s">
        <v>322</v>
      </c>
      <c r="E11" s="36" t="s">
        <v>317</v>
      </c>
      <c r="F11" s="36" t="s">
        <v>36</v>
      </c>
      <c r="G11" s="36" t="s">
        <v>403</v>
      </c>
      <c r="H11" s="36" t="s">
        <v>36</v>
      </c>
      <c r="I11" s="36" t="s">
        <v>9</v>
      </c>
      <c r="J11" s="37" t="s">
        <v>36</v>
      </c>
      <c r="K11" s="37" t="s">
        <v>36</v>
      </c>
      <c r="L11" s="37" t="s">
        <v>36</v>
      </c>
      <c r="M11" s="37" t="s">
        <v>36</v>
      </c>
      <c r="N11" s="37" t="s">
        <v>36</v>
      </c>
      <c r="O11" s="36" t="s">
        <v>318</v>
      </c>
    </row>
    <row r="12" spans="1:16" ht="29" x14ac:dyDescent="0.35">
      <c r="A12" s="36">
        <v>6</v>
      </c>
      <c r="B12" s="36" t="str">
        <f t="shared" si="0"/>
        <v>1.6</v>
      </c>
      <c r="C12" s="45" t="s">
        <v>39</v>
      </c>
      <c r="D12" s="44" t="s">
        <v>323</v>
      </c>
      <c r="E12" s="36" t="s">
        <v>317</v>
      </c>
      <c r="F12" s="36" t="s">
        <v>36</v>
      </c>
      <c r="G12" s="36" t="s">
        <v>111</v>
      </c>
      <c r="H12" s="36" t="s">
        <v>36</v>
      </c>
      <c r="I12" s="36" t="s">
        <v>9</v>
      </c>
      <c r="J12" s="37" t="s">
        <v>36</v>
      </c>
      <c r="K12" s="37" t="s">
        <v>36</v>
      </c>
      <c r="L12" s="37" t="s">
        <v>36</v>
      </c>
      <c r="M12" s="37" t="s">
        <v>36</v>
      </c>
      <c r="N12" s="37" t="s">
        <v>36</v>
      </c>
      <c r="O12" s="36" t="s">
        <v>318</v>
      </c>
    </row>
    <row r="13" spans="1:16" ht="65" customHeight="1" x14ac:dyDescent="0.35">
      <c r="A13" s="36">
        <v>7</v>
      </c>
      <c r="B13" s="36" t="str">
        <f t="shared" si="0"/>
        <v>1.7</v>
      </c>
      <c r="C13" s="45" t="s">
        <v>39</v>
      </c>
      <c r="D13" s="44" t="s">
        <v>324</v>
      </c>
      <c r="E13" s="36" t="s">
        <v>317</v>
      </c>
      <c r="F13" s="36" t="s">
        <v>36</v>
      </c>
      <c r="G13" s="36" t="s">
        <v>205</v>
      </c>
      <c r="H13" s="38" t="s">
        <v>36</v>
      </c>
      <c r="I13" s="36" t="s">
        <v>9</v>
      </c>
      <c r="J13" s="36" t="s">
        <v>36</v>
      </c>
      <c r="K13" s="36" t="s">
        <v>36</v>
      </c>
      <c r="L13" s="36" t="s">
        <v>36</v>
      </c>
      <c r="M13" s="36" t="s">
        <v>36</v>
      </c>
      <c r="N13" s="36" t="s">
        <v>36</v>
      </c>
      <c r="O13" s="36" t="s">
        <v>318</v>
      </c>
    </row>
    <row r="14" spans="1:16" ht="135.5" customHeight="1" x14ac:dyDescent="0.35">
      <c r="A14" s="36">
        <v>8</v>
      </c>
      <c r="B14" s="36" t="str">
        <f t="shared" ref="B14:B20" si="1">CONCATENATE($B$2, ".", A14)</f>
        <v>1.8</v>
      </c>
      <c r="C14" s="45" t="s">
        <v>39</v>
      </c>
      <c r="D14" s="44" t="s">
        <v>325</v>
      </c>
      <c r="E14" s="36" t="s">
        <v>317</v>
      </c>
      <c r="F14" s="36" t="s">
        <v>36</v>
      </c>
      <c r="G14" s="48" t="s">
        <v>242</v>
      </c>
      <c r="H14" s="38" t="s">
        <v>36</v>
      </c>
      <c r="I14" s="36" t="s">
        <v>9</v>
      </c>
      <c r="J14" s="36" t="s">
        <v>36</v>
      </c>
      <c r="K14" s="36" t="s">
        <v>36</v>
      </c>
      <c r="L14" s="36" t="s">
        <v>36</v>
      </c>
      <c r="M14" s="36" t="s">
        <v>36</v>
      </c>
      <c r="N14" s="36" t="s">
        <v>36</v>
      </c>
      <c r="O14" s="36" t="s">
        <v>318</v>
      </c>
    </row>
    <row r="15" spans="1:16" ht="32" customHeight="1" x14ac:dyDescent="0.35">
      <c r="A15" s="36">
        <v>9</v>
      </c>
      <c r="B15" s="36" t="str">
        <f t="shared" si="1"/>
        <v>1.9</v>
      </c>
      <c r="C15" s="45" t="s">
        <v>39</v>
      </c>
      <c r="D15" s="36" t="s">
        <v>303</v>
      </c>
      <c r="E15" s="36" t="s">
        <v>320</v>
      </c>
      <c r="F15" s="36" t="s">
        <v>36</v>
      </c>
      <c r="G15" s="36" t="s">
        <v>36</v>
      </c>
      <c r="H15" s="36" t="s">
        <v>36</v>
      </c>
      <c r="I15" s="36" t="s">
        <v>9</v>
      </c>
      <c r="J15" s="37" t="s">
        <v>36</v>
      </c>
      <c r="K15" s="37" t="s">
        <v>36</v>
      </c>
      <c r="L15" s="37" t="s">
        <v>36</v>
      </c>
      <c r="M15" s="37" t="s">
        <v>36</v>
      </c>
      <c r="N15" s="37" t="s">
        <v>36</v>
      </c>
      <c r="O15" s="37" t="s">
        <v>36</v>
      </c>
    </row>
    <row r="16" spans="1:16" ht="66.5" customHeight="1" x14ac:dyDescent="0.35">
      <c r="A16" s="36">
        <v>10</v>
      </c>
      <c r="B16" s="36" t="str">
        <f t="shared" si="1"/>
        <v>1.10</v>
      </c>
      <c r="C16" s="45" t="s">
        <v>37</v>
      </c>
      <c r="D16" s="44" t="s">
        <v>326</v>
      </c>
      <c r="E16" s="36" t="s">
        <v>317</v>
      </c>
      <c r="F16" s="36" t="s">
        <v>36</v>
      </c>
      <c r="G16" s="36" t="s">
        <v>404</v>
      </c>
      <c r="H16" s="36" t="s">
        <v>36</v>
      </c>
      <c r="I16" s="36" t="s">
        <v>9</v>
      </c>
      <c r="J16" s="37" t="s">
        <v>36</v>
      </c>
      <c r="K16" s="37" t="s">
        <v>36</v>
      </c>
      <c r="L16" s="37" t="s">
        <v>36</v>
      </c>
      <c r="M16" s="37" t="s">
        <v>36</v>
      </c>
      <c r="N16" s="37" t="s">
        <v>36</v>
      </c>
      <c r="O16" s="36" t="s">
        <v>318</v>
      </c>
    </row>
    <row r="17" spans="1:15" ht="73" customHeight="1" x14ac:dyDescent="0.35">
      <c r="A17" s="36">
        <v>11</v>
      </c>
      <c r="B17" s="36" t="str">
        <f t="shared" si="1"/>
        <v>1.11</v>
      </c>
      <c r="C17" s="45" t="s">
        <v>37</v>
      </c>
      <c r="D17" s="44" t="s">
        <v>405</v>
      </c>
      <c r="E17" s="36" t="s">
        <v>317</v>
      </c>
      <c r="F17" s="36" t="s">
        <v>36</v>
      </c>
      <c r="G17" s="36" t="s">
        <v>406</v>
      </c>
      <c r="H17" s="36" t="s">
        <v>36</v>
      </c>
      <c r="I17" s="36" t="s">
        <v>9</v>
      </c>
      <c r="J17" s="37" t="s">
        <v>36</v>
      </c>
      <c r="K17" s="37" t="s">
        <v>36</v>
      </c>
      <c r="L17" s="37" t="s">
        <v>36</v>
      </c>
      <c r="M17" s="37" t="s">
        <v>36</v>
      </c>
      <c r="N17" s="37" t="s">
        <v>36</v>
      </c>
      <c r="O17" s="36" t="s">
        <v>318</v>
      </c>
    </row>
    <row r="18" spans="1:15" ht="58.5" customHeight="1" x14ac:dyDescent="0.35">
      <c r="A18" s="36">
        <v>12</v>
      </c>
      <c r="B18" s="36" t="str">
        <f t="shared" si="1"/>
        <v>1.12</v>
      </c>
      <c r="C18" s="45" t="s">
        <v>39</v>
      </c>
      <c r="D18" s="44" t="s">
        <v>327</v>
      </c>
      <c r="E18" s="36" t="s">
        <v>317</v>
      </c>
      <c r="F18" s="36" t="s">
        <v>36</v>
      </c>
      <c r="G18" s="36" t="s">
        <v>408</v>
      </c>
      <c r="H18" s="36" t="s">
        <v>36</v>
      </c>
      <c r="I18" s="36" t="s">
        <v>9</v>
      </c>
      <c r="J18" s="37" t="s">
        <v>36</v>
      </c>
      <c r="K18" s="37" t="s">
        <v>36</v>
      </c>
      <c r="L18" s="37" t="s">
        <v>36</v>
      </c>
      <c r="M18" s="37" t="s">
        <v>36</v>
      </c>
      <c r="N18" s="37" t="s">
        <v>36</v>
      </c>
      <c r="O18" s="36" t="s">
        <v>318</v>
      </c>
    </row>
    <row r="19" spans="1:15" ht="60" customHeight="1" x14ac:dyDescent="0.35">
      <c r="A19" s="36">
        <v>13</v>
      </c>
      <c r="B19" s="36" t="str">
        <f t="shared" si="1"/>
        <v>1.13</v>
      </c>
      <c r="C19" s="45" t="s">
        <v>37</v>
      </c>
      <c r="D19" s="44" t="s">
        <v>328</v>
      </c>
      <c r="E19" s="36" t="s">
        <v>317</v>
      </c>
      <c r="F19" s="36" t="s">
        <v>36</v>
      </c>
      <c r="G19" s="36" t="s">
        <v>407</v>
      </c>
      <c r="H19" s="36" t="s">
        <v>36</v>
      </c>
      <c r="I19" s="36" t="s">
        <v>9</v>
      </c>
      <c r="J19" s="37" t="s">
        <v>36</v>
      </c>
      <c r="K19" s="37" t="s">
        <v>36</v>
      </c>
      <c r="L19" s="37" t="s">
        <v>36</v>
      </c>
      <c r="M19" s="37" t="s">
        <v>36</v>
      </c>
      <c r="N19" s="37" t="s">
        <v>36</v>
      </c>
      <c r="O19" s="36" t="s">
        <v>318</v>
      </c>
    </row>
    <row r="20" spans="1:15" ht="147.5" customHeight="1" x14ac:dyDescent="0.35">
      <c r="A20" s="36">
        <v>14</v>
      </c>
      <c r="B20" s="36" t="str">
        <f t="shared" si="1"/>
        <v>1.14</v>
      </c>
      <c r="C20" s="45" t="s">
        <v>39</v>
      </c>
      <c r="D20" s="44" t="s">
        <v>329</v>
      </c>
      <c r="E20" s="36" t="s">
        <v>317</v>
      </c>
      <c r="F20" s="36" t="s">
        <v>36</v>
      </c>
      <c r="G20" s="36" t="s">
        <v>304</v>
      </c>
      <c r="H20" s="36" t="s">
        <v>36</v>
      </c>
      <c r="I20" s="36" t="s">
        <v>9</v>
      </c>
      <c r="J20" s="37" t="s">
        <v>36</v>
      </c>
      <c r="K20" s="37" t="s">
        <v>36</v>
      </c>
      <c r="L20" s="37" t="s">
        <v>36</v>
      </c>
      <c r="M20" s="37" t="s">
        <v>36</v>
      </c>
      <c r="N20" s="37" t="s">
        <v>36</v>
      </c>
      <c r="O20" s="36" t="s">
        <v>318</v>
      </c>
    </row>
    <row r="21" spans="1:15" ht="43.5" x14ac:dyDescent="0.35">
      <c r="A21" s="36">
        <v>15</v>
      </c>
      <c r="B21" s="36" t="str">
        <f t="shared" ref="B21:B22" si="2">CONCATENATE($B$2, ".", A21)</f>
        <v>1.15</v>
      </c>
      <c r="C21" s="45" t="s">
        <v>37</v>
      </c>
      <c r="D21" s="36" t="s">
        <v>605</v>
      </c>
      <c r="E21" s="36" t="s">
        <v>31</v>
      </c>
      <c r="F21" s="36" t="s">
        <v>606</v>
      </c>
      <c r="G21" s="36" t="s">
        <v>36</v>
      </c>
      <c r="H21" s="36" t="s">
        <v>36</v>
      </c>
      <c r="I21" s="36" t="s">
        <v>9</v>
      </c>
      <c r="J21" s="36" t="s">
        <v>466</v>
      </c>
      <c r="K21" s="36" t="s">
        <v>53</v>
      </c>
      <c r="L21" s="36" t="s">
        <v>632</v>
      </c>
      <c r="M21" s="36" t="s">
        <v>36</v>
      </c>
      <c r="N21" s="36" t="s">
        <v>36</v>
      </c>
      <c r="O21" s="36" t="s">
        <v>607</v>
      </c>
    </row>
    <row r="22" spans="1:15" ht="87" x14ac:dyDescent="0.35">
      <c r="A22" s="36">
        <v>16</v>
      </c>
      <c r="B22" s="36" t="str">
        <f t="shared" si="2"/>
        <v>1.16</v>
      </c>
      <c r="C22" s="45" t="s">
        <v>37</v>
      </c>
      <c r="D22" s="36" t="s">
        <v>57</v>
      </c>
      <c r="E22" s="36" t="s">
        <v>42</v>
      </c>
      <c r="F22" s="36" t="s">
        <v>36</v>
      </c>
      <c r="G22" s="36" t="s">
        <v>36</v>
      </c>
      <c r="H22" s="36" t="s">
        <v>36</v>
      </c>
      <c r="I22" s="36" t="s">
        <v>9</v>
      </c>
      <c r="J22" s="36" t="s">
        <v>36</v>
      </c>
      <c r="K22" s="36" t="s">
        <v>36</v>
      </c>
      <c r="L22" s="36" t="s">
        <v>36</v>
      </c>
      <c r="M22" s="36" t="s">
        <v>36</v>
      </c>
      <c r="N22" s="36" t="s">
        <v>36</v>
      </c>
      <c r="O22" s="36" t="s">
        <v>669</v>
      </c>
    </row>
  </sheetData>
  <mergeCells count="4">
    <mergeCell ref="B1:C1"/>
    <mergeCell ref="B2:C2"/>
    <mergeCell ref="B3:C3"/>
    <mergeCell ref="B4:C4"/>
  </mergeCells>
  <conditionalFormatting sqref="C7:C14 C21:C1048576">
    <cfRule type="cellIs" dxfId="777" priority="66" operator="equal">
      <formula>"WIP (see comments)"</formula>
    </cfRule>
    <cfRule type="cellIs" dxfId="776" priority="67" operator="equal">
      <formula>"Removed"</formula>
    </cfRule>
    <cfRule type="cellIs" dxfId="775" priority="68" operator="equal">
      <formula>"Updated"</formula>
    </cfRule>
    <cfRule type="cellIs" dxfId="774" priority="69" operator="equal">
      <formula>"New"</formula>
    </cfRule>
  </conditionalFormatting>
  <conditionalFormatting sqref="A23:XFD1048576 E1:XFD1 A1:B4 D2:XFD4 C8:C14 A5:XFD10 A11:N12 O11:XFD14 A13:B22 C21:XFD22">
    <cfRule type="cellIs" dxfId="773" priority="53" operator="equal">
      <formula>"n/a"</formula>
    </cfRule>
  </conditionalFormatting>
  <conditionalFormatting sqref="D13:N14">
    <cfRule type="cellIs" dxfId="772" priority="47" operator="equal">
      <formula>"n/a"</formula>
    </cfRule>
  </conditionalFormatting>
  <conditionalFormatting sqref="D1">
    <cfRule type="cellIs" dxfId="771" priority="28" operator="equal">
      <formula>"n/a"</formula>
    </cfRule>
  </conditionalFormatting>
  <conditionalFormatting sqref="C15:C20">
    <cfRule type="cellIs" dxfId="770" priority="24" operator="equal">
      <formula>"WIP (see comments)"</formula>
    </cfRule>
    <cfRule type="cellIs" dxfId="769" priority="25" operator="equal">
      <formula>"Removed"</formula>
    </cfRule>
    <cfRule type="cellIs" dxfId="768" priority="26" operator="equal">
      <formula>"Updated"</formula>
    </cfRule>
    <cfRule type="cellIs" dxfId="767" priority="27" operator="equal">
      <formula>"New"</formula>
    </cfRule>
  </conditionalFormatting>
  <conditionalFormatting sqref="C15:C20">
    <cfRule type="cellIs" dxfId="766" priority="20" operator="equal">
      <formula>"WIP (see comments)"</formula>
    </cfRule>
    <cfRule type="cellIs" dxfId="765" priority="21" operator="equal">
      <formula>"Removed"</formula>
    </cfRule>
    <cfRule type="cellIs" dxfId="764" priority="22" operator="equal">
      <formula>"Updated"</formula>
    </cfRule>
    <cfRule type="cellIs" dxfId="763" priority="23" operator="equal">
      <formula>"New"</formula>
    </cfRule>
  </conditionalFormatting>
  <conditionalFormatting sqref="C15:XFD15 Q16:XFD20 C18:F18 H18:N18 C19:N20 C16:N17">
    <cfRule type="cellIs" dxfId="762" priority="19" operator="equal">
      <formula>"n/a"</formula>
    </cfRule>
  </conditionalFormatting>
  <conditionalFormatting sqref="P16">
    <cfRule type="cellIs" dxfId="761" priority="7" operator="equal">
      <formula>"n/a"</formula>
    </cfRule>
  </conditionalFormatting>
  <conditionalFormatting sqref="P17">
    <cfRule type="cellIs" dxfId="760" priority="6" operator="equal">
      <formula>"n/a"</formula>
    </cfRule>
  </conditionalFormatting>
  <conditionalFormatting sqref="P18">
    <cfRule type="cellIs" dxfId="759" priority="5" operator="equal">
      <formula>"n/a"</formula>
    </cfRule>
  </conditionalFormatting>
  <conditionalFormatting sqref="P19">
    <cfRule type="cellIs" dxfId="758" priority="4" operator="equal">
      <formula>"n/a"</formula>
    </cfRule>
  </conditionalFormatting>
  <conditionalFormatting sqref="P20">
    <cfRule type="cellIs" dxfId="757" priority="3" operator="equal">
      <formula>"n/a"</formula>
    </cfRule>
  </conditionalFormatting>
  <conditionalFormatting sqref="G18">
    <cfRule type="cellIs" dxfId="756" priority="2" operator="equal">
      <formula>"n/a"</formula>
    </cfRule>
  </conditionalFormatting>
  <conditionalFormatting sqref="O16:O20">
    <cfRule type="cellIs" dxfId="755"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19"/>
  <sheetViews>
    <sheetView workbookViewId="0">
      <pane xSplit="4" ySplit="6" topLeftCell="E13" activePane="bottomRight" state="frozen"/>
      <selection activeCell="O8" sqref="O8"/>
      <selection pane="topRight" activeCell="O8" sqref="O8"/>
      <selection pane="bottomLeft" activeCell="O8" sqref="O8"/>
      <selection pane="bottomRight"/>
    </sheetView>
  </sheetViews>
  <sheetFormatPr defaultRowHeight="14.5" x14ac:dyDescent="0.35"/>
  <cols>
    <col min="1" max="1" width="14.7265625" customWidth="1"/>
    <col min="2" max="2" width="12.54296875" customWidth="1"/>
    <col min="3" max="3" width="13" customWidth="1"/>
    <col min="4" max="4" width="45.1796875" customWidth="1"/>
    <col min="5" max="5" width="28.7265625" customWidth="1"/>
    <col min="6" max="6" width="17" customWidth="1"/>
    <col min="7" max="7" width="29.26953125" customWidth="1"/>
    <col min="8" max="8" width="27.81640625" customWidth="1"/>
    <col min="9" max="9" width="34.81640625" customWidth="1"/>
    <col min="10" max="10" width="28.1796875" customWidth="1"/>
    <col min="11" max="11" width="10.7265625" bestFit="1" customWidth="1"/>
    <col min="12" max="12" width="23" customWidth="1"/>
    <col min="13" max="13" width="29" customWidth="1"/>
    <col min="14" max="14" width="18.7265625" bestFit="1" customWidth="1"/>
    <col min="15" max="15" width="48.453125" customWidth="1"/>
    <col min="16" max="16" width="41.81640625" customWidth="1"/>
  </cols>
  <sheetData>
    <row r="1" spans="1:16" ht="18.5" x14ac:dyDescent="0.35">
      <c r="A1" s="56" t="s">
        <v>6</v>
      </c>
      <c r="B1" s="161" t="s">
        <v>234</v>
      </c>
      <c r="C1" s="161"/>
      <c r="D1" s="26"/>
      <c r="E1" s="57"/>
      <c r="F1" s="57"/>
      <c r="G1" s="57"/>
      <c r="H1" s="57"/>
      <c r="I1" s="57"/>
      <c r="J1" s="57"/>
      <c r="K1" s="57"/>
      <c r="L1" s="57"/>
      <c r="M1" s="57"/>
      <c r="N1" s="57"/>
      <c r="O1" s="57"/>
      <c r="P1" s="57"/>
    </row>
    <row r="2" spans="1:16" ht="18.5" x14ac:dyDescent="0.35">
      <c r="A2" s="56" t="s">
        <v>7</v>
      </c>
      <c r="B2" s="162" t="s">
        <v>235</v>
      </c>
      <c r="C2" s="162"/>
      <c r="D2" s="79"/>
      <c r="E2" s="57"/>
      <c r="F2" s="57"/>
      <c r="G2" s="57"/>
      <c r="H2" s="57"/>
      <c r="I2" s="57"/>
      <c r="J2" s="57"/>
      <c r="K2" s="57"/>
      <c r="L2" s="57"/>
      <c r="M2" s="57"/>
      <c r="N2" s="57"/>
      <c r="O2" s="57"/>
      <c r="P2" s="57"/>
    </row>
    <row r="3" spans="1:16" ht="18.5" x14ac:dyDescent="0.35">
      <c r="A3" s="56" t="s">
        <v>43</v>
      </c>
      <c r="B3" s="162" t="s">
        <v>236</v>
      </c>
      <c r="C3" s="162"/>
      <c r="D3" s="79" t="s">
        <v>333</v>
      </c>
      <c r="E3" s="57"/>
      <c r="F3" s="57"/>
      <c r="G3" s="57"/>
      <c r="H3" s="57"/>
      <c r="I3" s="57"/>
      <c r="J3" s="57"/>
      <c r="K3" s="57"/>
      <c r="L3" s="57"/>
      <c r="M3" s="57"/>
      <c r="N3" s="57"/>
      <c r="O3" s="57"/>
      <c r="P3" s="57"/>
    </row>
    <row r="4" spans="1:16" ht="18.5" x14ac:dyDescent="0.35">
      <c r="A4" s="56" t="s">
        <v>8</v>
      </c>
      <c r="B4" s="57" t="s">
        <v>313</v>
      </c>
      <c r="C4" s="57"/>
      <c r="D4" s="57"/>
      <c r="E4" s="57"/>
      <c r="F4" s="57"/>
      <c r="G4" s="57"/>
      <c r="H4" s="57"/>
      <c r="I4" s="57"/>
      <c r="J4" s="57"/>
      <c r="K4" s="57"/>
      <c r="L4" s="57"/>
      <c r="M4" s="57"/>
      <c r="N4" s="57"/>
      <c r="O4" s="57"/>
      <c r="P4" s="57"/>
    </row>
    <row r="5" spans="1:16" x14ac:dyDescent="0.35">
      <c r="A5" s="60"/>
      <c r="B5" s="60"/>
      <c r="C5" s="61"/>
      <c r="D5" s="60"/>
      <c r="E5" s="60"/>
      <c r="F5" s="60"/>
      <c r="G5" s="60"/>
      <c r="H5" s="60"/>
      <c r="I5" s="60"/>
      <c r="J5" s="60"/>
      <c r="K5" s="60"/>
      <c r="L5" s="60"/>
      <c r="M5" s="60"/>
      <c r="N5" s="60"/>
      <c r="O5" s="60"/>
      <c r="P5" s="60"/>
    </row>
    <row r="6" spans="1:16" ht="22.5" customHeight="1" thickBot="1" x14ac:dyDescent="0.4">
      <c r="A6" s="62" t="s">
        <v>10</v>
      </c>
      <c r="B6" s="62" t="s">
        <v>11</v>
      </c>
      <c r="C6" s="63" t="s">
        <v>25</v>
      </c>
      <c r="D6" s="62" t="s">
        <v>24</v>
      </c>
      <c r="E6" s="62" t="s">
        <v>12</v>
      </c>
      <c r="F6" s="62" t="s">
        <v>13</v>
      </c>
      <c r="G6" s="62" t="s">
        <v>14</v>
      </c>
      <c r="H6" s="62" t="s">
        <v>15</v>
      </c>
      <c r="I6" s="62" t="s">
        <v>16</v>
      </c>
      <c r="J6" s="62" t="s">
        <v>17</v>
      </c>
      <c r="K6" s="62" t="s">
        <v>18</v>
      </c>
      <c r="L6" s="62" t="s">
        <v>19</v>
      </c>
      <c r="M6" s="62" t="s">
        <v>20</v>
      </c>
      <c r="N6" s="62" t="s">
        <v>21</v>
      </c>
      <c r="O6" s="62" t="s">
        <v>22</v>
      </c>
      <c r="P6" s="62" t="s">
        <v>23</v>
      </c>
    </row>
    <row r="7" spans="1:16" ht="58" customHeight="1" x14ac:dyDescent="0.35">
      <c r="A7" s="36">
        <v>1</v>
      </c>
      <c r="B7" s="36" t="str">
        <f>CONCATENATE($B$2, ".", A7)</f>
        <v>1A.1</v>
      </c>
      <c r="C7" s="45" t="s">
        <v>37</v>
      </c>
      <c r="D7" s="36" t="s">
        <v>410</v>
      </c>
      <c r="E7" s="36" t="s">
        <v>115</v>
      </c>
      <c r="F7" s="36" t="s">
        <v>36</v>
      </c>
      <c r="G7" s="36" t="s">
        <v>36</v>
      </c>
      <c r="H7" s="36" t="s">
        <v>36</v>
      </c>
      <c r="I7" s="36" t="s">
        <v>9</v>
      </c>
      <c r="J7" s="37" t="s">
        <v>36</v>
      </c>
      <c r="K7" s="37" t="s">
        <v>36</v>
      </c>
      <c r="L7" s="37" t="s">
        <v>36</v>
      </c>
      <c r="M7" s="37" t="s">
        <v>36</v>
      </c>
      <c r="N7" s="37" t="s">
        <v>36</v>
      </c>
      <c r="O7" s="37" t="s">
        <v>36</v>
      </c>
      <c r="P7" s="36"/>
    </row>
    <row r="8" spans="1:16" ht="29" customHeight="1" x14ac:dyDescent="0.35">
      <c r="A8" s="36">
        <v>2</v>
      </c>
      <c r="B8" s="36" t="str">
        <f t="shared" ref="B8:B9" si="0">CONCATENATE($B$2, ".", A8)</f>
        <v>1A.2</v>
      </c>
      <c r="C8" s="45" t="s">
        <v>37</v>
      </c>
      <c r="D8" s="36" t="s">
        <v>411</v>
      </c>
      <c r="E8" s="36" t="s">
        <v>28</v>
      </c>
      <c r="F8" s="36" t="s">
        <v>36</v>
      </c>
      <c r="G8" s="36" t="s">
        <v>36</v>
      </c>
      <c r="H8" s="36" t="s">
        <v>36</v>
      </c>
      <c r="I8" s="36" t="s">
        <v>9</v>
      </c>
      <c r="J8" s="37" t="s">
        <v>36</v>
      </c>
      <c r="K8" s="37" t="s">
        <v>36</v>
      </c>
      <c r="L8" s="37" t="s">
        <v>36</v>
      </c>
      <c r="M8" s="37" t="s">
        <v>633</v>
      </c>
      <c r="N8" s="37" t="s">
        <v>36</v>
      </c>
      <c r="O8" s="37" t="s">
        <v>36</v>
      </c>
      <c r="P8" s="36"/>
    </row>
    <row r="9" spans="1:16" ht="83" customHeight="1" x14ac:dyDescent="0.35">
      <c r="A9" s="36">
        <v>3</v>
      </c>
      <c r="B9" s="36" t="str">
        <f t="shared" si="0"/>
        <v>1A.3</v>
      </c>
      <c r="C9" s="45" t="s">
        <v>37</v>
      </c>
      <c r="D9" s="36" t="s">
        <v>305</v>
      </c>
      <c r="E9" s="36" t="s">
        <v>32</v>
      </c>
      <c r="F9" s="36" t="s">
        <v>682</v>
      </c>
      <c r="G9" s="36" t="s">
        <v>36</v>
      </c>
      <c r="H9" s="36" t="s">
        <v>376</v>
      </c>
      <c r="I9" s="36" t="s">
        <v>9</v>
      </c>
      <c r="J9" s="37" t="s">
        <v>36</v>
      </c>
      <c r="K9" s="37" t="s">
        <v>53</v>
      </c>
      <c r="L9" s="37" t="s">
        <v>637</v>
      </c>
      <c r="M9" s="37" t="s">
        <v>36</v>
      </c>
      <c r="N9" s="37" t="s">
        <v>36</v>
      </c>
      <c r="O9" s="37" t="s">
        <v>356</v>
      </c>
      <c r="P9" s="36" t="s">
        <v>683</v>
      </c>
    </row>
    <row r="10" spans="1:16" ht="43.5" x14ac:dyDescent="0.35">
      <c r="A10" s="36">
        <v>4</v>
      </c>
      <c r="B10" s="36" t="str">
        <f t="shared" ref="B10:B13" si="1">CONCATENATE($B$2, ".", A10)</f>
        <v>1A.4</v>
      </c>
      <c r="C10" s="45" t="s">
        <v>39</v>
      </c>
      <c r="D10" s="36" t="s">
        <v>306</v>
      </c>
      <c r="E10" s="36" t="s">
        <v>32</v>
      </c>
      <c r="F10" s="36" t="s">
        <v>51</v>
      </c>
      <c r="G10" s="36" t="s">
        <v>36</v>
      </c>
      <c r="H10" s="36" t="s">
        <v>52</v>
      </c>
      <c r="I10" s="36" t="s">
        <v>9</v>
      </c>
      <c r="J10" s="37" t="s">
        <v>36</v>
      </c>
      <c r="K10" s="36" t="s">
        <v>53</v>
      </c>
      <c r="L10" s="37" t="s">
        <v>634</v>
      </c>
      <c r="M10" s="37" t="s">
        <v>100</v>
      </c>
      <c r="N10" s="37" t="s">
        <v>36</v>
      </c>
      <c r="O10" s="37" t="s">
        <v>382</v>
      </c>
    </row>
    <row r="11" spans="1:16" ht="43.5" x14ac:dyDescent="0.35">
      <c r="A11" s="36">
        <v>5</v>
      </c>
      <c r="B11" s="36" t="str">
        <f t="shared" si="1"/>
        <v>1A.5</v>
      </c>
      <c r="C11" s="45" t="s">
        <v>39</v>
      </c>
      <c r="D11" s="36" t="s">
        <v>377</v>
      </c>
      <c r="E11" s="36" t="s">
        <v>29</v>
      </c>
      <c r="F11" s="36" t="s">
        <v>378</v>
      </c>
      <c r="G11" s="36" t="s">
        <v>36</v>
      </c>
      <c r="H11" s="36" t="s">
        <v>36</v>
      </c>
      <c r="I11" s="36" t="s">
        <v>9</v>
      </c>
      <c r="J11" s="37" t="s">
        <v>379</v>
      </c>
      <c r="K11" s="36" t="s">
        <v>36</v>
      </c>
      <c r="L11" s="36" t="s">
        <v>36</v>
      </c>
      <c r="M11" s="36" t="s">
        <v>380</v>
      </c>
      <c r="N11" s="36" t="s">
        <v>636</v>
      </c>
      <c r="O11" s="36" t="s">
        <v>381</v>
      </c>
    </row>
    <row r="12" spans="1:16" ht="72.5" x14ac:dyDescent="0.35">
      <c r="A12" s="36">
        <v>6</v>
      </c>
      <c r="B12" s="36" t="str">
        <f t="shared" si="1"/>
        <v>1A.6</v>
      </c>
      <c r="C12" s="45" t="s">
        <v>39</v>
      </c>
      <c r="D12" s="36" t="s">
        <v>307</v>
      </c>
      <c r="E12" s="36" t="s">
        <v>32</v>
      </c>
      <c r="F12" s="36" t="s">
        <v>50</v>
      </c>
      <c r="G12" s="36" t="s">
        <v>36</v>
      </c>
      <c r="H12" s="36" t="s">
        <v>54</v>
      </c>
      <c r="I12" s="36" t="s">
        <v>9</v>
      </c>
      <c r="J12" s="37" t="s">
        <v>36</v>
      </c>
      <c r="K12" s="36" t="s">
        <v>53</v>
      </c>
      <c r="L12" s="36" t="s">
        <v>635</v>
      </c>
      <c r="M12" s="36" t="s">
        <v>55</v>
      </c>
      <c r="N12" s="37" t="s">
        <v>36</v>
      </c>
      <c r="O12" s="37" t="s">
        <v>383</v>
      </c>
    </row>
    <row r="13" spans="1:16" ht="43.5" x14ac:dyDescent="0.35">
      <c r="A13" s="36">
        <v>7</v>
      </c>
      <c r="B13" s="36" t="str">
        <f t="shared" si="1"/>
        <v>1A.7</v>
      </c>
      <c r="C13" s="45" t="s">
        <v>39</v>
      </c>
      <c r="D13" s="36" t="s">
        <v>377</v>
      </c>
      <c r="E13" s="36" t="s">
        <v>29</v>
      </c>
      <c r="F13" s="36" t="s">
        <v>378</v>
      </c>
      <c r="G13" s="36" t="s">
        <v>36</v>
      </c>
      <c r="H13" s="36" t="s">
        <v>36</v>
      </c>
      <c r="I13" s="36" t="s">
        <v>9</v>
      </c>
      <c r="J13" s="37" t="s">
        <v>379</v>
      </c>
      <c r="K13" s="36" t="s">
        <v>36</v>
      </c>
      <c r="L13" s="36" t="s">
        <v>36</v>
      </c>
      <c r="M13" s="36" t="s">
        <v>380</v>
      </c>
      <c r="N13" s="36" t="s">
        <v>636</v>
      </c>
      <c r="O13" s="36" t="s">
        <v>381</v>
      </c>
    </row>
    <row r="14" spans="1:16" ht="101.5" x14ac:dyDescent="0.35">
      <c r="A14" s="36">
        <v>8</v>
      </c>
      <c r="B14" s="36" t="str">
        <f t="shared" ref="B14" si="2">CONCATENATE($B$2, ".", A14)</f>
        <v>1A.8</v>
      </c>
      <c r="C14" s="45" t="s">
        <v>39</v>
      </c>
      <c r="D14" s="36" t="s">
        <v>308</v>
      </c>
      <c r="E14" s="36" t="s">
        <v>34</v>
      </c>
      <c r="F14" s="36" t="s">
        <v>354</v>
      </c>
      <c r="G14" s="36" t="s">
        <v>312</v>
      </c>
      <c r="H14" s="36" t="s">
        <v>36</v>
      </c>
      <c r="I14" s="36" t="s">
        <v>9</v>
      </c>
      <c r="J14" s="37" t="s">
        <v>355</v>
      </c>
      <c r="K14" s="36" t="s">
        <v>36</v>
      </c>
      <c r="L14" s="36" t="s">
        <v>36</v>
      </c>
      <c r="M14" s="36" t="s">
        <v>36</v>
      </c>
      <c r="N14" s="36" t="s">
        <v>36</v>
      </c>
      <c r="O14" s="36" t="s">
        <v>358</v>
      </c>
      <c r="P14" s="36"/>
    </row>
    <row r="15" spans="1:16" ht="54" customHeight="1" x14ac:dyDescent="0.35">
      <c r="A15" s="36">
        <v>9</v>
      </c>
      <c r="B15" s="36" t="str">
        <f t="shared" ref="B15:B18" si="3">CONCATENATE($B$2, ".", A15)</f>
        <v>1A.9</v>
      </c>
      <c r="C15" s="45" t="s">
        <v>37</v>
      </c>
      <c r="D15" s="36" t="s">
        <v>357</v>
      </c>
      <c r="E15" s="36" t="s">
        <v>32</v>
      </c>
      <c r="F15" s="36" t="s">
        <v>859</v>
      </c>
      <c r="G15" s="36" t="s">
        <v>36</v>
      </c>
      <c r="H15" s="36" t="s">
        <v>371</v>
      </c>
      <c r="I15" s="36" t="s">
        <v>9</v>
      </c>
      <c r="J15" s="37" t="s">
        <v>36</v>
      </c>
      <c r="K15" s="36" t="s">
        <v>83</v>
      </c>
      <c r="L15" s="36" t="s">
        <v>36</v>
      </c>
      <c r="M15" s="36" t="s">
        <v>372</v>
      </c>
      <c r="N15" s="36" t="s">
        <v>36</v>
      </c>
      <c r="O15" s="36" t="s">
        <v>860</v>
      </c>
      <c r="P15" s="36" t="s">
        <v>955</v>
      </c>
    </row>
    <row r="16" spans="1:16" x14ac:dyDescent="0.35">
      <c r="A16" s="36">
        <v>10</v>
      </c>
      <c r="B16" s="36" t="str">
        <f t="shared" si="3"/>
        <v>1A.10</v>
      </c>
      <c r="C16" s="45" t="s">
        <v>39</v>
      </c>
      <c r="D16" s="36" t="s">
        <v>309</v>
      </c>
      <c r="E16" s="36" t="s">
        <v>28</v>
      </c>
      <c r="F16" s="36" t="s">
        <v>36</v>
      </c>
      <c r="G16" s="36" t="s">
        <v>36</v>
      </c>
      <c r="H16" s="36" t="s">
        <v>36</v>
      </c>
      <c r="I16" s="36" t="s">
        <v>9</v>
      </c>
      <c r="J16" s="37" t="s">
        <v>36</v>
      </c>
      <c r="K16" s="36" t="s">
        <v>36</v>
      </c>
      <c r="L16" s="36" t="s">
        <v>36</v>
      </c>
      <c r="M16" s="36" t="s">
        <v>36</v>
      </c>
      <c r="N16" s="36" t="s">
        <v>36</v>
      </c>
      <c r="O16" s="36" t="s">
        <v>36</v>
      </c>
      <c r="P16" s="36"/>
    </row>
    <row r="17" spans="1:16" ht="29" x14ac:dyDescent="0.35">
      <c r="A17" s="36">
        <v>11</v>
      </c>
      <c r="B17" s="36" t="str">
        <f t="shared" si="3"/>
        <v>1A.11</v>
      </c>
      <c r="C17" s="45" t="s">
        <v>40</v>
      </c>
      <c r="D17" s="36" t="s">
        <v>310</v>
      </c>
      <c r="E17" s="36" t="s">
        <v>42</v>
      </c>
      <c r="F17" s="36" t="s">
        <v>36</v>
      </c>
      <c r="G17" s="36" t="s">
        <v>36</v>
      </c>
      <c r="H17" s="36" t="s">
        <v>36</v>
      </c>
      <c r="I17" s="36" t="s">
        <v>9</v>
      </c>
      <c r="J17" s="37" t="s">
        <v>36</v>
      </c>
      <c r="K17" s="36" t="s">
        <v>36</v>
      </c>
      <c r="L17" s="36" t="s">
        <v>36</v>
      </c>
      <c r="M17" s="36" t="s">
        <v>36</v>
      </c>
      <c r="N17" s="36" t="s">
        <v>36</v>
      </c>
      <c r="O17" s="36" t="s">
        <v>332</v>
      </c>
      <c r="P17" s="36" t="s">
        <v>910</v>
      </c>
    </row>
    <row r="18" spans="1:16" ht="58" x14ac:dyDescent="0.35">
      <c r="A18" s="36">
        <v>12</v>
      </c>
      <c r="B18" s="36" t="str">
        <f t="shared" si="3"/>
        <v>1A.12</v>
      </c>
      <c r="C18" s="45" t="s">
        <v>44</v>
      </c>
      <c r="D18" s="36" t="s">
        <v>311</v>
      </c>
      <c r="E18" s="36" t="s">
        <v>99</v>
      </c>
      <c r="F18" s="36" t="s">
        <v>36</v>
      </c>
      <c r="G18" s="36" t="s">
        <v>36</v>
      </c>
      <c r="H18" s="36" t="s">
        <v>36</v>
      </c>
      <c r="I18" s="36" t="s">
        <v>9</v>
      </c>
      <c r="J18" s="37" t="s">
        <v>36</v>
      </c>
      <c r="K18" s="36" t="s">
        <v>36</v>
      </c>
      <c r="L18" s="36" t="s">
        <v>36</v>
      </c>
      <c r="M18" s="36" t="s">
        <v>36</v>
      </c>
      <c r="N18" s="36" t="s">
        <v>36</v>
      </c>
      <c r="O18" s="36" t="s">
        <v>346</v>
      </c>
      <c r="P18" s="36" t="s">
        <v>413</v>
      </c>
    </row>
    <row r="19" spans="1:16" ht="43.5" x14ac:dyDescent="0.35">
      <c r="A19" s="36">
        <v>13</v>
      </c>
      <c r="B19" s="36" t="str">
        <f>CONCATENATE($B$2, ".", A19)</f>
        <v>1A.13</v>
      </c>
      <c r="C19" s="45" t="s">
        <v>37</v>
      </c>
      <c r="D19" s="36" t="s">
        <v>331</v>
      </c>
      <c r="E19" s="36" t="s">
        <v>42</v>
      </c>
      <c r="F19" s="36" t="s">
        <v>36</v>
      </c>
      <c r="G19" s="36" t="s">
        <v>36</v>
      </c>
      <c r="H19" s="36" t="s">
        <v>36</v>
      </c>
      <c r="I19" s="36" t="s">
        <v>9</v>
      </c>
      <c r="J19" s="36" t="s">
        <v>36</v>
      </c>
      <c r="K19" s="36" t="s">
        <v>36</v>
      </c>
      <c r="L19" s="36" t="s">
        <v>36</v>
      </c>
      <c r="M19" s="36" t="s">
        <v>373</v>
      </c>
      <c r="N19" s="36" t="s">
        <v>36</v>
      </c>
      <c r="O19" s="36" t="s">
        <v>905</v>
      </c>
      <c r="P19" s="36" t="s">
        <v>412</v>
      </c>
    </row>
  </sheetData>
  <mergeCells count="3">
    <mergeCell ref="B1:C1"/>
    <mergeCell ref="B2:C2"/>
    <mergeCell ref="B3:C3"/>
  </mergeCells>
  <conditionalFormatting sqref="C7:C12 C14:C19">
    <cfRule type="cellIs" dxfId="754" priority="21" operator="equal">
      <formula>"WIP (see comments)"</formula>
    </cfRule>
    <cfRule type="cellIs" dxfId="753" priority="22" operator="equal">
      <formula>"Removed"</formula>
    </cfRule>
    <cfRule type="cellIs" dxfId="752" priority="23" operator="equal">
      <formula>"Updated"</formula>
    </cfRule>
    <cfRule type="cellIs" dxfId="751" priority="24" operator="equal">
      <formula>"New"</formula>
    </cfRule>
  </conditionalFormatting>
  <conditionalFormatting sqref="E1:P1 A1:B4 D2:P4 A5:P9 N10:O10 C19 C16:O18 P17:P18 F11:O11 F10:L10 C12:L12 N12:O12 C10:E11 A10:B13 A14:O15 A16:B19">
    <cfRule type="cellIs" dxfId="750" priority="20" operator="equal">
      <formula>"n/a"</formula>
    </cfRule>
  </conditionalFormatting>
  <conditionalFormatting sqref="D1">
    <cfRule type="cellIs" dxfId="749" priority="19" operator="equal">
      <formula>"n/a"</formula>
    </cfRule>
  </conditionalFormatting>
  <conditionalFormatting sqref="M12">
    <cfRule type="cellIs" dxfId="748" priority="16" operator="equal">
      <formula>"n/a"</formula>
    </cfRule>
  </conditionalFormatting>
  <conditionalFormatting sqref="M10">
    <cfRule type="cellIs" dxfId="747" priority="15" operator="equal">
      <formula>"n/a"</formula>
    </cfRule>
  </conditionalFormatting>
  <conditionalFormatting sqref="P14:P15">
    <cfRule type="cellIs" dxfId="746" priority="14" operator="equal">
      <formula>"n/a"</formula>
    </cfRule>
  </conditionalFormatting>
  <conditionalFormatting sqref="P16">
    <cfRule type="cellIs" dxfId="745" priority="13" operator="equal">
      <formula>"n/a"</formula>
    </cfRule>
  </conditionalFormatting>
  <conditionalFormatting sqref="D19:P19">
    <cfRule type="cellIs" dxfId="744" priority="8" operator="equal">
      <formula>"n/a"</formula>
    </cfRule>
  </conditionalFormatting>
  <conditionalFormatting sqref="C13">
    <cfRule type="cellIs" dxfId="743" priority="2" operator="equal">
      <formula>"WIP (see comments)"</formula>
    </cfRule>
    <cfRule type="cellIs" dxfId="742" priority="3" operator="equal">
      <formula>"Removed"</formula>
    </cfRule>
    <cfRule type="cellIs" dxfId="741" priority="4" operator="equal">
      <formula>"Updated"</formula>
    </cfRule>
    <cfRule type="cellIs" dxfId="740" priority="5" operator="equal">
      <formula>"New"</formula>
    </cfRule>
  </conditionalFormatting>
  <conditionalFormatting sqref="C13:O13">
    <cfRule type="cellIs" dxfId="739" priority="1" operator="equal">
      <formula>"n/a"</formula>
    </cfRule>
  </conditionalFormatting>
  <dataValidations count="1">
    <dataValidation type="list" allowBlank="1" showInputMessage="1" showErrorMessage="1" sqref="E16:E19">
      <formula1>$A$5:$A$34</formula1>
    </dataValidation>
  </dataValidations>
  <pageMargins left="0.7" right="0.7" top="0.75" bottom="0.75" header="0.3" footer="0.3"/>
  <pageSetup orientation="portrait"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C7:C15 C16:C19</xm:sqref>
        </x14:dataValidation>
        <x14:dataValidation type="list" allowBlank="1" showInputMessage="1" showErrorMessage="1">
          <x14:formula1>
            <xm:f>'List Values'!$A$5:$A$35</xm:f>
          </x14:formula1>
          <xm:sqref>E7:E15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10" sqref="A10"/>
    </sheetView>
  </sheetViews>
  <sheetFormatPr defaultColWidth="9.1796875" defaultRowHeight="14.5" x14ac:dyDescent="0.35"/>
  <cols>
    <col min="1" max="1" width="14.7265625" style="6" customWidth="1"/>
    <col min="2" max="2" width="12.54296875" style="6" customWidth="1"/>
    <col min="3" max="3" width="16.1796875" style="31" customWidth="1"/>
    <col min="4" max="4" width="45.1796875" style="6" customWidth="1"/>
    <col min="5" max="5" width="28.7265625" style="6" customWidth="1"/>
    <col min="6" max="6" width="17" style="6" customWidth="1"/>
    <col min="7" max="7" width="22.63281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240</v>
      </c>
      <c r="C1" s="29"/>
      <c r="D1" s="26"/>
    </row>
    <row r="2" spans="1:16" s="27" customFormat="1" ht="18.5" x14ac:dyDescent="0.35">
      <c r="A2" s="25" t="s">
        <v>7</v>
      </c>
      <c r="B2" s="80">
        <v>2</v>
      </c>
      <c r="C2" s="32"/>
      <c r="D2" s="80" t="s">
        <v>561</v>
      </c>
    </row>
    <row r="3" spans="1:16" s="27" customFormat="1" ht="18.5" x14ac:dyDescent="0.35">
      <c r="A3" s="25" t="s">
        <v>43</v>
      </c>
      <c r="B3" s="80" t="s">
        <v>394</v>
      </c>
      <c r="C3" s="32"/>
      <c r="D3" s="80" t="s">
        <v>420</v>
      </c>
    </row>
    <row r="4" spans="1:16" s="27" customFormat="1" ht="18.5" x14ac:dyDescent="0.35">
      <c r="A4" s="25" t="s">
        <v>8</v>
      </c>
      <c r="B4" s="27" t="s">
        <v>46</v>
      </c>
      <c r="C4" s="32"/>
      <c r="D4" s="27" t="s">
        <v>421</v>
      </c>
    </row>
    <row r="5" spans="1:16" s="4" customFormat="1" x14ac:dyDescent="0.35">
      <c r="C5" s="34"/>
    </row>
    <row r="6" spans="1:16" s="28" customFormat="1" ht="15" thickBot="1" x14ac:dyDescent="0.4">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x14ac:dyDescent="0.35">
      <c r="A7" s="6">
        <v>1</v>
      </c>
      <c r="B7" s="6" t="str">
        <f>CONCATENATE($B$2, ".", A7)</f>
        <v>2.1</v>
      </c>
      <c r="C7" s="31" t="s">
        <v>37</v>
      </c>
      <c r="D7" s="36" t="s">
        <v>423</v>
      </c>
      <c r="E7" s="6" t="s">
        <v>28</v>
      </c>
      <c r="F7" s="6" t="s">
        <v>36</v>
      </c>
      <c r="G7" s="6" t="s">
        <v>36</v>
      </c>
      <c r="H7" s="6" t="s">
        <v>36</v>
      </c>
      <c r="I7" s="36" t="s">
        <v>9</v>
      </c>
      <c r="J7" s="5" t="s">
        <v>36</v>
      </c>
      <c r="K7" s="5" t="s">
        <v>36</v>
      </c>
      <c r="L7" s="5" t="s">
        <v>36</v>
      </c>
      <c r="M7" s="5" t="s">
        <v>36</v>
      </c>
      <c r="N7" s="5" t="s">
        <v>36</v>
      </c>
      <c r="O7" s="5" t="s">
        <v>36</v>
      </c>
      <c r="P7" s="6" t="s">
        <v>206</v>
      </c>
    </row>
    <row r="8" spans="1:16" x14ac:dyDescent="0.35">
      <c r="A8" s="6">
        <v>2</v>
      </c>
      <c r="B8" s="6" t="str">
        <f t="shared" ref="B8:B11" si="0">CONCATENATE($B$2, ".", A8)</f>
        <v>2.2</v>
      </c>
      <c r="C8" s="31" t="s">
        <v>39</v>
      </c>
      <c r="D8" s="36" t="s">
        <v>36</v>
      </c>
      <c r="E8" s="36" t="s">
        <v>48</v>
      </c>
      <c r="F8" s="6" t="s">
        <v>36</v>
      </c>
      <c r="G8" s="6" t="s">
        <v>36</v>
      </c>
      <c r="H8" s="6" t="s">
        <v>36</v>
      </c>
      <c r="I8" s="36" t="s">
        <v>9</v>
      </c>
      <c r="J8" s="5" t="s">
        <v>36</v>
      </c>
      <c r="K8" s="5" t="s">
        <v>36</v>
      </c>
      <c r="L8" s="5" t="s">
        <v>36</v>
      </c>
      <c r="M8" s="5" t="s">
        <v>36</v>
      </c>
      <c r="N8" s="5" t="s">
        <v>36</v>
      </c>
      <c r="O8" s="5" t="s">
        <v>36</v>
      </c>
    </row>
    <row r="9" spans="1:16" ht="29" x14ac:dyDescent="0.35">
      <c r="A9" s="6">
        <v>3</v>
      </c>
      <c r="B9" s="6" t="str">
        <f t="shared" si="0"/>
        <v>2.3</v>
      </c>
      <c r="C9" s="31" t="s">
        <v>37</v>
      </c>
      <c r="D9" s="36" t="s">
        <v>790</v>
      </c>
      <c r="E9" s="36" t="s">
        <v>31</v>
      </c>
      <c r="F9" s="6" t="s">
        <v>535</v>
      </c>
      <c r="G9" s="6" t="s">
        <v>36</v>
      </c>
      <c r="H9" s="6" t="s">
        <v>36</v>
      </c>
      <c r="I9" s="36" t="s">
        <v>9</v>
      </c>
      <c r="J9" s="5" t="s">
        <v>536</v>
      </c>
      <c r="K9" s="5" t="s">
        <v>53</v>
      </c>
      <c r="L9" s="5" t="s">
        <v>36</v>
      </c>
      <c r="M9" s="5" t="s">
        <v>36</v>
      </c>
      <c r="N9" s="5" t="s">
        <v>36</v>
      </c>
      <c r="O9" s="5" t="s">
        <v>36</v>
      </c>
      <c r="P9" s="6" t="s">
        <v>206</v>
      </c>
    </row>
    <row r="10" spans="1:16" ht="58" x14ac:dyDescent="0.35">
      <c r="A10" s="6">
        <v>4</v>
      </c>
      <c r="B10" s="6" t="str">
        <f t="shared" si="0"/>
        <v>2.4</v>
      </c>
      <c r="C10" s="31" t="s">
        <v>44</v>
      </c>
      <c r="D10" s="36" t="s">
        <v>57</v>
      </c>
      <c r="E10" s="36" t="s">
        <v>42</v>
      </c>
      <c r="F10" s="6" t="s">
        <v>36</v>
      </c>
      <c r="G10" s="6" t="s">
        <v>36</v>
      </c>
      <c r="H10" s="6" t="s">
        <v>36</v>
      </c>
      <c r="I10" s="36" t="s">
        <v>9</v>
      </c>
      <c r="J10" s="5" t="s">
        <v>36</v>
      </c>
      <c r="K10" s="5" t="s">
        <v>36</v>
      </c>
      <c r="L10" s="5" t="s">
        <v>36</v>
      </c>
      <c r="M10" s="5" t="s">
        <v>36</v>
      </c>
      <c r="N10" s="5" t="s">
        <v>36</v>
      </c>
      <c r="O10" s="5" t="s">
        <v>791</v>
      </c>
      <c r="P10" s="6" t="s">
        <v>560</v>
      </c>
    </row>
    <row r="11" spans="1:16" ht="29" x14ac:dyDescent="0.35">
      <c r="A11" s="6">
        <v>5</v>
      </c>
      <c r="B11" s="6" t="str">
        <f t="shared" si="0"/>
        <v>2.5</v>
      </c>
      <c r="C11" s="31" t="s">
        <v>37</v>
      </c>
      <c r="D11" s="36" t="s">
        <v>56</v>
      </c>
      <c r="E11" s="6" t="s">
        <v>42</v>
      </c>
      <c r="F11" s="6" t="s">
        <v>36</v>
      </c>
      <c r="G11" s="6" t="s">
        <v>36</v>
      </c>
      <c r="H11" s="6" t="s">
        <v>36</v>
      </c>
      <c r="I11" s="36" t="s">
        <v>9</v>
      </c>
      <c r="J11" s="6" t="s">
        <v>36</v>
      </c>
      <c r="K11" s="6" t="s">
        <v>36</v>
      </c>
      <c r="L11" s="6" t="s">
        <v>36</v>
      </c>
      <c r="M11" s="6" t="s">
        <v>36</v>
      </c>
      <c r="N11" s="6" t="s">
        <v>36</v>
      </c>
      <c r="O11" s="6" t="s">
        <v>792</v>
      </c>
    </row>
  </sheetData>
  <conditionalFormatting sqref="C7:C1048576">
    <cfRule type="cellIs" dxfId="738" priority="7" operator="equal">
      <formula>"WIP (see comments)"</formula>
    </cfRule>
    <cfRule type="cellIs" dxfId="737" priority="8" operator="equal">
      <formula>"Removed"</formula>
    </cfRule>
    <cfRule type="cellIs" dxfId="736" priority="9" operator="equal">
      <formula>"Updated"</formula>
    </cfRule>
    <cfRule type="cellIs" dxfId="735" priority="10" operator="equal">
      <formula>"New"</formula>
    </cfRule>
  </conditionalFormatting>
  <conditionalFormatting sqref="A1:XFD7 Q10:XFD10 E10 L9:XFD9 A12:XFD1048576 A11 C11:XFD11 C9:J9 A8:A9 C8:XFD8 B8:C11">
    <cfRule type="cellIs" dxfId="734" priority="6" operator="equal">
      <formula>"n/a"</formula>
    </cfRule>
  </conditionalFormatting>
  <conditionalFormatting sqref="A10 D10 F10:P10 K9">
    <cfRule type="cellIs" dxfId="733" priority="1" operator="equal">
      <formula>"n/a"</formula>
    </cfRule>
  </conditionalFormatting>
  <dataValidations count="1">
    <dataValidation type="list" allowBlank="1" showInputMessage="1" showErrorMessage="1" sqref="C12:C1048576">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'C:\Users\hicksi\Documents\Small Business DCO\Field Specs\[Small Business DCO Small Business Form Field Spec v0.1 WIP.xlsx]List Values'!#REF!</xm:f>
          </x14:formula1>
          <xm:sqref>E12:E1048576</xm:sqref>
        </x14:dataValidation>
        <x14:dataValidation type="list" allowBlank="1" showInputMessage="1" showErrorMessage="1">
          <x14:formula1>
            <xm:f>'List Values'!$B$5:$B$9</xm:f>
          </x14:formula1>
          <xm:sqref>C7:C11</xm:sqref>
        </x14:dataValidation>
        <x14:dataValidation type="list" allowBlank="1" showInputMessage="1" showErrorMessage="1">
          <x14:formula1>
            <xm:f>'List Values'!$A$5:$A$34</xm:f>
          </x14:formula1>
          <xm:sqref>E7:E11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4"/>
  <sheetViews>
    <sheetView workbookViewId="0">
      <pane xSplit="4" ySplit="6" topLeftCell="K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36" customWidth="1"/>
    <col min="2" max="2" width="12.54296875" style="36" customWidth="1"/>
    <col min="3" max="3" width="13" style="45" customWidth="1"/>
    <col min="4" max="4" width="45.1796875" style="36" customWidth="1"/>
    <col min="5" max="5" width="28.7265625" style="36" customWidth="1"/>
    <col min="6" max="6" width="17" style="36" customWidth="1"/>
    <col min="7" max="7" width="17.7265625" style="36" customWidth="1"/>
    <col min="8" max="8" width="27.81640625" style="36" customWidth="1"/>
    <col min="9" max="9" width="34.81640625" style="36" customWidth="1"/>
    <col min="10" max="10" width="13.26953125" style="36" bestFit="1" customWidth="1"/>
    <col min="11" max="11" width="10.7265625" style="36" bestFit="1" customWidth="1"/>
    <col min="12" max="12" width="19.26953125" style="36" bestFit="1" customWidth="1"/>
    <col min="13" max="13" width="29" style="36" customWidth="1"/>
    <col min="14" max="14" width="18.7265625" style="36" bestFit="1" customWidth="1"/>
    <col min="15" max="15" width="48.453125" style="36" customWidth="1"/>
    <col min="16" max="16" width="41.81640625" style="36" customWidth="1"/>
    <col min="17" max="16384" width="9.1796875" style="36"/>
  </cols>
  <sheetData>
    <row r="1" spans="1:16" s="57" customFormat="1" ht="18.5" x14ac:dyDescent="0.35">
      <c r="A1" s="56" t="s">
        <v>6</v>
      </c>
      <c r="B1" s="161" t="s">
        <v>45</v>
      </c>
      <c r="C1" s="161"/>
      <c r="D1" s="26"/>
    </row>
    <row r="2" spans="1:16" s="57" customFormat="1" ht="18.5" x14ac:dyDescent="0.35">
      <c r="A2" s="56" t="s">
        <v>7</v>
      </c>
      <c r="B2" s="161">
        <v>3</v>
      </c>
      <c r="C2" s="161"/>
      <c r="D2" s="58"/>
    </row>
    <row r="3" spans="1:16" s="57" customFormat="1" ht="18.5" x14ac:dyDescent="0.35">
      <c r="A3" s="56" t="s">
        <v>43</v>
      </c>
      <c r="B3" s="161" t="s">
        <v>247</v>
      </c>
      <c r="C3" s="161"/>
      <c r="D3" s="58" t="s">
        <v>268</v>
      </c>
    </row>
    <row r="4" spans="1:16" s="57" customFormat="1" ht="18.5" x14ac:dyDescent="0.35">
      <c r="A4" s="56" t="s">
        <v>8</v>
      </c>
      <c r="B4" s="161" t="s">
        <v>46</v>
      </c>
      <c r="C4" s="161"/>
    </row>
    <row r="5" spans="1:16" s="60" customFormat="1" x14ac:dyDescent="0.35">
      <c r="C5" s="61"/>
    </row>
    <row r="6" spans="1:16" s="62" customFormat="1" ht="15" thickBot="1" x14ac:dyDescent="0.4">
      <c r="A6" s="62" t="s">
        <v>10</v>
      </c>
      <c r="B6" s="62" t="s">
        <v>11</v>
      </c>
      <c r="C6" s="63" t="s">
        <v>25</v>
      </c>
      <c r="D6" s="62" t="s">
        <v>24</v>
      </c>
      <c r="E6" s="62" t="s">
        <v>12</v>
      </c>
      <c r="F6" s="62" t="s">
        <v>13</v>
      </c>
      <c r="G6" s="62" t="s">
        <v>14</v>
      </c>
      <c r="H6" s="62" t="s">
        <v>15</v>
      </c>
      <c r="I6" s="62" t="s">
        <v>16</v>
      </c>
      <c r="J6" s="62" t="s">
        <v>17</v>
      </c>
      <c r="K6" s="62" t="s">
        <v>18</v>
      </c>
      <c r="L6" s="62" t="s">
        <v>19</v>
      </c>
      <c r="M6" s="62" t="s">
        <v>20</v>
      </c>
      <c r="N6" s="62" t="s">
        <v>21</v>
      </c>
      <c r="O6" s="62" t="s">
        <v>22</v>
      </c>
      <c r="P6" s="62" t="s">
        <v>23</v>
      </c>
    </row>
    <row r="7" spans="1:16" x14ac:dyDescent="0.35">
      <c r="A7" s="36">
        <v>1</v>
      </c>
      <c r="B7" s="36" t="str">
        <f t="shared" ref="B7:B14" si="0">CONCATENATE($B$2, ".", A7)</f>
        <v>3.1</v>
      </c>
      <c r="C7" s="45" t="s">
        <v>39</v>
      </c>
      <c r="D7" s="36" t="s">
        <v>415</v>
      </c>
      <c r="E7" s="36" t="s">
        <v>28</v>
      </c>
      <c r="F7" s="36" t="s">
        <v>36</v>
      </c>
      <c r="G7" s="36" t="s">
        <v>36</v>
      </c>
      <c r="H7" s="36" t="s">
        <v>36</v>
      </c>
      <c r="I7" s="36" t="s">
        <v>9</v>
      </c>
      <c r="J7" s="37" t="s">
        <v>36</v>
      </c>
      <c r="K7" s="37" t="s">
        <v>36</v>
      </c>
      <c r="L7" s="37" t="s">
        <v>36</v>
      </c>
      <c r="M7" s="37" t="s">
        <v>36</v>
      </c>
      <c r="N7" s="37" t="s">
        <v>36</v>
      </c>
      <c r="O7" s="37" t="s">
        <v>36</v>
      </c>
    </row>
    <row r="8" spans="1:16" ht="29" x14ac:dyDescent="0.35">
      <c r="A8" s="36">
        <v>2</v>
      </c>
      <c r="B8" s="36" t="str">
        <f t="shared" si="0"/>
        <v>3.2</v>
      </c>
      <c r="C8" s="45" t="s">
        <v>44</v>
      </c>
      <c r="D8" s="36" t="s">
        <v>36</v>
      </c>
      <c r="E8" s="36" t="s">
        <v>48</v>
      </c>
      <c r="F8" s="36" t="s">
        <v>36</v>
      </c>
      <c r="G8" s="36" t="s">
        <v>36</v>
      </c>
      <c r="H8" s="36" t="s">
        <v>36</v>
      </c>
      <c r="I8" s="36" t="s">
        <v>9</v>
      </c>
      <c r="J8" s="37" t="s">
        <v>36</v>
      </c>
      <c r="K8" s="37" t="s">
        <v>36</v>
      </c>
      <c r="L8" s="37" t="s">
        <v>36</v>
      </c>
      <c r="M8" s="37" t="s">
        <v>36</v>
      </c>
      <c r="N8" s="37" t="s">
        <v>36</v>
      </c>
      <c r="O8" s="37" t="s">
        <v>36</v>
      </c>
      <c r="P8" s="36" t="s">
        <v>409</v>
      </c>
    </row>
    <row r="9" spans="1:16" ht="56.25" customHeight="1" x14ac:dyDescent="0.35">
      <c r="A9" s="36">
        <v>3</v>
      </c>
      <c r="B9" s="36" t="str">
        <f t="shared" si="0"/>
        <v>3.3</v>
      </c>
      <c r="C9" s="45" t="s">
        <v>37</v>
      </c>
      <c r="D9" s="36" t="s">
        <v>416</v>
      </c>
      <c r="E9" s="36" t="s">
        <v>99</v>
      </c>
      <c r="F9" s="36" t="s">
        <v>36</v>
      </c>
      <c r="G9" s="36" t="s">
        <v>36</v>
      </c>
      <c r="H9" s="36" t="s">
        <v>36</v>
      </c>
      <c r="I9" s="36" t="s">
        <v>9</v>
      </c>
      <c r="J9" s="37" t="s">
        <v>36</v>
      </c>
      <c r="K9" s="37" t="s">
        <v>36</v>
      </c>
      <c r="L9" s="37" t="s">
        <v>36</v>
      </c>
      <c r="M9" s="37" t="s">
        <v>36</v>
      </c>
      <c r="N9" s="37" t="s">
        <v>36</v>
      </c>
      <c r="O9" s="37" t="s">
        <v>95</v>
      </c>
    </row>
    <row r="10" spans="1:16" ht="120.75" customHeight="1" x14ac:dyDescent="0.35">
      <c r="A10" s="36">
        <v>4</v>
      </c>
      <c r="B10" s="36" t="str">
        <f t="shared" si="0"/>
        <v>3.4</v>
      </c>
      <c r="C10" s="45" t="s">
        <v>37</v>
      </c>
      <c r="D10" s="36" t="s">
        <v>49</v>
      </c>
      <c r="E10" s="36" t="s">
        <v>32</v>
      </c>
      <c r="F10" s="36" t="s">
        <v>51</v>
      </c>
      <c r="G10" s="36" t="s">
        <v>417</v>
      </c>
      <c r="H10" s="36" t="s">
        <v>52</v>
      </c>
      <c r="I10" s="36" t="s">
        <v>9</v>
      </c>
      <c r="J10" s="37" t="s">
        <v>36</v>
      </c>
      <c r="K10" s="37" t="s">
        <v>53</v>
      </c>
      <c r="L10" s="37" t="s">
        <v>634</v>
      </c>
      <c r="M10" s="37" t="s">
        <v>100</v>
      </c>
      <c r="N10" s="37" t="s">
        <v>634</v>
      </c>
      <c r="O10" s="37" t="s">
        <v>36</v>
      </c>
    </row>
    <row r="11" spans="1:16" ht="149.25" customHeight="1" x14ac:dyDescent="0.35">
      <c r="A11" s="36">
        <v>5</v>
      </c>
      <c r="B11" s="36" t="str">
        <f t="shared" si="0"/>
        <v>3.5</v>
      </c>
      <c r="C11" s="45" t="s">
        <v>37</v>
      </c>
      <c r="D11" s="36" t="s">
        <v>101</v>
      </c>
      <c r="E11" s="36" t="s">
        <v>32</v>
      </c>
      <c r="F11" s="36" t="s">
        <v>50</v>
      </c>
      <c r="G11" s="36" t="s">
        <v>418</v>
      </c>
      <c r="H11" s="36" t="s">
        <v>54</v>
      </c>
      <c r="I11" s="36" t="s">
        <v>9</v>
      </c>
      <c r="J11" s="37" t="s">
        <v>36</v>
      </c>
      <c r="K11" s="36" t="s">
        <v>53</v>
      </c>
      <c r="L11" s="36" t="s">
        <v>638</v>
      </c>
      <c r="M11" s="36" t="s">
        <v>55</v>
      </c>
      <c r="N11" s="36" t="s">
        <v>638</v>
      </c>
      <c r="O11" s="37" t="s">
        <v>36</v>
      </c>
    </row>
    <row r="12" spans="1:16" ht="149.25" customHeight="1" x14ac:dyDescent="0.35">
      <c r="A12" s="36">
        <v>6</v>
      </c>
      <c r="B12" s="36" t="str">
        <f t="shared" si="0"/>
        <v>3.6</v>
      </c>
      <c r="C12" s="45" t="s">
        <v>39</v>
      </c>
      <c r="D12" s="36" t="s">
        <v>36</v>
      </c>
      <c r="E12" s="36" t="s">
        <v>174</v>
      </c>
      <c r="F12" s="36" t="s">
        <v>36</v>
      </c>
      <c r="G12" s="36" t="s">
        <v>36</v>
      </c>
      <c r="H12" s="36" t="s">
        <v>36</v>
      </c>
      <c r="I12" s="36" t="s">
        <v>175</v>
      </c>
      <c r="J12" s="37" t="s">
        <v>36</v>
      </c>
      <c r="K12" s="36" t="s">
        <v>53</v>
      </c>
      <c r="L12" s="36" t="s">
        <v>176</v>
      </c>
      <c r="M12" s="36" t="s">
        <v>36</v>
      </c>
      <c r="N12" s="36" t="s">
        <v>176</v>
      </c>
      <c r="O12" s="37"/>
    </row>
    <row r="13" spans="1:16" ht="105" customHeight="1" x14ac:dyDescent="0.35">
      <c r="A13" s="36">
        <v>7</v>
      </c>
      <c r="B13" s="36" t="str">
        <f>CONCATENATE($B$2, ".", A13)</f>
        <v>3.7</v>
      </c>
      <c r="C13" s="45" t="s">
        <v>37</v>
      </c>
      <c r="D13" s="36" t="s">
        <v>57</v>
      </c>
      <c r="E13" s="36" t="s">
        <v>42</v>
      </c>
      <c r="F13" s="36" t="s">
        <v>36</v>
      </c>
      <c r="G13" s="36" t="s">
        <v>36</v>
      </c>
      <c r="H13" s="36" t="s">
        <v>36</v>
      </c>
      <c r="I13" s="36" t="s">
        <v>419</v>
      </c>
      <c r="J13" s="36" t="s">
        <v>36</v>
      </c>
      <c r="K13" s="36" t="s">
        <v>36</v>
      </c>
      <c r="L13" s="36" t="s">
        <v>36</v>
      </c>
      <c r="M13" s="36" t="s">
        <v>36</v>
      </c>
      <c r="N13" s="36" t="s">
        <v>36</v>
      </c>
      <c r="O13" s="119" t="s">
        <v>673</v>
      </c>
    </row>
    <row r="14" spans="1:16" ht="29" x14ac:dyDescent="0.35">
      <c r="A14" s="36">
        <v>8</v>
      </c>
      <c r="B14" s="36" t="str">
        <f t="shared" si="0"/>
        <v>3.8</v>
      </c>
      <c r="C14" s="45" t="s">
        <v>37</v>
      </c>
      <c r="D14" s="36" t="s">
        <v>56</v>
      </c>
      <c r="E14" s="36" t="s">
        <v>42</v>
      </c>
      <c r="F14" s="36" t="s">
        <v>36</v>
      </c>
      <c r="G14" s="36" t="s">
        <v>36</v>
      </c>
      <c r="H14" s="36" t="s">
        <v>36</v>
      </c>
      <c r="I14" s="36" t="s">
        <v>9</v>
      </c>
      <c r="J14" s="36" t="s">
        <v>36</v>
      </c>
      <c r="K14" s="36" t="s">
        <v>36</v>
      </c>
      <c r="L14" s="36" t="s">
        <v>36</v>
      </c>
      <c r="M14" s="36" t="s">
        <v>36</v>
      </c>
      <c r="N14" s="36" t="s">
        <v>36</v>
      </c>
      <c r="O14" s="36" t="s">
        <v>330</v>
      </c>
    </row>
  </sheetData>
  <mergeCells count="4">
    <mergeCell ref="B1:C1"/>
    <mergeCell ref="B2:C2"/>
    <mergeCell ref="B3:C3"/>
    <mergeCell ref="B4:C4"/>
  </mergeCells>
  <conditionalFormatting sqref="C7:C1048576">
    <cfRule type="cellIs" dxfId="732" priority="18" operator="equal">
      <formula>"WIP (see comments)"</formula>
    </cfRule>
    <cfRule type="cellIs" dxfId="731" priority="19" operator="equal">
      <formula>"Removed"</formula>
    </cfRule>
    <cfRule type="cellIs" dxfId="730" priority="20" operator="equal">
      <formula>"Updated"</formula>
    </cfRule>
    <cfRule type="cellIs" dxfId="729" priority="21" operator="equal">
      <formula>"New"</formula>
    </cfRule>
  </conditionalFormatting>
  <conditionalFormatting sqref="A5:XFD9 Q10:XFD10 A12:XFD1048576 A11:N11 P11:XFD11 A1:B1 E1:XFD1 C8:C14 A2:A4 D2:XFD4">
    <cfRule type="cellIs" dxfId="728" priority="9" operator="equal">
      <formula>"n/a"</formula>
    </cfRule>
  </conditionalFormatting>
  <conditionalFormatting sqref="A10:B10 D10:P10">
    <cfRule type="cellIs" dxfId="727" priority="4" operator="equal">
      <formula>"n/a"</formula>
    </cfRule>
  </conditionalFormatting>
  <conditionalFormatting sqref="O11">
    <cfRule type="cellIs" dxfId="726" priority="3" operator="equal">
      <formula>"n/a"</formula>
    </cfRule>
  </conditionalFormatting>
  <conditionalFormatting sqref="D1">
    <cfRule type="cellIs" dxfId="725" priority="2" operator="equal">
      <formula>"n/a"</formula>
    </cfRule>
  </conditionalFormatting>
  <conditionalFormatting sqref="B2:B4">
    <cfRule type="cellIs" dxfId="724"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O12" sqref="O12"/>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14.54296875" style="6" bestFit="1" customWidth="1"/>
    <col min="7" max="7" width="17.7265625" style="6" customWidth="1"/>
    <col min="8" max="8" width="9.1796875" style="6"/>
    <col min="9" max="9" width="34.81640625" style="6" customWidth="1"/>
    <col min="10" max="10" width="13.26953125" style="6" bestFit="1" customWidth="1"/>
    <col min="11" max="11" width="10.7265625" style="6" bestFit="1" customWidth="1"/>
    <col min="12" max="12" width="19.26953125" style="6" bestFit="1" customWidth="1"/>
    <col min="13" max="13" width="21.1796875" style="6" bestFit="1"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163" t="s">
        <v>229</v>
      </c>
      <c r="C1" s="163"/>
      <c r="D1" s="26"/>
    </row>
    <row r="2" spans="1:16" s="27" customFormat="1" ht="18.5" x14ac:dyDescent="0.35">
      <c r="A2" s="25" t="s">
        <v>7</v>
      </c>
      <c r="B2" s="164">
        <v>4</v>
      </c>
      <c r="C2" s="164"/>
      <c r="D2" s="33"/>
    </row>
    <row r="3" spans="1:16" s="27" customFormat="1" ht="18.5" x14ac:dyDescent="0.35">
      <c r="A3" s="25" t="s">
        <v>43</v>
      </c>
      <c r="B3" s="164" t="s">
        <v>263</v>
      </c>
      <c r="C3" s="164"/>
      <c r="D3" s="81" t="s">
        <v>269</v>
      </c>
    </row>
    <row r="4" spans="1:16" s="27" customFormat="1" ht="18.5" x14ac:dyDescent="0.35">
      <c r="A4" s="25" t="s">
        <v>8</v>
      </c>
      <c r="B4" s="164" t="s">
        <v>200</v>
      </c>
      <c r="C4" s="164"/>
    </row>
    <row r="5" spans="1:16" s="4" customFormat="1" x14ac:dyDescent="0.35">
      <c r="C5" s="34"/>
    </row>
    <row r="6" spans="1:16" s="28" customFormat="1" ht="15" thickBot="1" x14ac:dyDescent="0.4">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x14ac:dyDescent="0.35">
      <c r="A7" s="6">
        <v>1</v>
      </c>
      <c r="B7" s="6" t="str">
        <f t="shared" ref="B7:B12" si="0">CONCATENATE($B$2, ".", A7)</f>
        <v>4.1</v>
      </c>
      <c r="C7" s="45" t="s">
        <v>39</v>
      </c>
      <c r="D7" s="37" t="s">
        <v>264</v>
      </c>
      <c r="E7" s="37" t="s">
        <v>115</v>
      </c>
      <c r="F7" s="5" t="s">
        <v>36</v>
      </c>
      <c r="G7" s="5" t="s">
        <v>36</v>
      </c>
      <c r="H7" s="82" t="s">
        <v>36</v>
      </c>
      <c r="I7" s="37" t="s">
        <v>9</v>
      </c>
      <c r="J7" s="5" t="s">
        <v>36</v>
      </c>
      <c r="K7" s="5" t="s">
        <v>36</v>
      </c>
      <c r="L7" s="5" t="s">
        <v>36</v>
      </c>
      <c r="M7" s="5" t="s">
        <v>36</v>
      </c>
      <c r="N7" s="5" t="s">
        <v>36</v>
      </c>
      <c r="O7" s="5"/>
    </row>
    <row r="8" spans="1:16" ht="91" customHeight="1" x14ac:dyDescent="0.35">
      <c r="A8" s="6">
        <v>2</v>
      </c>
      <c r="B8" s="6" t="str">
        <f t="shared" si="0"/>
        <v>4.2</v>
      </c>
      <c r="C8" s="45" t="s">
        <v>39</v>
      </c>
      <c r="D8" s="42" t="s">
        <v>267</v>
      </c>
      <c r="E8" s="37" t="s">
        <v>33</v>
      </c>
      <c r="F8" s="5" t="s">
        <v>36</v>
      </c>
      <c r="G8" s="5" t="s">
        <v>36</v>
      </c>
      <c r="H8" s="82" t="s">
        <v>36</v>
      </c>
      <c r="I8" s="37" t="s">
        <v>9</v>
      </c>
      <c r="J8" s="5" t="s">
        <v>36</v>
      </c>
      <c r="K8" s="5" t="s">
        <v>36</v>
      </c>
      <c r="L8" s="5" t="s">
        <v>36</v>
      </c>
      <c r="M8" s="5" t="s">
        <v>36</v>
      </c>
      <c r="N8" s="5" t="s">
        <v>36</v>
      </c>
      <c r="O8" s="5"/>
    </row>
    <row r="9" spans="1:16" ht="13" customHeight="1" x14ac:dyDescent="0.35">
      <c r="A9" s="6">
        <v>3</v>
      </c>
      <c r="B9" s="6" t="str">
        <f t="shared" si="0"/>
        <v>4.3</v>
      </c>
      <c r="C9" s="45" t="s">
        <v>39</v>
      </c>
      <c r="D9" s="5" t="s">
        <v>159</v>
      </c>
      <c r="E9" s="37" t="s">
        <v>32</v>
      </c>
      <c r="F9" s="5" t="s">
        <v>36</v>
      </c>
      <c r="G9" s="5" t="s">
        <v>36</v>
      </c>
      <c r="H9" s="82" t="s">
        <v>36</v>
      </c>
      <c r="I9" s="37" t="s">
        <v>9</v>
      </c>
      <c r="J9" s="5" t="s">
        <v>36</v>
      </c>
      <c r="K9" s="5" t="s">
        <v>36</v>
      </c>
      <c r="L9" s="5" t="s">
        <v>36</v>
      </c>
      <c r="M9" s="5" t="s">
        <v>36</v>
      </c>
      <c r="N9" s="5" t="s">
        <v>36</v>
      </c>
      <c r="O9" s="5"/>
    </row>
    <row r="10" spans="1:16" ht="71.5" customHeight="1" x14ac:dyDescent="0.35">
      <c r="A10" s="6">
        <v>4</v>
      </c>
      <c r="B10" s="6" t="str">
        <f t="shared" si="0"/>
        <v>4.4</v>
      </c>
      <c r="C10" s="45" t="s">
        <v>39</v>
      </c>
      <c r="D10" s="5" t="s">
        <v>265</v>
      </c>
      <c r="E10" s="5" t="s">
        <v>42</v>
      </c>
      <c r="F10" s="5" t="s">
        <v>36</v>
      </c>
      <c r="G10" s="5" t="s">
        <v>36</v>
      </c>
      <c r="H10" s="82" t="s">
        <v>36</v>
      </c>
      <c r="I10" s="37" t="s">
        <v>9</v>
      </c>
      <c r="J10" s="5" t="s">
        <v>36</v>
      </c>
      <c r="K10" s="5" t="s">
        <v>36</v>
      </c>
      <c r="L10" s="5" t="s">
        <v>36</v>
      </c>
      <c r="M10" s="5" t="s">
        <v>36</v>
      </c>
      <c r="N10" s="5" t="s">
        <v>36</v>
      </c>
      <c r="O10" s="37" t="s">
        <v>161</v>
      </c>
    </row>
    <row r="11" spans="1:16" ht="29" x14ac:dyDescent="0.35">
      <c r="A11" s="6">
        <v>5</v>
      </c>
      <c r="B11" s="6" t="str">
        <f t="shared" si="0"/>
        <v>4.5</v>
      </c>
      <c r="C11" s="45" t="s">
        <v>37</v>
      </c>
      <c r="D11" s="5" t="s">
        <v>57</v>
      </c>
      <c r="E11" s="5" t="s">
        <v>42</v>
      </c>
      <c r="F11" s="5" t="s">
        <v>36</v>
      </c>
      <c r="G11" s="5" t="s">
        <v>36</v>
      </c>
      <c r="H11" s="82" t="s">
        <v>36</v>
      </c>
      <c r="I11" s="37" t="s">
        <v>9</v>
      </c>
      <c r="J11" s="5" t="s">
        <v>36</v>
      </c>
      <c r="K11" s="5" t="s">
        <v>36</v>
      </c>
      <c r="L11" s="5" t="s">
        <v>36</v>
      </c>
      <c r="M11" s="5" t="s">
        <v>36</v>
      </c>
      <c r="N11" s="5" t="s">
        <v>36</v>
      </c>
      <c r="O11" s="36" t="s">
        <v>888</v>
      </c>
    </row>
    <row r="12" spans="1:16" x14ac:dyDescent="0.35">
      <c r="A12" s="6">
        <v>6</v>
      </c>
      <c r="B12" s="6" t="str">
        <f t="shared" si="0"/>
        <v>4.6</v>
      </c>
      <c r="C12" s="45" t="s">
        <v>39</v>
      </c>
      <c r="D12" s="36" t="s">
        <v>56</v>
      </c>
      <c r="E12" s="36" t="s">
        <v>42</v>
      </c>
      <c r="F12" s="36" t="s">
        <v>36</v>
      </c>
      <c r="G12" s="36" t="s">
        <v>36</v>
      </c>
      <c r="H12" s="45" t="s">
        <v>36</v>
      </c>
      <c r="I12" s="36" t="s">
        <v>9</v>
      </c>
      <c r="J12" s="36" t="s">
        <v>36</v>
      </c>
      <c r="K12" s="36" t="s">
        <v>36</v>
      </c>
      <c r="L12" s="36" t="s">
        <v>36</v>
      </c>
      <c r="M12" s="36" t="s">
        <v>36</v>
      </c>
      <c r="N12" s="36" t="s">
        <v>36</v>
      </c>
      <c r="O12" s="36" t="s">
        <v>266</v>
      </c>
    </row>
  </sheetData>
  <mergeCells count="4">
    <mergeCell ref="B1:C1"/>
    <mergeCell ref="B2:C2"/>
    <mergeCell ref="B3:C3"/>
    <mergeCell ref="B4:C4"/>
  </mergeCells>
  <conditionalFormatting sqref="C13:C1048576">
    <cfRule type="cellIs" dxfId="723" priority="15" operator="equal">
      <formula>"WIP (see comments)"</formula>
    </cfRule>
    <cfRule type="cellIs" dxfId="722" priority="16" operator="equal">
      <formula>"Removed"</formula>
    </cfRule>
    <cfRule type="cellIs" dxfId="721" priority="17" operator="equal">
      <formula>"Updated"</formula>
    </cfRule>
    <cfRule type="cellIs" dxfId="720" priority="18" operator="equal">
      <formula>"New"</formula>
    </cfRule>
  </conditionalFormatting>
  <conditionalFormatting sqref="A1:B4 D1:XFD2 A5:XFD6 A13:XFD1048576 P7:XFD12 A7:B12 D4:XFD4 E3:XFD3">
    <cfRule type="cellIs" dxfId="719" priority="14" operator="equal">
      <formula>"n/a"</formula>
    </cfRule>
  </conditionalFormatting>
  <conditionalFormatting sqref="C7:C12">
    <cfRule type="cellIs" dxfId="718" priority="10" operator="equal">
      <formula>"WIP (see comments)"</formula>
    </cfRule>
    <cfRule type="cellIs" dxfId="717" priority="11" operator="equal">
      <formula>"Removed"</formula>
    </cfRule>
    <cfRule type="cellIs" dxfId="716" priority="12" operator="equal">
      <formula>"Updated"</formula>
    </cfRule>
    <cfRule type="cellIs" dxfId="715" priority="13" operator="equal">
      <formula>"New"</formula>
    </cfRule>
  </conditionalFormatting>
  <conditionalFormatting sqref="C7:C12">
    <cfRule type="cellIs" dxfId="714" priority="9" operator="equal">
      <formula>"n/a"</formula>
    </cfRule>
  </conditionalFormatting>
  <conditionalFormatting sqref="D8:D9">
    <cfRule type="cellIs" dxfId="713" priority="8" operator="equal">
      <formula>"-"</formula>
    </cfRule>
  </conditionalFormatting>
  <conditionalFormatting sqref="D8:O9">
    <cfRule type="cellIs" dxfId="712" priority="7" operator="equal">
      <formula>"n/a"</formula>
    </cfRule>
  </conditionalFormatting>
  <conditionalFormatting sqref="D7:O7">
    <cfRule type="cellIs" dxfId="711" priority="6" operator="equal">
      <formula>"n/a"</formula>
    </cfRule>
  </conditionalFormatting>
  <conditionalFormatting sqref="D11:N11">
    <cfRule type="cellIs" dxfId="710" priority="5" operator="equal">
      <formula>"n/a"</formula>
    </cfRule>
  </conditionalFormatting>
  <conditionalFormatting sqref="D10:O10">
    <cfRule type="cellIs" dxfId="709" priority="4" operator="equal">
      <formula>"n/a"</formula>
    </cfRule>
  </conditionalFormatting>
  <conditionalFormatting sqref="D12:O12">
    <cfRule type="cellIs" dxfId="708" priority="3" operator="equal">
      <formula>"n/a"</formula>
    </cfRule>
  </conditionalFormatting>
  <conditionalFormatting sqref="O11">
    <cfRule type="cellIs" dxfId="707" priority="2" operator="equal">
      <formula>"n/a"</formula>
    </cfRule>
  </conditionalFormatting>
  <conditionalFormatting sqref="D3">
    <cfRule type="cellIs" dxfId="706"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14:formula1>
            <xm:f>'List Values'!$B$5:$B$13</xm:f>
          </x14:formula1>
          <xm:sqref>C13:C1048576</xm:sqref>
        </x14:dataValidation>
        <x14:dataValidation type="list" allowBlank="1" showInputMessage="1" showErrorMessage="1">
          <x14:formula1>
            <xm:f>'List Values'!$B$5:$B$12</xm:f>
          </x14:formula1>
          <xm:sqref>C7:C12</xm:sqref>
        </x14:dataValidation>
        <x14:dataValidation type="list" allowBlank="1" showInputMessage="1" showErrorMessage="1">
          <x14:formula1>
            <xm:f>'List Values'!$A$5:$A$35</xm:f>
          </x14:formula1>
          <xm:sqref>E13:E1048576</xm:sqref>
        </x14:dataValidation>
        <x14:dataValidation type="list" allowBlank="1" showInputMessage="1" showErrorMessage="1">
          <x14:formula1>
            <xm:f>'List Values'!$A$5:$A$34</xm:f>
          </x14:formula1>
          <xm:sqref>E7:E12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P16"/>
  <sheetViews>
    <sheetView zoomScaleNormal="100" workbookViewId="0">
      <pane xSplit="4" ySplit="6" topLeftCell="E7" activePane="bottomRight" state="frozen"/>
      <selection pane="topRight" activeCell="E1" sqref="E1"/>
      <selection pane="bottomLeft" activeCell="A7" sqref="A7"/>
      <selection pane="bottomRight" activeCell="B4" sqref="B4:C4"/>
    </sheetView>
  </sheetViews>
  <sheetFormatPr defaultColWidth="9.1796875" defaultRowHeight="14.5" x14ac:dyDescent="0.35"/>
  <cols>
    <col min="1" max="1" width="14.7265625" style="6" customWidth="1"/>
    <col min="2" max="2" width="12.54296875" style="6" customWidth="1"/>
    <col min="3" max="3" width="16.1796875" style="31" customWidth="1"/>
    <col min="4" max="4" width="45.1796875" style="6" customWidth="1"/>
    <col min="5" max="5" width="28.7265625" style="6" customWidth="1"/>
    <col min="6" max="6" width="17" style="6" customWidth="1"/>
    <col min="7" max="7" width="17.72656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163" t="s">
        <v>214</v>
      </c>
      <c r="C1" s="163"/>
      <c r="D1" s="26"/>
    </row>
    <row r="2" spans="1:16" s="27" customFormat="1" ht="18.5" x14ac:dyDescent="0.35">
      <c r="A2" s="25" t="s">
        <v>7</v>
      </c>
      <c r="B2" s="164" t="s">
        <v>314</v>
      </c>
      <c r="C2" s="164"/>
      <c r="D2" s="33"/>
    </row>
    <row r="3" spans="1:16" s="27" customFormat="1" ht="18.5" x14ac:dyDescent="0.35">
      <c r="A3" s="25" t="s">
        <v>43</v>
      </c>
      <c r="B3" s="164" t="s">
        <v>256</v>
      </c>
      <c r="C3" s="164"/>
      <c r="D3" s="33"/>
    </row>
    <row r="4" spans="1:16" s="27" customFormat="1" ht="18.5" x14ac:dyDescent="0.35">
      <c r="A4" s="25" t="s">
        <v>8</v>
      </c>
      <c r="B4" s="164"/>
      <c r="C4" s="164"/>
    </row>
    <row r="5" spans="1:16" s="4" customFormat="1" x14ac:dyDescent="0.35">
      <c r="C5" s="34"/>
    </row>
    <row r="6" spans="1:16" s="28" customFormat="1" ht="15" thickBot="1" x14ac:dyDescent="0.4">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ht="29" x14ac:dyDescent="0.35">
      <c r="A7" s="6">
        <v>1</v>
      </c>
      <c r="B7" s="6" t="str">
        <f t="shared" ref="B7:B14" si="0">CONCATENATE($B$2, ".", A7)</f>
        <v>DEPRECATED.1</v>
      </c>
      <c r="C7" s="45" t="s">
        <v>40</v>
      </c>
      <c r="D7" s="36" t="s">
        <v>248</v>
      </c>
      <c r="E7" s="36" t="s">
        <v>33</v>
      </c>
      <c r="F7" s="36" t="s">
        <v>36</v>
      </c>
      <c r="G7" s="36" t="s">
        <v>36</v>
      </c>
      <c r="H7" s="36" t="s">
        <v>36</v>
      </c>
      <c r="I7" s="36" t="s">
        <v>9</v>
      </c>
      <c r="J7" s="37" t="s">
        <v>36</v>
      </c>
      <c r="K7" s="37" t="s">
        <v>36</v>
      </c>
      <c r="L7" s="37" t="s">
        <v>36</v>
      </c>
      <c r="M7" s="37" t="s">
        <v>36</v>
      </c>
      <c r="N7" s="37" t="s">
        <v>36</v>
      </c>
      <c r="O7" s="37" t="s">
        <v>36</v>
      </c>
      <c r="P7" s="36" t="s">
        <v>206</v>
      </c>
    </row>
    <row r="8" spans="1:16" ht="72.5" x14ac:dyDescent="0.35">
      <c r="A8" s="6">
        <v>2</v>
      </c>
      <c r="B8" s="6" t="str">
        <f t="shared" si="0"/>
        <v>DEPRECATED.2</v>
      </c>
      <c r="C8" s="45" t="s">
        <v>40</v>
      </c>
      <c r="D8" s="36" t="s">
        <v>249</v>
      </c>
      <c r="E8" s="36" t="s">
        <v>33</v>
      </c>
      <c r="F8" s="36" t="s">
        <v>36</v>
      </c>
      <c r="G8" s="36" t="s">
        <v>36</v>
      </c>
      <c r="H8" s="36" t="s">
        <v>36</v>
      </c>
      <c r="I8" s="36" t="s">
        <v>9</v>
      </c>
      <c r="J8" s="37" t="s">
        <v>36</v>
      </c>
      <c r="K8" s="37" t="s">
        <v>36</v>
      </c>
      <c r="L8" s="37" t="s">
        <v>36</v>
      </c>
      <c r="M8" s="37" t="s">
        <v>36</v>
      </c>
      <c r="N8" s="37" t="s">
        <v>36</v>
      </c>
      <c r="O8" s="37" t="s">
        <v>36</v>
      </c>
      <c r="P8" s="36" t="s">
        <v>206</v>
      </c>
    </row>
    <row r="9" spans="1:16" ht="43.5" x14ac:dyDescent="0.35">
      <c r="A9" s="6">
        <v>3</v>
      </c>
      <c r="B9" s="6" t="str">
        <f t="shared" si="0"/>
        <v>DEPRECATED.3</v>
      </c>
      <c r="C9" s="45" t="s">
        <v>40</v>
      </c>
      <c r="D9" s="44" t="s">
        <v>250</v>
      </c>
      <c r="E9" s="36" t="s">
        <v>29</v>
      </c>
      <c r="F9" s="36" t="s">
        <v>60</v>
      </c>
      <c r="G9" s="36" t="s">
        <v>243</v>
      </c>
      <c r="H9" s="36" t="s">
        <v>36</v>
      </c>
      <c r="I9" s="36" t="s">
        <v>9</v>
      </c>
      <c r="J9" s="37" t="s">
        <v>96</v>
      </c>
      <c r="K9" s="37" t="s">
        <v>83</v>
      </c>
      <c r="L9" s="37"/>
      <c r="M9" s="37" t="s">
        <v>36</v>
      </c>
      <c r="N9" s="37" t="s">
        <v>36</v>
      </c>
      <c r="O9" s="37" t="s">
        <v>36</v>
      </c>
      <c r="P9" s="36" t="s">
        <v>245</v>
      </c>
    </row>
    <row r="10" spans="1:16" ht="29" x14ac:dyDescent="0.35">
      <c r="A10" s="6">
        <v>4</v>
      </c>
      <c r="B10" s="6" t="str">
        <f t="shared" si="0"/>
        <v>DEPRECATED.4</v>
      </c>
      <c r="C10" s="45" t="s">
        <v>40</v>
      </c>
      <c r="D10" s="50" t="s">
        <v>251</v>
      </c>
      <c r="E10" s="36" t="s">
        <v>29</v>
      </c>
      <c r="F10" s="36" t="s">
        <v>60</v>
      </c>
      <c r="G10" s="36" t="s">
        <v>243</v>
      </c>
      <c r="H10" s="36" t="s">
        <v>36</v>
      </c>
      <c r="I10" s="36" t="s">
        <v>9</v>
      </c>
      <c r="J10" s="37" t="s">
        <v>96</v>
      </c>
      <c r="K10" s="37" t="s">
        <v>83</v>
      </c>
      <c r="L10" s="37"/>
      <c r="M10" s="37" t="s">
        <v>36</v>
      </c>
      <c r="N10" s="37" t="s">
        <v>36</v>
      </c>
      <c r="O10" s="37" t="s">
        <v>36</v>
      </c>
      <c r="P10" s="36" t="s">
        <v>245</v>
      </c>
    </row>
    <row r="11" spans="1:16" ht="72.5" x14ac:dyDescent="0.35">
      <c r="A11" s="6">
        <v>5</v>
      </c>
      <c r="B11" s="6" t="str">
        <f>CONCATENATE($B$2, ".", A11)</f>
        <v>DEPRECATED.5</v>
      </c>
      <c r="C11" s="45" t="s">
        <v>40</v>
      </c>
      <c r="D11" s="44" t="s">
        <v>255</v>
      </c>
      <c r="E11" s="36" t="s">
        <v>29</v>
      </c>
      <c r="F11" s="36" t="s">
        <v>60</v>
      </c>
      <c r="G11" s="36" t="s">
        <v>243</v>
      </c>
      <c r="H11" s="36" t="s">
        <v>36</v>
      </c>
      <c r="I11" s="36" t="s">
        <v>9</v>
      </c>
      <c r="J11" s="37" t="s">
        <v>96</v>
      </c>
      <c r="K11" s="37" t="s">
        <v>83</v>
      </c>
      <c r="L11" s="37"/>
      <c r="M11" s="37" t="s">
        <v>36</v>
      </c>
      <c r="N11" s="37" t="s">
        <v>36</v>
      </c>
      <c r="O11" s="37" t="s">
        <v>36</v>
      </c>
      <c r="P11" s="36" t="s">
        <v>245</v>
      </c>
    </row>
    <row r="12" spans="1:16" ht="29" x14ac:dyDescent="0.35">
      <c r="A12" s="6">
        <v>6</v>
      </c>
      <c r="B12" s="6" t="str">
        <f t="shared" si="0"/>
        <v>DEPRECATED.6</v>
      </c>
      <c r="C12" s="45" t="s">
        <v>40</v>
      </c>
      <c r="D12" s="44" t="s">
        <v>252</v>
      </c>
      <c r="E12" s="36" t="s">
        <v>29</v>
      </c>
      <c r="F12" s="36" t="s">
        <v>60</v>
      </c>
      <c r="G12" s="36" t="s">
        <v>243</v>
      </c>
      <c r="H12" s="36" t="s">
        <v>36</v>
      </c>
      <c r="I12" s="36" t="s">
        <v>9</v>
      </c>
      <c r="J12" s="37" t="s">
        <v>96</v>
      </c>
      <c r="K12" s="37" t="s">
        <v>83</v>
      </c>
      <c r="L12" s="37"/>
      <c r="M12" s="37" t="s">
        <v>36</v>
      </c>
      <c r="N12" s="37" t="s">
        <v>36</v>
      </c>
      <c r="O12" s="37" t="s">
        <v>253</v>
      </c>
      <c r="P12" s="36" t="s">
        <v>245</v>
      </c>
    </row>
    <row r="13" spans="1:16" ht="73.5" customHeight="1" x14ac:dyDescent="0.35">
      <c r="A13" s="6">
        <v>7</v>
      </c>
      <c r="B13" s="6" t="str">
        <f t="shared" si="0"/>
        <v>DEPRECATED.7</v>
      </c>
      <c r="C13" s="45" t="s">
        <v>40</v>
      </c>
      <c r="D13" s="36" t="s">
        <v>57</v>
      </c>
      <c r="E13" s="36" t="s">
        <v>42</v>
      </c>
      <c r="F13" s="36" t="s">
        <v>36</v>
      </c>
      <c r="G13" s="36" t="s">
        <v>36</v>
      </c>
      <c r="H13" s="36" t="s">
        <v>36</v>
      </c>
      <c r="I13" s="36" t="s">
        <v>9</v>
      </c>
      <c r="J13" s="36" t="s">
        <v>36</v>
      </c>
      <c r="K13" s="36" t="s">
        <v>36</v>
      </c>
      <c r="L13" s="36" t="s">
        <v>36</v>
      </c>
      <c r="M13" s="36" t="s">
        <v>36</v>
      </c>
      <c r="N13" s="36" t="s">
        <v>36</v>
      </c>
      <c r="O13" s="36" t="s">
        <v>254</v>
      </c>
      <c r="P13" s="36"/>
    </row>
    <row r="14" spans="1:16" ht="54" customHeight="1" x14ac:dyDescent="0.35">
      <c r="A14" s="6">
        <v>8</v>
      </c>
      <c r="B14" s="6" t="str">
        <f t="shared" si="0"/>
        <v>DEPRECATED.8</v>
      </c>
      <c r="C14" s="45" t="s">
        <v>40</v>
      </c>
      <c r="D14" s="36" t="s">
        <v>56</v>
      </c>
      <c r="E14" s="36" t="s">
        <v>42</v>
      </c>
      <c r="F14" s="36" t="s">
        <v>36</v>
      </c>
      <c r="G14" s="36" t="s">
        <v>36</v>
      </c>
      <c r="H14" s="36" t="s">
        <v>36</v>
      </c>
      <c r="I14" s="36" t="s">
        <v>9</v>
      </c>
      <c r="J14" s="36" t="s">
        <v>36</v>
      </c>
      <c r="K14" s="36" t="s">
        <v>36</v>
      </c>
      <c r="L14" s="36" t="s">
        <v>36</v>
      </c>
      <c r="M14" s="36" t="s">
        <v>36</v>
      </c>
      <c r="N14" s="36" t="s">
        <v>36</v>
      </c>
      <c r="O14" s="36" t="s">
        <v>244</v>
      </c>
      <c r="P14" s="36"/>
    </row>
    <row r="16" spans="1:16" x14ac:dyDescent="0.35">
      <c r="D16" s="36"/>
    </row>
  </sheetData>
  <mergeCells count="4">
    <mergeCell ref="B1:C1"/>
    <mergeCell ref="B2:C2"/>
    <mergeCell ref="B3:C3"/>
    <mergeCell ref="B4:C4"/>
  </mergeCells>
  <conditionalFormatting sqref="C15:C1048576">
    <cfRule type="cellIs" dxfId="705" priority="34" operator="equal">
      <formula>"WIP (see comments)"</formula>
    </cfRule>
    <cfRule type="cellIs" dxfId="704" priority="35" operator="equal">
      <formula>"Removed"</formula>
    </cfRule>
    <cfRule type="cellIs" dxfId="703" priority="36" operator="equal">
      <formula>"Updated"</formula>
    </cfRule>
    <cfRule type="cellIs" dxfId="702" priority="37" operator="equal">
      <formula>"New"</formula>
    </cfRule>
  </conditionalFormatting>
  <conditionalFormatting sqref="A5:XFD6 A1:B4 D1:XFD4 A7:B14 D7:D8 D11 A15:XFD1048576 Q7:XFD14">
    <cfRule type="cellIs" dxfId="701" priority="33" operator="equal">
      <formula>"n/a"</formula>
    </cfRule>
  </conditionalFormatting>
  <conditionalFormatting sqref="E7:P8">
    <cfRule type="cellIs" dxfId="700" priority="17" operator="equal">
      <formula>"n/a"</formula>
    </cfRule>
  </conditionalFormatting>
  <conditionalFormatting sqref="D9">
    <cfRule type="cellIs" dxfId="699" priority="16" operator="equal">
      <formula>"n/a"</formula>
    </cfRule>
  </conditionalFormatting>
  <conditionalFormatting sqref="P9:P12">
    <cfRule type="cellIs" dxfId="698" priority="15" operator="equal">
      <formula>"n/a"</formula>
    </cfRule>
  </conditionalFormatting>
  <conditionalFormatting sqref="D12:F12 H12:O12">
    <cfRule type="cellIs" dxfId="697" priority="14" operator="equal">
      <formula>"n/a"</formula>
    </cfRule>
  </conditionalFormatting>
  <conditionalFormatting sqref="G12">
    <cfRule type="cellIs" dxfId="696" priority="13" operator="equal">
      <formula>"n/a"</formula>
    </cfRule>
  </conditionalFormatting>
  <conditionalFormatting sqref="E9:F9 H9:O9">
    <cfRule type="cellIs" dxfId="695" priority="12" operator="equal">
      <formula>"n/a"</formula>
    </cfRule>
  </conditionalFormatting>
  <conditionalFormatting sqref="G9">
    <cfRule type="cellIs" dxfId="694" priority="11" operator="equal">
      <formula>"n/a"</formula>
    </cfRule>
  </conditionalFormatting>
  <conditionalFormatting sqref="E10:F10 H10:O10">
    <cfRule type="cellIs" dxfId="693" priority="10" operator="equal">
      <formula>"n/a"</formula>
    </cfRule>
  </conditionalFormatting>
  <conditionalFormatting sqref="G10">
    <cfRule type="cellIs" dxfId="692" priority="9" operator="equal">
      <formula>"n/a"</formula>
    </cfRule>
  </conditionalFormatting>
  <conditionalFormatting sqref="E11:F11 H11:O11">
    <cfRule type="cellIs" dxfId="691" priority="8" operator="equal">
      <formula>"n/a"</formula>
    </cfRule>
  </conditionalFormatting>
  <conditionalFormatting sqref="G11">
    <cfRule type="cellIs" dxfId="690" priority="7" operator="equal">
      <formula>"n/a"</formula>
    </cfRule>
  </conditionalFormatting>
  <conditionalFormatting sqref="D13:P14">
    <cfRule type="cellIs" dxfId="689" priority="6" operator="equal">
      <formula>"n/a"</formula>
    </cfRule>
  </conditionalFormatting>
  <conditionalFormatting sqref="C7:C14">
    <cfRule type="cellIs" dxfId="688" priority="2" operator="equal">
      <formula>"WIP (see comments)"</formula>
    </cfRule>
    <cfRule type="cellIs" dxfId="687" priority="3" operator="equal">
      <formula>"Removed"</formula>
    </cfRule>
    <cfRule type="cellIs" dxfId="686" priority="4" operator="equal">
      <formula>"Updated"</formula>
    </cfRule>
    <cfRule type="cellIs" dxfId="685" priority="5" operator="equal">
      <formula>"New"</formula>
    </cfRule>
  </conditionalFormatting>
  <conditionalFormatting sqref="C7:C14">
    <cfRule type="cellIs" dxfId="684" priority="1" operator="equal">
      <formula>"n/a"</formula>
    </cfRule>
  </conditionalFormatting>
  <dataValidations count="1">
    <dataValidation type="list" allowBlank="1" showInputMessage="1" showErrorMessage="1" sqref="C15:C1048576">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'C:\Users\hicksi\Documents\Small Business DCO\Field Specs\[Small Business DCO Small Business Form Field Spec v0.1 WIP.xlsx]List Values'!#REF!</xm:f>
          </x14:formula1>
          <xm:sqref>E15:E1048576</xm:sqref>
        </x14:dataValidation>
        <x14:dataValidation type="list" allowBlank="1" showInputMessage="1" showErrorMessage="1">
          <x14:formula1>
            <xm:f>'List Values'!$B$5:$B$12</xm:f>
          </x14:formula1>
          <xm:sqref>C7:C14</xm:sqref>
        </x14:dataValidation>
        <x14:dataValidation type="list" allowBlank="1" showInputMessage="1" showErrorMessage="1">
          <x14:formula1>
            <xm:f>'List Values'!$A$5:$A$35</xm:f>
          </x14:formula1>
          <xm:sqref>E7:E14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P14"/>
  <sheetViews>
    <sheetView zoomScaleNormal="100" workbookViewId="0">
      <pane xSplit="4" ySplit="6" topLeftCell="E7" activePane="bottomRight" state="frozen"/>
      <selection pane="topRight" activeCell="E1" sqref="E1"/>
      <selection pane="bottomLeft" activeCell="A7" sqref="A7"/>
      <selection pane="bottomRight"/>
    </sheetView>
  </sheetViews>
  <sheetFormatPr defaultColWidth="9.1796875" defaultRowHeight="14.5" x14ac:dyDescent="0.35"/>
  <cols>
    <col min="1" max="1" width="14.7265625" style="6" customWidth="1"/>
    <col min="2" max="2" width="12.54296875" style="6" customWidth="1"/>
    <col min="3" max="3" width="16.1796875" style="31" customWidth="1"/>
    <col min="4" max="4" width="45.1796875" style="6" customWidth="1"/>
    <col min="5" max="5" width="28.7265625" style="6" customWidth="1"/>
    <col min="6" max="6" width="17" style="6" customWidth="1"/>
    <col min="7" max="7" width="17.72656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163" t="s">
        <v>237</v>
      </c>
      <c r="C1" s="163"/>
      <c r="D1" s="26"/>
    </row>
    <row r="2" spans="1:16" s="27" customFormat="1" ht="18.5" x14ac:dyDescent="0.35">
      <c r="A2" s="25" t="s">
        <v>7</v>
      </c>
      <c r="B2" s="164" t="s">
        <v>314</v>
      </c>
      <c r="C2" s="164"/>
      <c r="D2" s="80"/>
    </row>
    <row r="3" spans="1:16" s="27" customFormat="1" ht="18.5" x14ac:dyDescent="0.35">
      <c r="A3" s="25" t="s">
        <v>43</v>
      </c>
      <c r="B3" s="164" t="s">
        <v>238</v>
      </c>
      <c r="C3" s="164"/>
      <c r="D3" s="80"/>
    </row>
    <row r="4" spans="1:16" s="27" customFormat="1" ht="18.5" x14ac:dyDescent="0.35">
      <c r="A4" s="25" t="s">
        <v>8</v>
      </c>
    </row>
    <row r="5" spans="1:16" s="4" customFormat="1" x14ac:dyDescent="0.35">
      <c r="C5" s="34"/>
    </row>
    <row r="6" spans="1:16" s="28" customFormat="1" ht="15" thickBot="1" x14ac:dyDescent="0.4">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ht="29" x14ac:dyDescent="0.35">
      <c r="A7" s="6">
        <v>1</v>
      </c>
      <c r="B7" s="6" t="str">
        <f t="shared" ref="B7:B14" si="0">CONCATENATE($B$2, ".", A7)</f>
        <v>DEPRECATED.1</v>
      </c>
      <c r="C7" s="45" t="s">
        <v>40</v>
      </c>
      <c r="D7" s="36" t="s">
        <v>257</v>
      </c>
      <c r="E7" s="36" t="s">
        <v>33</v>
      </c>
      <c r="F7" s="36" t="s">
        <v>36</v>
      </c>
      <c r="G7" s="36" t="s">
        <v>36</v>
      </c>
      <c r="H7" s="45" t="s">
        <v>36</v>
      </c>
      <c r="I7" s="36" t="s">
        <v>9</v>
      </c>
      <c r="J7" s="37" t="s">
        <v>36</v>
      </c>
      <c r="K7" s="37" t="s">
        <v>36</v>
      </c>
      <c r="L7" s="37" t="s">
        <v>36</v>
      </c>
      <c r="M7" s="37" t="s">
        <v>36</v>
      </c>
      <c r="N7" s="37" t="s">
        <v>36</v>
      </c>
      <c r="O7" s="37"/>
      <c r="P7" s="36"/>
    </row>
    <row r="8" spans="1:16" ht="29" x14ac:dyDescent="0.35">
      <c r="A8" s="6">
        <v>2</v>
      </c>
      <c r="B8" s="6" t="str">
        <f t="shared" si="0"/>
        <v>DEPRECATED.2</v>
      </c>
      <c r="C8" s="45" t="s">
        <v>40</v>
      </c>
      <c r="D8" s="36" t="s">
        <v>258</v>
      </c>
      <c r="E8" s="36" t="s">
        <v>33</v>
      </c>
      <c r="F8" s="36" t="s">
        <v>36</v>
      </c>
      <c r="G8" s="36" t="s">
        <v>243</v>
      </c>
      <c r="H8" s="45" t="s">
        <v>36</v>
      </c>
      <c r="I8" s="36" t="s">
        <v>9</v>
      </c>
      <c r="J8" s="37" t="s">
        <v>36</v>
      </c>
      <c r="K8" s="37" t="s">
        <v>36</v>
      </c>
      <c r="L8" s="37" t="s">
        <v>36</v>
      </c>
      <c r="M8" s="37" t="s">
        <v>36</v>
      </c>
      <c r="N8" s="37" t="s">
        <v>36</v>
      </c>
      <c r="O8" s="5"/>
    </row>
    <row r="9" spans="1:16" ht="29" x14ac:dyDescent="0.35">
      <c r="A9" s="6">
        <v>3</v>
      </c>
      <c r="B9" s="6" t="str">
        <f t="shared" si="0"/>
        <v>DEPRECATED.3</v>
      </c>
      <c r="C9" s="45" t="s">
        <v>40</v>
      </c>
      <c r="D9" s="36" t="s">
        <v>259</v>
      </c>
      <c r="E9" s="36" t="s">
        <v>33</v>
      </c>
      <c r="F9" s="36" t="s">
        <v>36</v>
      </c>
      <c r="G9" s="36" t="s">
        <v>243</v>
      </c>
      <c r="H9" s="45" t="s">
        <v>36</v>
      </c>
      <c r="I9" s="36" t="s">
        <v>9</v>
      </c>
      <c r="J9" s="37" t="s">
        <v>36</v>
      </c>
      <c r="K9" s="37" t="s">
        <v>36</v>
      </c>
      <c r="L9" s="37" t="s">
        <v>36</v>
      </c>
      <c r="M9" s="37" t="s">
        <v>36</v>
      </c>
      <c r="N9" s="37" t="s">
        <v>36</v>
      </c>
      <c r="O9" s="5"/>
    </row>
    <row r="10" spans="1:16" ht="29" x14ac:dyDescent="0.35">
      <c r="A10" s="6">
        <v>4</v>
      </c>
      <c r="B10" s="6" t="str">
        <f t="shared" si="0"/>
        <v>DEPRECATED.4</v>
      </c>
      <c r="C10" s="45" t="s">
        <v>40</v>
      </c>
      <c r="D10" s="36" t="s">
        <v>260</v>
      </c>
      <c r="E10" s="36" t="s">
        <v>33</v>
      </c>
      <c r="F10" s="36" t="s">
        <v>36</v>
      </c>
      <c r="G10" s="36" t="s">
        <v>243</v>
      </c>
      <c r="H10" s="45" t="s">
        <v>36</v>
      </c>
      <c r="I10" s="36" t="s">
        <v>9</v>
      </c>
      <c r="J10" s="37" t="s">
        <v>36</v>
      </c>
      <c r="K10" s="37" t="s">
        <v>36</v>
      </c>
      <c r="L10" s="37" t="s">
        <v>36</v>
      </c>
      <c r="M10" s="37" t="s">
        <v>36</v>
      </c>
      <c r="N10" s="37" t="s">
        <v>36</v>
      </c>
      <c r="O10" s="5"/>
    </row>
    <row r="11" spans="1:16" ht="29" x14ac:dyDescent="0.35">
      <c r="A11" s="6">
        <v>5</v>
      </c>
      <c r="B11" s="6" t="str">
        <f>CONCATENATE($B$2, ".", A11)</f>
        <v>DEPRECATED.5</v>
      </c>
      <c r="C11" s="45" t="s">
        <v>40</v>
      </c>
      <c r="D11" s="36" t="s">
        <v>261</v>
      </c>
      <c r="E11" s="36" t="s">
        <v>33</v>
      </c>
      <c r="F11" s="36" t="s">
        <v>36</v>
      </c>
      <c r="G11" s="36" t="s">
        <v>243</v>
      </c>
      <c r="H11" s="45" t="s">
        <v>36</v>
      </c>
      <c r="I11" s="36" t="s">
        <v>9</v>
      </c>
      <c r="J11" s="37" t="s">
        <v>36</v>
      </c>
      <c r="K11" s="37" t="s">
        <v>36</v>
      </c>
      <c r="L11" s="37" t="s">
        <v>36</v>
      </c>
      <c r="M11" s="37" t="s">
        <v>36</v>
      </c>
      <c r="N11" s="37" t="s">
        <v>36</v>
      </c>
    </row>
    <row r="12" spans="1:16" ht="29" x14ac:dyDescent="0.35">
      <c r="A12" s="6">
        <v>6</v>
      </c>
      <c r="B12" s="6" t="str">
        <f t="shared" si="0"/>
        <v>DEPRECATED.6</v>
      </c>
      <c r="C12" s="45" t="s">
        <v>40</v>
      </c>
      <c r="D12" s="36" t="s">
        <v>262</v>
      </c>
      <c r="E12" s="36" t="s">
        <v>33</v>
      </c>
      <c r="F12" s="36" t="s">
        <v>36</v>
      </c>
      <c r="G12" s="36" t="s">
        <v>243</v>
      </c>
      <c r="H12" s="45" t="s">
        <v>36</v>
      </c>
      <c r="I12" s="36" t="s">
        <v>9</v>
      </c>
      <c r="J12" s="37" t="s">
        <v>36</v>
      </c>
      <c r="K12" s="37" t="s">
        <v>36</v>
      </c>
      <c r="L12" s="37" t="s">
        <v>36</v>
      </c>
      <c r="M12" s="37" t="s">
        <v>36</v>
      </c>
      <c r="N12" s="37" t="s">
        <v>36</v>
      </c>
    </row>
    <row r="13" spans="1:16" ht="91.5" customHeight="1" x14ac:dyDescent="0.35">
      <c r="A13" s="6">
        <v>7</v>
      </c>
      <c r="B13" s="6" t="str">
        <f t="shared" si="0"/>
        <v>DEPRECATED.7</v>
      </c>
      <c r="C13" s="45" t="s">
        <v>40</v>
      </c>
      <c r="D13" s="36"/>
    </row>
    <row r="14" spans="1:16" ht="91.5" customHeight="1" x14ac:dyDescent="0.35">
      <c r="A14" s="6">
        <v>8</v>
      </c>
      <c r="B14" s="6" t="str">
        <f t="shared" si="0"/>
        <v>DEPRECATED.8</v>
      </c>
      <c r="C14" s="45" t="s">
        <v>40</v>
      </c>
      <c r="D14" s="36"/>
    </row>
  </sheetData>
  <mergeCells count="3">
    <mergeCell ref="B1:C1"/>
    <mergeCell ref="B2:C2"/>
    <mergeCell ref="B3:C3"/>
  </mergeCells>
  <conditionalFormatting sqref="C15:C1048576">
    <cfRule type="cellIs" dxfId="683" priority="13" operator="equal">
      <formula>"WIP (see comments)"</formula>
    </cfRule>
    <cfRule type="cellIs" dxfId="682" priority="14" operator="equal">
      <formula>"Removed"</formula>
    </cfRule>
    <cfRule type="cellIs" dxfId="681" priority="15" operator="equal">
      <formula>"Updated"</formula>
    </cfRule>
    <cfRule type="cellIs" dxfId="680" priority="16" operator="equal">
      <formula>"New"</formula>
    </cfRule>
  </conditionalFormatting>
  <conditionalFormatting sqref="A5:XFD6 A1:B4 D1:XFD4 A15:XFD1048576 A7:B14 D13:XFD14 Q7:XFD7 D7:D12 O8:XFD12">
    <cfRule type="cellIs" dxfId="679" priority="12" operator="equal">
      <formula>"n/a"</formula>
    </cfRule>
  </conditionalFormatting>
  <conditionalFormatting sqref="E7:P7 E8:N12">
    <cfRule type="cellIs" dxfId="678" priority="6" operator="equal">
      <formula>"n/a"</formula>
    </cfRule>
  </conditionalFormatting>
  <conditionalFormatting sqref="C7:C14">
    <cfRule type="cellIs" dxfId="677" priority="2" operator="equal">
      <formula>"WIP (see comments)"</formula>
    </cfRule>
    <cfRule type="cellIs" dxfId="676" priority="3" operator="equal">
      <formula>"Removed"</formula>
    </cfRule>
    <cfRule type="cellIs" dxfId="675" priority="4" operator="equal">
      <formula>"Updated"</formula>
    </cfRule>
    <cfRule type="cellIs" dxfId="674" priority="5" operator="equal">
      <formula>"New"</formula>
    </cfRule>
  </conditionalFormatting>
  <conditionalFormatting sqref="C7:C14">
    <cfRule type="cellIs" dxfId="673" priority="1" operator="equal">
      <formula>"n/a"</formula>
    </cfRule>
  </conditionalFormatting>
  <dataValidations count="1">
    <dataValidation type="list" allowBlank="1" showInputMessage="1" showErrorMessage="1" sqref="C15:C1048576">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'C:\Users\hicksi\Documents\Small Business DCO\Field Specs\[Small Business DCO Small Business Form Field Spec v0.1 WIP.xlsx]List Values'!#REF!</xm:f>
          </x14:formula1>
          <xm:sqref>E13:E1048576</xm:sqref>
        </x14:dataValidation>
        <x14:dataValidation type="list" allowBlank="1" showInputMessage="1" showErrorMessage="1">
          <x14:formula1>
            <xm:f>'List Values'!$B$5:$B$12</xm:f>
          </x14:formula1>
          <xm:sqref>C7:C14</xm:sqref>
        </x14:dataValidation>
        <x14:dataValidation type="list" allowBlank="1" showInputMessage="1" showErrorMessage="1">
          <x14:formula1>
            <xm:f>'List Values'!$A$5:$A$35</xm:f>
          </x14:formula1>
          <xm:sqref>E7:E12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1"/>
  <sheetViews>
    <sheetView workbookViewId="0">
      <pane xSplit="4" ySplit="6" topLeftCell="J7" activePane="bottomRight" state="frozen"/>
      <selection activeCell="O8" sqref="O8"/>
      <selection pane="topRight" activeCell="O8" sqref="O8"/>
      <selection pane="bottomLeft" activeCell="O8" sqref="O8"/>
      <selection pane="bottomRight" activeCell="A13" sqref="A13"/>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31" bestFit="1"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163" t="s">
        <v>215</v>
      </c>
      <c r="C1" s="163"/>
      <c r="D1" s="26"/>
      <c r="H1" s="32"/>
    </row>
    <row r="2" spans="1:16" s="27" customFormat="1" ht="18.5" x14ac:dyDescent="0.35">
      <c r="A2" s="25" t="s">
        <v>7</v>
      </c>
      <c r="B2" s="33">
        <v>5</v>
      </c>
      <c r="C2" s="32"/>
      <c r="D2" s="33"/>
      <c r="H2" s="32"/>
    </row>
    <row r="3" spans="1:16" s="27" customFormat="1" ht="18.5" x14ac:dyDescent="0.35">
      <c r="A3" s="25" t="s">
        <v>43</v>
      </c>
      <c r="B3" s="33" t="s">
        <v>295</v>
      </c>
      <c r="C3" s="32"/>
      <c r="D3" s="33" t="s">
        <v>297</v>
      </c>
      <c r="H3" s="32"/>
    </row>
    <row r="4" spans="1:16" s="27" customFormat="1" ht="18.5" x14ac:dyDescent="0.35">
      <c r="A4" s="25" t="s">
        <v>8</v>
      </c>
      <c r="B4" s="164" t="s">
        <v>46</v>
      </c>
      <c r="C4" s="164"/>
      <c r="H4" s="32"/>
    </row>
    <row r="5" spans="1:16" s="4" customFormat="1" x14ac:dyDescent="0.35">
      <c r="C5" s="34"/>
      <c r="H5" s="34"/>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s="36" customFormat="1" x14ac:dyDescent="0.35">
      <c r="A7" s="36">
        <v>1</v>
      </c>
      <c r="B7" s="36" t="str">
        <f t="shared" ref="B7:B8" si="0">CONCATENATE($B$2, ".", A7)</f>
        <v>5.1</v>
      </c>
      <c r="C7" s="45" t="s">
        <v>39</v>
      </c>
      <c r="D7" s="36" t="s">
        <v>336</v>
      </c>
      <c r="E7" s="36" t="s">
        <v>115</v>
      </c>
      <c r="F7" s="36" t="s">
        <v>36</v>
      </c>
      <c r="G7" s="36" t="s">
        <v>36</v>
      </c>
      <c r="H7" s="45" t="s">
        <v>36</v>
      </c>
      <c r="I7" s="36" t="s">
        <v>9</v>
      </c>
      <c r="J7" s="37" t="s">
        <v>36</v>
      </c>
      <c r="K7" s="37" t="s">
        <v>36</v>
      </c>
      <c r="L7" s="37" t="s">
        <v>36</v>
      </c>
      <c r="M7" s="37" t="s">
        <v>36</v>
      </c>
      <c r="N7" s="37" t="s">
        <v>36</v>
      </c>
      <c r="O7" s="37" t="s">
        <v>36</v>
      </c>
    </row>
    <row r="8" spans="1:16" s="36" customFormat="1" ht="29" x14ac:dyDescent="0.35">
      <c r="A8" s="36">
        <v>2</v>
      </c>
      <c r="B8" s="36" t="str">
        <f t="shared" si="0"/>
        <v>5.2</v>
      </c>
      <c r="C8" s="45" t="s">
        <v>44</v>
      </c>
      <c r="D8" s="36" t="s">
        <v>36</v>
      </c>
      <c r="E8" s="36" t="s">
        <v>48</v>
      </c>
      <c r="F8" s="36" t="s">
        <v>36</v>
      </c>
      <c r="G8" s="36" t="s">
        <v>36</v>
      </c>
      <c r="H8" s="45" t="s">
        <v>36</v>
      </c>
      <c r="I8" s="36" t="s">
        <v>9</v>
      </c>
      <c r="J8" s="37" t="s">
        <v>36</v>
      </c>
      <c r="K8" s="37" t="s">
        <v>36</v>
      </c>
      <c r="L8" s="37" t="s">
        <v>36</v>
      </c>
      <c r="M8" s="37" t="s">
        <v>36</v>
      </c>
      <c r="N8" s="37" t="s">
        <v>36</v>
      </c>
      <c r="O8" s="37" t="s">
        <v>36</v>
      </c>
      <c r="P8" s="36" t="s">
        <v>347</v>
      </c>
    </row>
    <row r="9" spans="1:16" s="36" customFormat="1" ht="43.5" x14ac:dyDescent="0.35">
      <c r="A9" s="36">
        <v>3</v>
      </c>
      <c r="B9" s="36" t="str">
        <f>CONCATENATE($B$2, ".", A9)</f>
        <v>5.3</v>
      </c>
      <c r="C9" s="45" t="s">
        <v>39</v>
      </c>
      <c r="D9" s="36" t="s">
        <v>352</v>
      </c>
      <c r="E9" s="36" t="s">
        <v>28</v>
      </c>
      <c r="F9" s="36" t="s">
        <v>36</v>
      </c>
      <c r="G9" s="36" t="s">
        <v>36</v>
      </c>
      <c r="H9" s="45" t="s">
        <v>36</v>
      </c>
      <c r="I9" s="36" t="s">
        <v>9</v>
      </c>
      <c r="J9" s="37" t="s">
        <v>36</v>
      </c>
      <c r="K9" s="37" t="s">
        <v>36</v>
      </c>
      <c r="L9" s="37" t="s">
        <v>36</v>
      </c>
      <c r="M9" s="37" t="s">
        <v>36</v>
      </c>
      <c r="N9" s="37" t="s">
        <v>36</v>
      </c>
      <c r="O9" s="37" t="s">
        <v>36</v>
      </c>
    </row>
    <row r="10" spans="1:16" s="36" customFormat="1" ht="72.5" x14ac:dyDescent="0.35">
      <c r="A10" s="36">
        <v>4</v>
      </c>
      <c r="B10" s="36" t="str">
        <f t="shared" ref="B10:B11" si="1">CONCATENATE($B$2, ".", A10)</f>
        <v>5.4</v>
      </c>
      <c r="C10" s="45" t="s">
        <v>39</v>
      </c>
      <c r="D10" s="44" t="s">
        <v>298</v>
      </c>
      <c r="E10" s="36" t="s">
        <v>33</v>
      </c>
      <c r="F10" s="36" t="s">
        <v>36</v>
      </c>
      <c r="G10" s="36" t="s">
        <v>36</v>
      </c>
      <c r="H10" s="45" t="s">
        <v>36</v>
      </c>
      <c r="I10" s="36" t="s">
        <v>9</v>
      </c>
      <c r="J10" s="37" t="s">
        <v>36</v>
      </c>
      <c r="K10" s="37" t="s">
        <v>36</v>
      </c>
      <c r="L10" s="37" t="s">
        <v>36</v>
      </c>
      <c r="M10" s="37" t="s">
        <v>36</v>
      </c>
      <c r="N10" s="37" t="s">
        <v>36</v>
      </c>
      <c r="O10" s="37"/>
    </row>
    <row r="11" spans="1:16" s="36" customFormat="1" ht="29" x14ac:dyDescent="0.35">
      <c r="A11" s="36">
        <v>5</v>
      </c>
      <c r="B11" s="36" t="str">
        <f t="shared" si="1"/>
        <v>5.5</v>
      </c>
      <c r="C11" s="45" t="s">
        <v>39</v>
      </c>
      <c r="D11" s="37" t="s">
        <v>351</v>
      </c>
      <c r="E11" s="36" t="s">
        <v>29</v>
      </c>
      <c r="F11" s="36" t="s">
        <v>60</v>
      </c>
      <c r="G11" s="36" t="s">
        <v>36</v>
      </c>
      <c r="H11" s="45" t="s">
        <v>36</v>
      </c>
      <c r="I11" s="36" t="s">
        <v>9</v>
      </c>
      <c r="J11" s="37" t="s">
        <v>96</v>
      </c>
      <c r="K11" s="37" t="s">
        <v>53</v>
      </c>
      <c r="L11" s="37" t="s">
        <v>639</v>
      </c>
      <c r="M11" s="37" t="s">
        <v>36</v>
      </c>
      <c r="N11" s="37" t="s">
        <v>36</v>
      </c>
      <c r="O11" s="37" t="s">
        <v>98</v>
      </c>
    </row>
    <row r="12" spans="1:16" s="36" customFormat="1" ht="29" x14ac:dyDescent="0.35">
      <c r="A12" s="36">
        <v>6</v>
      </c>
      <c r="B12" s="36" t="str">
        <f t="shared" ref="B12:B13" si="2">CONCATENATE($B$2, ".", A12)</f>
        <v>5.6</v>
      </c>
      <c r="C12" s="45" t="s">
        <v>39</v>
      </c>
      <c r="D12" s="36" t="s">
        <v>57</v>
      </c>
      <c r="E12" s="36" t="s">
        <v>42</v>
      </c>
      <c r="F12" s="36" t="s">
        <v>36</v>
      </c>
      <c r="G12" s="36" t="s">
        <v>36</v>
      </c>
      <c r="H12" s="45" t="s">
        <v>36</v>
      </c>
      <c r="I12" s="36" t="s">
        <v>9</v>
      </c>
      <c r="J12" s="36" t="s">
        <v>36</v>
      </c>
      <c r="K12" s="36" t="s">
        <v>36</v>
      </c>
      <c r="L12" s="36" t="s">
        <v>36</v>
      </c>
      <c r="M12" s="36" t="s">
        <v>36</v>
      </c>
      <c r="N12" s="36" t="s">
        <v>36</v>
      </c>
      <c r="O12" s="36" t="s">
        <v>301</v>
      </c>
    </row>
    <row r="13" spans="1:16" s="36" customFormat="1" ht="29" x14ac:dyDescent="0.35">
      <c r="A13" s="36">
        <v>7</v>
      </c>
      <c r="B13" s="36" t="str">
        <f t="shared" si="2"/>
        <v>5.7</v>
      </c>
      <c r="C13" s="45" t="s">
        <v>37</v>
      </c>
      <c r="D13" s="36" t="s">
        <v>56</v>
      </c>
      <c r="E13" s="36" t="s">
        <v>42</v>
      </c>
      <c r="F13" s="36" t="s">
        <v>36</v>
      </c>
      <c r="G13" s="36" t="s">
        <v>36</v>
      </c>
      <c r="H13" s="45" t="s">
        <v>36</v>
      </c>
      <c r="I13" s="36" t="s">
        <v>9</v>
      </c>
      <c r="J13" s="36" t="s">
        <v>36</v>
      </c>
      <c r="K13" s="36" t="s">
        <v>36</v>
      </c>
      <c r="L13" s="36" t="s">
        <v>36</v>
      </c>
      <c r="M13" s="36" t="s">
        <v>36</v>
      </c>
      <c r="N13" s="36" t="s">
        <v>36</v>
      </c>
      <c r="O13" s="36" t="s">
        <v>889</v>
      </c>
    </row>
    <row r="14" spans="1:16" x14ac:dyDescent="0.35">
      <c r="I14" s="36"/>
      <c r="J14" s="5"/>
      <c r="K14" s="5"/>
      <c r="L14" s="37"/>
      <c r="M14" s="37"/>
      <c r="N14" s="37"/>
      <c r="O14" s="37"/>
    </row>
    <row r="15" spans="1:16" x14ac:dyDescent="0.35">
      <c r="D15" s="6" t="s">
        <v>68</v>
      </c>
      <c r="I15" s="36"/>
      <c r="J15" s="5"/>
      <c r="K15" s="5"/>
      <c r="L15" s="37"/>
      <c r="M15" s="37"/>
      <c r="N15" s="37"/>
      <c r="O15" s="37"/>
    </row>
    <row r="16" spans="1:16" x14ac:dyDescent="0.35">
      <c r="I16" s="36"/>
      <c r="J16" s="5"/>
      <c r="K16" s="5"/>
      <c r="L16" s="37"/>
      <c r="M16" s="37"/>
      <c r="N16" s="37"/>
      <c r="O16" s="37"/>
    </row>
    <row r="17" spans="9:15" x14ac:dyDescent="0.35">
      <c r="I17" s="36"/>
      <c r="J17" s="5"/>
      <c r="K17" s="5"/>
      <c r="L17" s="37"/>
      <c r="M17" s="37"/>
      <c r="N17" s="37"/>
      <c r="O17" s="37"/>
    </row>
    <row r="18" spans="9:15" x14ac:dyDescent="0.35">
      <c r="I18" s="36"/>
      <c r="J18" s="5"/>
      <c r="K18" s="5"/>
      <c r="L18" s="37"/>
      <c r="M18" s="37"/>
      <c r="N18" s="37"/>
      <c r="O18" s="37"/>
    </row>
    <row r="19" spans="9:15" x14ac:dyDescent="0.35">
      <c r="I19" s="36"/>
      <c r="J19" s="5"/>
      <c r="K19" s="5"/>
      <c r="L19" s="37"/>
      <c r="M19" s="37"/>
      <c r="N19" s="37"/>
      <c r="O19" s="37"/>
    </row>
    <row r="20" spans="9:15" x14ac:dyDescent="0.35">
      <c r="I20" s="36"/>
      <c r="J20" s="5"/>
      <c r="K20" s="5"/>
      <c r="L20" s="37"/>
      <c r="M20" s="37"/>
      <c r="N20" s="37"/>
      <c r="O20" s="37"/>
    </row>
    <row r="21" spans="9:15" x14ac:dyDescent="0.35">
      <c r="I21" s="36"/>
      <c r="J21" s="5"/>
      <c r="K21" s="5"/>
      <c r="L21" s="37"/>
      <c r="M21" s="37"/>
      <c r="N21" s="37"/>
      <c r="O21" s="37"/>
    </row>
  </sheetData>
  <autoFilter ref="A6:P13"/>
  <mergeCells count="2">
    <mergeCell ref="B1:C1"/>
    <mergeCell ref="B4:C4"/>
  </mergeCells>
  <conditionalFormatting sqref="C7:C1048576">
    <cfRule type="cellIs" dxfId="672" priority="16" operator="equal">
      <formula>"WIP (see comments)"</formula>
    </cfRule>
    <cfRule type="cellIs" dxfId="671" priority="17" operator="equal">
      <formula>"Removed"</formula>
    </cfRule>
    <cfRule type="cellIs" dxfId="670" priority="18" operator="equal">
      <formula>"Updated"</formula>
    </cfRule>
    <cfRule type="cellIs" dxfId="669" priority="19" operator="equal">
      <formula>"New"</formula>
    </cfRule>
  </conditionalFormatting>
  <conditionalFormatting sqref="A2:XFD3 A4 D4:XFD4 A1:B1 E1:XFD1 A5:XFD1048576">
    <cfRule type="cellIs" dxfId="668" priority="11" operator="equal">
      <formula>"n/a"</formula>
    </cfRule>
  </conditionalFormatting>
  <conditionalFormatting sqref="B4">
    <cfRule type="cellIs" dxfId="667" priority="10" operator="equal">
      <formula>"n/a"</formula>
    </cfRule>
  </conditionalFormatting>
  <dataValidations count="1">
    <dataValidation type="list" allowBlank="1" showInputMessage="1" showErrorMessage="1" sqref="C14:C1048576">
      <formula1>$B$5:$B$10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C7:C13</xm:sqref>
        </x14:dataValidation>
        <x14:dataValidation type="list" allowBlank="1" showInputMessage="1" showErrorMessage="1">
          <x14:formula1>
            <xm:f>'List Values'!$A$5:$A$35</xm:f>
          </x14:formula1>
          <xm:sqref>E7:E1048576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2"/>
  <sheetViews>
    <sheetView workbookViewId="0">
      <pane xSplit="4" ySplit="6" topLeftCell="E7" activePane="bottomRight" state="frozen"/>
      <selection activeCell="O8" sqref="O8"/>
      <selection pane="topRight" activeCell="O8" sqref="O8"/>
      <selection pane="bottomLeft" activeCell="O8" sqref="O8"/>
      <selection pane="bottomRight" activeCell="A11" sqref="A11"/>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2695312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299</v>
      </c>
      <c r="C1" s="35"/>
      <c r="D1" s="26"/>
    </row>
    <row r="2" spans="1:16" s="27" customFormat="1" ht="18.5" x14ac:dyDescent="0.35">
      <c r="A2" s="25" t="s">
        <v>7</v>
      </c>
      <c r="B2" s="33">
        <v>6</v>
      </c>
      <c r="C2" s="32"/>
      <c r="D2" s="33"/>
    </row>
    <row r="3" spans="1:16" s="27" customFormat="1" ht="18.5" x14ac:dyDescent="0.35">
      <c r="A3" s="25" t="s">
        <v>43</v>
      </c>
      <c r="B3" s="33" t="s">
        <v>300</v>
      </c>
      <c r="C3" s="32"/>
      <c r="D3" s="33" t="s">
        <v>338</v>
      </c>
    </row>
    <row r="4" spans="1:16" s="27" customFormat="1" ht="18.5" x14ac:dyDescent="0.35">
      <c r="A4" s="25" t="s">
        <v>8</v>
      </c>
      <c r="B4" s="164" t="s">
        <v>46</v>
      </c>
      <c r="C4" s="164"/>
    </row>
    <row r="5" spans="1:16" s="4" customFormat="1" x14ac:dyDescent="0.35">
      <c r="C5" s="34"/>
    </row>
    <row r="6" spans="1:16" s="28" customFormat="1" ht="15" thickBot="1" x14ac:dyDescent="0.4">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s="46" customFormat="1" x14ac:dyDescent="0.35">
      <c r="A7" s="46">
        <v>1</v>
      </c>
      <c r="B7" s="46" t="str">
        <f>CONCATENATE($B$2, ".", A7)</f>
        <v>6.1</v>
      </c>
      <c r="C7" s="71" t="s">
        <v>39</v>
      </c>
      <c r="D7" s="48" t="s">
        <v>337</v>
      </c>
      <c r="E7" s="46" t="s">
        <v>115</v>
      </c>
      <c r="F7" s="46" t="s">
        <v>36</v>
      </c>
      <c r="G7" s="46" t="s">
        <v>36</v>
      </c>
      <c r="H7" s="46" t="s">
        <v>36</v>
      </c>
      <c r="I7" s="48" t="s">
        <v>9</v>
      </c>
      <c r="J7" s="46" t="s">
        <v>36</v>
      </c>
      <c r="K7" s="46" t="s">
        <v>36</v>
      </c>
      <c r="L7" s="46" t="s">
        <v>36</v>
      </c>
      <c r="M7" s="46" t="s">
        <v>36</v>
      </c>
      <c r="N7" s="46" t="s">
        <v>36</v>
      </c>
      <c r="O7" s="46" t="s">
        <v>36</v>
      </c>
    </row>
    <row r="8" spans="1:16" s="46" customFormat="1" ht="29" x14ac:dyDescent="0.35">
      <c r="A8" s="46">
        <v>2</v>
      </c>
      <c r="B8" s="46" t="str">
        <f t="shared" ref="B8:B9" si="0">CONCATENATE($B$2, ".", A8)</f>
        <v>6.2</v>
      </c>
      <c r="C8" s="71" t="s">
        <v>44</v>
      </c>
      <c r="D8" s="48" t="s">
        <v>36</v>
      </c>
      <c r="E8" s="48" t="s">
        <v>48</v>
      </c>
      <c r="F8" s="46" t="s">
        <v>36</v>
      </c>
      <c r="G8" s="46" t="s">
        <v>36</v>
      </c>
      <c r="H8" s="46" t="s">
        <v>36</v>
      </c>
      <c r="I8" s="48" t="s">
        <v>9</v>
      </c>
      <c r="J8" s="46" t="s">
        <v>36</v>
      </c>
      <c r="K8" s="46" t="s">
        <v>36</v>
      </c>
      <c r="L8" s="46" t="s">
        <v>36</v>
      </c>
      <c r="M8" s="46" t="s">
        <v>36</v>
      </c>
      <c r="N8" s="46" t="s">
        <v>36</v>
      </c>
      <c r="O8" s="46" t="s">
        <v>36</v>
      </c>
      <c r="P8" s="36" t="s">
        <v>347</v>
      </c>
    </row>
    <row r="9" spans="1:16" s="46" customFormat="1" ht="53" customHeight="1" x14ac:dyDescent="0.35">
      <c r="A9" s="46">
        <v>3</v>
      </c>
      <c r="B9" s="46" t="str">
        <f t="shared" si="0"/>
        <v>6.3</v>
      </c>
      <c r="C9" s="87" t="s">
        <v>39</v>
      </c>
      <c r="D9" s="48" t="s">
        <v>911</v>
      </c>
      <c r="E9" s="48" t="s">
        <v>28</v>
      </c>
      <c r="F9" s="46" t="s">
        <v>36</v>
      </c>
      <c r="G9" s="46" t="s">
        <v>36</v>
      </c>
      <c r="H9" s="46" t="s">
        <v>36</v>
      </c>
      <c r="I9" s="48" t="s">
        <v>9</v>
      </c>
      <c r="J9" s="46" t="s">
        <v>36</v>
      </c>
      <c r="K9" s="46" t="s">
        <v>36</v>
      </c>
      <c r="L9" s="46" t="s">
        <v>36</v>
      </c>
      <c r="M9" s="46" t="s">
        <v>36</v>
      </c>
      <c r="N9" s="46" t="s">
        <v>36</v>
      </c>
      <c r="O9" s="46" t="s">
        <v>36</v>
      </c>
      <c r="P9" s="36"/>
    </row>
    <row r="10" spans="1:16" s="36" customFormat="1" ht="174" x14ac:dyDescent="0.35">
      <c r="A10" s="46">
        <v>4</v>
      </c>
      <c r="B10" s="36" t="str">
        <f t="shared" ref="B10:B11" si="1">CONCATENATE($B$2, ".", A10)</f>
        <v>6.4</v>
      </c>
      <c r="C10" s="141" t="s">
        <v>39</v>
      </c>
      <c r="D10" s="44" t="s">
        <v>912</v>
      </c>
      <c r="E10" s="36" t="s">
        <v>33</v>
      </c>
      <c r="F10" s="36" t="s">
        <v>36</v>
      </c>
      <c r="G10" s="46" t="s">
        <v>36</v>
      </c>
      <c r="H10" s="38" t="s">
        <v>36</v>
      </c>
      <c r="I10" s="36" t="s">
        <v>9</v>
      </c>
      <c r="J10" s="37" t="s">
        <v>36</v>
      </c>
      <c r="K10" s="37" t="s">
        <v>36</v>
      </c>
      <c r="L10" s="37" t="s">
        <v>36</v>
      </c>
      <c r="M10" s="37" t="s">
        <v>36</v>
      </c>
      <c r="N10" s="37" t="s">
        <v>36</v>
      </c>
      <c r="O10" s="37" t="s">
        <v>36</v>
      </c>
    </row>
    <row r="11" spans="1:16" s="36" customFormat="1" ht="116" x14ac:dyDescent="0.35">
      <c r="A11" s="46">
        <v>5</v>
      </c>
      <c r="B11" s="36" t="str">
        <f t="shared" si="1"/>
        <v>6.5</v>
      </c>
      <c r="C11" s="45" t="s">
        <v>37</v>
      </c>
      <c r="D11" s="44" t="s">
        <v>629</v>
      </c>
      <c r="E11" s="36" t="s">
        <v>31</v>
      </c>
      <c r="F11" s="36" t="s">
        <v>630</v>
      </c>
      <c r="G11" s="48" t="s">
        <v>631</v>
      </c>
      <c r="H11" s="38" t="s">
        <v>36</v>
      </c>
      <c r="I11" s="36" t="s">
        <v>9</v>
      </c>
      <c r="J11" s="37" t="s">
        <v>466</v>
      </c>
      <c r="K11" s="36" t="s">
        <v>53</v>
      </c>
      <c r="L11" s="37" t="s">
        <v>822</v>
      </c>
      <c r="M11" s="37" t="s">
        <v>36</v>
      </c>
      <c r="N11" s="37" t="s">
        <v>36</v>
      </c>
      <c r="O11" s="36" t="s">
        <v>36</v>
      </c>
      <c r="P11" s="36" t="s">
        <v>823</v>
      </c>
    </row>
    <row r="12" spans="1:16" s="36" customFormat="1" ht="72.5" x14ac:dyDescent="0.35">
      <c r="A12" s="46">
        <v>6</v>
      </c>
      <c r="B12" s="36" t="str">
        <f t="shared" ref="B12:B13" si="2">CONCATENATE($B$2, ".", A12)</f>
        <v>6.6</v>
      </c>
      <c r="C12" s="45" t="s">
        <v>39</v>
      </c>
      <c r="D12" s="36" t="s">
        <v>57</v>
      </c>
      <c r="E12" s="36" t="s">
        <v>42</v>
      </c>
      <c r="F12" s="36" t="s">
        <v>36</v>
      </c>
      <c r="G12" s="36" t="s">
        <v>36</v>
      </c>
      <c r="H12" s="38" t="s">
        <v>36</v>
      </c>
      <c r="I12" s="36" t="s">
        <v>9</v>
      </c>
      <c r="J12" s="36" t="s">
        <v>36</v>
      </c>
      <c r="K12" s="36" t="s">
        <v>36</v>
      </c>
      <c r="L12" s="36" t="s">
        <v>36</v>
      </c>
      <c r="M12" s="36" t="s">
        <v>36</v>
      </c>
      <c r="N12" s="36" t="s">
        <v>36</v>
      </c>
      <c r="O12" s="36" t="s">
        <v>824</v>
      </c>
    </row>
    <row r="13" spans="1:16" s="36" customFormat="1" x14ac:dyDescent="0.35">
      <c r="A13" s="46">
        <v>7</v>
      </c>
      <c r="B13" s="36" t="str">
        <f t="shared" si="2"/>
        <v>6.7</v>
      </c>
      <c r="C13" s="45" t="s">
        <v>39</v>
      </c>
      <c r="D13" s="36" t="s">
        <v>56</v>
      </c>
      <c r="E13" s="36" t="s">
        <v>42</v>
      </c>
      <c r="F13" s="36" t="s">
        <v>36</v>
      </c>
      <c r="G13" s="36" t="s">
        <v>36</v>
      </c>
      <c r="H13" s="46" t="s">
        <v>36</v>
      </c>
      <c r="I13" s="36" t="s">
        <v>9</v>
      </c>
      <c r="J13" s="36" t="s">
        <v>36</v>
      </c>
      <c r="K13" s="36" t="s">
        <v>36</v>
      </c>
      <c r="L13" s="36" t="s">
        <v>36</v>
      </c>
      <c r="M13" s="36" t="s">
        <v>36</v>
      </c>
      <c r="N13" s="36" t="s">
        <v>36</v>
      </c>
      <c r="O13" s="36" t="s">
        <v>359</v>
      </c>
    </row>
    <row r="14" spans="1:16" x14ac:dyDescent="0.35">
      <c r="I14" s="36"/>
      <c r="J14" s="5"/>
      <c r="K14" s="5"/>
      <c r="L14" s="37"/>
      <c r="M14" s="37"/>
      <c r="N14" s="37"/>
      <c r="O14" s="37"/>
    </row>
    <row r="15" spans="1:16" x14ac:dyDescent="0.35">
      <c r="I15" s="36"/>
      <c r="J15" s="5"/>
      <c r="K15" s="5"/>
      <c r="L15" s="37"/>
      <c r="M15" s="37"/>
      <c r="N15" s="37"/>
      <c r="O15" s="37"/>
    </row>
    <row r="16" spans="1:16" x14ac:dyDescent="0.35">
      <c r="I16" s="36"/>
      <c r="J16" s="5"/>
      <c r="K16" s="5"/>
      <c r="L16" s="37"/>
      <c r="M16" s="37"/>
      <c r="N16" s="37"/>
      <c r="O16" s="37"/>
    </row>
    <row r="17" spans="9:15" x14ac:dyDescent="0.35">
      <c r="I17" s="36"/>
      <c r="J17" s="5"/>
      <c r="K17" s="5"/>
      <c r="L17" s="37"/>
      <c r="M17" s="37"/>
      <c r="N17" s="37"/>
      <c r="O17" s="37"/>
    </row>
    <row r="18" spans="9:15" x14ac:dyDescent="0.35">
      <c r="I18" s="36"/>
      <c r="J18" s="5"/>
      <c r="K18" s="5"/>
      <c r="L18" s="37"/>
      <c r="M18" s="37"/>
      <c r="N18" s="37"/>
      <c r="O18" s="37"/>
    </row>
    <row r="19" spans="9:15" x14ac:dyDescent="0.35">
      <c r="I19" s="36"/>
      <c r="J19" s="5"/>
      <c r="K19" s="5"/>
      <c r="L19" s="37"/>
      <c r="M19" s="37"/>
      <c r="N19" s="37"/>
      <c r="O19" s="37"/>
    </row>
    <row r="20" spans="9:15" x14ac:dyDescent="0.35">
      <c r="I20" s="36"/>
      <c r="J20" s="5"/>
      <c r="K20" s="5"/>
      <c r="L20" s="37"/>
      <c r="M20" s="37"/>
      <c r="N20" s="37"/>
      <c r="O20" s="37"/>
    </row>
    <row r="21" spans="9:15" x14ac:dyDescent="0.35">
      <c r="I21" s="36"/>
      <c r="J21" s="5"/>
      <c r="K21" s="5"/>
      <c r="L21" s="37"/>
      <c r="M21" s="37"/>
      <c r="N21" s="37"/>
      <c r="O21" s="37"/>
    </row>
    <row r="22" spans="9:15" x14ac:dyDescent="0.35">
      <c r="I22" s="36"/>
      <c r="J22" s="5"/>
      <c r="K22" s="5"/>
      <c r="L22" s="37"/>
      <c r="M22" s="37"/>
      <c r="N22" s="37"/>
      <c r="O22" s="37"/>
    </row>
  </sheetData>
  <mergeCells count="1">
    <mergeCell ref="B4:C4"/>
  </mergeCells>
  <conditionalFormatting sqref="C14:C1048576 C7:C12">
    <cfRule type="cellIs" dxfId="666" priority="33" operator="equal">
      <formula>"WIP (see comments)"</formula>
    </cfRule>
    <cfRule type="cellIs" dxfId="665" priority="34" operator="equal">
      <formula>"Removed"</formula>
    </cfRule>
    <cfRule type="cellIs" dxfId="664" priority="35" operator="equal">
      <formula>"Updated"</formula>
    </cfRule>
    <cfRule type="cellIs" dxfId="663" priority="36" operator="equal">
      <formula>"New"</formula>
    </cfRule>
  </conditionalFormatting>
  <conditionalFormatting sqref="A2:XFD3 A14:XFD1048576 A1:B1 D1:XFD1 A4:B4 D4:XFD4 A5:XFD7 Q8:XFD9 A10:A11 H13 A8:O9 E12:E13 A12:B13 G10 C10">
    <cfRule type="cellIs" dxfId="662" priority="28" operator="equal">
      <formula>"n/a"</formula>
    </cfRule>
  </conditionalFormatting>
  <conditionalFormatting sqref="C13">
    <cfRule type="cellIs" dxfId="661" priority="13" operator="equal">
      <formula>"WIP (see comments)"</formula>
    </cfRule>
    <cfRule type="cellIs" dxfId="660" priority="14" operator="equal">
      <formula>"Removed"</formula>
    </cfRule>
    <cfRule type="cellIs" dxfId="659" priority="15" operator="equal">
      <formula>"Updated"</formula>
    </cfRule>
    <cfRule type="cellIs" dxfId="658" priority="16" operator="equal">
      <formula>"New"</formula>
    </cfRule>
  </conditionalFormatting>
  <conditionalFormatting sqref="B11:I11 C12:D13 Q13:XFD13 F13:G13 I13:O13 F12:XFD12 L11:XFD11">
    <cfRule type="cellIs" dxfId="657" priority="12" operator="equal">
      <formula>"n/a"</formula>
    </cfRule>
  </conditionalFormatting>
  <conditionalFormatting sqref="B10 H10:XFD10 D10:F10">
    <cfRule type="cellIs" dxfId="656" priority="7" operator="equal">
      <formula>"n/a"</formula>
    </cfRule>
  </conditionalFormatting>
  <conditionalFormatting sqref="P8:P9">
    <cfRule type="cellIs" dxfId="655" priority="4" operator="equal">
      <formula>"n/a"</formula>
    </cfRule>
  </conditionalFormatting>
  <conditionalFormatting sqref="P13">
    <cfRule type="cellIs" dxfId="654" priority="3" operator="equal">
      <formula>"n/a"</formula>
    </cfRule>
  </conditionalFormatting>
  <conditionalFormatting sqref="J11">
    <cfRule type="cellIs" dxfId="653" priority="2" operator="equal">
      <formula>"n/a"</formula>
    </cfRule>
  </conditionalFormatting>
  <conditionalFormatting sqref="K11">
    <cfRule type="cellIs" dxfId="652" priority="1" operator="equal">
      <formula>"n/a"</formula>
    </cfRule>
  </conditionalFormatting>
  <dataValidations count="1">
    <dataValidation type="list" allowBlank="1" showInputMessage="1" showErrorMessage="1" sqref="E14:E1048576">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14:formula1>
            <xm:f>'List Values'!$B$5:$B$11</xm:f>
          </x14:formula1>
          <xm:sqref>C7:C10 C14:C1048576</xm:sqref>
        </x14:dataValidation>
        <x14:dataValidation type="list" allowBlank="1" showInputMessage="1" showErrorMessage="1">
          <x14:formula1>
            <xm:f>'List Values'!$B$5:$B$12</xm:f>
          </x14:formula1>
          <xm:sqref>C11:C13</xm:sqref>
        </x14:dataValidation>
        <x14:dataValidation type="list" allowBlank="1" showInputMessage="1" showErrorMessage="1">
          <x14:formula1>
            <xm:f>'List Values'!$A$5:$A$36</xm:f>
          </x14:formula1>
          <xm:sqref>E7:E9</xm:sqref>
        </x14:dataValidation>
        <x14:dataValidation type="list" allowBlank="1" showInputMessage="1" showErrorMessage="1">
          <x14:formula1>
            <xm:f>'List Values'!$A$5:$A$35</xm:f>
          </x14:formula1>
          <xm:sqref>E10:E13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Q15"/>
  <sheetViews>
    <sheetView workbookViewId="0">
      <pane xSplit="4" ySplit="6" topLeftCell="E7" activePane="bottomRight" state="frozen"/>
      <selection activeCell="O8" sqref="O8"/>
      <selection pane="topRight" activeCell="O8" sqref="O8"/>
      <selection pane="bottomLeft" activeCell="O8" sqref="O8"/>
      <selection pane="bottomRight" activeCell="A10" sqref="A10"/>
    </sheetView>
  </sheetViews>
  <sheetFormatPr defaultColWidth="9.1796875" defaultRowHeight="14.5" x14ac:dyDescent="0.35"/>
  <cols>
    <col min="1" max="1" width="14.7265625" style="5" customWidth="1"/>
    <col min="2" max="2" width="12.54296875" style="5" customWidth="1"/>
    <col min="3" max="3" width="15.7265625" style="65" customWidth="1"/>
    <col min="4" max="4" width="45.1796875" style="5" customWidth="1"/>
    <col min="5" max="5" width="28.7265625" style="5" customWidth="1"/>
    <col min="6" max="6" width="34.26953125" style="5" customWidth="1"/>
    <col min="7" max="7" width="29.26953125" style="5" customWidth="1"/>
    <col min="8" max="8" width="11.54296875" style="65"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7" s="27" customFormat="1" ht="18.5" x14ac:dyDescent="0.35">
      <c r="A1" s="25" t="s">
        <v>6</v>
      </c>
      <c r="B1" s="163" t="s">
        <v>216</v>
      </c>
      <c r="C1" s="163"/>
      <c r="D1" s="26"/>
      <c r="H1" s="32"/>
    </row>
    <row r="2" spans="1:17" s="27" customFormat="1" ht="18.5" x14ac:dyDescent="0.35">
      <c r="A2" s="25" t="s">
        <v>7</v>
      </c>
      <c r="B2" s="33">
        <v>7</v>
      </c>
      <c r="C2" s="32"/>
      <c r="D2" s="33"/>
      <c r="H2" s="32"/>
    </row>
    <row r="3" spans="1:17" s="27" customFormat="1" ht="18.5" x14ac:dyDescent="0.35">
      <c r="A3" s="25" t="s">
        <v>43</v>
      </c>
      <c r="B3" s="33" t="s">
        <v>499</v>
      </c>
      <c r="C3" s="32"/>
      <c r="D3" s="33" t="s">
        <v>917</v>
      </c>
      <c r="H3" s="32"/>
    </row>
    <row r="4" spans="1:17" s="27" customFormat="1" ht="18.5" x14ac:dyDescent="0.35">
      <c r="A4" s="25" t="s">
        <v>8</v>
      </c>
      <c r="B4" s="27" t="s">
        <v>522</v>
      </c>
      <c r="H4" s="32"/>
    </row>
    <row r="5" spans="1:17" s="40" customFormat="1" x14ac:dyDescent="0.35">
      <c r="C5" s="41"/>
      <c r="H5" s="41"/>
    </row>
    <row r="6" spans="1:17"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7" ht="30" customHeight="1" x14ac:dyDescent="0.35">
      <c r="A7" s="6">
        <v>1</v>
      </c>
      <c r="B7" s="6" t="str">
        <f>CONCATENATE($B$2, ".", A7)</f>
        <v>7.1</v>
      </c>
      <c r="C7" s="31" t="s">
        <v>41</v>
      </c>
      <c r="D7" s="36" t="s">
        <v>127</v>
      </c>
      <c r="E7" s="6" t="s">
        <v>28</v>
      </c>
      <c r="F7" s="6" t="s">
        <v>36</v>
      </c>
      <c r="G7" s="6" t="s">
        <v>36</v>
      </c>
      <c r="H7" s="31" t="s">
        <v>36</v>
      </c>
      <c r="I7" s="36" t="s">
        <v>9</v>
      </c>
      <c r="J7" s="5" t="s">
        <v>36</v>
      </c>
      <c r="K7" s="5" t="s">
        <v>36</v>
      </c>
      <c r="L7" s="5" t="s">
        <v>36</v>
      </c>
      <c r="M7" s="5" t="s">
        <v>36</v>
      </c>
      <c r="N7" s="5" t="s">
        <v>36</v>
      </c>
      <c r="O7" s="5" t="s">
        <v>36</v>
      </c>
    </row>
    <row r="8" spans="1:17" ht="30" customHeight="1" x14ac:dyDescent="0.35">
      <c r="A8" s="6">
        <v>2</v>
      </c>
      <c r="B8" s="6" t="str">
        <f t="shared" ref="B8:B14" si="0">CONCATENATE($B$2, ".", A8)</f>
        <v>7.2</v>
      </c>
      <c r="C8" s="31" t="s">
        <v>44</v>
      </c>
      <c r="D8" s="36" t="s">
        <v>36</v>
      </c>
      <c r="E8" s="36" t="s">
        <v>48</v>
      </c>
      <c r="F8" s="6" t="s">
        <v>36</v>
      </c>
      <c r="G8" s="6" t="s">
        <v>36</v>
      </c>
      <c r="H8" s="31" t="s">
        <v>36</v>
      </c>
      <c r="I8" s="36" t="s">
        <v>9</v>
      </c>
      <c r="J8" s="5" t="s">
        <v>36</v>
      </c>
      <c r="K8" s="5" t="s">
        <v>36</v>
      </c>
      <c r="L8" s="5" t="s">
        <v>36</v>
      </c>
      <c r="M8" s="5" t="s">
        <v>36</v>
      </c>
      <c r="N8" s="5" t="s">
        <v>36</v>
      </c>
      <c r="O8" s="5" t="s">
        <v>36</v>
      </c>
      <c r="P8" s="5" t="s">
        <v>913</v>
      </c>
    </row>
    <row r="9" spans="1:17" ht="106.5" customHeight="1" x14ac:dyDescent="0.35">
      <c r="A9" s="6">
        <v>3</v>
      </c>
      <c r="B9" s="6" t="str">
        <f t="shared" si="0"/>
        <v>7.3</v>
      </c>
      <c r="C9" s="31" t="s">
        <v>37</v>
      </c>
      <c r="D9" s="36" t="s">
        <v>960</v>
      </c>
      <c r="E9" s="36" t="s">
        <v>33</v>
      </c>
      <c r="F9" s="6" t="s">
        <v>36</v>
      </c>
      <c r="G9" s="6" t="s">
        <v>36</v>
      </c>
      <c r="H9" s="31" t="s">
        <v>36</v>
      </c>
      <c r="I9" s="36" t="s">
        <v>9</v>
      </c>
      <c r="J9" s="5" t="s">
        <v>36</v>
      </c>
      <c r="K9" s="5" t="s">
        <v>36</v>
      </c>
      <c r="L9" s="5" t="s">
        <v>36</v>
      </c>
      <c r="M9" s="5" t="s">
        <v>36</v>
      </c>
      <c r="N9" s="5" t="s">
        <v>36</v>
      </c>
      <c r="O9" s="5" t="s">
        <v>36</v>
      </c>
      <c r="P9" s="5" t="s">
        <v>934</v>
      </c>
    </row>
    <row r="10" spans="1:17" ht="47" customHeight="1" x14ac:dyDescent="0.35">
      <c r="A10" s="6">
        <v>4</v>
      </c>
      <c r="B10" s="6" t="str">
        <f t="shared" ref="B10" si="1">CONCATENATE($B$2, ".", A10)</f>
        <v>7.4</v>
      </c>
      <c r="C10" s="31" t="s">
        <v>41</v>
      </c>
      <c r="D10" s="36" t="s">
        <v>959</v>
      </c>
      <c r="E10" s="36" t="s">
        <v>32</v>
      </c>
      <c r="F10" s="36" t="s">
        <v>962</v>
      </c>
      <c r="G10" s="36" t="s">
        <v>36</v>
      </c>
      <c r="H10" s="45">
        <v>65</v>
      </c>
      <c r="I10" s="36" t="s">
        <v>9</v>
      </c>
      <c r="J10" s="5" t="s">
        <v>36</v>
      </c>
      <c r="K10" s="5" t="s">
        <v>36</v>
      </c>
      <c r="L10" s="5" t="s">
        <v>36</v>
      </c>
      <c r="M10" s="5" t="s">
        <v>36</v>
      </c>
      <c r="N10" s="5" t="s">
        <v>36</v>
      </c>
      <c r="O10" s="5" t="s">
        <v>36</v>
      </c>
      <c r="P10" s="5" t="s">
        <v>961</v>
      </c>
    </row>
    <row r="11" spans="1:17" s="36" customFormat="1" ht="116" x14ac:dyDescent="0.35">
      <c r="A11" s="6">
        <v>5</v>
      </c>
      <c r="B11" s="6" t="str">
        <f t="shared" si="0"/>
        <v>7.5</v>
      </c>
      <c r="C11" s="31" t="s">
        <v>44</v>
      </c>
      <c r="D11" s="6" t="s">
        <v>36</v>
      </c>
      <c r="E11" s="6" t="s">
        <v>523</v>
      </c>
      <c r="F11" s="6" t="s">
        <v>36</v>
      </c>
      <c r="G11" s="6" t="s">
        <v>36</v>
      </c>
      <c r="H11" s="31" t="s">
        <v>36</v>
      </c>
      <c r="I11" s="36" t="s">
        <v>9</v>
      </c>
      <c r="J11" s="5" t="s">
        <v>36</v>
      </c>
      <c r="K11" s="5" t="s">
        <v>152</v>
      </c>
      <c r="L11" s="48" t="s">
        <v>627</v>
      </c>
      <c r="M11" s="5" t="s">
        <v>36</v>
      </c>
      <c r="N11" s="5" t="s">
        <v>36</v>
      </c>
      <c r="O11" s="37" t="s">
        <v>562</v>
      </c>
      <c r="P11" s="90" t="s">
        <v>914</v>
      </c>
      <c r="Q11" s="112"/>
    </row>
    <row r="12" spans="1:17" s="36" customFormat="1" ht="29" x14ac:dyDescent="0.35">
      <c r="A12" s="6">
        <v>6</v>
      </c>
      <c r="B12" s="6" t="str">
        <f t="shared" ref="B12" si="2">CONCATENATE($B$2, ".", A12)</f>
        <v>7.6</v>
      </c>
      <c r="C12" s="31" t="s">
        <v>37</v>
      </c>
      <c r="D12" s="36" t="s">
        <v>150</v>
      </c>
      <c r="E12" s="36" t="s">
        <v>29</v>
      </c>
      <c r="F12" s="36" t="s">
        <v>60</v>
      </c>
      <c r="G12" s="36" t="s">
        <v>36</v>
      </c>
      <c r="H12" s="45" t="s">
        <v>36</v>
      </c>
      <c r="I12" s="36" t="s">
        <v>9</v>
      </c>
      <c r="J12" s="36" t="s">
        <v>96</v>
      </c>
      <c r="K12" s="36" t="s">
        <v>36</v>
      </c>
      <c r="L12" s="36" t="s">
        <v>36</v>
      </c>
      <c r="M12" s="36" t="s">
        <v>36</v>
      </c>
      <c r="N12" s="36" t="s">
        <v>36</v>
      </c>
      <c r="O12" s="36" t="s">
        <v>916</v>
      </c>
      <c r="P12" s="5"/>
      <c r="Q12" s="112"/>
    </row>
    <row r="13" spans="1:17" ht="29" x14ac:dyDescent="0.35">
      <c r="A13" s="6">
        <v>7</v>
      </c>
      <c r="B13" s="6" t="str">
        <f t="shared" si="0"/>
        <v>7.7</v>
      </c>
      <c r="C13" s="31" t="s">
        <v>41</v>
      </c>
      <c r="D13" s="6" t="s">
        <v>56</v>
      </c>
      <c r="E13" s="6" t="s">
        <v>42</v>
      </c>
      <c r="F13" s="6" t="s">
        <v>36</v>
      </c>
      <c r="G13" s="6" t="s">
        <v>36</v>
      </c>
      <c r="H13" s="31" t="s">
        <v>36</v>
      </c>
      <c r="I13" s="36" t="s">
        <v>9</v>
      </c>
      <c r="J13" s="5" t="s">
        <v>36</v>
      </c>
      <c r="K13" s="5" t="s">
        <v>36</v>
      </c>
      <c r="L13" s="48" t="s">
        <v>36</v>
      </c>
      <c r="M13" s="5" t="s">
        <v>36</v>
      </c>
      <c r="N13" s="5" t="s">
        <v>36</v>
      </c>
      <c r="O13" s="37" t="s">
        <v>524</v>
      </c>
    </row>
    <row r="14" spans="1:17" ht="68" customHeight="1" x14ac:dyDescent="0.35">
      <c r="A14" s="6">
        <v>8</v>
      </c>
      <c r="B14" s="6" t="str">
        <f t="shared" si="0"/>
        <v>7.8</v>
      </c>
      <c r="C14" s="31" t="s">
        <v>44</v>
      </c>
      <c r="D14" s="36" t="s">
        <v>57</v>
      </c>
      <c r="E14" s="36" t="s">
        <v>42</v>
      </c>
      <c r="F14" s="36" t="s">
        <v>36</v>
      </c>
      <c r="G14" s="36" t="s">
        <v>36</v>
      </c>
      <c r="H14" s="45" t="s">
        <v>36</v>
      </c>
      <c r="I14" s="36" t="s">
        <v>9</v>
      </c>
      <c r="J14" s="36" t="s">
        <v>36</v>
      </c>
      <c r="K14" s="36" t="s">
        <v>36</v>
      </c>
      <c r="L14" s="36" t="s">
        <v>36</v>
      </c>
      <c r="M14" s="36" t="s">
        <v>36</v>
      </c>
      <c r="N14" s="36" t="s">
        <v>36</v>
      </c>
      <c r="O14" s="36" t="s">
        <v>915</v>
      </c>
      <c r="P14" s="5" t="s">
        <v>525</v>
      </c>
    </row>
    <row r="15" spans="1:17" x14ac:dyDescent="0.35">
      <c r="C15" s="5"/>
      <c r="H15" s="5"/>
    </row>
  </sheetData>
  <autoFilter ref="A6:P6"/>
  <mergeCells count="1">
    <mergeCell ref="B1:C1"/>
  </mergeCells>
  <conditionalFormatting sqref="C16:C1048576 C12:C14">
    <cfRule type="cellIs" dxfId="651" priority="44" operator="equal">
      <formula>"WIP (see comments)"</formula>
    </cfRule>
    <cfRule type="cellIs" dxfId="650" priority="45" operator="equal">
      <formula>"Removed"</formula>
    </cfRule>
    <cfRule type="cellIs" dxfId="649" priority="46" operator="equal">
      <formula>"Updated"</formula>
    </cfRule>
    <cfRule type="cellIs" dxfId="648" priority="47" operator="equal">
      <formula>"New"</formula>
    </cfRule>
  </conditionalFormatting>
  <conditionalFormatting sqref="A2:XFD3 A16:XFD1048576 A1:B1 E1:XFD1 A5:XFD6 A4:B4 D4:XFD4 Q15:XFD15 P12 D14:N14 D12 A12:C14 G12:N12 P13:XFD14">
    <cfRule type="cellIs" dxfId="647" priority="43" operator="equal">
      <formula>"n/a"</formula>
    </cfRule>
  </conditionalFormatting>
  <conditionalFormatting sqref="P7:XFD7">
    <cfRule type="cellIs" dxfId="646" priority="36" operator="equal">
      <formula>"n/a"</formula>
    </cfRule>
  </conditionalFormatting>
  <conditionalFormatting sqref="P8:XFD10">
    <cfRule type="cellIs" dxfId="645" priority="35" operator="equal">
      <formula>"n/a"</formula>
    </cfRule>
  </conditionalFormatting>
  <conditionalFormatting sqref="P11:XFD11 Q12:XFD12">
    <cfRule type="cellIs" dxfId="644" priority="25" operator="equal">
      <formula>"n/a"</formula>
    </cfRule>
  </conditionalFormatting>
  <conditionalFormatting sqref="D1">
    <cfRule type="cellIs" dxfId="643" priority="23" operator="equal">
      <formula>"n/a"</formula>
    </cfRule>
  </conditionalFormatting>
  <conditionalFormatting sqref="C7:C11">
    <cfRule type="cellIs" dxfId="642" priority="19" operator="equal">
      <formula>"WIP (see comments)"</formula>
    </cfRule>
    <cfRule type="cellIs" dxfId="641" priority="20" operator="equal">
      <formula>"Removed"</formula>
    </cfRule>
    <cfRule type="cellIs" dxfId="640" priority="21" operator="equal">
      <formula>"Updated"</formula>
    </cfRule>
    <cfRule type="cellIs" dxfId="639" priority="22" operator="equal">
      <formula>"New"</formula>
    </cfRule>
  </conditionalFormatting>
  <conditionalFormatting sqref="A11:J11 M11:N11 D13:J13 M13:N13 A7:O9 A10:E10 I10:O10">
    <cfRule type="cellIs" dxfId="638" priority="18" operator="equal">
      <formula>"n/a"</formula>
    </cfRule>
  </conditionalFormatting>
  <conditionalFormatting sqref="K11:L11 K13:L13">
    <cfRule type="cellIs" dxfId="637" priority="17" operator="equal">
      <formula>"n/a"</formula>
    </cfRule>
  </conditionalFormatting>
  <conditionalFormatting sqref="O11">
    <cfRule type="cellIs" dxfId="636" priority="16" operator="equal">
      <formula>"n/a"</formula>
    </cfRule>
  </conditionalFormatting>
  <conditionalFormatting sqref="O13">
    <cfRule type="cellIs" dxfId="635" priority="9" operator="equal">
      <formula>"n/a"</formula>
    </cfRule>
  </conditionalFormatting>
  <conditionalFormatting sqref="E12:F12">
    <cfRule type="cellIs" dxfId="634" priority="2" operator="equal">
      <formula>"n/a"</formula>
    </cfRule>
  </conditionalFormatting>
  <conditionalFormatting sqref="F10:H10">
    <cfRule type="cellIs" dxfId="633" priority="1" operator="equal">
      <formula>"n/a"</formula>
    </cfRule>
  </conditionalFormatting>
  <dataValidations count="2">
    <dataValidation type="list" allowBlank="1" showInputMessage="1" showErrorMessage="1" sqref="C16:C1048576">
      <formula1>$B$5:$B$11</formula1>
    </dataValidation>
    <dataValidation type="list" allowBlank="1" showInputMessage="1" showErrorMessage="1" sqref="E16:E1048576">
      <formula1>$A$5:$A$26</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C7:C14</xm:sqref>
        </x14:dataValidation>
        <x14:dataValidation type="list" allowBlank="1" showInputMessage="1" showErrorMessage="1">
          <x14:formula1>
            <xm:f>'List Values'!$A$5:$A$35</xm:f>
          </x14:formula1>
          <xm:sqref>E7:E14</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P34"/>
  <sheetViews>
    <sheetView zoomScaleNormal="100" workbookViewId="0">
      <pane xSplit="4" ySplit="6" topLeftCell="E10" activePane="bottomRight" state="frozen"/>
      <selection activeCell="O8" sqref="O8"/>
      <selection pane="topRight" activeCell="O8" sqref="O8"/>
      <selection pane="bottomLeft" activeCell="O8" sqref="O8"/>
      <selection pane="bottomRight" activeCell="G13" sqref="G13"/>
    </sheetView>
  </sheetViews>
  <sheetFormatPr defaultColWidth="9.1796875" defaultRowHeight="14.5" x14ac:dyDescent="0.35"/>
  <cols>
    <col min="1" max="1" width="14.7265625" style="36" customWidth="1"/>
    <col min="2" max="2" width="12.54296875" style="36" customWidth="1"/>
    <col min="3" max="3" width="13" style="45" customWidth="1"/>
    <col min="4" max="4" width="45.1796875" style="36" customWidth="1"/>
    <col min="5" max="5" width="28.7265625" style="36" customWidth="1"/>
    <col min="6" max="6" width="34.7265625" style="36" bestFit="1" customWidth="1"/>
    <col min="7" max="7" width="17.7265625" style="36" customWidth="1"/>
    <col min="8" max="8" width="27.81640625" style="36" customWidth="1"/>
    <col min="9" max="9" width="34.81640625" style="36" customWidth="1"/>
    <col min="10" max="10" width="28.1796875" style="36" customWidth="1"/>
    <col min="11" max="11" width="14.7265625" style="36" customWidth="1"/>
    <col min="12" max="12" width="19.26953125" style="36" bestFit="1" customWidth="1"/>
    <col min="13" max="13" width="29" style="36" customWidth="1"/>
    <col min="14" max="14" width="18.7265625" style="36" bestFit="1" customWidth="1"/>
    <col min="15" max="15" width="48.453125" style="36" customWidth="1"/>
    <col min="16" max="16" width="41.81640625" style="36" customWidth="1"/>
    <col min="17" max="16384" width="9.1796875" style="36"/>
  </cols>
  <sheetData>
    <row r="1" spans="1:16" s="57" customFormat="1" ht="18.5" x14ac:dyDescent="0.35">
      <c r="A1" s="56" t="s">
        <v>6</v>
      </c>
      <c r="B1" s="161" t="s">
        <v>232</v>
      </c>
      <c r="C1" s="161"/>
      <c r="D1" s="26"/>
    </row>
    <row r="2" spans="1:16" s="57" customFormat="1" ht="18.5" x14ac:dyDescent="0.35">
      <c r="A2" s="56" t="s">
        <v>7</v>
      </c>
      <c r="B2" s="58">
        <v>8</v>
      </c>
      <c r="C2" s="59"/>
      <c r="D2" s="58"/>
    </row>
    <row r="3" spans="1:16" s="57" customFormat="1" ht="18.5" x14ac:dyDescent="0.35">
      <c r="A3" s="56" t="s">
        <v>43</v>
      </c>
      <c r="B3" s="58" t="s">
        <v>302</v>
      </c>
      <c r="C3" s="59"/>
      <c r="D3" s="58" t="s">
        <v>793</v>
      </c>
    </row>
    <row r="4" spans="1:16" s="57" customFormat="1" ht="18.5" x14ac:dyDescent="0.35">
      <c r="A4" s="56" t="s">
        <v>8</v>
      </c>
      <c r="B4" s="162" t="s">
        <v>46</v>
      </c>
      <c r="C4" s="162"/>
    </row>
    <row r="5" spans="1:16" s="60" customFormat="1" x14ac:dyDescent="0.35">
      <c r="C5" s="61"/>
    </row>
    <row r="6" spans="1:16" s="62" customFormat="1" ht="15" thickBot="1" x14ac:dyDescent="0.4">
      <c r="A6" s="62" t="s">
        <v>10</v>
      </c>
      <c r="B6" s="62" t="s">
        <v>11</v>
      </c>
      <c r="C6" s="63" t="s">
        <v>25</v>
      </c>
      <c r="D6" s="62" t="s">
        <v>24</v>
      </c>
      <c r="E6" s="62" t="s">
        <v>12</v>
      </c>
      <c r="F6" s="62" t="s">
        <v>13</v>
      </c>
      <c r="G6" s="62" t="s">
        <v>14</v>
      </c>
      <c r="H6" s="62" t="s">
        <v>15</v>
      </c>
      <c r="I6" s="62" t="s">
        <v>16</v>
      </c>
      <c r="J6" s="62" t="s">
        <v>17</v>
      </c>
      <c r="K6" s="62" t="s">
        <v>18</v>
      </c>
      <c r="L6" s="62" t="s">
        <v>19</v>
      </c>
      <c r="M6" s="62" t="s">
        <v>20</v>
      </c>
      <c r="N6" s="62" t="s">
        <v>21</v>
      </c>
      <c r="O6" s="62" t="s">
        <v>22</v>
      </c>
      <c r="P6" s="62" t="s">
        <v>23</v>
      </c>
    </row>
    <row r="7" spans="1:16" x14ac:dyDescent="0.35">
      <c r="A7" s="36">
        <v>1</v>
      </c>
      <c r="B7" s="36" t="str">
        <f t="shared" ref="B7:B19" si="0">CONCATENATE($B$2, ".", A7)</f>
        <v>8.1</v>
      </c>
      <c r="C7" s="45" t="s">
        <v>37</v>
      </c>
      <c r="D7" s="36" t="s">
        <v>918</v>
      </c>
      <c r="E7" s="36" t="s">
        <v>115</v>
      </c>
      <c r="F7" s="36" t="s">
        <v>36</v>
      </c>
      <c r="G7" s="36" t="s">
        <v>36</v>
      </c>
      <c r="H7" s="36" t="s">
        <v>36</v>
      </c>
      <c r="I7" s="36" t="s">
        <v>9</v>
      </c>
      <c r="J7" s="37" t="s">
        <v>36</v>
      </c>
      <c r="K7" s="37" t="s">
        <v>36</v>
      </c>
      <c r="L7" s="37" t="s">
        <v>36</v>
      </c>
      <c r="M7" s="37" t="s">
        <v>36</v>
      </c>
      <c r="N7" s="37" t="s">
        <v>36</v>
      </c>
      <c r="O7" s="37" t="s">
        <v>36</v>
      </c>
      <c r="P7" s="36" t="s">
        <v>926</v>
      </c>
    </row>
    <row r="8" spans="1:16" ht="29" x14ac:dyDescent="0.35">
      <c r="A8" s="36">
        <v>2</v>
      </c>
      <c r="B8" s="36" t="str">
        <f t="shared" si="0"/>
        <v>8.2</v>
      </c>
      <c r="C8" s="45" t="s">
        <v>44</v>
      </c>
      <c r="D8" s="36" t="s">
        <v>36</v>
      </c>
      <c r="E8" s="36" t="s">
        <v>48</v>
      </c>
      <c r="F8" s="36" t="s">
        <v>36</v>
      </c>
      <c r="G8" s="36" t="s">
        <v>36</v>
      </c>
      <c r="H8" s="36" t="s">
        <v>36</v>
      </c>
      <c r="I8" s="36" t="s">
        <v>9</v>
      </c>
      <c r="J8" s="37" t="s">
        <v>36</v>
      </c>
      <c r="K8" s="37" t="s">
        <v>36</v>
      </c>
      <c r="L8" s="37" t="s">
        <v>36</v>
      </c>
      <c r="M8" s="37" t="s">
        <v>36</v>
      </c>
      <c r="N8" s="37" t="s">
        <v>36</v>
      </c>
      <c r="O8" s="37" t="s">
        <v>36</v>
      </c>
      <c r="P8" s="36" t="s">
        <v>924</v>
      </c>
    </row>
    <row r="9" spans="1:16" ht="43.5" x14ac:dyDescent="0.35">
      <c r="A9" s="36">
        <v>3</v>
      </c>
      <c r="B9" s="36" t="str">
        <f t="shared" si="0"/>
        <v>8.3</v>
      </c>
      <c r="C9" s="45" t="s">
        <v>41</v>
      </c>
      <c r="D9" s="36" t="s">
        <v>448</v>
      </c>
      <c r="E9" s="36" t="s">
        <v>32</v>
      </c>
      <c r="F9" s="36" t="s">
        <v>881</v>
      </c>
      <c r="G9" s="36" t="s">
        <v>36</v>
      </c>
      <c r="H9" s="38">
        <v>65</v>
      </c>
      <c r="I9" s="36" t="s">
        <v>9</v>
      </c>
      <c r="J9" s="37" t="s">
        <v>107</v>
      </c>
      <c r="K9" s="37" t="s">
        <v>53</v>
      </c>
      <c r="L9" s="37" t="s">
        <v>640</v>
      </c>
      <c r="M9" s="37" t="s">
        <v>456</v>
      </c>
      <c r="N9" s="37" t="s">
        <v>36</v>
      </c>
      <c r="O9" s="37" t="s">
        <v>608</v>
      </c>
    </row>
    <row r="10" spans="1:16" ht="29" x14ac:dyDescent="0.35">
      <c r="A10" s="36">
        <v>4</v>
      </c>
      <c r="B10" s="36" t="str">
        <f t="shared" ref="B10:B13" si="1">CONCATENATE($B$2, ".", A10)</f>
        <v>8.4</v>
      </c>
      <c r="C10" s="45" t="s">
        <v>41</v>
      </c>
      <c r="D10" s="36" t="s">
        <v>549</v>
      </c>
      <c r="E10" s="36" t="s">
        <v>32</v>
      </c>
      <c r="F10" s="36" t="s">
        <v>881</v>
      </c>
      <c r="G10" s="36" t="s">
        <v>36</v>
      </c>
      <c r="H10" s="38">
        <v>60</v>
      </c>
      <c r="I10" s="36" t="s">
        <v>9</v>
      </c>
      <c r="J10" s="37" t="s">
        <v>107</v>
      </c>
      <c r="K10" s="37" t="s">
        <v>83</v>
      </c>
      <c r="L10" s="37" t="s">
        <v>36</v>
      </c>
      <c r="M10" s="37" t="s">
        <v>456</v>
      </c>
      <c r="N10" s="37" t="s">
        <v>36</v>
      </c>
      <c r="O10" s="37" t="s">
        <v>608</v>
      </c>
    </row>
    <row r="11" spans="1:16" ht="72.5" x14ac:dyDescent="0.35">
      <c r="A11" s="36">
        <v>5</v>
      </c>
      <c r="B11" s="36" t="str">
        <f>CONCATENATE($B$2, ".", A11)</f>
        <v>8.5</v>
      </c>
      <c r="C11" s="89" t="s">
        <v>41</v>
      </c>
      <c r="D11" s="36" t="s">
        <v>459</v>
      </c>
      <c r="E11" s="36" t="s">
        <v>32</v>
      </c>
      <c r="F11" s="36" t="s">
        <v>50</v>
      </c>
      <c r="G11" s="36" t="s">
        <v>36</v>
      </c>
      <c r="H11" s="36" t="s">
        <v>54</v>
      </c>
      <c r="I11" s="36" t="s">
        <v>9</v>
      </c>
      <c r="J11" s="37" t="s">
        <v>107</v>
      </c>
      <c r="K11" s="36" t="s">
        <v>53</v>
      </c>
      <c r="L11" s="36" t="s">
        <v>641</v>
      </c>
      <c r="M11" s="36" t="s">
        <v>55</v>
      </c>
      <c r="N11" s="36" t="s">
        <v>36</v>
      </c>
      <c r="O11" s="37" t="s">
        <v>608</v>
      </c>
    </row>
    <row r="12" spans="1:16" ht="43.5" x14ac:dyDescent="0.35">
      <c r="A12" s="36">
        <v>6</v>
      </c>
      <c r="B12" s="36" t="str">
        <f>CONCATENATE($B$2, ".", A12)</f>
        <v>8.6</v>
      </c>
      <c r="C12" s="89" t="s">
        <v>41</v>
      </c>
      <c r="D12" s="36" t="s">
        <v>460</v>
      </c>
      <c r="E12" s="36" t="s">
        <v>32</v>
      </c>
      <c r="F12" s="36" t="s">
        <v>51</v>
      </c>
      <c r="G12" s="36" t="s">
        <v>36</v>
      </c>
      <c r="H12" s="36" t="s">
        <v>52</v>
      </c>
      <c r="I12" s="36" t="s">
        <v>9</v>
      </c>
      <c r="J12" s="37" t="s">
        <v>107</v>
      </c>
      <c r="K12" s="37" t="s">
        <v>53</v>
      </c>
      <c r="L12" s="37" t="s">
        <v>642</v>
      </c>
      <c r="M12" s="37" t="s">
        <v>100</v>
      </c>
      <c r="N12" s="37" t="s">
        <v>36</v>
      </c>
      <c r="O12" s="37" t="s">
        <v>608</v>
      </c>
    </row>
    <row r="13" spans="1:16" ht="145" x14ac:dyDescent="0.35">
      <c r="A13" s="36">
        <v>7</v>
      </c>
      <c r="B13" s="36" t="str">
        <f t="shared" si="1"/>
        <v>8.7</v>
      </c>
      <c r="C13" s="89" t="s">
        <v>37</v>
      </c>
      <c r="D13" s="36" t="s">
        <v>449</v>
      </c>
      <c r="E13" s="36" t="s">
        <v>74</v>
      </c>
      <c r="F13" s="36" t="s">
        <v>51</v>
      </c>
      <c r="G13" s="36" t="s">
        <v>814</v>
      </c>
      <c r="H13" s="38">
        <v>35</v>
      </c>
      <c r="I13" s="36" t="s">
        <v>9</v>
      </c>
      <c r="J13" s="37" t="s">
        <v>107</v>
      </c>
      <c r="K13" s="37" t="s">
        <v>450</v>
      </c>
      <c r="L13" s="37" t="s">
        <v>925</v>
      </c>
      <c r="M13" s="37" t="s">
        <v>36</v>
      </c>
      <c r="N13" s="37" t="s">
        <v>451</v>
      </c>
      <c r="O13" s="37" t="s">
        <v>776</v>
      </c>
      <c r="P13" s="36" t="s">
        <v>927</v>
      </c>
    </row>
    <row r="14" spans="1:16" x14ac:dyDescent="0.35">
      <c r="A14" s="96" t="s">
        <v>784</v>
      </c>
      <c r="B14" s="92"/>
      <c r="C14" s="93"/>
      <c r="D14" s="92"/>
      <c r="E14" s="92"/>
      <c r="F14" s="92"/>
      <c r="G14" s="92"/>
      <c r="H14" s="94"/>
      <c r="I14" s="92"/>
      <c r="J14" s="95"/>
      <c r="K14" s="95"/>
      <c r="L14" s="95"/>
      <c r="M14" s="95"/>
      <c r="N14" s="95"/>
      <c r="O14" s="95"/>
      <c r="P14" s="92"/>
    </row>
    <row r="15" spans="1:16" ht="58" x14ac:dyDescent="0.35">
      <c r="A15" s="36">
        <v>8</v>
      </c>
      <c r="B15" s="36" t="str">
        <f t="shared" si="0"/>
        <v>8.8</v>
      </c>
      <c r="C15" s="89" t="s">
        <v>37</v>
      </c>
      <c r="D15" s="36" t="s">
        <v>919</v>
      </c>
      <c r="E15" s="36" t="s">
        <v>32</v>
      </c>
      <c r="F15" s="36" t="s">
        <v>881</v>
      </c>
      <c r="G15" s="36" t="s">
        <v>36</v>
      </c>
      <c r="H15" s="38">
        <v>10</v>
      </c>
      <c r="I15" s="36" t="s">
        <v>777</v>
      </c>
      <c r="J15" s="37" t="s">
        <v>107</v>
      </c>
      <c r="K15" s="37" t="s">
        <v>76</v>
      </c>
      <c r="L15" s="37" t="s">
        <v>643</v>
      </c>
      <c r="M15" s="37" t="s">
        <v>36</v>
      </c>
      <c r="N15" s="37" t="s">
        <v>36</v>
      </c>
      <c r="O15" s="37" t="s">
        <v>454</v>
      </c>
      <c r="P15" s="36" t="s">
        <v>928</v>
      </c>
    </row>
    <row r="16" spans="1:16" ht="58" x14ac:dyDescent="0.35">
      <c r="A16" s="36">
        <v>9</v>
      </c>
      <c r="B16" s="36" t="str">
        <f t="shared" si="0"/>
        <v>8.9</v>
      </c>
      <c r="C16" s="89" t="s">
        <v>37</v>
      </c>
      <c r="D16" s="36" t="s">
        <v>920</v>
      </c>
      <c r="E16" s="36" t="s">
        <v>32</v>
      </c>
      <c r="F16" s="36" t="s">
        <v>881</v>
      </c>
      <c r="G16" s="36" t="s">
        <v>36</v>
      </c>
      <c r="H16" s="38">
        <v>35</v>
      </c>
      <c r="I16" s="36" t="s">
        <v>777</v>
      </c>
      <c r="J16" s="37" t="s">
        <v>107</v>
      </c>
      <c r="K16" s="37" t="s">
        <v>76</v>
      </c>
      <c r="L16" s="37" t="s">
        <v>644</v>
      </c>
      <c r="M16" s="37" t="s">
        <v>36</v>
      </c>
      <c r="N16" s="37" t="s">
        <v>36</v>
      </c>
      <c r="O16" s="37" t="s">
        <v>454</v>
      </c>
      <c r="P16" s="36" t="s">
        <v>928</v>
      </c>
    </row>
    <row r="17" spans="1:16" ht="29" x14ac:dyDescent="0.35">
      <c r="A17" s="36">
        <v>10</v>
      </c>
      <c r="B17" s="36" t="str">
        <f t="shared" si="0"/>
        <v>8.10</v>
      </c>
      <c r="C17" s="89" t="s">
        <v>37</v>
      </c>
      <c r="D17" s="36" t="s">
        <v>70</v>
      </c>
      <c r="E17" s="36" t="s">
        <v>32</v>
      </c>
      <c r="F17" s="36" t="s">
        <v>881</v>
      </c>
      <c r="G17" s="36" t="s">
        <v>36</v>
      </c>
      <c r="H17" s="38">
        <v>10</v>
      </c>
      <c r="I17" s="36" t="s">
        <v>777</v>
      </c>
      <c r="J17" s="37" t="s">
        <v>107</v>
      </c>
      <c r="K17" s="37" t="s">
        <v>78</v>
      </c>
      <c r="L17" s="37" t="s">
        <v>36</v>
      </c>
      <c r="M17" s="37" t="s">
        <v>36</v>
      </c>
      <c r="N17" s="37" t="s">
        <v>36</v>
      </c>
      <c r="O17" s="37" t="s">
        <v>454</v>
      </c>
    </row>
    <row r="18" spans="1:16" ht="43.5" x14ac:dyDescent="0.35">
      <c r="A18" s="36">
        <v>11</v>
      </c>
      <c r="B18" s="36" t="str">
        <f t="shared" si="0"/>
        <v>8.11</v>
      </c>
      <c r="C18" s="89" t="s">
        <v>37</v>
      </c>
      <c r="D18" s="36" t="s">
        <v>71</v>
      </c>
      <c r="E18" s="36" t="s">
        <v>32</v>
      </c>
      <c r="F18" s="36" t="s">
        <v>881</v>
      </c>
      <c r="G18" s="36" t="s">
        <v>36</v>
      </c>
      <c r="H18" s="38">
        <v>20</v>
      </c>
      <c r="I18" s="36" t="s">
        <v>777</v>
      </c>
      <c r="J18" s="37" t="s">
        <v>107</v>
      </c>
      <c r="K18" s="37" t="s">
        <v>76</v>
      </c>
      <c r="L18" s="37" t="s">
        <v>645</v>
      </c>
      <c r="M18" s="37" t="s">
        <v>36</v>
      </c>
      <c r="N18" s="37" t="s">
        <v>36</v>
      </c>
      <c r="O18" s="37" t="s">
        <v>454</v>
      </c>
    </row>
    <row r="19" spans="1:16" ht="130.5" x14ac:dyDescent="0.35">
      <c r="A19" s="36">
        <v>12</v>
      </c>
      <c r="B19" s="36" t="str">
        <f t="shared" si="0"/>
        <v>8.12</v>
      </c>
      <c r="C19" s="89" t="s">
        <v>41</v>
      </c>
      <c r="D19" s="36" t="s">
        <v>72</v>
      </c>
      <c r="E19" s="36" t="s">
        <v>34</v>
      </c>
      <c r="F19" s="36" t="s">
        <v>51</v>
      </c>
      <c r="G19" s="36" t="s">
        <v>814</v>
      </c>
      <c r="H19" s="38">
        <v>15</v>
      </c>
      <c r="I19" s="36" t="s">
        <v>777</v>
      </c>
      <c r="J19" s="37" t="s">
        <v>107</v>
      </c>
      <c r="K19" s="37" t="s">
        <v>76</v>
      </c>
      <c r="L19" s="37" t="s">
        <v>646</v>
      </c>
      <c r="M19" s="37" t="s">
        <v>458</v>
      </c>
      <c r="N19" s="37" t="s">
        <v>812</v>
      </c>
      <c r="O19" s="37" t="s">
        <v>454</v>
      </c>
    </row>
    <row r="20" spans="1:16" ht="43.5" x14ac:dyDescent="0.35">
      <c r="A20" s="36">
        <v>13</v>
      </c>
      <c r="B20" s="36" t="str">
        <f>CONCATENATE($B$2, ".", A20)</f>
        <v>8.13</v>
      </c>
      <c r="C20" s="89" t="s">
        <v>41</v>
      </c>
      <c r="D20" s="36" t="s">
        <v>921</v>
      </c>
      <c r="E20" s="36" t="s">
        <v>32</v>
      </c>
      <c r="F20" s="36" t="s">
        <v>51</v>
      </c>
      <c r="G20" s="36" t="s">
        <v>36</v>
      </c>
      <c r="H20" s="38">
        <v>7</v>
      </c>
      <c r="I20" s="36" t="s">
        <v>777</v>
      </c>
      <c r="J20" s="37" t="s">
        <v>107</v>
      </c>
      <c r="K20" s="37" t="s">
        <v>76</v>
      </c>
      <c r="L20" s="37" t="s">
        <v>647</v>
      </c>
      <c r="M20" s="37" t="s">
        <v>456</v>
      </c>
      <c r="N20" s="37" t="s">
        <v>36</v>
      </c>
      <c r="O20" s="37" t="s">
        <v>454</v>
      </c>
      <c r="P20" s="36" t="s">
        <v>929</v>
      </c>
    </row>
    <row r="21" spans="1:16" x14ac:dyDescent="0.35">
      <c r="A21" s="96" t="s">
        <v>775</v>
      </c>
      <c r="B21" s="92"/>
      <c r="C21" s="93"/>
      <c r="D21" s="92"/>
      <c r="E21" s="92"/>
      <c r="F21" s="92"/>
      <c r="G21" s="92"/>
      <c r="H21" s="94"/>
      <c r="I21" s="92"/>
      <c r="J21" s="95"/>
      <c r="K21" s="95"/>
      <c r="L21" s="95"/>
      <c r="M21" s="95"/>
      <c r="N21" s="95"/>
      <c r="O21" s="95"/>
      <c r="P21" s="92"/>
    </row>
    <row r="22" spans="1:16" ht="87" x14ac:dyDescent="0.35">
      <c r="A22" s="36">
        <v>14</v>
      </c>
      <c r="B22" s="36" t="str">
        <f t="shared" ref="B22" si="2">CONCATENATE($B$2, ".", A22)</f>
        <v>8.14</v>
      </c>
      <c r="C22" s="89" t="s">
        <v>37</v>
      </c>
      <c r="D22" s="36" t="s">
        <v>626</v>
      </c>
      <c r="E22" s="36" t="s">
        <v>31</v>
      </c>
      <c r="F22" s="36" t="s">
        <v>58</v>
      </c>
      <c r="G22" s="36" t="s">
        <v>36</v>
      </c>
      <c r="H22" s="38" t="s">
        <v>36</v>
      </c>
      <c r="I22" s="36" t="s">
        <v>9</v>
      </c>
      <c r="J22" s="37" t="s">
        <v>466</v>
      </c>
      <c r="K22" s="37" t="s">
        <v>83</v>
      </c>
      <c r="L22" s="37" t="s">
        <v>36</v>
      </c>
      <c r="M22" s="37" t="s">
        <v>36</v>
      </c>
      <c r="N22" s="37" t="s">
        <v>36</v>
      </c>
      <c r="O22" s="37" t="s">
        <v>787</v>
      </c>
    </row>
    <row r="23" spans="1:16" x14ac:dyDescent="0.35">
      <c r="A23" s="96" t="s">
        <v>785</v>
      </c>
      <c r="B23" s="92"/>
      <c r="C23" s="93"/>
      <c r="D23" s="92"/>
      <c r="E23" s="92"/>
      <c r="F23" s="92"/>
      <c r="G23" s="92"/>
      <c r="H23" s="94"/>
      <c r="I23" s="92"/>
      <c r="J23" s="95"/>
      <c r="K23" s="95"/>
      <c r="L23" s="95"/>
      <c r="M23" s="95"/>
      <c r="N23" s="95"/>
      <c r="O23" s="95"/>
      <c r="P23" s="92"/>
    </row>
    <row r="24" spans="1:16" ht="130.5" x14ac:dyDescent="0.35">
      <c r="A24" s="36">
        <v>15</v>
      </c>
      <c r="B24" s="36" t="str">
        <f t="shared" ref="B24" si="3">CONCATENATE($B$2, ".", A24)</f>
        <v>8.15</v>
      </c>
      <c r="C24" s="89" t="s">
        <v>37</v>
      </c>
      <c r="D24" s="36" t="s">
        <v>455</v>
      </c>
      <c r="E24" s="36" t="s">
        <v>74</v>
      </c>
      <c r="F24" s="36" t="s">
        <v>51</v>
      </c>
      <c r="G24" s="36" t="s">
        <v>36</v>
      </c>
      <c r="H24" s="38">
        <v>35</v>
      </c>
      <c r="I24" s="36" t="s">
        <v>457</v>
      </c>
      <c r="J24" s="37" t="s">
        <v>107</v>
      </c>
      <c r="K24" s="37" t="s">
        <v>789</v>
      </c>
      <c r="L24" s="37" t="s">
        <v>931</v>
      </c>
      <c r="M24" s="37" t="s">
        <v>36</v>
      </c>
      <c r="N24" s="37" t="s">
        <v>36</v>
      </c>
      <c r="O24" s="37" t="s">
        <v>788</v>
      </c>
      <c r="P24" s="36" t="s">
        <v>927</v>
      </c>
    </row>
    <row r="25" spans="1:16" x14ac:dyDescent="0.35">
      <c r="A25" s="96" t="s">
        <v>786</v>
      </c>
      <c r="B25" s="92"/>
      <c r="C25" s="93"/>
      <c r="D25" s="92"/>
      <c r="E25" s="92"/>
      <c r="F25" s="92"/>
      <c r="G25" s="92"/>
      <c r="H25" s="94"/>
      <c r="I25" s="92"/>
      <c r="J25" s="95"/>
      <c r="K25" s="95"/>
      <c r="L25" s="95"/>
      <c r="M25" s="95"/>
      <c r="N25" s="95"/>
      <c r="O25" s="95"/>
      <c r="P25" s="92"/>
    </row>
    <row r="26" spans="1:16" ht="58" x14ac:dyDescent="0.35">
      <c r="A26" s="36">
        <v>16</v>
      </c>
      <c r="B26" s="36" t="str">
        <f>CONCATENATE($B$2, ".", A26)</f>
        <v>8.16</v>
      </c>
      <c r="C26" s="89" t="s">
        <v>37</v>
      </c>
      <c r="D26" s="36" t="s">
        <v>922</v>
      </c>
      <c r="E26" s="36" t="s">
        <v>32</v>
      </c>
      <c r="F26" s="36" t="s">
        <v>881</v>
      </c>
      <c r="G26" s="36" t="s">
        <v>36</v>
      </c>
      <c r="H26" s="38">
        <v>10</v>
      </c>
      <c r="I26" s="36" t="s">
        <v>777</v>
      </c>
      <c r="J26" s="37" t="s">
        <v>107</v>
      </c>
      <c r="K26" s="37" t="s">
        <v>76</v>
      </c>
      <c r="L26" s="37" t="s">
        <v>648</v>
      </c>
      <c r="M26" s="37" t="s">
        <v>36</v>
      </c>
      <c r="N26" s="37" t="s">
        <v>36</v>
      </c>
      <c r="O26" s="37" t="s">
        <v>609</v>
      </c>
      <c r="P26" s="36" t="s">
        <v>930</v>
      </c>
    </row>
    <row r="27" spans="1:16" ht="58" x14ac:dyDescent="0.35">
      <c r="A27" s="36">
        <v>17</v>
      </c>
      <c r="B27" s="36" t="str">
        <f t="shared" ref="B27:B30" si="4">CONCATENATE($B$2, ".", A27)</f>
        <v>8.17</v>
      </c>
      <c r="C27" s="132" t="s">
        <v>37</v>
      </c>
      <c r="D27" s="36" t="s">
        <v>923</v>
      </c>
      <c r="E27" s="36" t="s">
        <v>32</v>
      </c>
      <c r="F27" s="36" t="s">
        <v>881</v>
      </c>
      <c r="G27" s="36" t="s">
        <v>36</v>
      </c>
      <c r="H27" s="38">
        <v>35</v>
      </c>
      <c r="I27" s="36" t="s">
        <v>777</v>
      </c>
      <c r="J27" s="37" t="s">
        <v>107</v>
      </c>
      <c r="K27" s="37" t="s">
        <v>76</v>
      </c>
      <c r="L27" s="37" t="s">
        <v>932</v>
      </c>
      <c r="M27" s="37" t="s">
        <v>36</v>
      </c>
      <c r="N27" s="37" t="s">
        <v>36</v>
      </c>
      <c r="O27" s="37" t="s">
        <v>609</v>
      </c>
      <c r="P27" s="36" t="s">
        <v>933</v>
      </c>
    </row>
    <row r="28" spans="1:16" ht="29" x14ac:dyDescent="0.35">
      <c r="A28" s="36">
        <v>18</v>
      </c>
      <c r="B28" s="36" t="str">
        <f t="shared" si="4"/>
        <v>8.18</v>
      </c>
      <c r="C28" s="132" t="s">
        <v>37</v>
      </c>
      <c r="D28" s="36" t="s">
        <v>70</v>
      </c>
      <c r="E28" s="36" t="s">
        <v>32</v>
      </c>
      <c r="F28" s="36" t="s">
        <v>881</v>
      </c>
      <c r="G28" s="36" t="s">
        <v>36</v>
      </c>
      <c r="H28" s="38">
        <v>10</v>
      </c>
      <c r="I28" s="36" t="s">
        <v>777</v>
      </c>
      <c r="J28" s="37" t="s">
        <v>107</v>
      </c>
      <c r="K28" s="37" t="s">
        <v>78</v>
      </c>
      <c r="L28" s="37" t="s">
        <v>36</v>
      </c>
      <c r="M28" s="37" t="s">
        <v>36</v>
      </c>
      <c r="N28" s="37" t="s">
        <v>36</v>
      </c>
      <c r="O28" s="37" t="s">
        <v>609</v>
      </c>
    </row>
    <row r="29" spans="1:16" ht="43.5" x14ac:dyDescent="0.35">
      <c r="A29" s="36">
        <v>19</v>
      </c>
      <c r="B29" s="36" t="str">
        <f t="shared" si="4"/>
        <v>8.19</v>
      </c>
      <c r="C29" s="132" t="s">
        <v>37</v>
      </c>
      <c r="D29" s="36" t="s">
        <v>71</v>
      </c>
      <c r="E29" s="36" t="s">
        <v>32</v>
      </c>
      <c r="F29" s="36" t="s">
        <v>881</v>
      </c>
      <c r="G29" s="36" t="s">
        <v>36</v>
      </c>
      <c r="H29" s="38">
        <v>20</v>
      </c>
      <c r="I29" s="36" t="s">
        <v>777</v>
      </c>
      <c r="J29" s="37" t="s">
        <v>107</v>
      </c>
      <c r="K29" s="37" t="s">
        <v>76</v>
      </c>
      <c r="L29" s="37" t="s">
        <v>645</v>
      </c>
      <c r="M29" s="37" t="s">
        <v>36</v>
      </c>
      <c r="N29" s="37" t="s">
        <v>36</v>
      </c>
      <c r="O29" s="37" t="s">
        <v>609</v>
      </c>
    </row>
    <row r="30" spans="1:16" ht="87" x14ac:dyDescent="0.35">
      <c r="A30" s="36">
        <v>20</v>
      </c>
      <c r="B30" s="36" t="str">
        <f t="shared" si="4"/>
        <v>8.20</v>
      </c>
      <c r="C30" s="132" t="s">
        <v>37</v>
      </c>
      <c r="D30" s="36" t="s">
        <v>72</v>
      </c>
      <c r="E30" s="36" t="s">
        <v>34</v>
      </c>
      <c r="F30" s="36" t="s">
        <v>51</v>
      </c>
      <c r="G30" s="36" t="s">
        <v>36</v>
      </c>
      <c r="H30" s="38">
        <v>15</v>
      </c>
      <c r="I30" s="36" t="s">
        <v>777</v>
      </c>
      <c r="J30" s="37" t="s">
        <v>107</v>
      </c>
      <c r="K30" s="37" t="s">
        <v>450</v>
      </c>
      <c r="L30" s="37" t="s">
        <v>646</v>
      </c>
      <c r="M30" s="37" t="s">
        <v>670</v>
      </c>
      <c r="N30" s="37" t="s">
        <v>36</v>
      </c>
      <c r="O30" s="37" t="s">
        <v>609</v>
      </c>
    </row>
    <row r="31" spans="1:16" ht="43.5" x14ac:dyDescent="0.35">
      <c r="A31" s="36">
        <v>21</v>
      </c>
      <c r="B31" s="36" t="str">
        <f>CONCATENATE($B$2, ".", A31)</f>
        <v>8.21</v>
      </c>
      <c r="C31" s="132" t="s">
        <v>37</v>
      </c>
      <c r="D31" s="36" t="s">
        <v>921</v>
      </c>
      <c r="E31" s="36" t="s">
        <v>32</v>
      </c>
      <c r="F31" s="36" t="s">
        <v>51</v>
      </c>
      <c r="G31" s="36" t="s">
        <v>36</v>
      </c>
      <c r="H31" s="38">
        <v>7</v>
      </c>
      <c r="I31" s="36" t="s">
        <v>777</v>
      </c>
      <c r="J31" s="37" t="s">
        <v>107</v>
      </c>
      <c r="K31" s="37" t="s">
        <v>76</v>
      </c>
      <c r="L31" s="37" t="s">
        <v>647</v>
      </c>
      <c r="M31" s="37" t="s">
        <v>36</v>
      </c>
      <c r="N31" s="37" t="s">
        <v>36</v>
      </c>
      <c r="O31" s="37" t="s">
        <v>609</v>
      </c>
      <c r="P31" s="36" t="s">
        <v>929</v>
      </c>
    </row>
    <row r="32" spans="1:16" x14ac:dyDescent="0.35">
      <c r="A32" s="96"/>
      <c r="B32" s="92"/>
      <c r="C32" s="93"/>
      <c r="D32" s="92"/>
      <c r="E32" s="92"/>
      <c r="F32" s="92"/>
      <c r="G32" s="92"/>
      <c r="H32" s="94"/>
      <c r="I32" s="92"/>
      <c r="J32" s="95"/>
      <c r="K32" s="95"/>
      <c r="L32" s="95"/>
      <c r="M32" s="95"/>
      <c r="N32" s="95"/>
      <c r="O32" s="95"/>
      <c r="P32" s="92"/>
    </row>
    <row r="33" spans="1:15" ht="29" x14ac:dyDescent="0.35">
      <c r="A33" s="36">
        <v>22</v>
      </c>
      <c r="B33" s="36" t="str">
        <f t="shared" ref="B33:B34" si="5">CONCATENATE($B$2, ".", A33)</f>
        <v>8.22</v>
      </c>
      <c r="C33" s="45" t="s">
        <v>41</v>
      </c>
      <c r="D33" s="36" t="s">
        <v>57</v>
      </c>
      <c r="E33" s="36" t="s">
        <v>42</v>
      </c>
      <c r="F33" s="36" t="s">
        <v>36</v>
      </c>
      <c r="G33" s="36" t="s">
        <v>36</v>
      </c>
      <c r="H33" s="36" t="s">
        <v>36</v>
      </c>
      <c r="I33" s="36" t="s">
        <v>9</v>
      </c>
      <c r="J33" s="36" t="s">
        <v>36</v>
      </c>
      <c r="K33" s="36" t="s">
        <v>36</v>
      </c>
      <c r="L33" s="36" t="s">
        <v>36</v>
      </c>
      <c r="M33" s="36" t="s">
        <v>36</v>
      </c>
      <c r="N33" s="36" t="s">
        <v>36</v>
      </c>
      <c r="O33" s="37" t="s">
        <v>462</v>
      </c>
    </row>
    <row r="34" spans="1:15" ht="29" x14ac:dyDescent="0.35">
      <c r="A34" s="36">
        <v>23</v>
      </c>
      <c r="B34" s="36" t="str">
        <f t="shared" si="5"/>
        <v>8.23</v>
      </c>
      <c r="C34" s="45" t="s">
        <v>41</v>
      </c>
      <c r="D34" s="36" t="s">
        <v>56</v>
      </c>
      <c r="E34" s="36" t="s">
        <v>42</v>
      </c>
      <c r="F34" s="36" t="s">
        <v>36</v>
      </c>
      <c r="G34" s="36" t="s">
        <v>36</v>
      </c>
      <c r="H34" s="36" t="s">
        <v>36</v>
      </c>
      <c r="I34" s="36" t="s">
        <v>9</v>
      </c>
      <c r="J34" s="36" t="s">
        <v>36</v>
      </c>
      <c r="K34" s="36" t="s">
        <v>36</v>
      </c>
      <c r="L34" s="36" t="s">
        <v>36</v>
      </c>
      <c r="M34" s="36" t="s">
        <v>36</v>
      </c>
      <c r="N34" s="36" t="s">
        <v>36</v>
      </c>
      <c r="O34" s="37" t="s">
        <v>463</v>
      </c>
    </row>
  </sheetData>
  <mergeCells count="2">
    <mergeCell ref="B1:C1"/>
    <mergeCell ref="B4:C4"/>
  </mergeCells>
  <conditionalFormatting sqref="C33:C1048576 C26:C31 C7:C14">
    <cfRule type="cellIs" dxfId="632" priority="114" operator="equal">
      <formula>"WIP (see comments)"</formula>
    </cfRule>
    <cfRule type="cellIs" dxfId="631" priority="115" operator="equal">
      <formula>"Removed"</formula>
    </cfRule>
    <cfRule type="cellIs" dxfId="630" priority="116" operator="equal">
      <formula>"Updated"</formula>
    </cfRule>
    <cfRule type="cellIs" dxfId="629" priority="117" operator="equal">
      <formula>"New"</formula>
    </cfRule>
  </conditionalFormatting>
  <conditionalFormatting sqref="A1:B1 E1:XFD1 A2:XFD3 A4:B4 D4:XFD4 Q15:XFD20 A35:XFD1048576 Q24:XFD24 C33:XFD34 Q11:XFD12 Q26:XFD26 A5:XFD10 J26:N26 C27:C31 D13:XFD14 B11:C14 B26:H26">
    <cfRule type="cellIs" dxfId="628" priority="101" operator="equal">
      <formula>"n/a"</formula>
    </cfRule>
  </conditionalFormatting>
  <conditionalFormatting sqref="D1">
    <cfRule type="cellIs" dxfId="627" priority="88" operator="equal">
      <formula>"n/a"</formula>
    </cfRule>
  </conditionalFormatting>
  <conditionalFormatting sqref="B15:B20 D19:P20 D15:E18 G15:P18">
    <cfRule type="cellIs" dxfId="626" priority="87" operator="equal">
      <formula>"n/a"</formula>
    </cfRule>
  </conditionalFormatting>
  <conditionalFormatting sqref="C15:C20">
    <cfRule type="cellIs" dxfId="625" priority="83" operator="equal">
      <formula>"WIP (see comments)"</formula>
    </cfRule>
    <cfRule type="cellIs" dxfId="624" priority="84" operator="equal">
      <formula>"Removed"</formula>
    </cfRule>
    <cfRule type="cellIs" dxfId="623" priority="85" operator="equal">
      <formula>"Updated"</formula>
    </cfRule>
    <cfRule type="cellIs" dxfId="622" priority="86" operator="equal">
      <formula>"New"</formula>
    </cfRule>
  </conditionalFormatting>
  <conditionalFormatting sqref="C15:C20">
    <cfRule type="cellIs" dxfId="621" priority="82" operator="equal">
      <formula>"n/a"</formula>
    </cfRule>
  </conditionalFormatting>
  <conditionalFormatting sqref="Q27:XFD31">
    <cfRule type="cellIs" dxfId="620" priority="81" operator="equal">
      <formula>"n/a"</formula>
    </cfRule>
  </conditionalFormatting>
  <conditionalFormatting sqref="B27:B31 B33:B34 J27:N29 P28:P31 J31:N31 J30 D30:H31 N30 D27:E29 G27:H29">
    <cfRule type="cellIs" dxfId="619" priority="80" operator="equal">
      <formula>"n/a"</formula>
    </cfRule>
  </conditionalFormatting>
  <conditionalFormatting sqref="P25:XFD25">
    <cfRule type="cellIs" dxfId="618" priority="68" operator="equal">
      <formula>"n/a"</formula>
    </cfRule>
  </conditionalFormatting>
  <conditionalFormatting sqref="D25:O25 B25">
    <cfRule type="cellIs" dxfId="617" priority="67" operator="equal">
      <formula>"n/a"</formula>
    </cfRule>
  </conditionalFormatting>
  <conditionalFormatting sqref="C25">
    <cfRule type="cellIs" dxfId="616" priority="63" operator="equal">
      <formula>"WIP (see comments)"</formula>
    </cfRule>
    <cfRule type="cellIs" dxfId="615" priority="64" operator="equal">
      <formula>"Removed"</formula>
    </cfRule>
    <cfRule type="cellIs" dxfId="614" priority="65" operator="equal">
      <formula>"Updated"</formula>
    </cfRule>
    <cfRule type="cellIs" dxfId="613" priority="66" operator="equal">
      <formula>"New"</formula>
    </cfRule>
  </conditionalFormatting>
  <conditionalFormatting sqref="C25">
    <cfRule type="cellIs" dxfId="612" priority="62" operator="equal">
      <formula>"n/a"</formula>
    </cfRule>
  </conditionalFormatting>
  <conditionalFormatting sqref="C24">
    <cfRule type="cellIs" dxfId="611" priority="48" operator="equal">
      <formula>"n/a"</formula>
    </cfRule>
  </conditionalFormatting>
  <conditionalFormatting sqref="C22">
    <cfRule type="cellIs" dxfId="610" priority="40" operator="equal">
      <formula>"n/a"</formula>
    </cfRule>
  </conditionalFormatting>
  <conditionalFormatting sqref="P21:XFD21">
    <cfRule type="cellIs" dxfId="609" priority="61" operator="equal">
      <formula>"n/a"</formula>
    </cfRule>
  </conditionalFormatting>
  <conditionalFormatting sqref="D21:O21 B21">
    <cfRule type="cellIs" dxfId="608" priority="60" operator="equal">
      <formula>"n/a"</formula>
    </cfRule>
  </conditionalFormatting>
  <conditionalFormatting sqref="C21">
    <cfRule type="cellIs" dxfId="607" priority="56" operator="equal">
      <formula>"WIP (see comments)"</formula>
    </cfRule>
    <cfRule type="cellIs" dxfId="606" priority="57" operator="equal">
      <formula>"Removed"</formula>
    </cfRule>
    <cfRule type="cellIs" dxfId="605" priority="58" operator="equal">
      <formula>"Updated"</formula>
    </cfRule>
    <cfRule type="cellIs" dxfId="604" priority="59" operator="equal">
      <formula>"New"</formula>
    </cfRule>
  </conditionalFormatting>
  <conditionalFormatting sqref="C21">
    <cfRule type="cellIs" dxfId="603" priority="55" operator="equal">
      <formula>"n/a"</formula>
    </cfRule>
  </conditionalFormatting>
  <conditionalFormatting sqref="P24">
    <cfRule type="cellIs" dxfId="602" priority="54" operator="equal">
      <formula>"n/a"</formula>
    </cfRule>
  </conditionalFormatting>
  <conditionalFormatting sqref="B24 D24:O24">
    <cfRule type="cellIs" dxfId="601" priority="53" operator="equal">
      <formula>"n/a"</formula>
    </cfRule>
  </conditionalFormatting>
  <conditionalFormatting sqref="C24">
    <cfRule type="cellIs" dxfId="600" priority="49" operator="equal">
      <formula>"WIP (see comments)"</formula>
    </cfRule>
    <cfRule type="cellIs" dxfId="599" priority="50" operator="equal">
      <formula>"Removed"</formula>
    </cfRule>
    <cfRule type="cellIs" dxfId="598" priority="51" operator="equal">
      <formula>"Updated"</formula>
    </cfRule>
    <cfRule type="cellIs" dxfId="597" priority="52" operator="equal">
      <formula>"New"</formula>
    </cfRule>
  </conditionalFormatting>
  <conditionalFormatting sqref="O11">
    <cfRule type="cellIs" dxfId="596" priority="18" operator="equal">
      <formula>"n/a"</formula>
    </cfRule>
  </conditionalFormatting>
  <conditionalFormatting sqref="Q22:XFD22">
    <cfRule type="cellIs" dxfId="595" priority="47" operator="equal">
      <formula>"n/a"</formula>
    </cfRule>
  </conditionalFormatting>
  <conditionalFormatting sqref="P22">
    <cfRule type="cellIs" dxfId="594" priority="46" operator="equal">
      <formula>"n/a"</formula>
    </cfRule>
  </conditionalFormatting>
  <conditionalFormatting sqref="D22:O22 B22">
    <cfRule type="cellIs" dxfId="593" priority="45" operator="equal">
      <formula>"n/a"</formula>
    </cfRule>
  </conditionalFormatting>
  <conditionalFormatting sqref="C22">
    <cfRule type="cellIs" dxfId="592" priority="41" operator="equal">
      <formula>"WIP (see comments)"</formula>
    </cfRule>
    <cfRule type="cellIs" dxfId="591" priority="42" operator="equal">
      <formula>"Removed"</formula>
    </cfRule>
    <cfRule type="cellIs" dxfId="590" priority="43" operator="equal">
      <formula>"Updated"</formula>
    </cfRule>
    <cfRule type="cellIs" dxfId="589" priority="44" operator="equal">
      <formula>"New"</formula>
    </cfRule>
  </conditionalFormatting>
  <conditionalFormatting sqref="P23:XFD23">
    <cfRule type="cellIs" dxfId="588" priority="39" operator="equal">
      <formula>"n/a"</formula>
    </cfRule>
  </conditionalFormatting>
  <conditionalFormatting sqref="D23:O23 B23">
    <cfRule type="cellIs" dxfId="587" priority="38" operator="equal">
      <formula>"n/a"</formula>
    </cfRule>
  </conditionalFormatting>
  <conditionalFormatting sqref="C23">
    <cfRule type="cellIs" dxfId="586" priority="34" operator="equal">
      <formula>"WIP (see comments)"</formula>
    </cfRule>
    <cfRule type="cellIs" dxfId="585" priority="35" operator="equal">
      <formula>"Removed"</formula>
    </cfRule>
    <cfRule type="cellIs" dxfId="584" priority="36" operator="equal">
      <formula>"Updated"</formula>
    </cfRule>
    <cfRule type="cellIs" dxfId="583" priority="37" operator="equal">
      <formula>"New"</formula>
    </cfRule>
  </conditionalFormatting>
  <conditionalFormatting sqref="C23">
    <cfRule type="cellIs" dxfId="582" priority="33" operator="equal">
      <formula>"n/a"</formula>
    </cfRule>
  </conditionalFormatting>
  <conditionalFormatting sqref="P32:XFD32">
    <cfRule type="cellIs" dxfId="581" priority="27" operator="equal">
      <formula>"n/a"</formula>
    </cfRule>
  </conditionalFormatting>
  <conditionalFormatting sqref="D32:O32 B32">
    <cfRule type="cellIs" dxfId="580" priority="26" operator="equal">
      <formula>"n/a"</formula>
    </cfRule>
  </conditionalFormatting>
  <conditionalFormatting sqref="C32">
    <cfRule type="cellIs" dxfId="579" priority="22" operator="equal">
      <formula>"WIP (see comments)"</formula>
    </cfRule>
    <cfRule type="cellIs" dxfId="578" priority="23" operator="equal">
      <formula>"Removed"</formula>
    </cfRule>
    <cfRule type="cellIs" dxfId="577" priority="24" operator="equal">
      <formula>"Updated"</formula>
    </cfRule>
    <cfRule type="cellIs" dxfId="576" priority="25" operator="equal">
      <formula>"New"</formula>
    </cfRule>
  </conditionalFormatting>
  <conditionalFormatting sqref="C32">
    <cfRule type="cellIs" dxfId="575" priority="21" operator="equal">
      <formula>"n/a"</formula>
    </cfRule>
  </conditionalFormatting>
  <conditionalFormatting sqref="D11:N11 P11">
    <cfRule type="cellIs" dxfId="574" priority="20" operator="equal">
      <formula>"n/a"</formula>
    </cfRule>
  </conditionalFormatting>
  <conditionalFormatting sqref="D12:P12">
    <cfRule type="cellIs" dxfId="573" priority="19" operator="equal">
      <formula>"n/a"</formula>
    </cfRule>
  </conditionalFormatting>
  <conditionalFormatting sqref="P26:P27">
    <cfRule type="cellIs" dxfId="572" priority="17" operator="equal">
      <formula>"n/a"</formula>
    </cfRule>
  </conditionalFormatting>
  <conditionalFormatting sqref="O26:O31">
    <cfRule type="cellIs" dxfId="571" priority="11" operator="equal">
      <formula>"n/a"</formula>
    </cfRule>
  </conditionalFormatting>
  <conditionalFormatting sqref="I26:I31">
    <cfRule type="cellIs" dxfId="570" priority="10" operator="equal">
      <formula>"n/a"</formula>
    </cfRule>
  </conditionalFormatting>
  <conditionalFormatting sqref="K30">
    <cfRule type="cellIs" dxfId="569" priority="9" operator="equal">
      <formula>"n/a"</formula>
    </cfRule>
  </conditionalFormatting>
  <conditionalFormatting sqref="L30:M30">
    <cfRule type="cellIs" dxfId="568" priority="8" operator="equal">
      <formula>"n/a"</formula>
    </cfRule>
  </conditionalFormatting>
  <conditionalFormatting sqref="F15">
    <cfRule type="cellIs" dxfId="567" priority="7" operator="equal">
      <formula>"n/a"</formula>
    </cfRule>
  </conditionalFormatting>
  <conditionalFormatting sqref="F16">
    <cfRule type="cellIs" dxfId="566" priority="6" operator="equal">
      <formula>"n/a"</formula>
    </cfRule>
  </conditionalFormatting>
  <conditionalFormatting sqref="F17">
    <cfRule type="cellIs" dxfId="565" priority="5" operator="equal">
      <formula>"n/a"</formula>
    </cfRule>
  </conditionalFormatting>
  <conditionalFormatting sqref="F18">
    <cfRule type="cellIs" dxfId="564" priority="4" operator="equal">
      <formula>"n/a"</formula>
    </cfRule>
  </conditionalFormatting>
  <conditionalFormatting sqref="F27">
    <cfRule type="cellIs" dxfId="563" priority="3" operator="equal">
      <formula>"n/a"</formula>
    </cfRule>
  </conditionalFormatting>
  <conditionalFormatting sqref="F28">
    <cfRule type="cellIs" dxfId="562" priority="2" operator="equal">
      <formula>"n/a"</formula>
    </cfRule>
  </conditionalFormatting>
  <conditionalFormatting sqref="F29">
    <cfRule type="cellIs" dxfId="56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Values'!$B$5:$B$12</xm:f>
          </x14:formula1>
          <xm:sqref>C33:C1048576 C7:C10</xm:sqref>
        </x14:dataValidation>
        <x14:dataValidation type="list" allowBlank="1" showInputMessage="1" showErrorMessage="1">
          <x14:formula1>
            <xm:f>'List Values'!$B$5:$B$11</xm:f>
          </x14:formula1>
          <xm:sqref>C11:C32</xm:sqref>
        </x14:dataValidation>
        <x14:dataValidation type="list" allowBlank="1" showInputMessage="1" showErrorMessage="1">
          <x14:formula1>
            <xm:f>'List Values'!$A$5:$A$35</xm:f>
          </x14:formula1>
          <xm:sqref>E7:E1048576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P25"/>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36" customWidth="1"/>
    <col min="2" max="2" width="12.54296875" style="36" customWidth="1"/>
    <col min="3" max="3" width="13" style="45" customWidth="1"/>
    <col min="4" max="4" width="45.1796875" style="36" customWidth="1"/>
    <col min="5" max="5" width="28.7265625" style="36" customWidth="1"/>
    <col min="6" max="6" width="34.7265625" style="36" bestFit="1" customWidth="1"/>
    <col min="7" max="7" width="17.7265625" style="36" customWidth="1"/>
    <col min="8" max="8" width="27.81640625" style="36" customWidth="1"/>
    <col min="9" max="9" width="34.81640625" style="36" customWidth="1"/>
    <col min="10" max="10" width="28.1796875" style="36" customWidth="1"/>
    <col min="11" max="11" width="14.7265625" style="36" customWidth="1"/>
    <col min="12" max="12" width="19.26953125" style="36" bestFit="1" customWidth="1"/>
    <col min="13" max="13" width="29" style="36" customWidth="1"/>
    <col min="14" max="14" width="18.7265625" style="36" bestFit="1" customWidth="1"/>
    <col min="15" max="15" width="48.453125" style="36" customWidth="1"/>
    <col min="16" max="16" width="41.81640625" style="36" customWidth="1"/>
    <col min="17" max="16384" width="9.1796875" style="36"/>
  </cols>
  <sheetData>
    <row r="1" spans="1:16" s="57" customFormat="1" ht="18.5" x14ac:dyDescent="0.35">
      <c r="A1" s="56" t="s">
        <v>6</v>
      </c>
      <c r="B1" s="161" t="s">
        <v>217</v>
      </c>
      <c r="C1" s="161"/>
      <c r="D1" s="161"/>
    </row>
    <row r="2" spans="1:16" s="57" customFormat="1" ht="18.5" x14ac:dyDescent="0.35">
      <c r="A2" s="56" t="s">
        <v>7</v>
      </c>
      <c r="B2" s="58">
        <v>9</v>
      </c>
      <c r="C2" s="59"/>
      <c r="D2" s="58"/>
    </row>
    <row r="3" spans="1:16" s="57" customFormat="1" ht="18.5" x14ac:dyDescent="0.35">
      <c r="A3" s="56" t="s">
        <v>43</v>
      </c>
      <c r="B3" s="58" t="s">
        <v>461</v>
      </c>
      <c r="C3" s="59"/>
      <c r="D3" s="58" t="s">
        <v>794</v>
      </c>
    </row>
    <row r="4" spans="1:16" s="57" customFormat="1" ht="18.5" x14ac:dyDescent="0.35">
      <c r="A4" s="56" t="s">
        <v>8</v>
      </c>
      <c r="B4" s="162" t="s">
        <v>46</v>
      </c>
      <c r="C4" s="162"/>
    </row>
    <row r="5" spans="1:16" s="60" customFormat="1" x14ac:dyDescent="0.35">
      <c r="C5" s="61"/>
    </row>
    <row r="6" spans="1:16" s="62" customFormat="1" ht="15" thickBot="1" x14ac:dyDescent="0.4">
      <c r="A6" s="62" t="s">
        <v>10</v>
      </c>
      <c r="B6" s="62" t="s">
        <v>11</v>
      </c>
      <c r="C6" s="63" t="s">
        <v>25</v>
      </c>
      <c r="D6" s="62" t="s">
        <v>24</v>
      </c>
      <c r="E6" s="62" t="s">
        <v>12</v>
      </c>
      <c r="F6" s="62" t="s">
        <v>13</v>
      </c>
      <c r="G6" s="62" t="s">
        <v>14</v>
      </c>
      <c r="H6" s="62" t="s">
        <v>15</v>
      </c>
      <c r="I6" s="62" t="s">
        <v>16</v>
      </c>
      <c r="J6" s="62" t="s">
        <v>17</v>
      </c>
      <c r="K6" s="62" t="s">
        <v>18</v>
      </c>
      <c r="L6" s="62" t="s">
        <v>19</v>
      </c>
      <c r="M6" s="62" t="s">
        <v>20</v>
      </c>
      <c r="N6" s="62" t="s">
        <v>21</v>
      </c>
      <c r="O6" s="62" t="s">
        <v>22</v>
      </c>
      <c r="P6" s="62" t="s">
        <v>23</v>
      </c>
    </row>
    <row r="7" spans="1:16" x14ac:dyDescent="0.35">
      <c r="A7" s="36">
        <v>1</v>
      </c>
      <c r="B7" s="36" t="str">
        <f t="shared" ref="B7:B12" si="0">CONCATENATE($B$2, ".", A7)</f>
        <v>9.1</v>
      </c>
      <c r="C7" s="45" t="s">
        <v>37</v>
      </c>
      <c r="D7" s="36" t="s">
        <v>936</v>
      </c>
      <c r="E7" s="36" t="s">
        <v>115</v>
      </c>
      <c r="F7" s="36" t="s">
        <v>36</v>
      </c>
      <c r="G7" s="36" t="s">
        <v>36</v>
      </c>
      <c r="H7" s="36" t="s">
        <v>36</v>
      </c>
      <c r="I7" s="36" t="s">
        <v>9</v>
      </c>
      <c r="J7" s="37" t="s">
        <v>36</v>
      </c>
      <c r="K7" s="37" t="s">
        <v>36</v>
      </c>
      <c r="L7" s="37" t="s">
        <v>36</v>
      </c>
      <c r="M7" s="37" t="s">
        <v>36</v>
      </c>
      <c r="N7" s="37" t="s">
        <v>36</v>
      </c>
      <c r="O7" s="37" t="s">
        <v>36</v>
      </c>
      <c r="P7" s="36" t="s">
        <v>926</v>
      </c>
    </row>
    <row r="8" spans="1:16" ht="29" x14ac:dyDescent="0.35">
      <c r="A8" s="36">
        <v>2</v>
      </c>
      <c r="B8" s="36" t="str">
        <f t="shared" si="0"/>
        <v>9.2</v>
      </c>
      <c r="C8" s="45" t="s">
        <v>44</v>
      </c>
      <c r="D8" s="36" t="s">
        <v>36</v>
      </c>
      <c r="E8" s="36" t="s">
        <v>48</v>
      </c>
      <c r="F8" s="36" t="s">
        <v>36</v>
      </c>
      <c r="G8" s="36" t="s">
        <v>36</v>
      </c>
      <c r="H8" s="36" t="s">
        <v>36</v>
      </c>
      <c r="I8" s="36" t="s">
        <v>9</v>
      </c>
      <c r="J8" s="37" t="s">
        <v>36</v>
      </c>
      <c r="K8" s="37" t="s">
        <v>36</v>
      </c>
      <c r="L8" s="37" t="s">
        <v>36</v>
      </c>
      <c r="M8" s="37" t="s">
        <v>36</v>
      </c>
      <c r="N8" s="37" t="s">
        <v>36</v>
      </c>
      <c r="O8" s="37" t="s">
        <v>36</v>
      </c>
      <c r="P8" s="36" t="s">
        <v>434</v>
      </c>
    </row>
    <row r="9" spans="1:16" ht="145" x14ac:dyDescent="0.35">
      <c r="A9" s="36">
        <v>3</v>
      </c>
      <c r="B9" s="36" t="str">
        <f t="shared" si="0"/>
        <v>9.3</v>
      </c>
      <c r="C9" s="45" t="s">
        <v>44</v>
      </c>
      <c r="D9" s="36" t="s">
        <v>464</v>
      </c>
      <c r="E9" s="36" t="s">
        <v>31</v>
      </c>
      <c r="F9" s="36" t="s">
        <v>465</v>
      </c>
      <c r="G9" s="36" t="s">
        <v>935</v>
      </c>
      <c r="H9" s="36" t="s">
        <v>36</v>
      </c>
      <c r="I9" s="36" t="s">
        <v>9</v>
      </c>
      <c r="J9" s="37" t="s">
        <v>466</v>
      </c>
      <c r="K9" s="37" t="s">
        <v>53</v>
      </c>
      <c r="L9" s="37" t="s">
        <v>649</v>
      </c>
      <c r="M9" s="37" t="s">
        <v>36</v>
      </c>
      <c r="N9" s="37" t="s">
        <v>36</v>
      </c>
      <c r="O9" s="37" t="s">
        <v>36</v>
      </c>
      <c r="P9" s="36" t="s">
        <v>488</v>
      </c>
    </row>
    <row r="10" spans="1:16" x14ac:dyDescent="0.35">
      <c r="A10" s="36">
        <v>4</v>
      </c>
      <c r="B10" s="36" t="str">
        <f t="shared" ref="B10" si="1">CONCATENATE($B$2, ".", A10)</f>
        <v>9.4</v>
      </c>
      <c r="C10" s="45" t="s">
        <v>41</v>
      </c>
      <c r="D10" s="36" t="s">
        <v>569</v>
      </c>
      <c r="E10" s="36" t="s">
        <v>28</v>
      </c>
      <c r="F10" s="36" t="s">
        <v>36</v>
      </c>
      <c r="G10" s="36" t="s">
        <v>36</v>
      </c>
      <c r="H10" s="36" t="s">
        <v>36</v>
      </c>
      <c r="I10" s="36" t="s">
        <v>9</v>
      </c>
      <c r="J10" s="37" t="s">
        <v>36</v>
      </c>
      <c r="K10" s="37" t="s">
        <v>36</v>
      </c>
      <c r="L10" s="37" t="s">
        <v>36</v>
      </c>
      <c r="M10" s="37" t="s">
        <v>36</v>
      </c>
      <c r="N10" s="37" t="s">
        <v>36</v>
      </c>
      <c r="O10" s="37" t="s">
        <v>36</v>
      </c>
    </row>
    <row r="11" spans="1:16" ht="72.5" x14ac:dyDescent="0.35">
      <c r="A11" s="36">
        <v>5</v>
      </c>
      <c r="B11" s="36" t="str">
        <f t="shared" si="0"/>
        <v>9.5</v>
      </c>
      <c r="C11" s="45" t="s">
        <v>37</v>
      </c>
      <c r="D11" s="36" t="s">
        <v>467</v>
      </c>
      <c r="E11" s="36" t="s">
        <v>34</v>
      </c>
      <c r="F11" s="36" t="s">
        <v>566</v>
      </c>
      <c r="G11" s="36" t="s">
        <v>937</v>
      </c>
      <c r="H11" s="36" t="s">
        <v>36</v>
      </c>
      <c r="I11" s="36" t="s">
        <v>9</v>
      </c>
      <c r="J11" s="37" t="s">
        <v>466</v>
      </c>
      <c r="K11" s="37" t="s">
        <v>53</v>
      </c>
      <c r="L11" s="37" t="s">
        <v>650</v>
      </c>
      <c r="M11" s="37" t="s">
        <v>572</v>
      </c>
      <c r="N11" s="37" t="s">
        <v>36</v>
      </c>
      <c r="O11" s="37" t="s">
        <v>622</v>
      </c>
      <c r="P11" s="36" t="s">
        <v>938</v>
      </c>
    </row>
    <row r="12" spans="1:16" ht="72.5" x14ac:dyDescent="0.35">
      <c r="A12" s="36">
        <v>6</v>
      </c>
      <c r="B12" s="36" t="str">
        <f t="shared" si="0"/>
        <v>9.6</v>
      </c>
      <c r="C12" s="45" t="s">
        <v>37</v>
      </c>
      <c r="D12" s="36" t="s">
        <v>563</v>
      </c>
      <c r="E12" s="36" t="s">
        <v>34</v>
      </c>
      <c r="F12" s="36" t="s">
        <v>567</v>
      </c>
      <c r="G12" s="36" t="s">
        <v>939</v>
      </c>
      <c r="H12" s="36" t="s">
        <v>36</v>
      </c>
      <c r="I12" s="36" t="s">
        <v>9</v>
      </c>
      <c r="J12" s="37" t="s">
        <v>466</v>
      </c>
      <c r="K12" s="37" t="s">
        <v>53</v>
      </c>
      <c r="L12" s="37" t="s">
        <v>651</v>
      </c>
      <c r="M12" s="37" t="s">
        <v>573</v>
      </c>
      <c r="N12" s="37" t="s">
        <v>36</v>
      </c>
      <c r="O12" s="37" t="s">
        <v>575</v>
      </c>
      <c r="P12" s="36" t="s">
        <v>938</v>
      </c>
    </row>
    <row r="13" spans="1:16" ht="72.5" x14ac:dyDescent="0.35">
      <c r="A13" s="36">
        <v>7</v>
      </c>
      <c r="B13" s="36" t="str">
        <f t="shared" ref="B13" si="2">CONCATENATE($B$2, ".", A13)</f>
        <v>9.7</v>
      </c>
      <c r="C13" s="45" t="s">
        <v>37</v>
      </c>
      <c r="D13" s="36" t="s">
        <v>468</v>
      </c>
      <c r="E13" s="36" t="s">
        <v>34</v>
      </c>
      <c r="F13" s="36" t="s">
        <v>568</v>
      </c>
      <c r="G13" s="36" t="s">
        <v>940</v>
      </c>
      <c r="H13" s="36" t="s">
        <v>36</v>
      </c>
      <c r="I13" s="36" t="s">
        <v>9</v>
      </c>
      <c r="J13" s="37" t="s">
        <v>466</v>
      </c>
      <c r="K13" s="37" t="s">
        <v>53</v>
      </c>
      <c r="L13" s="37" t="s">
        <v>652</v>
      </c>
      <c r="M13" s="37" t="s">
        <v>574</v>
      </c>
      <c r="N13" s="37" t="s">
        <v>36</v>
      </c>
      <c r="O13" s="37" t="s">
        <v>581</v>
      </c>
      <c r="P13" s="36" t="s">
        <v>938</v>
      </c>
    </row>
    <row r="14" spans="1:16" x14ac:dyDescent="0.35">
      <c r="A14" s="36">
        <v>8</v>
      </c>
      <c r="B14" s="36" t="str">
        <f t="shared" ref="B14" si="3">CONCATENATE($B$2, ".", A14)</f>
        <v>9.8</v>
      </c>
      <c r="C14" s="45" t="s">
        <v>41</v>
      </c>
      <c r="D14" s="36" t="s">
        <v>570</v>
      </c>
      <c r="E14" s="36" t="s">
        <v>28</v>
      </c>
      <c r="F14" s="36" t="s">
        <v>36</v>
      </c>
      <c r="G14" s="36" t="s">
        <v>36</v>
      </c>
      <c r="H14" s="36" t="s">
        <v>36</v>
      </c>
      <c r="I14" s="36" t="s">
        <v>9</v>
      </c>
      <c r="J14" s="37" t="s">
        <v>36</v>
      </c>
      <c r="K14" s="37" t="s">
        <v>36</v>
      </c>
      <c r="L14" s="37" t="s">
        <v>36</v>
      </c>
      <c r="M14" s="37" t="s">
        <v>36</v>
      </c>
      <c r="N14" s="37" t="s">
        <v>36</v>
      </c>
      <c r="O14" s="37" t="s">
        <v>36</v>
      </c>
    </row>
    <row r="15" spans="1:16" ht="29" x14ac:dyDescent="0.35">
      <c r="A15" s="36">
        <v>9</v>
      </c>
      <c r="B15" s="36" t="str">
        <f t="shared" ref="B15:B17" si="4">CONCATENATE($B$2, ".", A15)</f>
        <v>9.9</v>
      </c>
      <c r="C15" s="45" t="s">
        <v>41</v>
      </c>
      <c r="D15" s="36" t="s">
        <v>469</v>
      </c>
      <c r="E15" s="36" t="s">
        <v>32</v>
      </c>
      <c r="F15" s="36" t="s">
        <v>470</v>
      </c>
      <c r="G15" s="36" t="s">
        <v>36</v>
      </c>
      <c r="H15" s="36" t="s">
        <v>471</v>
      </c>
      <c r="I15" s="36" t="s">
        <v>9</v>
      </c>
      <c r="J15" s="36" t="s">
        <v>107</v>
      </c>
      <c r="K15" s="36" t="s">
        <v>83</v>
      </c>
      <c r="L15" s="36" t="s">
        <v>36</v>
      </c>
      <c r="M15" s="36" t="s">
        <v>372</v>
      </c>
      <c r="N15" s="36" t="s">
        <v>36</v>
      </c>
      <c r="O15" s="37" t="s">
        <v>472</v>
      </c>
    </row>
    <row r="16" spans="1:16" ht="58" x14ac:dyDescent="0.35">
      <c r="A16" s="36">
        <v>10</v>
      </c>
      <c r="B16" s="36" t="str">
        <f t="shared" si="4"/>
        <v>9.10</v>
      </c>
      <c r="C16" s="45" t="s">
        <v>37</v>
      </c>
      <c r="D16" s="36" t="s">
        <v>475</v>
      </c>
      <c r="E16" s="36" t="s">
        <v>32</v>
      </c>
      <c r="F16" s="36" t="s">
        <v>883</v>
      </c>
      <c r="G16" s="36" t="s">
        <v>941</v>
      </c>
      <c r="H16" s="36" t="s">
        <v>36</v>
      </c>
      <c r="I16" s="36" t="s">
        <v>9</v>
      </c>
      <c r="J16" s="36" t="s">
        <v>36</v>
      </c>
      <c r="K16" s="36" t="s">
        <v>83</v>
      </c>
      <c r="L16" s="36" t="s">
        <v>36</v>
      </c>
      <c r="M16" s="36" t="s">
        <v>884</v>
      </c>
      <c r="N16" s="36" t="s">
        <v>942</v>
      </c>
      <c r="O16" s="36" t="s">
        <v>36</v>
      </c>
      <c r="P16" s="36" t="s">
        <v>943</v>
      </c>
    </row>
    <row r="17" spans="1:16" x14ac:dyDescent="0.35">
      <c r="A17" s="36">
        <v>11</v>
      </c>
      <c r="B17" s="36" t="str">
        <f t="shared" si="4"/>
        <v>9.11</v>
      </c>
      <c r="C17" s="45" t="s">
        <v>41</v>
      </c>
      <c r="D17" s="36" t="s">
        <v>476</v>
      </c>
      <c r="E17" s="36" t="s">
        <v>28</v>
      </c>
      <c r="F17" s="36" t="s">
        <v>36</v>
      </c>
      <c r="G17" s="36" t="s">
        <v>36</v>
      </c>
      <c r="H17" s="36" t="s">
        <v>36</v>
      </c>
      <c r="I17" s="36" t="s">
        <v>9</v>
      </c>
      <c r="J17" s="36" t="s">
        <v>36</v>
      </c>
      <c r="K17" s="36" t="s">
        <v>36</v>
      </c>
      <c r="L17" s="36" t="s">
        <v>36</v>
      </c>
      <c r="M17" s="36" t="s">
        <v>36</v>
      </c>
      <c r="N17" s="36" t="s">
        <v>36</v>
      </c>
      <c r="O17" s="36" t="s">
        <v>36</v>
      </c>
    </row>
    <row r="18" spans="1:16" ht="130.5" x14ac:dyDescent="0.35">
      <c r="A18" s="36">
        <v>12</v>
      </c>
      <c r="B18" s="36" t="str">
        <f t="shared" ref="B18" si="5">CONCATENATE($B$2, ".", A18)</f>
        <v>9.12</v>
      </c>
      <c r="C18" s="45" t="s">
        <v>37</v>
      </c>
      <c r="D18" s="36" t="s">
        <v>477</v>
      </c>
      <c r="E18" s="36" t="s">
        <v>34</v>
      </c>
      <c r="F18" s="36" t="s">
        <v>478</v>
      </c>
      <c r="G18" s="36" t="s">
        <v>944</v>
      </c>
      <c r="H18" s="36" t="s">
        <v>36</v>
      </c>
      <c r="I18" s="36" t="s">
        <v>9</v>
      </c>
      <c r="J18" s="36" t="s">
        <v>466</v>
      </c>
      <c r="K18" s="36" t="s">
        <v>353</v>
      </c>
      <c r="L18" s="36" t="s">
        <v>945</v>
      </c>
      <c r="M18" s="37" t="s">
        <v>458</v>
      </c>
      <c r="N18" s="37" t="s">
        <v>812</v>
      </c>
      <c r="O18" s="36" t="s">
        <v>481</v>
      </c>
      <c r="P18" s="36" t="s">
        <v>946</v>
      </c>
    </row>
    <row r="19" spans="1:16" ht="87" x14ac:dyDescent="0.35">
      <c r="A19" s="36">
        <v>13</v>
      </c>
      <c r="B19" s="36" t="str">
        <f t="shared" ref="B19" si="6">CONCATENATE($B$2, ".", A19)</f>
        <v>9.13</v>
      </c>
      <c r="C19" s="45" t="s">
        <v>37</v>
      </c>
      <c r="D19" s="36" t="s">
        <v>479</v>
      </c>
      <c r="E19" s="36" t="s">
        <v>32</v>
      </c>
      <c r="F19" s="36" t="s">
        <v>51</v>
      </c>
      <c r="G19" s="36" t="s">
        <v>480</v>
      </c>
      <c r="H19" s="38">
        <v>20</v>
      </c>
      <c r="I19" s="36" t="s">
        <v>9</v>
      </c>
      <c r="J19" s="36" t="s">
        <v>107</v>
      </c>
      <c r="K19" s="36" t="s">
        <v>353</v>
      </c>
      <c r="L19" s="36" t="s">
        <v>947</v>
      </c>
      <c r="M19" s="36" t="s">
        <v>372</v>
      </c>
      <c r="N19" s="36" t="s">
        <v>887</v>
      </c>
      <c r="O19" s="36" t="s">
        <v>482</v>
      </c>
      <c r="P19" s="36" t="s">
        <v>948</v>
      </c>
    </row>
    <row r="20" spans="1:16" ht="87" x14ac:dyDescent="0.35">
      <c r="A20" s="36">
        <v>14</v>
      </c>
      <c r="B20" s="36" t="str">
        <f t="shared" ref="B20:B22" si="7">CONCATENATE($B$2, ".", A20)</f>
        <v>9.14</v>
      </c>
      <c r="C20" s="45" t="s">
        <v>37</v>
      </c>
      <c r="D20" s="36" t="s">
        <v>483</v>
      </c>
      <c r="E20" s="36" t="s">
        <v>31</v>
      </c>
      <c r="F20" s="36" t="s">
        <v>58</v>
      </c>
      <c r="G20" s="36" t="s">
        <v>949</v>
      </c>
      <c r="H20" s="36" t="s">
        <v>36</v>
      </c>
      <c r="I20" s="36" t="s">
        <v>9</v>
      </c>
      <c r="J20" s="36" t="s">
        <v>466</v>
      </c>
      <c r="K20" s="36" t="s">
        <v>53</v>
      </c>
      <c r="L20" s="36" t="s">
        <v>653</v>
      </c>
      <c r="M20" s="37" t="s">
        <v>458</v>
      </c>
      <c r="N20" s="37" t="s">
        <v>36</v>
      </c>
      <c r="O20" s="36" t="s">
        <v>564</v>
      </c>
      <c r="P20" s="36" t="s">
        <v>938</v>
      </c>
    </row>
    <row r="21" spans="1:16" ht="246.5" x14ac:dyDescent="0.35">
      <c r="A21" s="36">
        <v>15</v>
      </c>
      <c r="B21" s="36" t="str">
        <f t="shared" si="7"/>
        <v>9.15</v>
      </c>
      <c r="C21" s="45" t="s">
        <v>37</v>
      </c>
      <c r="D21" s="36" t="s">
        <v>484</v>
      </c>
      <c r="E21" s="36" t="s">
        <v>34</v>
      </c>
      <c r="F21" s="36" t="s">
        <v>478</v>
      </c>
      <c r="G21" s="36" t="s">
        <v>36</v>
      </c>
      <c r="H21" s="36" t="s">
        <v>36</v>
      </c>
      <c r="I21" s="36" t="s">
        <v>485</v>
      </c>
      <c r="J21" s="36" t="s">
        <v>466</v>
      </c>
      <c r="K21" s="36" t="s">
        <v>353</v>
      </c>
      <c r="L21" s="36" t="s">
        <v>950</v>
      </c>
      <c r="M21" s="37" t="s">
        <v>885</v>
      </c>
      <c r="N21" s="37" t="s">
        <v>886</v>
      </c>
      <c r="O21" s="36" t="s">
        <v>565</v>
      </c>
      <c r="P21" s="36" t="s">
        <v>951</v>
      </c>
    </row>
    <row r="22" spans="1:16" ht="58" x14ac:dyDescent="0.35">
      <c r="A22" s="36">
        <v>16</v>
      </c>
      <c r="B22" s="36" t="str">
        <f t="shared" si="7"/>
        <v>9.16</v>
      </c>
      <c r="C22" s="45" t="s">
        <v>37</v>
      </c>
      <c r="D22" s="36" t="s">
        <v>479</v>
      </c>
      <c r="E22" s="36" t="s">
        <v>32</v>
      </c>
      <c r="F22" s="36" t="s">
        <v>51</v>
      </c>
      <c r="G22" s="36" t="s">
        <v>36</v>
      </c>
      <c r="H22" s="38">
        <v>20</v>
      </c>
      <c r="I22" s="36" t="s">
        <v>485</v>
      </c>
      <c r="J22" s="36" t="s">
        <v>107</v>
      </c>
      <c r="K22" s="36" t="s">
        <v>353</v>
      </c>
      <c r="L22" s="36" t="s">
        <v>952</v>
      </c>
      <c r="M22" s="36" t="s">
        <v>372</v>
      </c>
      <c r="N22" s="36" t="s">
        <v>36</v>
      </c>
      <c r="O22" s="36" t="s">
        <v>565</v>
      </c>
      <c r="P22" s="36" t="s">
        <v>953</v>
      </c>
    </row>
    <row r="23" spans="1:16" ht="101.5" x14ac:dyDescent="0.35">
      <c r="A23" s="36">
        <v>17</v>
      </c>
      <c r="B23" s="36" t="str">
        <f t="shared" ref="B23" si="8">CONCATENATE($B$2, ".", A23)</f>
        <v>9.17</v>
      </c>
      <c r="C23" s="45" t="s">
        <v>37</v>
      </c>
      <c r="D23" s="36" t="s">
        <v>486</v>
      </c>
      <c r="E23" s="36" t="s">
        <v>32</v>
      </c>
      <c r="F23" s="36" t="s">
        <v>51</v>
      </c>
      <c r="G23" s="36" t="s">
        <v>954</v>
      </c>
      <c r="H23" s="38">
        <v>15</v>
      </c>
      <c r="I23" s="36" t="s">
        <v>9</v>
      </c>
      <c r="J23" s="36" t="s">
        <v>107</v>
      </c>
      <c r="K23" s="36" t="s">
        <v>83</v>
      </c>
      <c r="L23" s="36" t="s">
        <v>36</v>
      </c>
      <c r="M23" s="36" t="s">
        <v>372</v>
      </c>
      <c r="N23" s="36" t="s">
        <v>36</v>
      </c>
      <c r="O23" s="36" t="s">
        <v>36</v>
      </c>
      <c r="P23" s="36" t="s">
        <v>938</v>
      </c>
    </row>
    <row r="24" spans="1:16" ht="43.5" x14ac:dyDescent="0.35">
      <c r="A24" s="36">
        <v>18</v>
      </c>
      <c r="B24" s="36" t="str">
        <f t="shared" ref="B24:B25" si="9">CONCATENATE($B$2, ".", A24)</f>
        <v>9.18</v>
      </c>
      <c r="C24" s="45" t="s">
        <v>41</v>
      </c>
      <c r="D24" s="36" t="s">
        <v>57</v>
      </c>
      <c r="E24" s="36" t="s">
        <v>42</v>
      </c>
      <c r="F24" s="36" t="s">
        <v>36</v>
      </c>
      <c r="G24" s="36" t="s">
        <v>36</v>
      </c>
      <c r="H24" s="36" t="s">
        <v>36</v>
      </c>
      <c r="I24" s="36" t="s">
        <v>9</v>
      </c>
      <c r="J24" s="36" t="s">
        <v>36</v>
      </c>
      <c r="K24" s="36" t="s">
        <v>36</v>
      </c>
      <c r="L24" s="36" t="s">
        <v>36</v>
      </c>
      <c r="M24" s="36" t="s">
        <v>36</v>
      </c>
      <c r="N24" s="36" t="s">
        <v>36</v>
      </c>
      <c r="O24" s="37" t="s">
        <v>610</v>
      </c>
      <c r="P24" s="36" t="s">
        <v>611</v>
      </c>
    </row>
    <row r="25" spans="1:16" x14ac:dyDescent="0.35">
      <c r="A25" s="36">
        <v>19</v>
      </c>
      <c r="B25" s="36" t="str">
        <f t="shared" si="9"/>
        <v>9.19</v>
      </c>
      <c r="C25" s="45" t="s">
        <v>41</v>
      </c>
      <c r="D25" s="36" t="s">
        <v>56</v>
      </c>
      <c r="E25" s="36" t="s">
        <v>42</v>
      </c>
      <c r="F25" s="36" t="s">
        <v>36</v>
      </c>
      <c r="G25" s="36" t="s">
        <v>36</v>
      </c>
      <c r="H25" s="36" t="s">
        <v>36</v>
      </c>
      <c r="I25" s="36" t="s">
        <v>9</v>
      </c>
      <c r="J25" s="36" t="s">
        <v>36</v>
      </c>
      <c r="K25" s="36" t="s">
        <v>36</v>
      </c>
      <c r="L25" s="36" t="s">
        <v>36</v>
      </c>
      <c r="M25" s="36" t="s">
        <v>36</v>
      </c>
      <c r="N25" s="36" t="s">
        <v>36</v>
      </c>
      <c r="O25" s="37" t="s">
        <v>487</v>
      </c>
    </row>
  </sheetData>
  <mergeCells count="2">
    <mergeCell ref="B4:C4"/>
    <mergeCell ref="B1:D1"/>
  </mergeCells>
  <conditionalFormatting sqref="C8:C1048576">
    <cfRule type="cellIs" dxfId="560" priority="10" operator="equal">
      <formula>"WIP (see comments)"</formula>
    </cfRule>
    <cfRule type="cellIs" dxfId="559" priority="11" operator="equal">
      <formula>"Removed"</formula>
    </cfRule>
    <cfRule type="cellIs" dxfId="558" priority="12" operator="equal">
      <formula>"Updated"</formula>
    </cfRule>
    <cfRule type="cellIs" dxfId="557" priority="13" operator="equal">
      <formula>"New"</formula>
    </cfRule>
  </conditionalFormatting>
  <conditionalFormatting sqref="C7:C25">
    <cfRule type="cellIs" dxfId="556" priority="6" operator="equal">
      <formula>"WIP (see comments)"</formula>
    </cfRule>
    <cfRule type="cellIs" dxfId="555" priority="7" operator="equal">
      <formula>"Removed"</formula>
    </cfRule>
    <cfRule type="cellIs" dxfId="554" priority="8" operator="equal">
      <formula>"Updated"</formula>
    </cfRule>
    <cfRule type="cellIs" dxfId="553" priority="9" operator="equal">
      <formula>"New"</formula>
    </cfRule>
  </conditionalFormatting>
  <conditionalFormatting sqref="A1:B1 E1:XFD1 A2:XFD3 A4:B4 D4:XFD4 A27:XFD1048576 A26:N26 P26:XFD26 A19:XFD19 A18:L18 O18:XFD18 A22:XFD25 A5:XFD17 A20:L21 O20:XFD21">
    <cfRule type="cellIs" dxfId="552" priority="5" operator="equal">
      <formula>"n/a"</formula>
    </cfRule>
  </conditionalFormatting>
  <conditionalFormatting sqref="M18:N18">
    <cfRule type="cellIs" dxfId="551" priority="3" operator="equal">
      <formula>"n/a"</formula>
    </cfRule>
  </conditionalFormatting>
  <conditionalFormatting sqref="M21:N21">
    <cfRule type="cellIs" dxfId="550" priority="2" operator="equal">
      <formula>"n/a"</formula>
    </cfRule>
  </conditionalFormatting>
  <conditionalFormatting sqref="M20:N20">
    <cfRule type="cellIs" dxfId="54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4"/>
  <sheetViews>
    <sheetView workbookViewId="0">
      <pane xSplit="4" ySplit="6" topLeftCell="L7" activePane="bottomRight" state="frozen"/>
      <selection activeCell="O8" sqref="O8"/>
      <selection pane="topRight" activeCell="O8" sqref="O8"/>
      <selection pane="bottomLeft" activeCell="O8" sqref="O8"/>
      <selection pane="bottomRight" activeCell="D11" sqref="D11"/>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2695312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163" t="s">
        <v>219</v>
      </c>
      <c r="C1" s="163"/>
      <c r="D1" s="163"/>
    </row>
    <row r="2" spans="1:16" s="27" customFormat="1" ht="18.5" x14ac:dyDescent="0.35">
      <c r="A2" s="25" t="s">
        <v>7</v>
      </c>
      <c r="B2" s="33">
        <v>10</v>
      </c>
      <c r="C2" s="32"/>
      <c r="D2" s="33"/>
    </row>
    <row r="3" spans="1:16" s="27" customFormat="1" ht="18.5" x14ac:dyDescent="0.35">
      <c r="A3" s="25" t="s">
        <v>43</v>
      </c>
      <c r="B3" s="33" t="s">
        <v>270</v>
      </c>
      <c r="C3" s="32"/>
      <c r="D3" s="81" t="s">
        <v>276</v>
      </c>
    </row>
    <row r="4" spans="1:16" s="27" customFormat="1" ht="18.5" x14ac:dyDescent="0.35">
      <c r="A4" s="25" t="s">
        <v>8</v>
      </c>
      <c r="B4" s="164" t="s">
        <v>46</v>
      </c>
      <c r="C4" s="164"/>
    </row>
    <row r="5" spans="1:16" s="4" customFormat="1" x14ac:dyDescent="0.35">
      <c r="C5" s="34"/>
    </row>
    <row r="6" spans="1:16" s="28" customFormat="1" ht="15" thickBot="1" x14ac:dyDescent="0.4">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s="46" customFormat="1" x14ac:dyDescent="0.35">
      <c r="A7" s="46">
        <v>1</v>
      </c>
      <c r="B7" s="46" t="str">
        <f>CONCATENATE($B$2, ".", A7)</f>
        <v>10.1</v>
      </c>
      <c r="C7" s="47" t="s">
        <v>37</v>
      </c>
      <c r="D7" s="48" t="s">
        <v>337</v>
      </c>
      <c r="E7" s="46" t="s">
        <v>28</v>
      </c>
      <c r="F7" s="46" t="s">
        <v>36</v>
      </c>
      <c r="G7" s="46" t="s">
        <v>36</v>
      </c>
      <c r="H7" s="46" t="s">
        <v>36</v>
      </c>
      <c r="I7" s="48" t="s">
        <v>9</v>
      </c>
      <c r="J7" s="46" t="s">
        <v>36</v>
      </c>
      <c r="K7" s="46" t="s">
        <v>36</v>
      </c>
      <c r="L7" s="46" t="s">
        <v>36</v>
      </c>
      <c r="M7" s="46" t="s">
        <v>36</v>
      </c>
      <c r="N7" s="46" t="s">
        <v>36</v>
      </c>
      <c r="O7" s="46" t="s">
        <v>36</v>
      </c>
    </row>
    <row r="8" spans="1:16" s="46" customFormat="1" ht="29" x14ac:dyDescent="0.35">
      <c r="A8" s="46">
        <v>2</v>
      </c>
      <c r="B8" s="46" t="str">
        <f t="shared" ref="B8:B13" si="0">CONCATENATE($B$2, ".", A8)</f>
        <v>10.2</v>
      </c>
      <c r="C8" s="83" t="s">
        <v>44</v>
      </c>
      <c r="D8" s="48" t="s">
        <v>36</v>
      </c>
      <c r="E8" s="48" t="s">
        <v>48</v>
      </c>
      <c r="F8" s="46" t="s">
        <v>36</v>
      </c>
      <c r="G8" s="46" t="s">
        <v>36</v>
      </c>
      <c r="H8" s="46" t="s">
        <v>36</v>
      </c>
      <c r="I8" s="48" t="s">
        <v>9</v>
      </c>
      <c r="J8" s="46" t="s">
        <v>36</v>
      </c>
      <c r="K8" s="46" t="s">
        <v>36</v>
      </c>
      <c r="L8" s="46" t="s">
        <v>36</v>
      </c>
      <c r="M8" s="46" t="s">
        <v>36</v>
      </c>
      <c r="N8" s="46" t="s">
        <v>36</v>
      </c>
      <c r="O8" s="46" t="s">
        <v>36</v>
      </c>
      <c r="P8" s="46" t="s">
        <v>409</v>
      </c>
    </row>
    <row r="9" spans="1:16" s="46" customFormat="1" ht="84.75" customHeight="1" x14ac:dyDescent="0.35">
      <c r="A9" s="46">
        <v>3</v>
      </c>
      <c r="B9" s="46" t="str">
        <f t="shared" si="0"/>
        <v>10.3</v>
      </c>
      <c r="C9" s="83" t="s">
        <v>37</v>
      </c>
      <c r="D9" s="48" t="s">
        <v>422</v>
      </c>
      <c r="E9" s="48" t="s">
        <v>33</v>
      </c>
      <c r="F9" s="46" t="s">
        <v>36</v>
      </c>
      <c r="G9" s="46" t="s">
        <v>36</v>
      </c>
      <c r="H9" s="46" t="s">
        <v>36</v>
      </c>
      <c r="I9" s="48" t="s">
        <v>9</v>
      </c>
      <c r="J9" s="46" t="s">
        <v>36</v>
      </c>
      <c r="K9" s="46" t="s">
        <v>36</v>
      </c>
      <c r="L9" s="46" t="s">
        <v>36</v>
      </c>
      <c r="M9" s="46" t="s">
        <v>36</v>
      </c>
      <c r="N9" s="46" t="s">
        <v>36</v>
      </c>
      <c r="O9" s="46" t="s">
        <v>36</v>
      </c>
    </row>
    <row r="10" spans="1:16" ht="99" customHeight="1" x14ac:dyDescent="0.35">
      <c r="A10" s="6">
        <v>4</v>
      </c>
      <c r="B10" s="46" t="str">
        <f t="shared" si="0"/>
        <v>10.4</v>
      </c>
      <c r="C10" s="83" t="s">
        <v>39</v>
      </c>
      <c r="D10" s="6" t="s">
        <v>36</v>
      </c>
      <c r="E10" s="6" t="s">
        <v>149</v>
      </c>
      <c r="F10" s="46" t="s">
        <v>36</v>
      </c>
      <c r="G10" s="46" t="s">
        <v>36</v>
      </c>
      <c r="H10" s="46" t="s">
        <v>36</v>
      </c>
      <c r="I10" s="48" t="s">
        <v>9</v>
      </c>
      <c r="J10" s="46" t="s">
        <v>36</v>
      </c>
      <c r="K10" s="165" t="s">
        <v>152</v>
      </c>
      <c r="L10" s="166" t="s">
        <v>153</v>
      </c>
      <c r="M10" s="46" t="s">
        <v>36</v>
      </c>
      <c r="N10" s="46" t="s">
        <v>36</v>
      </c>
      <c r="O10" s="37" t="s">
        <v>154</v>
      </c>
    </row>
    <row r="11" spans="1:16" ht="57.75" customHeight="1" x14ac:dyDescent="0.35">
      <c r="A11" s="6">
        <v>5</v>
      </c>
      <c r="B11" s="6" t="str">
        <f t="shared" si="0"/>
        <v>10.5</v>
      </c>
      <c r="C11" s="83" t="s">
        <v>37</v>
      </c>
      <c r="D11" s="36" t="s">
        <v>672</v>
      </c>
      <c r="E11" s="6" t="s">
        <v>29</v>
      </c>
      <c r="F11" s="6" t="s">
        <v>60</v>
      </c>
      <c r="G11" s="46" t="s">
        <v>36</v>
      </c>
      <c r="H11" s="46" t="s">
        <v>36</v>
      </c>
      <c r="I11" s="48" t="s">
        <v>9</v>
      </c>
      <c r="J11" s="5" t="s">
        <v>151</v>
      </c>
      <c r="K11" s="165"/>
      <c r="L11" s="166"/>
      <c r="M11" s="46" t="s">
        <v>36</v>
      </c>
      <c r="N11" s="46" t="s">
        <v>36</v>
      </c>
      <c r="O11" s="37" t="s">
        <v>155</v>
      </c>
    </row>
    <row r="12" spans="1:16" ht="57.75" customHeight="1" x14ac:dyDescent="0.35">
      <c r="A12" s="6">
        <v>6</v>
      </c>
      <c r="B12" s="6" t="str">
        <f t="shared" si="0"/>
        <v>10.6</v>
      </c>
      <c r="C12" s="83" t="s">
        <v>39</v>
      </c>
      <c r="D12" s="6" t="s">
        <v>177</v>
      </c>
      <c r="E12" s="6" t="s">
        <v>33</v>
      </c>
      <c r="F12" s="6" t="s">
        <v>36</v>
      </c>
      <c r="G12" s="46" t="s">
        <v>36</v>
      </c>
      <c r="H12" s="46" t="s">
        <v>36</v>
      </c>
      <c r="I12" s="48" t="s">
        <v>9</v>
      </c>
      <c r="J12" s="5" t="s">
        <v>36</v>
      </c>
      <c r="K12" s="5" t="s">
        <v>36</v>
      </c>
      <c r="L12" s="5" t="s">
        <v>36</v>
      </c>
      <c r="M12" s="5" t="s">
        <v>36</v>
      </c>
      <c r="N12" s="5" t="s">
        <v>36</v>
      </c>
      <c r="O12" s="5" t="s">
        <v>36</v>
      </c>
    </row>
    <row r="13" spans="1:16" ht="57.75" customHeight="1" x14ac:dyDescent="0.35">
      <c r="A13" s="6">
        <v>7</v>
      </c>
      <c r="B13" s="6" t="str">
        <f t="shared" si="0"/>
        <v>10.7</v>
      </c>
      <c r="C13" s="83" t="s">
        <v>39</v>
      </c>
      <c r="D13" s="6" t="s">
        <v>196</v>
      </c>
      <c r="E13" s="6" t="s">
        <v>114</v>
      </c>
      <c r="F13" s="6" t="s">
        <v>36</v>
      </c>
      <c r="G13" s="46" t="s">
        <v>36</v>
      </c>
      <c r="H13" s="46" t="s">
        <v>36</v>
      </c>
      <c r="I13" s="48" t="s">
        <v>9</v>
      </c>
      <c r="J13" s="5" t="s">
        <v>36</v>
      </c>
      <c r="K13" s="5" t="s">
        <v>36</v>
      </c>
      <c r="L13" s="5" t="s">
        <v>36</v>
      </c>
      <c r="M13" s="5" t="s">
        <v>36</v>
      </c>
      <c r="N13" s="5" t="s">
        <v>36</v>
      </c>
      <c r="O13" s="5" t="s">
        <v>36</v>
      </c>
    </row>
    <row r="14" spans="1:16" ht="29" x14ac:dyDescent="0.35">
      <c r="A14" s="6">
        <v>8</v>
      </c>
      <c r="B14" s="6" t="str">
        <f>CONCATENATE($B$2, ".", A14)</f>
        <v>10.8</v>
      </c>
      <c r="C14" s="83" t="s">
        <v>39</v>
      </c>
      <c r="D14" s="6" t="s">
        <v>57</v>
      </c>
      <c r="E14" s="6" t="s">
        <v>42</v>
      </c>
      <c r="F14" s="6" t="s">
        <v>36</v>
      </c>
      <c r="G14" s="6" t="s">
        <v>36</v>
      </c>
      <c r="H14" s="6" t="s">
        <v>36</v>
      </c>
      <c r="I14" s="6" t="s">
        <v>9</v>
      </c>
      <c r="J14" s="6" t="s">
        <v>36</v>
      </c>
      <c r="K14" s="6" t="s">
        <v>36</v>
      </c>
      <c r="L14" s="6" t="s">
        <v>36</v>
      </c>
      <c r="M14" s="6" t="s">
        <v>36</v>
      </c>
      <c r="N14" s="6" t="s">
        <v>36</v>
      </c>
      <c r="O14" s="6" t="s">
        <v>275</v>
      </c>
    </row>
    <row r="15" spans="1:16" ht="29" x14ac:dyDescent="0.35">
      <c r="A15" s="6">
        <v>9</v>
      </c>
      <c r="B15" s="6" t="str">
        <f t="shared" ref="B15" si="1">CONCATENATE($B$2, ".", A15)</f>
        <v>10.9</v>
      </c>
      <c r="C15" s="83" t="s">
        <v>39</v>
      </c>
      <c r="D15" s="6" t="s">
        <v>56</v>
      </c>
      <c r="E15" s="6" t="s">
        <v>42</v>
      </c>
      <c r="F15" s="6" t="s">
        <v>36</v>
      </c>
      <c r="G15" s="6" t="s">
        <v>36</v>
      </c>
      <c r="H15" s="6" t="s">
        <v>36</v>
      </c>
      <c r="I15" s="6" t="s">
        <v>9</v>
      </c>
      <c r="J15" s="6" t="s">
        <v>36</v>
      </c>
      <c r="K15" s="6" t="s">
        <v>36</v>
      </c>
      <c r="L15" s="6" t="s">
        <v>36</v>
      </c>
      <c r="M15" s="6" t="s">
        <v>36</v>
      </c>
      <c r="N15" s="6" t="s">
        <v>36</v>
      </c>
      <c r="O15" s="6" t="s">
        <v>272</v>
      </c>
    </row>
    <row r="16" spans="1:16" x14ac:dyDescent="0.35">
      <c r="I16" s="36"/>
      <c r="J16" s="5"/>
      <c r="K16" s="5"/>
      <c r="L16" s="37"/>
      <c r="M16" s="37"/>
      <c r="N16" s="37"/>
      <c r="O16" s="37"/>
    </row>
    <row r="17" spans="9:15" x14ac:dyDescent="0.35">
      <c r="I17" s="36"/>
      <c r="J17" s="5"/>
      <c r="K17" s="5"/>
      <c r="L17" s="37"/>
      <c r="M17" s="37"/>
      <c r="N17" s="37"/>
      <c r="O17" s="37"/>
    </row>
    <row r="18" spans="9:15" x14ac:dyDescent="0.35">
      <c r="I18" s="36"/>
      <c r="J18" s="5"/>
      <c r="K18" s="5"/>
      <c r="L18" s="37"/>
      <c r="M18" s="37"/>
      <c r="N18" s="37"/>
      <c r="O18" s="37"/>
    </row>
    <row r="19" spans="9:15" x14ac:dyDescent="0.35">
      <c r="I19" s="36"/>
      <c r="J19" s="5"/>
      <c r="K19" s="5"/>
      <c r="L19" s="37"/>
      <c r="M19" s="37"/>
      <c r="N19" s="37"/>
      <c r="O19" s="37"/>
    </row>
    <row r="20" spans="9:15" x14ac:dyDescent="0.35">
      <c r="I20" s="36"/>
      <c r="J20" s="5"/>
      <c r="K20" s="5"/>
      <c r="L20" s="37"/>
      <c r="M20" s="37"/>
      <c r="N20" s="37"/>
      <c r="O20" s="37"/>
    </row>
    <row r="21" spans="9:15" x14ac:dyDescent="0.35">
      <c r="I21" s="36"/>
      <c r="J21" s="5"/>
      <c r="K21" s="5"/>
      <c r="L21" s="37"/>
      <c r="M21" s="37"/>
      <c r="N21" s="37"/>
      <c r="O21" s="37"/>
    </row>
    <row r="22" spans="9:15" x14ac:dyDescent="0.35">
      <c r="I22" s="36"/>
      <c r="J22" s="5"/>
      <c r="K22" s="5"/>
      <c r="L22" s="37"/>
      <c r="M22" s="37"/>
      <c r="N22" s="37"/>
      <c r="O22" s="37"/>
    </row>
    <row r="23" spans="9:15" x14ac:dyDescent="0.35">
      <c r="I23" s="36"/>
      <c r="J23" s="5"/>
      <c r="K23" s="5"/>
      <c r="L23" s="37"/>
      <c r="M23" s="37"/>
      <c r="N23" s="37"/>
      <c r="O23" s="37"/>
    </row>
    <row r="24" spans="9:15" x14ac:dyDescent="0.35">
      <c r="I24" s="36"/>
      <c r="J24" s="5"/>
      <c r="K24" s="5"/>
      <c r="L24" s="37"/>
      <c r="M24" s="37"/>
      <c r="N24" s="37"/>
      <c r="O24" s="37"/>
    </row>
  </sheetData>
  <mergeCells count="4">
    <mergeCell ref="K10:K11"/>
    <mergeCell ref="L10:L11"/>
    <mergeCell ref="B1:D1"/>
    <mergeCell ref="B4:C4"/>
  </mergeCells>
  <conditionalFormatting sqref="C16:C1048576">
    <cfRule type="cellIs" dxfId="548" priority="48" operator="equal">
      <formula>"WIP (see comments)"</formula>
    </cfRule>
    <cfRule type="cellIs" dxfId="547" priority="49" operator="equal">
      <formula>"Removed"</formula>
    </cfRule>
    <cfRule type="cellIs" dxfId="546" priority="50" operator="equal">
      <formula>"Updated"</formula>
    </cfRule>
    <cfRule type="cellIs" dxfId="545" priority="51" operator="equal">
      <formula>"New"</formula>
    </cfRule>
  </conditionalFormatting>
  <conditionalFormatting sqref="C7:C15">
    <cfRule type="cellIs" dxfId="544" priority="32" operator="equal">
      <formula>"WIP (see comments)"</formula>
    </cfRule>
    <cfRule type="cellIs" dxfId="543" priority="33" operator="equal">
      <formula>"Removed"</formula>
    </cfRule>
    <cfRule type="cellIs" dxfId="542" priority="34" operator="equal">
      <formula>"Updated"</formula>
    </cfRule>
    <cfRule type="cellIs" dxfId="541" priority="35" operator="equal">
      <formula>"New"</formula>
    </cfRule>
  </conditionalFormatting>
  <conditionalFormatting sqref="A2:XFD2 A16:XFD1048576 M11:XFD11 D11:J11 A8:B13 D8:XFD10 P12:XFD13 A1:B1 E1:XFD1 A5:XFD7 A4:B4 D4:XFD4 C8:C15 A3:C3 E3:XFD3">
    <cfRule type="cellIs" dxfId="540" priority="30" operator="equal">
      <formula>"n/a"</formula>
    </cfRule>
  </conditionalFormatting>
  <conditionalFormatting sqref="A14:B15 D14:XFD15">
    <cfRule type="cellIs" dxfId="539" priority="16" operator="equal">
      <formula>"n/a"</formula>
    </cfRule>
  </conditionalFormatting>
  <conditionalFormatting sqref="J13:K13 J12 D12:I13">
    <cfRule type="cellIs" dxfId="538" priority="11" operator="equal">
      <formula>"n/a"</formula>
    </cfRule>
  </conditionalFormatting>
  <conditionalFormatting sqref="K12">
    <cfRule type="cellIs" dxfId="537" priority="10" operator="equal">
      <formula>"n/a"</formula>
    </cfRule>
  </conditionalFormatting>
  <conditionalFormatting sqref="L13">
    <cfRule type="cellIs" dxfId="536" priority="9" operator="equal">
      <formula>"n/a"</formula>
    </cfRule>
  </conditionalFormatting>
  <conditionalFormatting sqref="L12">
    <cfRule type="cellIs" dxfId="535" priority="8" operator="equal">
      <formula>"n/a"</formula>
    </cfRule>
  </conditionalFormatting>
  <conditionalFormatting sqref="M13">
    <cfRule type="cellIs" dxfId="534" priority="7" operator="equal">
      <formula>"n/a"</formula>
    </cfRule>
  </conditionalFormatting>
  <conditionalFormatting sqref="M12">
    <cfRule type="cellIs" dxfId="533" priority="6" operator="equal">
      <formula>"n/a"</formula>
    </cfRule>
  </conditionalFormatting>
  <conditionalFormatting sqref="N13">
    <cfRule type="cellIs" dxfId="532" priority="5" operator="equal">
      <formula>"n/a"</formula>
    </cfRule>
  </conditionalFormatting>
  <conditionalFormatting sqref="N12">
    <cfRule type="cellIs" dxfId="531" priority="4" operator="equal">
      <formula>"n/a"</formula>
    </cfRule>
  </conditionalFormatting>
  <conditionalFormatting sqref="O13">
    <cfRule type="cellIs" dxfId="530" priority="3" operator="equal">
      <formula>"n/a"</formula>
    </cfRule>
  </conditionalFormatting>
  <conditionalFormatting sqref="O12">
    <cfRule type="cellIs" dxfId="529" priority="2" operator="equal">
      <formula>"n/a"</formula>
    </cfRule>
  </conditionalFormatting>
  <conditionalFormatting sqref="D3">
    <cfRule type="cellIs" dxfId="52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Values'!$B$5:$B$11</xm:f>
          </x14:formula1>
          <xm:sqref>C7:C1048576</xm:sqref>
        </x14:dataValidation>
        <x14:dataValidation type="list" allowBlank="1" showInputMessage="1" showErrorMessage="1">
          <x14:formula1>
            <xm:f>'List Values'!$A$5:$A$36</xm:f>
          </x14:formula1>
          <xm:sqref>E7:E1048576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5"/>
  <sheetViews>
    <sheetView workbookViewId="0">
      <pane xSplit="4" ySplit="6" topLeftCell="E7" activePane="bottomRight" state="frozen"/>
      <selection activeCell="O8" sqref="O8"/>
      <selection pane="topRight" activeCell="O8" sqref="O8"/>
      <selection pane="bottomLeft" activeCell="O8" sqref="O8"/>
      <selection pane="bottomRight" activeCell="D10" sqref="D10"/>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163" t="s">
        <v>218</v>
      </c>
      <c r="C1" s="163"/>
      <c r="D1" s="26"/>
    </row>
    <row r="2" spans="1:16" s="27" customFormat="1" ht="18.5" x14ac:dyDescent="0.35">
      <c r="A2" s="25" t="s">
        <v>7</v>
      </c>
      <c r="B2" s="33">
        <v>11</v>
      </c>
      <c r="C2" s="32"/>
      <c r="D2" s="33"/>
    </row>
    <row r="3" spans="1:16" s="27" customFormat="1" ht="18.5" x14ac:dyDescent="0.35">
      <c r="A3" s="25" t="s">
        <v>43</v>
      </c>
      <c r="B3" s="33" t="s">
        <v>271</v>
      </c>
      <c r="C3" s="32"/>
      <c r="D3" s="81" t="s">
        <v>277</v>
      </c>
    </row>
    <row r="4" spans="1:16" s="27" customFormat="1" ht="18.5" x14ac:dyDescent="0.35">
      <c r="A4" s="25" t="s">
        <v>8</v>
      </c>
      <c r="B4" s="164" t="s">
        <v>46</v>
      </c>
      <c r="C4" s="164"/>
    </row>
    <row r="5" spans="1:16" s="4" customFormat="1" x14ac:dyDescent="0.35">
      <c r="C5" s="34"/>
    </row>
    <row r="6" spans="1:16" s="28" customFormat="1" ht="15" thickBot="1" x14ac:dyDescent="0.4">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s="36" customFormat="1" x14ac:dyDescent="0.35">
      <c r="A7" s="36">
        <v>1</v>
      </c>
      <c r="B7" s="36" t="str">
        <f t="shared" ref="B7:B16" si="0">CONCATENATE($B$2, ".", A7)</f>
        <v>11.1</v>
      </c>
      <c r="C7" s="83" t="s">
        <v>37</v>
      </c>
      <c r="D7" s="36" t="s">
        <v>424</v>
      </c>
      <c r="E7" s="36" t="s">
        <v>28</v>
      </c>
      <c r="F7" s="36" t="s">
        <v>36</v>
      </c>
      <c r="G7" s="36" t="s">
        <v>36</v>
      </c>
      <c r="H7" s="36" t="s">
        <v>36</v>
      </c>
      <c r="I7" s="36" t="s">
        <v>9</v>
      </c>
      <c r="J7" s="37" t="s">
        <v>36</v>
      </c>
      <c r="K7" s="37" t="s">
        <v>36</v>
      </c>
      <c r="L7" s="37" t="s">
        <v>36</v>
      </c>
      <c r="M7" s="37" t="s">
        <v>36</v>
      </c>
      <c r="N7" s="37" t="s">
        <v>36</v>
      </c>
      <c r="O7" s="37" t="s">
        <v>36</v>
      </c>
    </row>
    <row r="8" spans="1:16" s="36" customFormat="1" ht="29" x14ac:dyDescent="0.35">
      <c r="A8" s="36">
        <v>2</v>
      </c>
      <c r="B8" s="36" t="str">
        <f t="shared" si="0"/>
        <v>11.2</v>
      </c>
      <c r="C8" s="83" t="s">
        <v>44</v>
      </c>
      <c r="D8" s="36" t="s">
        <v>36</v>
      </c>
      <c r="E8" s="36" t="s">
        <v>48</v>
      </c>
      <c r="F8" s="36" t="s">
        <v>36</v>
      </c>
      <c r="G8" s="36" t="s">
        <v>36</v>
      </c>
      <c r="H8" s="36" t="s">
        <v>36</v>
      </c>
      <c r="I8" s="36" t="s">
        <v>9</v>
      </c>
      <c r="J8" s="37" t="s">
        <v>36</v>
      </c>
      <c r="K8" s="37" t="s">
        <v>36</v>
      </c>
      <c r="L8" s="37" t="s">
        <v>36</v>
      </c>
      <c r="M8" s="37" t="s">
        <v>36</v>
      </c>
      <c r="N8" s="37" t="s">
        <v>36</v>
      </c>
      <c r="O8" s="37" t="s">
        <v>36</v>
      </c>
      <c r="P8" s="36" t="s">
        <v>409</v>
      </c>
    </row>
    <row r="9" spans="1:16" s="36" customFormat="1" ht="58" x14ac:dyDescent="0.35">
      <c r="A9" s="36">
        <v>3</v>
      </c>
      <c r="B9" s="36" t="str">
        <f t="shared" si="0"/>
        <v>11.3</v>
      </c>
      <c r="C9" s="83" t="s">
        <v>37</v>
      </c>
      <c r="D9" s="36" t="s">
        <v>102</v>
      </c>
      <c r="E9" s="36" t="s">
        <v>32</v>
      </c>
      <c r="F9" s="36" t="s">
        <v>881</v>
      </c>
      <c r="G9" s="36" t="s">
        <v>36</v>
      </c>
      <c r="H9" s="38">
        <v>50</v>
      </c>
      <c r="I9" s="36" t="s">
        <v>9</v>
      </c>
      <c r="J9" s="37" t="s">
        <v>63</v>
      </c>
      <c r="K9" s="37" t="s">
        <v>53</v>
      </c>
      <c r="L9" s="37" t="s">
        <v>65</v>
      </c>
      <c r="M9" s="37" t="s">
        <v>36</v>
      </c>
      <c r="N9" s="37" t="s">
        <v>36</v>
      </c>
      <c r="O9" s="37" t="s">
        <v>67</v>
      </c>
      <c r="P9" s="36" t="s">
        <v>875</v>
      </c>
    </row>
    <row r="10" spans="1:16" s="36" customFormat="1" ht="58" x14ac:dyDescent="0.35">
      <c r="A10" s="36">
        <v>4</v>
      </c>
      <c r="B10" s="36" t="str">
        <f t="shared" si="0"/>
        <v>11.4</v>
      </c>
      <c r="C10" s="83" t="s">
        <v>37</v>
      </c>
      <c r="D10" s="36" t="s">
        <v>103</v>
      </c>
      <c r="E10" s="36" t="s">
        <v>32</v>
      </c>
      <c r="F10" s="36" t="s">
        <v>881</v>
      </c>
      <c r="G10" s="36" t="s">
        <v>36</v>
      </c>
      <c r="H10" s="38">
        <v>50</v>
      </c>
      <c r="I10" s="36" t="s">
        <v>9</v>
      </c>
      <c r="J10" s="37" t="s">
        <v>64</v>
      </c>
      <c r="K10" s="37" t="s">
        <v>53</v>
      </c>
      <c r="L10" s="37" t="s">
        <v>66</v>
      </c>
      <c r="M10" s="37" t="s">
        <v>36</v>
      </c>
      <c r="N10" s="37" t="s">
        <v>36</v>
      </c>
      <c r="O10" s="37" t="s">
        <v>67</v>
      </c>
      <c r="P10" s="36" t="s">
        <v>875</v>
      </c>
    </row>
    <row r="11" spans="1:16" s="36" customFormat="1" ht="128.25" customHeight="1" x14ac:dyDescent="0.35">
      <c r="A11" s="36">
        <v>5</v>
      </c>
      <c r="B11" s="36" t="str">
        <f t="shared" si="0"/>
        <v>11.5</v>
      </c>
      <c r="C11" s="83" t="s">
        <v>39</v>
      </c>
      <c r="D11" s="36" t="s">
        <v>104</v>
      </c>
      <c r="E11" s="36" t="s">
        <v>74</v>
      </c>
      <c r="F11" s="36" t="s">
        <v>51</v>
      </c>
      <c r="G11" s="36" t="s">
        <v>36</v>
      </c>
      <c r="H11" s="38">
        <v>35</v>
      </c>
      <c r="I11" s="36" t="s">
        <v>9</v>
      </c>
      <c r="J11" s="37" t="s">
        <v>69</v>
      </c>
      <c r="K11" s="37" t="s">
        <v>77</v>
      </c>
      <c r="L11" s="37" t="s">
        <v>654</v>
      </c>
      <c r="M11" s="37" t="s">
        <v>36</v>
      </c>
      <c r="N11" s="37" t="s">
        <v>188</v>
      </c>
      <c r="O11" s="37" t="s">
        <v>181</v>
      </c>
    </row>
    <row r="12" spans="1:16" s="36" customFormat="1" ht="58" x14ac:dyDescent="0.35">
      <c r="A12" s="36">
        <v>6</v>
      </c>
      <c r="B12" s="36" t="str">
        <f t="shared" si="0"/>
        <v>11.6</v>
      </c>
      <c r="C12" s="83" t="s">
        <v>39</v>
      </c>
      <c r="D12" s="36" t="s">
        <v>75</v>
      </c>
      <c r="E12" s="36" t="s">
        <v>32</v>
      </c>
      <c r="F12" s="36" t="s">
        <v>881</v>
      </c>
      <c r="G12" s="36" t="s">
        <v>36</v>
      </c>
      <c r="H12" s="38">
        <v>10</v>
      </c>
      <c r="I12" s="36" t="s">
        <v>427</v>
      </c>
      <c r="J12" s="37" t="s">
        <v>107</v>
      </c>
      <c r="K12" s="37" t="s">
        <v>76</v>
      </c>
      <c r="L12" s="37" t="s">
        <v>655</v>
      </c>
      <c r="M12" s="37" t="s">
        <v>36</v>
      </c>
      <c r="N12" s="37" t="s">
        <v>36</v>
      </c>
      <c r="O12" s="37"/>
    </row>
    <row r="13" spans="1:16" s="36" customFormat="1" ht="58" x14ac:dyDescent="0.35">
      <c r="A13" s="36">
        <v>7</v>
      </c>
      <c r="B13" s="36" t="str">
        <f t="shared" si="0"/>
        <v>11.7</v>
      </c>
      <c r="C13" s="83" t="s">
        <v>39</v>
      </c>
      <c r="D13" s="36" t="s">
        <v>108</v>
      </c>
      <c r="E13" s="36" t="s">
        <v>32</v>
      </c>
      <c r="F13" s="36" t="s">
        <v>881</v>
      </c>
      <c r="G13" s="36" t="s">
        <v>36</v>
      </c>
      <c r="H13" s="38">
        <v>35</v>
      </c>
      <c r="I13" s="36" t="s">
        <v>427</v>
      </c>
      <c r="J13" s="37" t="s">
        <v>107</v>
      </c>
      <c r="K13" s="37" t="s">
        <v>76</v>
      </c>
      <c r="L13" s="37" t="s">
        <v>656</v>
      </c>
      <c r="M13" s="37" t="s">
        <v>36</v>
      </c>
      <c r="N13" s="37" t="s">
        <v>36</v>
      </c>
      <c r="O13" s="37"/>
    </row>
    <row r="14" spans="1:16" s="36" customFormat="1" ht="58" x14ac:dyDescent="0.35">
      <c r="A14" s="36">
        <v>8</v>
      </c>
      <c r="B14" s="36" t="str">
        <f t="shared" si="0"/>
        <v>11.8</v>
      </c>
      <c r="C14" s="83" t="s">
        <v>39</v>
      </c>
      <c r="D14" s="36" t="s">
        <v>70</v>
      </c>
      <c r="E14" s="36" t="s">
        <v>32</v>
      </c>
      <c r="F14" s="36" t="s">
        <v>881</v>
      </c>
      <c r="G14" s="36" t="s">
        <v>36</v>
      </c>
      <c r="H14" s="38">
        <v>10</v>
      </c>
      <c r="I14" s="36" t="s">
        <v>427</v>
      </c>
      <c r="J14" s="37" t="s">
        <v>107</v>
      </c>
      <c r="K14" s="37" t="s">
        <v>78</v>
      </c>
      <c r="L14" s="37" t="s">
        <v>36</v>
      </c>
      <c r="M14" s="37" t="s">
        <v>36</v>
      </c>
      <c r="N14" s="37" t="s">
        <v>36</v>
      </c>
      <c r="O14" s="37"/>
    </row>
    <row r="15" spans="1:16" s="36" customFormat="1" ht="58" x14ac:dyDescent="0.35">
      <c r="A15" s="36">
        <v>9</v>
      </c>
      <c r="B15" s="36" t="str">
        <f t="shared" si="0"/>
        <v>11.9</v>
      </c>
      <c r="C15" s="83" t="s">
        <v>39</v>
      </c>
      <c r="D15" s="36" t="s">
        <v>71</v>
      </c>
      <c r="E15" s="36" t="s">
        <v>32</v>
      </c>
      <c r="F15" s="36" t="s">
        <v>881</v>
      </c>
      <c r="G15" s="36" t="s">
        <v>36</v>
      </c>
      <c r="H15" s="38">
        <v>20</v>
      </c>
      <c r="I15" s="36" t="s">
        <v>427</v>
      </c>
      <c r="J15" s="37" t="s">
        <v>107</v>
      </c>
      <c r="K15" s="37" t="s">
        <v>76</v>
      </c>
      <c r="L15" s="37" t="s">
        <v>645</v>
      </c>
      <c r="M15" s="37" t="s">
        <v>36</v>
      </c>
      <c r="N15" s="37" t="s">
        <v>36</v>
      </c>
      <c r="O15" s="37"/>
    </row>
    <row r="16" spans="1:16" s="36" customFormat="1" ht="116" customHeight="1" x14ac:dyDescent="0.35">
      <c r="A16" s="36">
        <v>10</v>
      </c>
      <c r="B16" s="36" t="str">
        <f t="shared" si="0"/>
        <v>11.10</v>
      </c>
      <c r="C16" s="83" t="s">
        <v>39</v>
      </c>
      <c r="D16" s="36" t="s">
        <v>72</v>
      </c>
      <c r="E16" s="36" t="s">
        <v>34</v>
      </c>
      <c r="F16" s="36" t="s">
        <v>51</v>
      </c>
      <c r="G16" s="36" t="s">
        <v>36</v>
      </c>
      <c r="H16" s="38">
        <v>15</v>
      </c>
      <c r="I16" s="36" t="s">
        <v>427</v>
      </c>
      <c r="J16" s="37" t="s">
        <v>107</v>
      </c>
      <c r="K16" s="37" t="s">
        <v>76</v>
      </c>
      <c r="L16" s="37" t="s">
        <v>646</v>
      </c>
      <c r="M16" s="37" t="s">
        <v>79</v>
      </c>
      <c r="N16" s="37" t="s">
        <v>109</v>
      </c>
      <c r="O16" s="37"/>
    </row>
    <row r="17" spans="1:15" s="36" customFormat="1" ht="58" x14ac:dyDescent="0.35">
      <c r="A17" s="36">
        <v>11</v>
      </c>
      <c r="B17" s="36" t="str">
        <f>CONCATENATE($B$2, ".", A17)</f>
        <v>11.11</v>
      </c>
      <c r="C17" s="83" t="s">
        <v>39</v>
      </c>
      <c r="D17" s="36" t="s">
        <v>73</v>
      </c>
      <c r="E17" s="36" t="s">
        <v>32</v>
      </c>
      <c r="F17" s="36" t="s">
        <v>51</v>
      </c>
      <c r="G17" s="36" t="s">
        <v>36</v>
      </c>
      <c r="H17" s="38">
        <v>7</v>
      </c>
      <c r="I17" s="36" t="s">
        <v>427</v>
      </c>
      <c r="J17" s="37" t="s">
        <v>107</v>
      </c>
      <c r="K17" s="37" t="s">
        <v>76</v>
      </c>
      <c r="L17" s="37" t="s">
        <v>647</v>
      </c>
      <c r="M17" s="37" t="s">
        <v>36</v>
      </c>
      <c r="N17" s="37" t="s">
        <v>36</v>
      </c>
      <c r="O17" s="37"/>
    </row>
    <row r="18" spans="1:15" s="36" customFormat="1" ht="66" customHeight="1" x14ac:dyDescent="0.35">
      <c r="A18" s="36">
        <v>12</v>
      </c>
      <c r="B18" s="36" t="str">
        <f t="shared" ref="B18:B24" si="1">CONCATENATE($B$2, ".", A18)</f>
        <v>11.12</v>
      </c>
      <c r="C18" s="83" t="s">
        <v>39</v>
      </c>
      <c r="D18" s="36" t="s">
        <v>80</v>
      </c>
      <c r="E18" s="36" t="s">
        <v>31</v>
      </c>
      <c r="F18" s="36" t="s">
        <v>58</v>
      </c>
      <c r="G18" s="36" t="s">
        <v>36</v>
      </c>
      <c r="H18" s="36" t="s">
        <v>36</v>
      </c>
      <c r="I18" s="36" t="s">
        <v>9</v>
      </c>
      <c r="J18" s="37" t="s">
        <v>62</v>
      </c>
      <c r="K18" s="37" t="s">
        <v>53</v>
      </c>
      <c r="L18" s="37" t="s">
        <v>81</v>
      </c>
      <c r="M18" s="37" t="s">
        <v>36</v>
      </c>
      <c r="N18" s="37" t="s">
        <v>36</v>
      </c>
      <c r="O18" s="37" t="s">
        <v>36</v>
      </c>
    </row>
    <row r="19" spans="1:15" s="36" customFormat="1" ht="81.75" customHeight="1" x14ac:dyDescent="0.35">
      <c r="A19" s="36">
        <v>13</v>
      </c>
      <c r="B19" s="36" t="str">
        <f t="shared" si="1"/>
        <v>11.13</v>
      </c>
      <c r="C19" s="83" t="s">
        <v>39</v>
      </c>
      <c r="D19" s="36" t="s">
        <v>105</v>
      </c>
      <c r="E19" s="36" t="s">
        <v>74</v>
      </c>
      <c r="F19" s="36" t="s">
        <v>51</v>
      </c>
      <c r="G19" s="36" t="s">
        <v>36</v>
      </c>
      <c r="H19" s="38">
        <v>35</v>
      </c>
      <c r="I19" s="36" t="s">
        <v>425</v>
      </c>
      <c r="J19" s="37" t="s">
        <v>107</v>
      </c>
      <c r="K19" s="37" t="s">
        <v>197</v>
      </c>
      <c r="L19" s="37" t="s">
        <v>657</v>
      </c>
      <c r="M19" s="37" t="s">
        <v>36</v>
      </c>
      <c r="N19" s="37" t="s">
        <v>36</v>
      </c>
      <c r="O19" s="37" t="s">
        <v>182</v>
      </c>
    </row>
    <row r="20" spans="1:15" s="36" customFormat="1" ht="58.5" customHeight="1" x14ac:dyDescent="0.35">
      <c r="A20" s="36">
        <v>14</v>
      </c>
      <c r="B20" s="36" t="str">
        <f t="shared" si="1"/>
        <v>11.14</v>
      </c>
      <c r="C20" s="83" t="s">
        <v>39</v>
      </c>
      <c r="D20" s="36" t="s">
        <v>75</v>
      </c>
      <c r="E20" s="36" t="s">
        <v>32</v>
      </c>
      <c r="F20" s="36" t="s">
        <v>881</v>
      </c>
      <c r="G20" s="36" t="s">
        <v>36</v>
      </c>
      <c r="H20" s="38">
        <v>10</v>
      </c>
      <c r="I20" s="36" t="s">
        <v>426</v>
      </c>
      <c r="J20" s="37" t="s">
        <v>107</v>
      </c>
      <c r="K20" s="37" t="s">
        <v>78</v>
      </c>
      <c r="L20" s="37" t="s">
        <v>36</v>
      </c>
      <c r="M20" s="37" t="s">
        <v>36</v>
      </c>
      <c r="N20" s="37" t="s">
        <v>36</v>
      </c>
      <c r="O20" s="37"/>
    </row>
    <row r="21" spans="1:15" s="36" customFormat="1" ht="57" customHeight="1" x14ac:dyDescent="0.35">
      <c r="A21" s="36">
        <v>15</v>
      </c>
      <c r="B21" s="36" t="str">
        <f t="shared" si="1"/>
        <v>11.15</v>
      </c>
      <c r="C21" s="83" t="s">
        <v>39</v>
      </c>
      <c r="D21" s="36" t="s">
        <v>108</v>
      </c>
      <c r="E21" s="36" t="s">
        <v>32</v>
      </c>
      <c r="F21" s="36" t="s">
        <v>881</v>
      </c>
      <c r="G21" s="36" t="s">
        <v>36</v>
      </c>
      <c r="H21" s="38">
        <v>35</v>
      </c>
      <c r="I21" s="36" t="s">
        <v>426</v>
      </c>
      <c r="J21" s="37" t="s">
        <v>107</v>
      </c>
      <c r="K21" s="37" t="s">
        <v>76</v>
      </c>
      <c r="L21" s="37" t="s">
        <v>656</v>
      </c>
      <c r="M21" s="37" t="s">
        <v>36</v>
      </c>
      <c r="N21" s="37" t="s">
        <v>36</v>
      </c>
      <c r="O21" s="37"/>
    </row>
    <row r="22" spans="1:15" s="36" customFormat="1" ht="60" customHeight="1" x14ac:dyDescent="0.35">
      <c r="A22" s="36">
        <v>16</v>
      </c>
      <c r="B22" s="36" t="str">
        <f t="shared" si="1"/>
        <v>11.16</v>
      </c>
      <c r="C22" s="83" t="s">
        <v>39</v>
      </c>
      <c r="D22" s="36" t="s">
        <v>70</v>
      </c>
      <c r="E22" s="36" t="s">
        <v>32</v>
      </c>
      <c r="F22" s="36" t="s">
        <v>881</v>
      </c>
      <c r="G22" s="36" t="s">
        <v>36</v>
      </c>
      <c r="H22" s="38">
        <v>10</v>
      </c>
      <c r="I22" s="36" t="s">
        <v>426</v>
      </c>
      <c r="J22" s="37" t="s">
        <v>107</v>
      </c>
      <c r="K22" s="37" t="s">
        <v>78</v>
      </c>
      <c r="L22" s="37" t="s">
        <v>36</v>
      </c>
      <c r="M22" s="37" t="s">
        <v>36</v>
      </c>
      <c r="N22" s="37" t="s">
        <v>36</v>
      </c>
      <c r="O22" s="37"/>
    </row>
    <row r="23" spans="1:15" s="36" customFormat="1" ht="59" customHeight="1" x14ac:dyDescent="0.35">
      <c r="A23" s="36">
        <v>17</v>
      </c>
      <c r="B23" s="36" t="str">
        <f t="shared" si="1"/>
        <v>11.17</v>
      </c>
      <c r="C23" s="83" t="s">
        <v>39</v>
      </c>
      <c r="D23" s="36" t="s">
        <v>71</v>
      </c>
      <c r="E23" s="36" t="s">
        <v>32</v>
      </c>
      <c r="F23" s="36" t="s">
        <v>881</v>
      </c>
      <c r="G23" s="36" t="s">
        <v>36</v>
      </c>
      <c r="H23" s="38">
        <v>20</v>
      </c>
      <c r="I23" s="36" t="s">
        <v>426</v>
      </c>
      <c r="J23" s="37" t="s">
        <v>107</v>
      </c>
      <c r="K23" s="37" t="s">
        <v>76</v>
      </c>
      <c r="L23" s="37" t="s">
        <v>645</v>
      </c>
      <c r="M23" s="37" t="s">
        <v>36</v>
      </c>
      <c r="N23" s="37" t="s">
        <v>36</v>
      </c>
      <c r="O23" s="37"/>
    </row>
    <row r="24" spans="1:15" s="36" customFormat="1" ht="72.5" x14ac:dyDescent="0.35">
      <c r="A24" s="36">
        <v>18</v>
      </c>
      <c r="B24" s="36" t="str">
        <f t="shared" si="1"/>
        <v>11.18</v>
      </c>
      <c r="C24" s="83" t="s">
        <v>39</v>
      </c>
      <c r="D24" s="36" t="s">
        <v>72</v>
      </c>
      <c r="E24" s="36" t="s">
        <v>34</v>
      </c>
      <c r="F24" s="36" t="s">
        <v>51</v>
      </c>
      <c r="G24" s="36" t="s">
        <v>36</v>
      </c>
      <c r="H24" s="38">
        <v>15</v>
      </c>
      <c r="I24" s="36" t="s">
        <v>426</v>
      </c>
      <c r="J24" s="37" t="s">
        <v>107</v>
      </c>
      <c r="K24" s="37" t="s">
        <v>76</v>
      </c>
      <c r="L24" s="37" t="s">
        <v>646</v>
      </c>
      <c r="M24" s="37" t="s">
        <v>140</v>
      </c>
      <c r="N24" s="37"/>
      <c r="O24" s="37"/>
    </row>
    <row r="25" spans="1:15" s="36" customFormat="1" ht="58" x14ac:dyDescent="0.35">
      <c r="A25" s="36">
        <v>19</v>
      </c>
      <c r="B25" s="36" t="str">
        <f>CONCATENATE($B$2, ".", A25)</f>
        <v>11.19</v>
      </c>
      <c r="C25" s="83" t="s">
        <v>39</v>
      </c>
      <c r="D25" s="36" t="s">
        <v>73</v>
      </c>
      <c r="E25" s="36" t="s">
        <v>32</v>
      </c>
      <c r="F25" s="36" t="s">
        <v>51</v>
      </c>
      <c r="G25" s="36" t="s">
        <v>36</v>
      </c>
      <c r="H25" s="38">
        <v>7</v>
      </c>
      <c r="I25" s="36" t="s">
        <v>426</v>
      </c>
      <c r="J25" s="37" t="s">
        <v>107</v>
      </c>
      <c r="K25" s="37" t="s">
        <v>76</v>
      </c>
      <c r="L25" s="37" t="s">
        <v>647</v>
      </c>
      <c r="M25" s="37" t="s">
        <v>36</v>
      </c>
      <c r="N25" s="37" t="s">
        <v>36</v>
      </c>
      <c r="O25" s="37"/>
    </row>
    <row r="26" spans="1:15" s="36" customFormat="1" ht="58" x14ac:dyDescent="0.35">
      <c r="A26" s="36">
        <v>20</v>
      </c>
      <c r="B26" s="36" t="str">
        <f t="shared" ref="B26:B32" si="2">CONCATENATE($B$2, ".", A26)</f>
        <v>11.20</v>
      </c>
      <c r="C26" s="83" t="s">
        <v>39</v>
      </c>
      <c r="D26" s="36" t="s">
        <v>162</v>
      </c>
      <c r="E26" s="36" t="s">
        <v>31</v>
      </c>
      <c r="F26" s="36" t="s">
        <v>58</v>
      </c>
      <c r="G26" s="36" t="s">
        <v>36</v>
      </c>
      <c r="H26" s="36" t="s">
        <v>36</v>
      </c>
      <c r="I26" s="36" t="s">
        <v>9</v>
      </c>
      <c r="J26" s="37" t="s">
        <v>62</v>
      </c>
      <c r="K26" s="37" t="s">
        <v>53</v>
      </c>
      <c r="L26" s="37" t="s">
        <v>106</v>
      </c>
      <c r="M26" s="37" t="s">
        <v>36</v>
      </c>
      <c r="N26" s="37" t="s">
        <v>36</v>
      </c>
      <c r="O26" s="37" t="s">
        <v>36</v>
      </c>
    </row>
    <row r="27" spans="1:15" s="36" customFormat="1" ht="81.75" customHeight="1" x14ac:dyDescent="0.35">
      <c r="A27" s="36">
        <v>21</v>
      </c>
      <c r="B27" s="36" t="str">
        <f t="shared" si="2"/>
        <v>11.21</v>
      </c>
      <c r="C27" s="83" t="s">
        <v>39</v>
      </c>
      <c r="D27" s="36" t="s">
        <v>82</v>
      </c>
      <c r="E27" s="36" t="s">
        <v>74</v>
      </c>
      <c r="F27" s="36" t="s">
        <v>51</v>
      </c>
      <c r="G27" s="36" t="s">
        <v>36</v>
      </c>
      <c r="H27" s="38">
        <v>35</v>
      </c>
      <c r="I27" s="36" t="s">
        <v>428</v>
      </c>
      <c r="J27" s="37" t="s">
        <v>107</v>
      </c>
      <c r="K27" s="37" t="s">
        <v>198</v>
      </c>
      <c r="L27" s="37" t="s">
        <v>658</v>
      </c>
      <c r="M27" s="37" t="s">
        <v>36</v>
      </c>
      <c r="N27" s="37" t="s">
        <v>36</v>
      </c>
      <c r="O27" s="37" t="s">
        <v>183</v>
      </c>
    </row>
    <row r="28" spans="1:15" s="36" customFormat="1" ht="60" customHeight="1" x14ac:dyDescent="0.35">
      <c r="A28" s="36">
        <v>22</v>
      </c>
      <c r="B28" s="36" t="str">
        <f t="shared" si="2"/>
        <v>11.22</v>
      </c>
      <c r="C28" s="83" t="s">
        <v>39</v>
      </c>
      <c r="D28" s="36" t="s">
        <v>75</v>
      </c>
      <c r="E28" s="36" t="s">
        <v>32</v>
      </c>
      <c r="F28" s="36" t="s">
        <v>881</v>
      </c>
      <c r="G28" s="36" t="s">
        <v>36</v>
      </c>
      <c r="H28" s="38">
        <v>10</v>
      </c>
      <c r="I28" s="36" t="s">
        <v>429</v>
      </c>
      <c r="J28" s="37" t="s">
        <v>107</v>
      </c>
      <c r="K28" s="38" t="s">
        <v>83</v>
      </c>
      <c r="L28" s="38" t="s">
        <v>36</v>
      </c>
      <c r="M28" s="37" t="s">
        <v>36</v>
      </c>
      <c r="N28" s="37" t="s">
        <v>36</v>
      </c>
      <c r="O28" s="37"/>
    </row>
    <row r="29" spans="1:15" s="36" customFormat="1" ht="67" customHeight="1" x14ac:dyDescent="0.35">
      <c r="A29" s="36">
        <v>23</v>
      </c>
      <c r="B29" s="36" t="str">
        <f t="shared" si="2"/>
        <v>11.23</v>
      </c>
      <c r="C29" s="83" t="s">
        <v>39</v>
      </c>
      <c r="D29" s="36" t="s">
        <v>110</v>
      </c>
      <c r="E29" s="36" t="s">
        <v>32</v>
      </c>
      <c r="F29" s="36" t="s">
        <v>881</v>
      </c>
      <c r="G29" s="36" t="s">
        <v>36</v>
      </c>
      <c r="H29" s="38">
        <v>35</v>
      </c>
      <c r="I29" s="36" t="s">
        <v>429</v>
      </c>
      <c r="J29" s="37" t="s">
        <v>107</v>
      </c>
      <c r="K29" s="37" t="s">
        <v>76</v>
      </c>
      <c r="L29" s="37" t="s">
        <v>659</v>
      </c>
      <c r="M29" s="37" t="s">
        <v>36</v>
      </c>
      <c r="N29" s="37" t="s">
        <v>36</v>
      </c>
      <c r="O29" s="37"/>
    </row>
    <row r="30" spans="1:15" s="36" customFormat="1" ht="63.5" customHeight="1" x14ac:dyDescent="0.35">
      <c r="A30" s="36">
        <v>24</v>
      </c>
      <c r="B30" s="36" t="str">
        <f t="shared" si="2"/>
        <v>11.24</v>
      </c>
      <c r="C30" s="83" t="s">
        <v>39</v>
      </c>
      <c r="D30" s="36" t="s">
        <v>70</v>
      </c>
      <c r="E30" s="36" t="s">
        <v>32</v>
      </c>
      <c r="F30" s="36" t="s">
        <v>881</v>
      </c>
      <c r="G30" s="36" t="s">
        <v>36</v>
      </c>
      <c r="H30" s="38">
        <v>10</v>
      </c>
      <c r="I30" s="36" t="s">
        <v>429</v>
      </c>
      <c r="J30" s="37" t="s">
        <v>107</v>
      </c>
      <c r="K30" s="37" t="s">
        <v>78</v>
      </c>
      <c r="L30" s="37" t="s">
        <v>36</v>
      </c>
      <c r="M30" s="37" t="s">
        <v>36</v>
      </c>
      <c r="N30" s="37" t="s">
        <v>36</v>
      </c>
      <c r="O30" s="37"/>
    </row>
    <row r="31" spans="1:15" s="36" customFormat="1" ht="57" customHeight="1" x14ac:dyDescent="0.35">
      <c r="A31" s="36">
        <v>25</v>
      </c>
      <c r="B31" s="36" t="str">
        <f t="shared" si="2"/>
        <v>11.25</v>
      </c>
      <c r="C31" s="83" t="s">
        <v>39</v>
      </c>
      <c r="D31" s="36" t="s">
        <v>71</v>
      </c>
      <c r="E31" s="36" t="s">
        <v>32</v>
      </c>
      <c r="F31" s="36" t="s">
        <v>881</v>
      </c>
      <c r="G31" s="36" t="s">
        <v>36</v>
      </c>
      <c r="H31" s="38">
        <v>20</v>
      </c>
      <c r="I31" s="36" t="s">
        <v>429</v>
      </c>
      <c r="J31" s="37" t="s">
        <v>107</v>
      </c>
      <c r="K31" s="37" t="s">
        <v>76</v>
      </c>
      <c r="L31" s="37" t="s">
        <v>645</v>
      </c>
      <c r="M31" s="37" t="s">
        <v>36</v>
      </c>
      <c r="N31" s="37" t="s">
        <v>36</v>
      </c>
      <c r="O31" s="37"/>
    </row>
    <row r="32" spans="1:15" s="36" customFormat="1" ht="72.5" x14ac:dyDescent="0.35">
      <c r="A32" s="36">
        <v>26</v>
      </c>
      <c r="B32" s="36" t="str">
        <f t="shared" si="2"/>
        <v>11.26</v>
      </c>
      <c r="C32" s="83" t="s">
        <v>39</v>
      </c>
      <c r="D32" s="36" t="s">
        <v>72</v>
      </c>
      <c r="E32" s="36" t="s">
        <v>34</v>
      </c>
      <c r="F32" s="36" t="s">
        <v>51</v>
      </c>
      <c r="G32" s="36" t="s">
        <v>36</v>
      </c>
      <c r="H32" s="38">
        <v>15</v>
      </c>
      <c r="I32" s="36" t="s">
        <v>429</v>
      </c>
      <c r="J32" s="37" t="s">
        <v>107</v>
      </c>
      <c r="K32" s="37" t="s">
        <v>76</v>
      </c>
      <c r="L32" s="37" t="s">
        <v>660</v>
      </c>
      <c r="M32" s="37" t="s">
        <v>141</v>
      </c>
      <c r="N32" s="37" t="s">
        <v>36</v>
      </c>
      <c r="O32" s="37"/>
    </row>
    <row r="33" spans="1:15" s="36" customFormat="1" ht="58" x14ac:dyDescent="0.35">
      <c r="A33" s="36">
        <v>27</v>
      </c>
      <c r="B33" s="36" t="str">
        <f>CONCATENATE($B$2, ".", A33)</f>
        <v>11.27</v>
      </c>
      <c r="C33" s="83" t="s">
        <v>39</v>
      </c>
      <c r="D33" s="36" t="s">
        <v>73</v>
      </c>
      <c r="E33" s="36" t="s">
        <v>32</v>
      </c>
      <c r="F33" s="36" t="s">
        <v>51</v>
      </c>
      <c r="G33" s="36" t="s">
        <v>36</v>
      </c>
      <c r="H33" s="38">
        <v>7</v>
      </c>
      <c r="I33" s="36" t="s">
        <v>429</v>
      </c>
      <c r="J33" s="37" t="s">
        <v>107</v>
      </c>
      <c r="K33" s="37" t="s">
        <v>76</v>
      </c>
      <c r="L33" s="37" t="s">
        <v>647</v>
      </c>
      <c r="M33" s="37"/>
      <c r="N33" s="37"/>
      <c r="O33" s="37"/>
    </row>
    <row r="34" spans="1:15" ht="29" x14ac:dyDescent="0.35">
      <c r="A34" s="36">
        <v>28</v>
      </c>
      <c r="B34" s="36" t="str">
        <f t="shared" ref="B34:B35" si="3">CONCATENATE($B$2, ".", A34)</f>
        <v>11.28</v>
      </c>
      <c r="C34" s="83" t="s">
        <v>39</v>
      </c>
      <c r="D34" s="6" t="s">
        <v>57</v>
      </c>
      <c r="E34" s="36" t="s">
        <v>42</v>
      </c>
      <c r="F34" s="6" t="s">
        <v>36</v>
      </c>
      <c r="G34" s="6" t="s">
        <v>36</v>
      </c>
      <c r="H34" s="6" t="s">
        <v>36</v>
      </c>
      <c r="I34" s="6" t="s">
        <v>9</v>
      </c>
      <c r="J34" s="6" t="s">
        <v>36</v>
      </c>
      <c r="K34" s="6" t="s">
        <v>36</v>
      </c>
      <c r="L34" s="6" t="s">
        <v>36</v>
      </c>
      <c r="M34" s="6" t="s">
        <v>36</v>
      </c>
      <c r="N34" s="6" t="s">
        <v>36</v>
      </c>
      <c r="O34" s="6" t="s">
        <v>274</v>
      </c>
    </row>
    <row r="35" spans="1:15" x14ac:dyDescent="0.35">
      <c r="A35" s="36">
        <v>29</v>
      </c>
      <c r="B35" s="36" t="str">
        <f t="shared" si="3"/>
        <v>11.29</v>
      </c>
      <c r="C35" s="83" t="s">
        <v>39</v>
      </c>
      <c r="D35" s="6" t="s">
        <v>56</v>
      </c>
      <c r="E35" s="36" t="s">
        <v>42</v>
      </c>
      <c r="F35" s="6" t="s">
        <v>36</v>
      </c>
      <c r="G35" s="6" t="s">
        <v>36</v>
      </c>
      <c r="H35" s="6" t="s">
        <v>36</v>
      </c>
      <c r="I35" s="6" t="s">
        <v>9</v>
      </c>
      <c r="J35" s="6" t="s">
        <v>36</v>
      </c>
      <c r="K35" s="6" t="s">
        <v>36</v>
      </c>
      <c r="L35" s="6" t="s">
        <v>36</v>
      </c>
      <c r="M35" s="6" t="s">
        <v>36</v>
      </c>
      <c r="N35" s="6" t="s">
        <v>36</v>
      </c>
      <c r="O35" s="6" t="s">
        <v>273</v>
      </c>
    </row>
  </sheetData>
  <mergeCells count="2">
    <mergeCell ref="B1:C1"/>
    <mergeCell ref="B4:C4"/>
  </mergeCells>
  <conditionalFormatting sqref="C36:C1048576">
    <cfRule type="cellIs" dxfId="527" priority="47" operator="equal">
      <formula>"WIP (see comments)"</formula>
    </cfRule>
    <cfRule type="cellIs" dxfId="526" priority="48" operator="equal">
      <formula>"Removed"</formula>
    </cfRule>
    <cfRule type="cellIs" dxfId="525" priority="49" operator="equal">
      <formula>"Updated"</formula>
    </cfRule>
    <cfRule type="cellIs" dxfId="524" priority="50" operator="equal">
      <formula>"New"</formula>
    </cfRule>
  </conditionalFormatting>
  <conditionalFormatting sqref="B11:B35 D11:XFD11 E34:E35 D16:XFD19 D12:E15 G12:XFD15 D24:XFD27 D20:E23 G20:XFD23 D32:XFD33 D28:E31 G28:XFD31">
    <cfRule type="cellIs" dxfId="523" priority="22" operator="equal">
      <formula>"n/a"</formula>
    </cfRule>
  </conditionalFormatting>
  <conditionalFormatting sqref="C7:C35">
    <cfRule type="cellIs" dxfId="522" priority="8" operator="equal">
      <formula>"WIP (see comments)"</formula>
    </cfRule>
    <cfRule type="cellIs" dxfId="521" priority="9" operator="equal">
      <formula>"Removed"</formula>
    </cfRule>
    <cfRule type="cellIs" dxfId="520" priority="10" operator="equal">
      <formula>"Updated"</formula>
    </cfRule>
    <cfRule type="cellIs" dxfId="519" priority="11" operator="equal">
      <formula>"New"</formula>
    </cfRule>
  </conditionalFormatting>
  <conditionalFormatting sqref="C7:C35">
    <cfRule type="cellIs" dxfId="518" priority="7" operator="equal">
      <formula>"n/a"</formula>
    </cfRule>
  </conditionalFormatting>
  <conditionalFormatting sqref="D34:D35 F34:O35">
    <cfRule type="cellIs" dxfId="517" priority="2" operator="equal">
      <formula>"n/a"</formula>
    </cfRule>
  </conditionalFormatting>
  <conditionalFormatting sqref="D3">
    <cfRule type="cellIs" dxfId="516" priority="1" operator="equal">
      <formula>"n/a"</formula>
    </cfRule>
  </conditionalFormatting>
  <dataValidations count="2">
    <dataValidation type="list" allowBlank="1" showInputMessage="1" showErrorMessage="1" sqref="C36:C1048576">
      <formula1>$B$5:$B$11</formula1>
    </dataValidation>
    <dataValidation type="list" allowBlank="1" showInputMessage="1" showErrorMessage="1" sqref="E36:E1048576">
      <formula1>$A$5:$A$27</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Values'!$B$5:$B$11</xm:f>
          </x14:formula1>
          <xm:sqref>C7:C35</xm:sqref>
        </x14:dataValidation>
        <x14:dataValidation type="list" allowBlank="1" showInputMessage="1" showErrorMessage="1">
          <x14:formula1>
            <xm:f>'List Values'!$A$5:$A$35</xm:f>
          </x14:formula1>
          <xm:sqref>E7:E35</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1"/>
  <sheetViews>
    <sheetView workbookViewId="0">
      <pane xSplit="4" ySplit="6" topLeftCell="E7" activePane="bottomRight" state="frozen"/>
      <selection activeCell="O8" sqref="O8"/>
      <selection pane="topRight" activeCell="O8" sqref="O8"/>
      <selection pane="bottomLeft" activeCell="O8" sqref="O8"/>
      <selection pane="bottomRight" activeCell="A8" sqref="A8"/>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163" t="s">
        <v>220</v>
      </c>
      <c r="C1" s="163"/>
      <c r="D1" s="163"/>
    </row>
    <row r="2" spans="1:16" s="27" customFormat="1" ht="18.5" x14ac:dyDescent="0.35">
      <c r="A2" s="25" t="s">
        <v>7</v>
      </c>
      <c r="B2" s="33">
        <v>12</v>
      </c>
      <c r="C2" s="32"/>
      <c r="D2" s="33"/>
    </row>
    <row r="3" spans="1:16" s="27" customFormat="1" ht="18.5" x14ac:dyDescent="0.35">
      <c r="A3" s="25" t="s">
        <v>43</v>
      </c>
      <c r="B3" s="33" t="s">
        <v>278</v>
      </c>
      <c r="C3" s="32"/>
      <c r="D3" s="81" t="s">
        <v>279</v>
      </c>
      <c r="E3" s="27" t="s">
        <v>68</v>
      </c>
    </row>
    <row r="4" spans="1:16" s="27" customFormat="1" ht="18.5" x14ac:dyDescent="0.35">
      <c r="A4" s="25" t="s">
        <v>8</v>
      </c>
      <c r="B4" s="164" t="s">
        <v>46</v>
      </c>
      <c r="C4" s="164"/>
      <c r="D4" s="27" t="s">
        <v>431</v>
      </c>
    </row>
    <row r="5" spans="1:16" s="4" customFormat="1" x14ac:dyDescent="0.35">
      <c r="C5" s="34"/>
    </row>
    <row r="6" spans="1:16" s="28" customFormat="1" ht="15" thickBot="1" x14ac:dyDescent="0.4">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s="36" customFormat="1" x14ac:dyDescent="0.35">
      <c r="A7" s="36">
        <v>1</v>
      </c>
      <c r="B7" s="36" t="str">
        <f t="shared" ref="B7:B13" si="0">CONCATENATE($B$2, ".", A7)</f>
        <v>12.1</v>
      </c>
      <c r="C7" s="83" t="s">
        <v>37</v>
      </c>
      <c r="D7" s="36" t="s">
        <v>185</v>
      </c>
      <c r="E7" s="36" t="s">
        <v>28</v>
      </c>
      <c r="F7" s="36" t="s">
        <v>36</v>
      </c>
      <c r="G7" s="36" t="s">
        <v>36</v>
      </c>
      <c r="H7" s="36" t="s">
        <v>36</v>
      </c>
      <c r="I7" s="36" t="s">
        <v>9</v>
      </c>
      <c r="J7" s="37" t="s">
        <v>36</v>
      </c>
      <c r="K7" s="37" t="s">
        <v>36</v>
      </c>
      <c r="L7" s="37" t="s">
        <v>36</v>
      </c>
      <c r="M7" s="37" t="s">
        <v>36</v>
      </c>
      <c r="N7" s="37" t="s">
        <v>36</v>
      </c>
      <c r="O7" s="37" t="s">
        <v>36</v>
      </c>
    </row>
    <row r="8" spans="1:16" s="36" customFormat="1" ht="29" x14ac:dyDescent="0.35">
      <c r="A8" s="36">
        <v>2</v>
      </c>
      <c r="B8" s="36" t="str">
        <f t="shared" si="0"/>
        <v>12.2</v>
      </c>
      <c r="C8" s="83" t="s">
        <v>44</v>
      </c>
      <c r="D8" s="36" t="s">
        <v>36</v>
      </c>
      <c r="E8" s="36" t="s">
        <v>48</v>
      </c>
      <c r="F8" s="36" t="s">
        <v>36</v>
      </c>
      <c r="G8" s="36" t="s">
        <v>36</v>
      </c>
      <c r="H8" s="36" t="s">
        <v>36</v>
      </c>
      <c r="I8" s="36" t="s">
        <v>9</v>
      </c>
      <c r="J8" s="37" t="s">
        <v>36</v>
      </c>
      <c r="K8" s="37" t="s">
        <v>36</v>
      </c>
      <c r="L8" s="37" t="s">
        <v>36</v>
      </c>
      <c r="M8" s="37" t="s">
        <v>36</v>
      </c>
      <c r="N8" s="37" t="s">
        <v>36</v>
      </c>
      <c r="O8" s="37" t="s">
        <v>36</v>
      </c>
    </row>
    <row r="9" spans="1:16" s="36" customFormat="1" ht="80.25" customHeight="1" x14ac:dyDescent="0.35">
      <c r="A9" s="36">
        <v>3</v>
      </c>
      <c r="B9" s="36" t="str">
        <f t="shared" si="0"/>
        <v>12.3</v>
      </c>
      <c r="C9" s="83" t="s">
        <v>39</v>
      </c>
      <c r="D9" s="36" t="s">
        <v>146</v>
      </c>
      <c r="E9" s="36" t="s">
        <v>85</v>
      </c>
      <c r="F9" s="36" t="s">
        <v>86</v>
      </c>
      <c r="G9" s="36" t="s">
        <v>131</v>
      </c>
      <c r="H9" s="36" t="s">
        <v>36</v>
      </c>
      <c r="I9" s="36" t="s">
        <v>9</v>
      </c>
      <c r="J9" s="37" t="s">
        <v>88</v>
      </c>
      <c r="K9" s="37" t="s">
        <v>53</v>
      </c>
      <c r="L9" s="37" t="s">
        <v>661</v>
      </c>
      <c r="M9" s="37" t="s">
        <v>89</v>
      </c>
      <c r="N9" s="37" t="s">
        <v>90</v>
      </c>
      <c r="O9" s="37" t="s">
        <v>91</v>
      </c>
    </row>
    <row r="10" spans="1:16" s="36" customFormat="1" ht="102.75" customHeight="1" x14ac:dyDescent="0.35">
      <c r="A10" s="36">
        <v>4</v>
      </c>
      <c r="B10" s="36" t="str">
        <f t="shared" si="0"/>
        <v>12.4</v>
      </c>
      <c r="C10" s="83" t="s">
        <v>39</v>
      </c>
      <c r="D10" s="36" t="s">
        <v>84</v>
      </c>
      <c r="E10" s="36" t="s">
        <v>32</v>
      </c>
      <c r="F10" s="36" t="s">
        <v>87</v>
      </c>
      <c r="G10" s="36" t="s">
        <v>130</v>
      </c>
      <c r="H10" s="38">
        <v>9</v>
      </c>
      <c r="I10" s="36" t="s">
        <v>9</v>
      </c>
      <c r="J10" s="37" t="s">
        <v>36</v>
      </c>
      <c r="K10" s="37" t="s">
        <v>83</v>
      </c>
      <c r="L10" s="36" t="s">
        <v>36</v>
      </c>
      <c r="M10" s="37" t="s">
        <v>132</v>
      </c>
      <c r="N10" s="37" t="s">
        <v>178</v>
      </c>
      <c r="O10" s="37" t="s">
        <v>36</v>
      </c>
    </row>
    <row r="11" spans="1:16" s="36" customFormat="1" ht="114" customHeight="1" x14ac:dyDescent="0.35">
      <c r="A11" s="36">
        <v>5</v>
      </c>
      <c r="B11" s="36" t="str">
        <f t="shared" si="0"/>
        <v>12.5</v>
      </c>
      <c r="C11" s="83" t="s">
        <v>39</v>
      </c>
      <c r="D11" s="36" t="s">
        <v>93</v>
      </c>
      <c r="E11" s="36" t="s">
        <v>74</v>
      </c>
      <c r="F11" s="36" t="s">
        <v>51</v>
      </c>
      <c r="G11" s="36" t="s">
        <v>148</v>
      </c>
      <c r="H11" s="45">
        <v>200</v>
      </c>
      <c r="I11" s="36" t="s">
        <v>9</v>
      </c>
      <c r="J11" s="37" t="s">
        <v>92</v>
      </c>
      <c r="K11" s="37" t="s">
        <v>53</v>
      </c>
      <c r="L11" s="37" t="s">
        <v>662</v>
      </c>
      <c r="M11" s="37" t="s">
        <v>94</v>
      </c>
      <c r="N11" s="37" t="s">
        <v>36</v>
      </c>
      <c r="O11" s="37" t="s">
        <v>147</v>
      </c>
      <c r="P11" s="36" t="s">
        <v>430</v>
      </c>
    </row>
    <row r="12" spans="1:16" s="36" customFormat="1" ht="29" x14ac:dyDescent="0.35">
      <c r="A12" s="36">
        <v>6</v>
      </c>
      <c r="B12" s="36" t="str">
        <f>CONCATENATE($B$2, ".", A12)</f>
        <v>12.6</v>
      </c>
      <c r="C12" s="83" t="s">
        <v>39</v>
      </c>
      <c r="D12" s="36" t="s">
        <v>57</v>
      </c>
      <c r="E12" s="36" t="s">
        <v>42</v>
      </c>
      <c r="F12" s="36" t="s">
        <v>36</v>
      </c>
      <c r="G12" s="36" t="s">
        <v>36</v>
      </c>
      <c r="H12" s="36" t="s">
        <v>36</v>
      </c>
      <c r="I12" s="36" t="s">
        <v>9</v>
      </c>
      <c r="J12" s="36" t="s">
        <v>36</v>
      </c>
      <c r="K12" s="36" t="s">
        <v>36</v>
      </c>
      <c r="L12" s="36" t="s">
        <v>36</v>
      </c>
      <c r="M12" s="36" t="s">
        <v>36</v>
      </c>
      <c r="N12" s="36" t="s">
        <v>36</v>
      </c>
      <c r="O12" s="36" t="s">
        <v>280</v>
      </c>
    </row>
    <row r="13" spans="1:16" s="36" customFormat="1" ht="29" x14ac:dyDescent="0.35">
      <c r="A13" s="36">
        <v>7</v>
      </c>
      <c r="B13" s="36" t="str">
        <f t="shared" si="0"/>
        <v>12.7</v>
      </c>
      <c r="C13" s="83" t="s">
        <v>39</v>
      </c>
      <c r="D13" s="36" t="s">
        <v>56</v>
      </c>
      <c r="E13" s="36" t="s">
        <v>42</v>
      </c>
      <c r="F13" s="36" t="s">
        <v>36</v>
      </c>
      <c r="G13" s="36" t="s">
        <v>36</v>
      </c>
      <c r="H13" s="36" t="s">
        <v>36</v>
      </c>
      <c r="I13" s="36" t="s">
        <v>9</v>
      </c>
      <c r="J13" s="36" t="s">
        <v>36</v>
      </c>
      <c r="K13" s="36" t="s">
        <v>36</v>
      </c>
      <c r="L13" s="36" t="s">
        <v>36</v>
      </c>
      <c r="M13" s="36" t="s">
        <v>36</v>
      </c>
      <c r="N13" s="36" t="s">
        <v>36</v>
      </c>
      <c r="O13" s="36" t="s">
        <v>275</v>
      </c>
    </row>
    <row r="14" spans="1:16" x14ac:dyDescent="0.35">
      <c r="I14" s="36"/>
      <c r="J14" s="5"/>
      <c r="K14" s="5"/>
      <c r="L14" s="37"/>
      <c r="M14" s="37"/>
      <c r="N14" s="37"/>
      <c r="O14" s="37"/>
    </row>
    <row r="15" spans="1:16" x14ac:dyDescent="0.35">
      <c r="D15" s="6" t="s">
        <v>68</v>
      </c>
      <c r="I15" s="36"/>
      <c r="J15" s="5"/>
      <c r="K15" s="5"/>
      <c r="L15" s="37"/>
      <c r="M15" s="37"/>
      <c r="N15" s="37"/>
      <c r="O15" s="37"/>
    </row>
    <row r="16" spans="1:16" x14ac:dyDescent="0.35">
      <c r="I16" s="36"/>
      <c r="J16" s="5"/>
      <c r="K16" s="5"/>
      <c r="L16" s="37"/>
      <c r="M16" s="37"/>
      <c r="N16" s="37"/>
      <c r="O16" s="37"/>
    </row>
    <row r="17" spans="9:15" x14ac:dyDescent="0.35">
      <c r="I17" s="36"/>
      <c r="J17" s="5"/>
      <c r="K17" s="5"/>
      <c r="L17" s="37"/>
      <c r="M17" s="37"/>
      <c r="N17" s="37"/>
      <c r="O17" s="37"/>
    </row>
    <row r="18" spans="9:15" x14ac:dyDescent="0.35">
      <c r="I18" s="36"/>
      <c r="J18" s="5"/>
      <c r="K18" s="5"/>
      <c r="L18" s="37"/>
      <c r="M18" s="37"/>
      <c r="N18" s="37"/>
      <c r="O18" s="37"/>
    </row>
    <row r="19" spans="9:15" x14ac:dyDescent="0.35">
      <c r="I19" s="36"/>
      <c r="J19" s="5"/>
      <c r="K19" s="5"/>
      <c r="L19" s="37"/>
      <c r="M19" s="37"/>
      <c r="N19" s="37"/>
      <c r="O19" s="37"/>
    </row>
    <row r="20" spans="9:15" x14ac:dyDescent="0.35">
      <c r="I20" s="36"/>
      <c r="J20" s="5"/>
      <c r="K20" s="5"/>
      <c r="L20" s="37"/>
      <c r="M20" s="37"/>
      <c r="N20" s="37"/>
      <c r="O20" s="37"/>
    </row>
    <row r="21" spans="9:15" x14ac:dyDescent="0.35">
      <c r="I21" s="36"/>
      <c r="J21" s="5"/>
      <c r="K21" s="5"/>
      <c r="L21" s="37"/>
      <c r="M21" s="37"/>
      <c r="N21" s="37"/>
      <c r="O21" s="37"/>
    </row>
  </sheetData>
  <autoFilter ref="A6:P13"/>
  <mergeCells count="2">
    <mergeCell ref="B1:D1"/>
    <mergeCell ref="B4:C4"/>
  </mergeCells>
  <conditionalFormatting sqref="C14:C1048576">
    <cfRule type="cellIs" dxfId="515" priority="21" operator="equal">
      <formula>"WIP (see comments)"</formula>
    </cfRule>
    <cfRule type="cellIs" dxfId="514" priority="22" operator="equal">
      <formula>"Removed"</formula>
    </cfRule>
    <cfRule type="cellIs" dxfId="513" priority="23" operator="equal">
      <formula>"Updated"</formula>
    </cfRule>
    <cfRule type="cellIs" dxfId="512" priority="24" operator="equal">
      <formula>"New"</formula>
    </cfRule>
  </conditionalFormatting>
  <conditionalFormatting sqref="B4">
    <cfRule type="cellIs" dxfId="511" priority="8" operator="equal">
      <formula>"n/a"</formula>
    </cfRule>
  </conditionalFormatting>
  <conditionalFormatting sqref="D11:O11">
    <cfRule type="cellIs" dxfId="510" priority="7" operator="equal">
      <formula>"n/a"</formula>
    </cfRule>
  </conditionalFormatting>
  <conditionalFormatting sqref="D3">
    <cfRule type="cellIs" dxfId="509" priority="6" operator="equal">
      <formula>"n/a"</formula>
    </cfRule>
  </conditionalFormatting>
  <conditionalFormatting sqref="C7:C13">
    <cfRule type="cellIs" dxfId="508" priority="2" operator="equal">
      <formula>"WIP (see comments)"</formula>
    </cfRule>
    <cfRule type="cellIs" dxfId="507" priority="3" operator="equal">
      <formula>"Removed"</formula>
    </cfRule>
    <cfRule type="cellIs" dxfId="506" priority="4" operator="equal">
      <formula>"Updated"</formula>
    </cfRule>
    <cfRule type="cellIs" dxfId="505" priority="5" operator="equal">
      <formula>"New"</formula>
    </cfRule>
  </conditionalFormatting>
  <conditionalFormatting sqref="C7:C13">
    <cfRule type="cellIs" dxfId="504" priority="1" operator="equal">
      <formula>"n/a"</formula>
    </cfRule>
  </conditionalFormatting>
  <dataValidations count="1">
    <dataValidation type="list" allowBlank="1" showInputMessage="1" showErrorMessage="1" sqref="C14:C1048576">
      <formula1>$B$5:$B$12</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Values'!$B$5:$B$11</xm:f>
          </x14:formula1>
          <xm:sqref>C7:C13</xm:sqref>
        </x14:dataValidation>
        <x14:dataValidation type="list" allowBlank="1" showInputMessage="1" showErrorMessage="1">
          <x14:formula1>
            <xm:f>'List Values'!$A$5:$A$35</xm:f>
          </x14:formula1>
          <xm:sqref>E7:E1048576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13"/>
  <sheetViews>
    <sheetView workbookViewId="0">
      <pane xSplit="4" ySplit="6" topLeftCell="E7" activePane="bottomRight" state="frozen"/>
      <selection pane="topRight" activeCell="E1" sqref="E1"/>
      <selection pane="bottomLeft" activeCell="A7" sqref="A7"/>
      <selection pane="bottomRight" activeCell="A10" sqref="A10"/>
    </sheetView>
  </sheetViews>
  <sheetFormatPr defaultColWidth="9.1796875" defaultRowHeight="14.5" x14ac:dyDescent="0.35"/>
  <cols>
    <col min="1" max="1" width="14.7265625" style="5" customWidth="1"/>
    <col min="2" max="2" width="12.54296875" style="5" customWidth="1"/>
    <col min="3" max="3" width="13" style="140" customWidth="1"/>
    <col min="4" max="4" width="45.1796875" style="5" customWidth="1"/>
    <col min="5" max="5" width="28.7265625" style="5" customWidth="1"/>
    <col min="6" max="6" width="37" style="5" customWidth="1"/>
    <col min="7" max="7" width="29.26953125" style="5" customWidth="1"/>
    <col min="8" max="8" width="11.54296875" style="140"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874</v>
      </c>
      <c r="C1" s="29"/>
      <c r="D1" s="26"/>
      <c r="H1" s="32"/>
    </row>
    <row r="2" spans="1:16" s="27" customFormat="1" ht="18.5" x14ac:dyDescent="0.35">
      <c r="A2" s="25" t="s">
        <v>7</v>
      </c>
      <c r="B2" s="139" t="s">
        <v>825</v>
      </c>
      <c r="C2" s="32"/>
      <c r="D2" s="139"/>
      <c r="H2" s="32"/>
    </row>
    <row r="3" spans="1:16" s="27" customFormat="1" ht="18.5" x14ac:dyDescent="0.35">
      <c r="A3" s="25" t="s">
        <v>43</v>
      </c>
      <c r="B3" s="139" t="s">
        <v>873</v>
      </c>
      <c r="C3" s="32"/>
      <c r="D3" s="139"/>
      <c r="H3" s="32"/>
    </row>
    <row r="4" spans="1:16" s="27" customFormat="1" ht="18.5" x14ac:dyDescent="0.35">
      <c r="A4" s="25" t="s">
        <v>8</v>
      </c>
      <c r="B4" s="27" t="s">
        <v>46</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s="6" customFormat="1" x14ac:dyDescent="0.35">
      <c r="A7" s="5">
        <v>1</v>
      </c>
      <c r="B7" s="5" t="str">
        <f t="shared" ref="B7:B13" si="0">CONCATENATE($B$2, ".", A7)</f>
        <v>12a.1</v>
      </c>
      <c r="C7" s="140" t="s">
        <v>41</v>
      </c>
      <c r="D7" s="6" t="s">
        <v>816</v>
      </c>
      <c r="E7" s="6" t="s">
        <v>115</v>
      </c>
      <c r="F7" s="6" t="s">
        <v>36</v>
      </c>
      <c r="G7" s="6" t="s">
        <v>36</v>
      </c>
      <c r="H7" s="31" t="s">
        <v>36</v>
      </c>
      <c r="I7" s="6" t="s">
        <v>9</v>
      </c>
      <c r="J7" s="6" t="s">
        <v>36</v>
      </c>
      <c r="K7" s="6" t="s">
        <v>36</v>
      </c>
      <c r="L7" s="6" t="s">
        <v>36</v>
      </c>
      <c r="M7" s="6" t="s">
        <v>36</v>
      </c>
      <c r="N7" s="6" t="s">
        <v>36</v>
      </c>
    </row>
    <row r="8" spans="1:16" s="6" customFormat="1" ht="29" x14ac:dyDescent="0.35">
      <c r="A8" s="36">
        <v>2</v>
      </c>
      <c r="B8" s="36" t="str">
        <f t="shared" si="0"/>
        <v>12a.2</v>
      </c>
      <c r="C8" s="143" t="s">
        <v>44</v>
      </c>
      <c r="D8" s="36" t="s">
        <v>36</v>
      </c>
      <c r="E8" s="36" t="s">
        <v>48</v>
      </c>
      <c r="F8" s="36" t="s">
        <v>36</v>
      </c>
      <c r="G8" s="36" t="s">
        <v>36</v>
      </c>
      <c r="H8" s="45" t="s">
        <v>36</v>
      </c>
      <c r="I8" s="36" t="s">
        <v>9</v>
      </c>
      <c r="J8" s="37" t="s">
        <v>36</v>
      </c>
      <c r="K8" s="37" t="s">
        <v>36</v>
      </c>
      <c r="L8" s="37" t="s">
        <v>36</v>
      </c>
      <c r="M8" s="37" t="s">
        <v>36</v>
      </c>
      <c r="N8" s="37" t="s">
        <v>36</v>
      </c>
      <c r="O8" s="37" t="s">
        <v>36</v>
      </c>
      <c r="P8" s="36" t="s">
        <v>409</v>
      </c>
    </row>
    <row r="9" spans="1:16" s="6" customFormat="1" ht="144.75" customHeight="1" x14ac:dyDescent="0.35">
      <c r="A9" s="5">
        <v>3</v>
      </c>
      <c r="B9" s="5" t="str">
        <f t="shared" si="0"/>
        <v>12a.3</v>
      </c>
      <c r="C9" s="140" t="s">
        <v>41</v>
      </c>
      <c r="D9" s="6" t="s">
        <v>817</v>
      </c>
      <c r="E9" s="6" t="s">
        <v>33</v>
      </c>
      <c r="F9" s="6" t="s">
        <v>36</v>
      </c>
      <c r="G9" s="6" t="s">
        <v>36</v>
      </c>
      <c r="H9" s="31" t="s">
        <v>36</v>
      </c>
      <c r="I9" s="6" t="s">
        <v>9</v>
      </c>
      <c r="J9" s="6" t="s">
        <v>36</v>
      </c>
      <c r="K9" s="6" t="s">
        <v>36</v>
      </c>
      <c r="L9" s="6" t="s">
        <v>36</v>
      </c>
      <c r="M9" s="6" t="s">
        <v>36</v>
      </c>
      <c r="N9" s="6" t="s">
        <v>36</v>
      </c>
    </row>
    <row r="10" spans="1:16" s="6" customFormat="1" ht="185.25" customHeight="1" x14ac:dyDescent="0.35">
      <c r="A10" s="5">
        <v>4</v>
      </c>
      <c r="B10" s="5" t="str">
        <f t="shared" si="0"/>
        <v>12a.4</v>
      </c>
      <c r="C10" s="140" t="s">
        <v>41</v>
      </c>
      <c r="D10" s="6" t="s">
        <v>826</v>
      </c>
      <c r="E10" s="6" t="s">
        <v>34</v>
      </c>
      <c r="F10" s="6" t="s">
        <v>1002</v>
      </c>
      <c r="G10" s="6" t="s">
        <v>818</v>
      </c>
      <c r="H10" s="31" t="s">
        <v>36</v>
      </c>
      <c r="I10" s="6" t="s">
        <v>9</v>
      </c>
      <c r="J10" s="6" t="s">
        <v>92</v>
      </c>
      <c r="K10" s="6" t="s">
        <v>53</v>
      </c>
      <c r="L10" s="6" t="s">
        <v>819</v>
      </c>
      <c r="M10" s="6" t="s">
        <v>36</v>
      </c>
      <c r="N10" s="6" t="s">
        <v>36</v>
      </c>
      <c r="O10" s="6" t="s">
        <v>36</v>
      </c>
    </row>
    <row r="11" spans="1:16" ht="159.5" x14ac:dyDescent="0.35">
      <c r="A11" s="5">
        <v>5</v>
      </c>
      <c r="B11" s="5" t="str">
        <f t="shared" si="0"/>
        <v>12a.5</v>
      </c>
      <c r="C11" s="140" t="s">
        <v>41</v>
      </c>
      <c r="D11" s="6" t="s">
        <v>827</v>
      </c>
      <c r="E11" s="6" t="s">
        <v>32</v>
      </c>
      <c r="F11" s="6" t="s">
        <v>872</v>
      </c>
      <c r="G11" s="6" t="s">
        <v>36</v>
      </c>
      <c r="H11" s="31">
        <v>30</v>
      </c>
      <c r="I11" s="6" t="s">
        <v>9</v>
      </c>
      <c r="J11" s="6" t="s">
        <v>92</v>
      </c>
      <c r="K11" s="6" t="s">
        <v>53</v>
      </c>
      <c r="L11" s="6" t="s">
        <v>820</v>
      </c>
      <c r="M11" s="6" t="s">
        <v>36</v>
      </c>
      <c r="N11" s="6" t="s">
        <v>36</v>
      </c>
      <c r="O11" s="6" t="s">
        <v>821</v>
      </c>
      <c r="P11" s="6"/>
    </row>
    <row r="12" spans="1:16" x14ac:dyDescent="0.35">
      <c r="A12" s="5">
        <v>6</v>
      </c>
      <c r="B12" s="5" t="str">
        <f t="shared" si="0"/>
        <v>12a.6</v>
      </c>
      <c r="C12" s="140" t="s">
        <v>41</v>
      </c>
      <c r="D12" s="37" t="s">
        <v>57</v>
      </c>
      <c r="E12" s="5" t="s">
        <v>42</v>
      </c>
      <c r="F12" s="5" t="s">
        <v>36</v>
      </c>
      <c r="G12" s="5" t="s">
        <v>36</v>
      </c>
      <c r="H12" s="140" t="s">
        <v>36</v>
      </c>
      <c r="I12" s="37" t="s">
        <v>9</v>
      </c>
      <c r="J12" s="5" t="s">
        <v>36</v>
      </c>
      <c r="K12" s="5" t="s">
        <v>36</v>
      </c>
      <c r="L12" s="5" t="s">
        <v>36</v>
      </c>
      <c r="M12" s="5" t="s">
        <v>36</v>
      </c>
      <c r="N12" s="5" t="s">
        <v>36</v>
      </c>
      <c r="O12" s="36" t="s">
        <v>828</v>
      </c>
    </row>
    <row r="13" spans="1:16" ht="29" x14ac:dyDescent="0.35">
      <c r="A13" s="5">
        <v>7</v>
      </c>
      <c r="B13" s="5" t="str">
        <f t="shared" si="0"/>
        <v>12a.7</v>
      </c>
      <c r="C13" s="142" t="s">
        <v>41</v>
      </c>
      <c r="D13" s="37" t="s">
        <v>56</v>
      </c>
      <c r="E13" s="5" t="s">
        <v>42</v>
      </c>
      <c r="F13" s="5" t="s">
        <v>36</v>
      </c>
      <c r="G13" s="5" t="s">
        <v>36</v>
      </c>
      <c r="H13" s="142" t="s">
        <v>36</v>
      </c>
      <c r="I13" s="37" t="s">
        <v>9</v>
      </c>
      <c r="J13" s="5" t="s">
        <v>36</v>
      </c>
      <c r="K13" s="5" t="s">
        <v>36</v>
      </c>
      <c r="L13" s="5" t="s">
        <v>36</v>
      </c>
      <c r="M13" s="5" t="s">
        <v>36</v>
      </c>
      <c r="N13" s="5" t="s">
        <v>36</v>
      </c>
      <c r="O13" s="36" t="s">
        <v>829</v>
      </c>
    </row>
  </sheetData>
  <autoFilter ref="A6:P6"/>
  <conditionalFormatting sqref="A1:XFD6 F7:N7 A7:C7 Q10:XFD1048576 D11:H11 A9:C11 F9:N9 A12:P1048576 J11:P11">
    <cfRule type="cellIs" dxfId="503" priority="9" operator="equal">
      <formula>"n/a"</formula>
    </cfRule>
  </conditionalFormatting>
  <conditionalFormatting sqref="C1:C7 C9:C1048576">
    <cfRule type="cellIs" dxfId="502" priority="10" operator="equal">
      <formula>"WIP (see comments)"</formula>
    </cfRule>
    <cfRule type="cellIs" dxfId="501" priority="11" operator="equal">
      <formula>"Removed"</formula>
    </cfRule>
    <cfRule type="cellIs" dxfId="500" priority="12" operator="equal">
      <formula>"Updated"</formula>
    </cfRule>
    <cfRule type="cellIs" dxfId="499" priority="13" operator="equal">
      <formula>"New"</formula>
    </cfRule>
  </conditionalFormatting>
  <conditionalFormatting sqref="D10:E10 Q9:XFD9">
    <cfRule type="cellIs" dxfId="498" priority="8" operator="equal">
      <formula>"n/a"</formula>
    </cfRule>
  </conditionalFormatting>
  <conditionalFormatting sqref="F10:P10 I11">
    <cfRule type="cellIs" dxfId="497" priority="7" operator="equal">
      <formula>"n/a"</formula>
    </cfRule>
  </conditionalFormatting>
  <conditionalFormatting sqref="A8:B8 D8:P8">
    <cfRule type="cellIs" dxfId="496" priority="6" operator="equal">
      <formula>"n/a"</formula>
    </cfRule>
  </conditionalFormatting>
  <conditionalFormatting sqref="C8">
    <cfRule type="cellIs" dxfId="495" priority="2" operator="equal">
      <formula>"WIP (see comments)"</formula>
    </cfRule>
    <cfRule type="cellIs" dxfId="494" priority="3" operator="equal">
      <formula>"Removed"</formula>
    </cfRule>
    <cfRule type="cellIs" dxfId="493" priority="4" operator="equal">
      <formula>"Updated"</formula>
    </cfRule>
    <cfRule type="cellIs" dxfId="492" priority="5" operator="equal">
      <formula>"New"</formula>
    </cfRule>
  </conditionalFormatting>
  <conditionalFormatting sqref="C8">
    <cfRule type="cellIs" dxfId="49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14:formula1>
            <xm:f>'C:\Users\hicksi\Documents\Small Business DCO\Field Specs\Current\[Small Business DCO Funding Form Field Spec v1.1 WIP.xlsx]List Values'!#REF!</xm:f>
          </x14:formula1>
          <xm:sqref>E14:E1048576</xm:sqref>
        </x14:dataValidation>
        <x14:dataValidation type="list" allowBlank="1" showInputMessage="1" showErrorMessage="1">
          <x14:formula1>
            <xm:f>'C:\Users\hicksi\Documents\Small Business DCO\Field Specs\Current\[Small Business DCO Funding Form Field Spec v1.1 WIP.xlsx]List Values'!#REF!</xm:f>
          </x14:formula1>
          <xm:sqref>C14:C1048576</xm:sqref>
        </x14:dataValidation>
        <x14:dataValidation type="list" allowBlank="1" showInputMessage="1" showErrorMessage="1">
          <x14:formula1>
            <xm:f>'List Values'!$B$5:$B$9</xm:f>
          </x14:formula1>
          <xm:sqref>C7:C13</xm:sqref>
        </x14:dataValidation>
        <x14:dataValidation type="list" allowBlank="1" showInputMessage="1" showErrorMessage="1">
          <x14:formula1>
            <xm:f>'List Values'!$A$5:$A$34</xm:f>
          </x14:formula1>
          <xm:sqref>E7:E13</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25"/>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C8" sqref="C8"/>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31" bestFit="1"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221</v>
      </c>
      <c r="C1" s="29"/>
      <c r="D1" s="26"/>
      <c r="H1" s="32"/>
    </row>
    <row r="2" spans="1:16" s="27" customFormat="1" ht="18.5" x14ac:dyDescent="0.35">
      <c r="A2" s="25" t="s">
        <v>7</v>
      </c>
      <c r="B2" s="33">
        <v>13</v>
      </c>
      <c r="C2" s="32"/>
      <c r="D2" s="33" t="s">
        <v>878</v>
      </c>
      <c r="H2" s="32"/>
    </row>
    <row r="3" spans="1:16" s="27" customFormat="1" ht="18.5" x14ac:dyDescent="0.35">
      <c r="A3" s="25" t="s">
        <v>43</v>
      </c>
      <c r="B3" s="33" t="s">
        <v>281</v>
      </c>
      <c r="C3" s="32"/>
      <c r="D3" s="81" t="s">
        <v>283</v>
      </c>
      <c r="H3" s="32"/>
    </row>
    <row r="4" spans="1:16" s="27" customFormat="1" ht="18.5" x14ac:dyDescent="0.35">
      <c r="A4" s="25" t="s">
        <v>8</v>
      </c>
      <c r="B4" s="27" t="s">
        <v>46</v>
      </c>
      <c r="C4" s="32"/>
      <c r="H4" s="32"/>
    </row>
    <row r="5" spans="1:16" s="4" customFormat="1" x14ac:dyDescent="0.35">
      <c r="C5" s="34"/>
      <c r="H5" s="34"/>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s="36" customFormat="1" x14ac:dyDescent="0.35">
      <c r="A7" s="36">
        <v>1</v>
      </c>
      <c r="B7" s="36" t="str">
        <f t="shared" ref="B7:B17" si="0">CONCATENATE($B$2, ".", A7)</f>
        <v>13.1</v>
      </c>
      <c r="C7" s="83" t="s">
        <v>37</v>
      </c>
      <c r="D7" s="36" t="s">
        <v>336</v>
      </c>
      <c r="E7" s="36" t="s">
        <v>115</v>
      </c>
      <c r="F7" s="36" t="s">
        <v>36</v>
      </c>
      <c r="G7" s="36" t="s">
        <v>36</v>
      </c>
      <c r="H7" s="45" t="s">
        <v>36</v>
      </c>
      <c r="I7" s="36" t="s">
        <v>9</v>
      </c>
      <c r="J7" s="37" t="s">
        <v>36</v>
      </c>
      <c r="K7" s="37" t="s">
        <v>36</v>
      </c>
      <c r="L7" s="37" t="s">
        <v>36</v>
      </c>
      <c r="M7" s="37" t="s">
        <v>36</v>
      </c>
      <c r="N7" s="37" t="s">
        <v>36</v>
      </c>
      <c r="O7" s="37" t="s">
        <v>36</v>
      </c>
    </row>
    <row r="8" spans="1:16" s="36" customFormat="1" ht="29" x14ac:dyDescent="0.35">
      <c r="A8" s="36">
        <v>2</v>
      </c>
      <c r="B8" s="36" t="str">
        <f t="shared" si="0"/>
        <v>13.2</v>
      </c>
      <c r="C8" s="83" t="s">
        <v>44</v>
      </c>
      <c r="D8" s="36" t="s">
        <v>36</v>
      </c>
      <c r="E8" s="36" t="s">
        <v>48</v>
      </c>
      <c r="F8" s="36" t="s">
        <v>36</v>
      </c>
      <c r="G8" s="36" t="s">
        <v>36</v>
      </c>
      <c r="H8" s="45" t="s">
        <v>36</v>
      </c>
      <c r="I8" s="36" t="s">
        <v>9</v>
      </c>
      <c r="J8" s="37" t="s">
        <v>36</v>
      </c>
      <c r="K8" s="37" t="s">
        <v>36</v>
      </c>
      <c r="L8" s="37" t="s">
        <v>36</v>
      </c>
      <c r="M8" s="37" t="s">
        <v>36</v>
      </c>
      <c r="N8" s="37" t="s">
        <v>36</v>
      </c>
      <c r="O8" s="37" t="s">
        <v>36</v>
      </c>
      <c r="P8" s="36" t="s">
        <v>409</v>
      </c>
    </row>
    <row r="9" spans="1:16" s="36" customFormat="1" ht="72.5" x14ac:dyDescent="0.35">
      <c r="A9" s="36">
        <v>3</v>
      </c>
      <c r="B9" s="36" t="str">
        <f t="shared" si="0"/>
        <v>13.3</v>
      </c>
      <c r="C9" s="147" t="s">
        <v>41</v>
      </c>
      <c r="D9" s="36" t="s">
        <v>861</v>
      </c>
      <c r="E9" s="36" t="s">
        <v>31</v>
      </c>
      <c r="F9" s="36" t="s">
        <v>58</v>
      </c>
      <c r="G9" s="36" t="s">
        <v>958</v>
      </c>
      <c r="H9" s="45" t="s">
        <v>36</v>
      </c>
      <c r="I9" s="36" t="s">
        <v>9</v>
      </c>
      <c r="J9" s="37" t="s">
        <v>466</v>
      </c>
      <c r="K9" s="37" t="s">
        <v>53</v>
      </c>
      <c r="L9" s="37" t="s">
        <v>870</v>
      </c>
      <c r="M9" s="37" t="s">
        <v>36</v>
      </c>
      <c r="N9" s="37" t="s">
        <v>36</v>
      </c>
      <c r="O9" s="37" t="s">
        <v>36</v>
      </c>
    </row>
    <row r="10" spans="1:16" s="36" customFormat="1" ht="72.5" x14ac:dyDescent="0.35">
      <c r="A10" s="36">
        <v>4</v>
      </c>
      <c r="B10" s="36" t="str">
        <f t="shared" si="0"/>
        <v>13.4</v>
      </c>
      <c r="C10" s="147" t="s">
        <v>44</v>
      </c>
      <c r="D10" s="36" t="s">
        <v>871</v>
      </c>
      <c r="E10" s="36" t="s">
        <v>99</v>
      </c>
      <c r="F10" s="36" t="s">
        <v>36</v>
      </c>
      <c r="G10" s="36" t="s">
        <v>36</v>
      </c>
      <c r="H10" s="45" t="s">
        <v>36</v>
      </c>
      <c r="I10" s="36" t="s">
        <v>865</v>
      </c>
      <c r="J10" s="37" t="s">
        <v>36</v>
      </c>
      <c r="K10" s="37" t="s">
        <v>36</v>
      </c>
      <c r="L10" s="37" t="s">
        <v>36</v>
      </c>
      <c r="M10" s="37" t="s">
        <v>36</v>
      </c>
      <c r="N10" s="37" t="s">
        <v>36</v>
      </c>
      <c r="O10" s="37" t="s">
        <v>868</v>
      </c>
      <c r="P10" s="36" t="s">
        <v>866</v>
      </c>
    </row>
    <row r="11" spans="1:16" s="36" customFormat="1" ht="29" x14ac:dyDescent="0.35">
      <c r="A11" s="36">
        <v>5</v>
      </c>
      <c r="B11" s="36" t="str">
        <f>CONCATENATE($B$2, ".", A11)</f>
        <v>13.5</v>
      </c>
      <c r="C11" s="83" t="s">
        <v>37</v>
      </c>
      <c r="D11" s="36" t="s">
        <v>862</v>
      </c>
      <c r="E11" s="36" t="s">
        <v>35</v>
      </c>
      <c r="F11" s="36" t="s">
        <v>36</v>
      </c>
      <c r="G11" s="36" t="s">
        <v>36</v>
      </c>
      <c r="H11" s="45" t="s">
        <v>36</v>
      </c>
      <c r="I11" s="36" t="s">
        <v>9</v>
      </c>
      <c r="J11" s="37" t="s">
        <v>36</v>
      </c>
      <c r="K11" s="37" t="s">
        <v>36</v>
      </c>
      <c r="L11" s="37" t="s">
        <v>36</v>
      </c>
      <c r="M11" s="37" t="s">
        <v>36</v>
      </c>
      <c r="N11" s="37" t="s">
        <v>36</v>
      </c>
      <c r="O11" s="37" t="s">
        <v>863</v>
      </c>
      <c r="P11" s="36" t="s">
        <v>864</v>
      </c>
    </row>
    <row r="12" spans="1:16" s="36" customFormat="1" ht="29" x14ac:dyDescent="0.35">
      <c r="A12" s="36">
        <v>6</v>
      </c>
      <c r="B12" s="36" t="str">
        <f t="shared" ref="B12:B14" si="1">CONCATENATE($B$2, ".", A12)</f>
        <v>13.6</v>
      </c>
      <c r="C12" s="83" t="s">
        <v>37</v>
      </c>
      <c r="D12" s="44" t="s">
        <v>142</v>
      </c>
      <c r="E12" s="36" t="s">
        <v>33</v>
      </c>
      <c r="F12" s="36" t="s">
        <v>36</v>
      </c>
      <c r="G12" s="36" t="s">
        <v>956</v>
      </c>
      <c r="H12" s="45" t="s">
        <v>36</v>
      </c>
      <c r="I12" s="36" t="s">
        <v>9</v>
      </c>
      <c r="J12" s="37" t="s">
        <v>36</v>
      </c>
      <c r="K12" s="37" t="s">
        <v>36</v>
      </c>
      <c r="L12" s="37" t="s">
        <v>36</v>
      </c>
      <c r="M12" s="37" t="s">
        <v>36</v>
      </c>
      <c r="N12" s="37" t="s">
        <v>36</v>
      </c>
      <c r="O12" s="37"/>
      <c r="P12" s="36" t="s">
        <v>957</v>
      </c>
    </row>
    <row r="13" spans="1:16" s="36" customFormat="1" ht="43.5" x14ac:dyDescent="0.35">
      <c r="A13" s="36">
        <v>7</v>
      </c>
      <c r="B13" s="36" t="str">
        <f t="shared" si="1"/>
        <v>13.7</v>
      </c>
      <c r="C13" s="83" t="s">
        <v>37</v>
      </c>
      <c r="D13" s="44" t="s">
        <v>143</v>
      </c>
      <c r="E13" s="36" t="s">
        <v>33</v>
      </c>
      <c r="F13" s="36" t="s">
        <v>36</v>
      </c>
      <c r="G13" s="36" t="s">
        <v>432</v>
      </c>
      <c r="H13" s="45" t="s">
        <v>36</v>
      </c>
      <c r="I13" s="36" t="s">
        <v>9</v>
      </c>
      <c r="J13" s="37" t="s">
        <v>36</v>
      </c>
      <c r="K13" s="37" t="s">
        <v>36</v>
      </c>
      <c r="L13" s="37" t="s">
        <v>36</v>
      </c>
      <c r="M13" s="37" t="s">
        <v>36</v>
      </c>
      <c r="N13" s="37" t="s">
        <v>36</v>
      </c>
      <c r="O13" s="37"/>
    </row>
    <row r="14" spans="1:16" s="36" customFormat="1" ht="43.5" x14ac:dyDescent="0.35">
      <c r="A14" s="36">
        <v>8</v>
      </c>
      <c r="B14" s="36" t="str">
        <f t="shared" si="1"/>
        <v>13.8</v>
      </c>
      <c r="C14" s="83" t="s">
        <v>37</v>
      </c>
      <c r="D14" s="44" t="s">
        <v>144</v>
      </c>
      <c r="E14" s="36" t="s">
        <v>33</v>
      </c>
      <c r="F14" s="36" t="s">
        <v>36</v>
      </c>
      <c r="G14" s="36" t="s">
        <v>433</v>
      </c>
      <c r="H14" s="45" t="s">
        <v>36</v>
      </c>
      <c r="I14" s="36" t="s">
        <v>9</v>
      </c>
      <c r="J14" s="37" t="s">
        <v>36</v>
      </c>
      <c r="K14" s="37" t="s">
        <v>36</v>
      </c>
      <c r="L14" s="37" t="s">
        <v>36</v>
      </c>
      <c r="M14" s="37" t="s">
        <v>36</v>
      </c>
      <c r="N14" s="37" t="s">
        <v>36</v>
      </c>
      <c r="O14" s="37"/>
    </row>
    <row r="15" spans="1:16" s="36" customFormat="1" ht="89" customHeight="1" x14ac:dyDescent="0.35">
      <c r="A15" s="36">
        <v>9</v>
      </c>
      <c r="B15" s="36" t="str">
        <f t="shared" si="0"/>
        <v>13.9</v>
      </c>
      <c r="C15" s="83" t="s">
        <v>37</v>
      </c>
      <c r="D15" s="36" t="s">
        <v>869</v>
      </c>
      <c r="E15" s="36" t="s">
        <v>29</v>
      </c>
      <c r="F15" s="36" t="s">
        <v>60</v>
      </c>
      <c r="G15" s="36" t="s">
        <v>36</v>
      </c>
      <c r="H15" s="45" t="s">
        <v>36</v>
      </c>
      <c r="I15" s="36" t="s">
        <v>9</v>
      </c>
      <c r="J15" s="37" t="s">
        <v>96</v>
      </c>
      <c r="K15" s="37" t="s">
        <v>53</v>
      </c>
      <c r="L15" s="37" t="s">
        <v>97</v>
      </c>
      <c r="M15" s="37" t="s">
        <v>36</v>
      </c>
      <c r="N15" s="37" t="s">
        <v>36</v>
      </c>
      <c r="O15" s="37" t="s">
        <v>867</v>
      </c>
      <c r="P15" s="36" t="s">
        <v>864</v>
      </c>
    </row>
    <row r="16" spans="1:16" s="36" customFormat="1" x14ac:dyDescent="0.35">
      <c r="A16" s="36">
        <v>10</v>
      </c>
      <c r="B16" s="36" t="str">
        <f>CONCATENATE($B$2, ".", A16)</f>
        <v>13.10</v>
      </c>
      <c r="C16" s="83" t="s">
        <v>39</v>
      </c>
      <c r="D16" s="36" t="s">
        <v>57</v>
      </c>
      <c r="E16" s="36" t="s">
        <v>42</v>
      </c>
      <c r="F16" s="36" t="s">
        <v>36</v>
      </c>
      <c r="G16" s="36" t="s">
        <v>36</v>
      </c>
      <c r="H16" s="45" t="s">
        <v>36</v>
      </c>
      <c r="I16" s="36" t="s">
        <v>9</v>
      </c>
      <c r="J16" s="36" t="s">
        <v>36</v>
      </c>
      <c r="K16" s="36" t="s">
        <v>36</v>
      </c>
      <c r="L16" s="36" t="s">
        <v>36</v>
      </c>
      <c r="M16" s="36" t="s">
        <v>36</v>
      </c>
      <c r="N16" s="36" t="s">
        <v>36</v>
      </c>
      <c r="O16" s="36" t="s">
        <v>145</v>
      </c>
    </row>
    <row r="17" spans="1:15" s="36" customFormat="1" ht="29" x14ac:dyDescent="0.35">
      <c r="A17" s="36">
        <v>11</v>
      </c>
      <c r="B17" s="36" t="str">
        <f t="shared" si="0"/>
        <v>13.11</v>
      </c>
      <c r="C17" s="83" t="s">
        <v>39</v>
      </c>
      <c r="D17" s="36" t="s">
        <v>56</v>
      </c>
      <c r="E17" s="36" t="s">
        <v>42</v>
      </c>
      <c r="F17" s="36" t="s">
        <v>36</v>
      </c>
      <c r="G17" s="36" t="s">
        <v>36</v>
      </c>
      <c r="H17" s="45" t="s">
        <v>36</v>
      </c>
      <c r="I17" s="36" t="s">
        <v>9</v>
      </c>
      <c r="J17" s="36" t="s">
        <v>36</v>
      </c>
      <c r="K17" s="36" t="s">
        <v>36</v>
      </c>
      <c r="L17" s="36" t="s">
        <v>36</v>
      </c>
      <c r="M17" s="36" t="s">
        <v>36</v>
      </c>
      <c r="N17" s="36" t="s">
        <v>36</v>
      </c>
      <c r="O17" s="36" t="s">
        <v>282</v>
      </c>
    </row>
    <row r="18" spans="1:15" x14ac:dyDescent="0.35">
      <c r="C18" s="83"/>
      <c r="I18" s="36"/>
      <c r="J18" s="5"/>
      <c r="K18" s="5"/>
      <c r="L18" s="37"/>
      <c r="M18" s="37"/>
      <c r="N18" s="37"/>
      <c r="O18" s="37"/>
    </row>
    <row r="19" spans="1:15" x14ac:dyDescent="0.35">
      <c r="D19" s="6" t="s">
        <v>68</v>
      </c>
      <c r="I19" s="36"/>
      <c r="J19" s="5"/>
      <c r="K19" s="5"/>
      <c r="L19" s="37"/>
      <c r="M19" s="37"/>
      <c r="N19" s="37"/>
      <c r="O19" s="37"/>
    </row>
    <row r="20" spans="1:15" x14ac:dyDescent="0.35">
      <c r="I20" s="36"/>
      <c r="J20" s="5"/>
      <c r="K20" s="5"/>
      <c r="L20" s="37"/>
      <c r="M20" s="37"/>
      <c r="N20" s="37"/>
      <c r="O20" s="37"/>
    </row>
    <row r="21" spans="1:15" x14ac:dyDescent="0.35">
      <c r="I21" s="36"/>
      <c r="J21" s="5"/>
      <c r="K21" s="5"/>
      <c r="L21" s="37"/>
      <c r="M21" s="37"/>
      <c r="N21" s="37"/>
      <c r="O21" s="37"/>
    </row>
    <row r="22" spans="1:15" x14ac:dyDescent="0.35">
      <c r="I22" s="36"/>
      <c r="J22" s="5"/>
      <c r="K22" s="5"/>
      <c r="L22" s="37"/>
      <c r="M22" s="37"/>
      <c r="N22" s="37"/>
      <c r="O22" s="37"/>
    </row>
    <row r="23" spans="1:15" x14ac:dyDescent="0.35">
      <c r="I23" s="36"/>
      <c r="J23" s="5"/>
      <c r="K23" s="5"/>
      <c r="L23" s="37"/>
      <c r="M23" s="37"/>
      <c r="N23" s="37"/>
      <c r="O23" s="37"/>
    </row>
    <row r="24" spans="1:15" x14ac:dyDescent="0.35">
      <c r="I24" s="36"/>
      <c r="J24" s="5"/>
      <c r="K24" s="5"/>
      <c r="L24" s="37"/>
      <c r="M24" s="37"/>
      <c r="N24" s="37"/>
      <c r="O24" s="37"/>
    </row>
    <row r="25" spans="1:15" x14ac:dyDescent="0.35">
      <c r="I25" s="36"/>
      <c r="J25" s="5"/>
      <c r="K25" s="5"/>
      <c r="L25" s="37"/>
      <c r="M25" s="37"/>
      <c r="N25" s="37"/>
      <c r="O25" s="37"/>
    </row>
  </sheetData>
  <autoFilter ref="A6:P17"/>
  <conditionalFormatting sqref="C7:C1048576">
    <cfRule type="cellIs" dxfId="490" priority="29" operator="equal">
      <formula>"WIP (see comments)"</formula>
    </cfRule>
    <cfRule type="cellIs" dxfId="489" priority="30" operator="equal">
      <formula>"Removed"</formula>
    </cfRule>
    <cfRule type="cellIs" dxfId="488" priority="31" operator="equal">
      <formula>"Updated"</formula>
    </cfRule>
    <cfRule type="cellIs" dxfId="487" priority="32" operator="equal">
      <formula>"New"</formula>
    </cfRule>
  </conditionalFormatting>
  <conditionalFormatting sqref="A2:XFD2 A4 C4:XFD4 A1:C1 E1:XFD1 A3:C3 E3:XFD3 A5:XFD1048576">
    <cfRule type="cellIs" dxfId="486" priority="12" operator="equal">
      <formula>"n/a"</formula>
    </cfRule>
  </conditionalFormatting>
  <conditionalFormatting sqref="B4">
    <cfRule type="cellIs" dxfId="485" priority="11" operator="equal">
      <formula>"n/a"</formula>
    </cfRule>
  </conditionalFormatting>
  <conditionalFormatting sqref="D3">
    <cfRule type="cellIs" dxfId="484" priority="6" operator="equal">
      <formula>"n/a"</formula>
    </cfRule>
  </conditionalFormatting>
  <dataValidations count="1">
    <dataValidation type="list" allowBlank="1" showInputMessage="1" showErrorMessage="1" sqref="C19:C1048576">
      <formula1>$B$5:$B$15</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Values'!$B$5:$B$11</xm:f>
          </x14:formula1>
          <xm:sqref>C7:C18</xm:sqref>
        </x14:dataValidation>
        <x14:dataValidation type="list" allowBlank="1" showInputMessage="1" showErrorMessage="1">
          <x14:formula1>
            <xm:f>'List Values'!$A$5:$A$35</xm:f>
          </x14:formula1>
          <xm:sqref>E7:E1048576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P20"/>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6" customWidth="1"/>
    <col min="2" max="2" width="12.54296875" style="6" customWidth="1"/>
    <col min="3" max="3" width="15.1796875" style="31"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222</v>
      </c>
      <c r="C1" s="29"/>
      <c r="D1" s="26"/>
    </row>
    <row r="2" spans="1:16" s="27" customFormat="1" ht="18.5" x14ac:dyDescent="0.35">
      <c r="A2" s="25" t="s">
        <v>7</v>
      </c>
      <c r="B2" s="33">
        <v>14</v>
      </c>
      <c r="C2" s="32"/>
      <c r="D2" s="33"/>
    </row>
    <row r="3" spans="1:16" s="27" customFormat="1" ht="18.5" x14ac:dyDescent="0.35">
      <c r="A3" s="25" t="s">
        <v>43</v>
      </c>
      <c r="B3" s="33" t="s">
        <v>340</v>
      </c>
      <c r="C3" s="32"/>
      <c r="D3" s="84" t="s">
        <v>341</v>
      </c>
    </row>
    <row r="4" spans="1:16" s="27" customFormat="1" ht="18.5" x14ac:dyDescent="0.35">
      <c r="A4" s="25" t="s">
        <v>8</v>
      </c>
      <c r="C4" s="32"/>
    </row>
    <row r="5" spans="1:16" s="4" customFormat="1" x14ac:dyDescent="0.35">
      <c r="C5" s="34"/>
    </row>
    <row r="6" spans="1:16" s="28" customFormat="1" ht="15" thickBot="1" x14ac:dyDescent="0.4">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x14ac:dyDescent="0.35">
      <c r="A7" s="6">
        <v>1</v>
      </c>
      <c r="B7" s="6" t="str">
        <f t="shared" ref="B7:B10" si="0">CONCATENATE($B$2, ".", A7)</f>
        <v>14.1</v>
      </c>
      <c r="C7" s="31" t="s">
        <v>39</v>
      </c>
      <c r="D7" s="36" t="s">
        <v>185</v>
      </c>
      <c r="E7" s="6" t="s">
        <v>28</v>
      </c>
      <c r="F7" s="6" t="s">
        <v>36</v>
      </c>
      <c r="G7" s="6" t="s">
        <v>36</v>
      </c>
      <c r="H7" s="31" t="s">
        <v>36</v>
      </c>
      <c r="I7" s="36" t="s">
        <v>9</v>
      </c>
      <c r="J7" s="5" t="s">
        <v>36</v>
      </c>
      <c r="K7" s="5" t="s">
        <v>36</v>
      </c>
      <c r="L7" s="5" t="s">
        <v>36</v>
      </c>
      <c r="M7" s="5" t="s">
        <v>36</v>
      </c>
      <c r="N7" s="5" t="s">
        <v>36</v>
      </c>
      <c r="O7" s="5" t="s">
        <v>36</v>
      </c>
    </row>
    <row r="8" spans="1:16" ht="29" x14ac:dyDescent="0.35">
      <c r="A8" s="6">
        <v>2</v>
      </c>
      <c r="B8" s="6" t="str">
        <f t="shared" si="0"/>
        <v>14.2</v>
      </c>
      <c r="C8" s="31" t="s">
        <v>44</v>
      </c>
      <c r="D8" s="36" t="s">
        <v>36</v>
      </c>
      <c r="E8" s="36" t="s">
        <v>48</v>
      </c>
      <c r="F8" s="6" t="s">
        <v>36</v>
      </c>
      <c r="G8" s="6" t="s">
        <v>36</v>
      </c>
      <c r="H8" s="31" t="s">
        <v>36</v>
      </c>
      <c r="I8" s="36" t="s">
        <v>9</v>
      </c>
      <c r="J8" s="5" t="s">
        <v>36</v>
      </c>
      <c r="K8" s="5" t="s">
        <v>36</v>
      </c>
      <c r="L8" s="5" t="s">
        <v>36</v>
      </c>
      <c r="M8" s="5" t="s">
        <v>36</v>
      </c>
      <c r="N8" s="5" t="s">
        <v>36</v>
      </c>
      <c r="O8" s="5" t="s">
        <v>36</v>
      </c>
      <c r="P8" s="6" t="s">
        <v>349</v>
      </c>
    </row>
    <row r="9" spans="1:16" ht="58" x14ac:dyDescent="0.35">
      <c r="A9" s="6">
        <v>3</v>
      </c>
      <c r="B9" s="6" t="str">
        <f t="shared" si="0"/>
        <v>14.3</v>
      </c>
      <c r="C9" s="31" t="s">
        <v>37</v>
      </c>
      <c r="D9" s="36" t="s">
        <v>963</v>
      </c>
      <c r="E9" s="36" t="s">
        <v>33</v>
      </c>
      <c r="F9" s="6" t="s">
        <v>36</v>
      </c>
      <c r="G9" s="6" t="s">
        <v>36</v>
      </c>
      <c r="H9" s="31" t="s">
        <v>36</v>
      </c>
      <c r="I9" s="36" t="s">
        <v>9</v>
      </c>
      <c r="J9" s="5" t="s">
        <v>36</v>
      </c>
      <c r="K9" s="5" t="s">
        <v>36</v>
      </c>
      <c r="L9" s="5" t="s">
        <v>36</v>
      </c>
      <c r="M9" s="5" t="s">
        <v>36</v>
      </c>
      <c r="N9" s="5" t="s">
        <v>36</v>
      </c>
      <c r="O9" s="5" t="s">
        <v>36</v>
      </c>
    </row>
    <row r="10" spans="1:16" ht="29" x14ac:dyDescent="0.35">
      <c r="A10" s="6">
        <v>4</v>
      </c>
      <c r="B10" s="6" t="str">
        <f t="shared" si="0"/>
        <v>14.4</v>
      </c>
      <c r="C10" s="31" t="s">
        <v>39</v>
      </c>
      <c r="D10" s="6" t="s">
        <v>179</v>
      </c>
      <c r="E10" s="168" t="s">
        <v>31</v>
      </c>
      <c r="F10" s="6" t="s">
        <v>60</v>
      </c>
      <c r="G10" s="6" t="s">
        <v>36</v>
      </c>
      <c r="H10" s="31" t="s">
        <v>36</v>
      </c>
      <c r="I10" s="36" t="s">
        <v>9</v>
      </c>
      <c r="J10" s="5" t="s">
        <v>151</v>
      </c>
      <c r="K10" s="165" t="s">
        <v>152</v>
      </c>
      <c r="L10" s="167" t="s">
        <v>663</v>
      </c>
      <c r="M10" s="5" t="s">
        <v>36</v>
      </c>
      <c r="N10" s="5" t="s">
        <v>36</v>
      </c>
      <c r="O10" s="169" t="s">
        <v>180</v>
      </c>
    </row>
    <row r="11" spans="1:16" ht="40.5" customHeight="1" x14ac:dyDescent="0.35">
      <c r="A11" s="6">
        <v>5</v>
      </c>
      <c r="B11" s="6" t="str">
        <f t="shared" ref="B11:B13" si="1">CONCATENATE($B$2, ".", A11)</f>
        <v>14.5</v>
      </c>
      <c r="C11" s="31" t="s">
        <v>39</v>
      </c>
      <c r="D11" s="6" t="s">
        <v>207</v>
      </c>
      <c r="E11" s="168"/>
      <c r="F11" s="6" t="s">
        <v>60</v>
      </c>
      <c r="G11" s="46" t="s">
        <v>36</v>
      </c>
      <c r="H11" s="67" t="s">
        <v>36</v>
      </c>
      <c r="I11" s="48" t="s">
        <v>9</v>
      </c>
      <c r="J11" s="5" t="s">
        <v>151</v>
      </c>
      <c r="K11" s="165"/>
      <c r="L11" s="167"/>
      <c r="M11" s="5" t="s">
        <v>36</v>
      </c>
      <c r="N11" s="5" t="s">
        <v>36</v>
      </c>
      <c r="O11" s="169"/>
    </row>
    <row r="12" spans="1:16" ht="231.75" customHeight="1" x14ac:dyDescent="0.35">
      <c r="A12" s="6">
        <v>6</v>
      </c>
      <c r="B12" s="6" t="str">
        <f t="shared" si="1"/>
        <v>14.6</v>
      </c>
      <c r="C12" s="31" t="s">
        <v>39</v>
      </c>
      <c r="D12" s="31" t="s">
        <v>208</v>
      </c>
      <c r="E12" s="36" t="s">
        <v>186</v>
      </c>
      <c r="F12" s="6" t="s">
        <v>36</v>
      </c>
      <c r="G12" s="6" t="s">
        <v>36</v>
      </c>
      <c r="H12" s="67" t="s">
        <v>36</v>
      </c>
      <c r="I12" s="48" t="s">
        <v>342</v>
      </c>
      <c r="J12" s="5" t="s">
        <v>36</v>
      </c>
      <c r="K12" s="5" t="s">
        <v>36</v>
      </c>
      <c r="L12" s="5" t="s">
        <v>36</v>
      </c>
      <c r="M12" s="5" t="s">
        <v>36</v>
      </c>
      <c r="N12" s="5" t="s">
        <v>36</v>
      </c>
      <c r="O12" s="5" t="s">
        <v>343</v>
      </c>
    </row>
    <row r="13" spans="1:16" ht="88" customHeight="1" x14ac:dyDescent="0.35">
      <c r="A13" s="6">
        <v>7</v>
      </c>
      <c r="B13" s="6" t="str">
        <f t="shared" si="1"/>
        <v>14.7</v>
      </c>
      <c r="C13" s="31" t="s">
        <v>37</v>
      </c>
      <c r="D13" s="36" t="s">
        <v>57</v>
      </c>
      <c r="E13" s="36" t="s">
        <v>42</v>
      </c>
      <c r="F13" s="36" t="s">
        <v>36</v>
      </c>
      <c r="G13" s="36" t="s">
        <v>36</v>
      </c>
      <c r="H13" s="45" t="s">
        <v>36</v>
      </c>
      <c r="I13" s="36" t="s">
        <v>9</v>
      </c>
      <c r="J13" s="36" t="s">
        <v>36</v>
      </c>
      <c r="K13" s="36" t="s">
        <v>36</v>
      </c>
      <c r="L13" s="36" t="s">
        <v>36</v>
      </c>
      <c r="M13" s="36" t="s">
        <v>36</v>
      </c>
      <c r="N13" s="36" t="s">
        <v>36</v>
      </c>
      <c r="O13" s="36" t="s">
        <v>435</v>
      </c>
    </row>
    <row r="14" spans="1:16" x14ac:dyDescent="0.35">
      <c r="I14" s="36"/>
      <c r="J14" s="5"/>
      <c r="K14" s="5"/>
      <c r="L14" s="37"/>
      <c r="M14" s="37"/>
      <c r="N14" s="37"/>
      <c r="O14" s="37"/>
    </row>
    <row r="15" spans="1:16" x14ac:dyDescent="0.35">
      <c r="I15" s="36"/>
      <c r="J15" s="5"/>
      <c r="K15" s="5"/>
      <c r="L15" s="37"/>
      <c r="M15" s="37"/>
      <c r="N15" s="37"/>
      <c r="O15" s="37"/>
    </row>
    <row r="16" spans="1:16" x14ac:dyDescent="0.35">
      <c r="I16" s="36"/>
      <c r="J16" s="5"/>
      <c r="K16" s="5"/>
      <c r="L16" s="37"/>
      <c r="M16" s="37"/>
      <c r="N16" s="37"/>
      <c r="O16" s="37"/>
    </row>
    <row r="17" spans="9:15" x14ac:dyDescent="0.35">
      <c r="I17" s="36"/>
      <c r="J17" s="5"/>
      <c r="K17" s="5"/>
      <c r="L17" s="37"/>
      <c r="M17" s="37"/>
      <c r="N17" s="37"/>
      <c r="O17" s="37"/>
    </row>
    <row r="18" spans="9:15" x14ac:dyDescent="0.35">
      <c r="I18" s="36"/>
      <c r="J18" s="5"/>
      <c r="K18" s="5"/>
      <c r="L18" s="37"/>
      <c r="M18" s="37"/>
      <c r="N18" s="37"/>
      <c r="O18" s="37"/>
    </row>
    <row r="19" spans="9:15" x14ac:dyDescent="0.35">
      <c r="I19" s="36"/>
      <c r="J19" s="5"/>
      <c r="K19" s="5"/>
      <c r="L19" s="37"/>
      <c r="M19" s="37"/>
      <c r="N19" s="37"/>
      <c r="O19" s="37"/>
    </row>
    <row r="20" spans="9:15" x14ac:dyDescent="0.35">
      <c r="I20" s="36"/>
      <c r="J20" s="5"/>
      <c r="K20" s="5"/>
      <c r="L20" s="37"/>
      <c r="M20" s="37"/>
      <c r="N20" s="37"/>
      <c r="O20" s="37"/>
    </row>
  </sheetData>
  <mergeCells count="4">
    <mergeCell ref="K10:K11"/>
    <mergeCell ref="L10:L11"/>
    <mergeCell ref="E10:E11"/>
    <mergeCell ref="O10:O11"/>
  </mergeCells>
  <conditionalFormatting sqref="C7:C1048576">
    <cfRule type="cellIs" dxfId="483" priority="29" operator="equal">
      <formula>"WIP (see comments)"</formula>
    </cfRule>
    <cfRule type="cellIs" dxfId="482" priority="30" operator="equal">
      <formula>"Removed"</formula>
    </cfRule>
    <cfRule type="cellIs" dxfId="481" priority="31" operator="equal">
      <formula>"Updated"</formula>
    </cfRule>
    <cfRule type="cellIs" dxfId="480" priority="32" operator="equal">
      <formula>"New"</formula>
    </cfRule>
  </conditionalFormatting>
  <conditionalFormatting sqref="G10:I10 M10:O10 A10:E10 M11:N11 A7:O9 A11:C13">
    <cfRule type="cellIs" dxfId="479" priority="20" operator="equal">
      <formula>"n/a"</formula>
    </cfRule>
  </conditionalFormatting>
  <conditionalFormatting sqref="D11:D12 F11:J12">
    <cfRule type="cellIs" dxfId="478" priority="19" operator="equal">
      <formula>"n/a"</formula>
    </cfRule>
  </conditionalFormatting>
  <conditionalFormatting sqref="K10:L10">
    <cfRule type="cellIs" dxfId="477" priority="18" operator="equal">
      <formula>"n/a"</formula>
    </cfRule>
  </conditionalFormatting>
  <conditionalFormatting sqref="D13 F13:N13">
    <cfRule type="cellIs" dxfId="476" priority="11" operator="equal">
      <formula>"n/a"</formula>
    </cfRule>
  </conditionalFormatting>
  <conditionalFormatting sqref="F10">
    <cfRule type="cellIs" dxfId="475" priority="9" operator="equal">
      <formula>"n/a"</formula>
    </cfRule>
  </conditionalFormatting>
  <conditionalFormatting sqref="J10">
    <cfRule type="cellIs" dxfId="474" priority="8" operator="equal">
      <formula>"n/a"</formula>
    </cfRule>
  </conditionalFormatting>
  <conditionalFormatting sqref="E12:E13">
    <cfRule type="cellIs" dxfId="473" priority="7" operator="equal">
      <formula>"n/a"</formula>
    </cfRule>
  </conditionalFormatting>
  <conditionalFormatting sqref="K12">
    <cfRule type="cellIs" dxfId="472" priority="6" operator="equal">
      <formula>"n/a"</formula>
    </cfRule>
  </conditionalFormatting>
  <conditionalFormatting sqref="L12">
    <cfRule type="cellIs" dxfId="471" priority="5" operator="equal">
      <formula>"n/a"</formula>
    </cfRule>
  </conditionalFormatting>
  <conditionalFormatting sqref="M12">
    <cfRule type="cellIs" dxfId="470" priority="4" operator="equal">
      <formula>"n/a"</formula>
    </cfRule>
  </conditionalFormatting>
  <conditionalFormatting sqref="N12">
    <cfRule type="cellIs" dxfId="469" priority="3" operator="equal">
      <formula>"n/a"</formula>
    </cfRule>
  </conditionalFormatting>
  <conditionalFormatting sqref="O12">
    <cfRule type="cellIs" dxfId="468" priority="2" operator="equal">
      <formula>"n/a"</formula>
    </cfRule>
  </conditionalFormatting>
  <conditionalFormatting sqref="D3">
    <cfRule type="cellIs" dxfId="467" priority="1" operator="equal">
      <formula>"n/a"</formula>
    </cfRule>
  </conditionalFormatting>
  <dataValidations count="1">
    <dataValidation type="list" allowBlank="1" showInputMessage="1" showErrorMessage="1" sqref="E14:E1048576">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14:formula1>
            <xm:f>'List Values'!$B$5:$B$13</xm:f>
          </x14:formula1>
          <xm:sqref>C14:C1048576</xm:sqref>
        </x14:dataValidation>
        <x14:dataValidation type="list" allowBlank="1" showInputMessage="1" showErrorMessage="1">
          <x14:formula1>
            <xm:f>'List Values'!$B$5:$B$12</xm:f>
          </x14:formula1>
          <xm:sqref>C7:C13</xm:sqref>
        </x14:dataValidation>
        <x14:dataValidation type="list" allowBlank="1" showInputMessage="1" showErrorMessage="1">
          <x14:formula1>
            <xm:f>'List Values'!$A$5:$A$35</xm:f>
          </x14:formula1>
          <xm:sqref>E7:E10</xm:sqref>
        </x14:dataValidation>
        <x14:dataValidation type="list" allowBlank="1" showInputMessage="1" showErrorMessage="1">
          <x14:formula1>
            <xm:f>'List Values'!$A$5:$A$34</xm:f>
          </x14:formula1>
          <xm:sqref>E12:E13</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8"/>
  <sheetViews>
    <sheetView workbookViewId="0">
      <pane xSplit="4" ySplit="6" topLeftCell="E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6" customWidth="1"/>
    <col min="2" max="2" width="12.54296875" style="6" customWidth="1"/>
    <col min="3" max="3" width="15.1796875" style="31"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179687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223</v>
      </c>
      <c r="C1" s="29"/>
      <c r="D1" s="26"/>
    </row>
    <row r="2" spans="1:16" s="27" customFormat="1" ht="18.5" x14ac:dyDescent="0.35">
      <c r="A2" s="25" t="s">
        <v>7</v>
      </c>
      <c r="B2" s="33">
        <v>15</v>
      </c>
      <c r="C2" s="32"/>
      <c r="D2" s="33"/>
    </row>
    <row r="3" spans="1:16" s="27" customFormat="1" ht="18.5" x14ac:dyDescent="0.35">
      <c r="A3" s="25" t="s">
        <v>43</v>
      </c>
      <c r="B3" s="33" t="s">
        <v>284</v>
      </c>
      <c r="C3" s="32"/>
      <c r="D3" s="33"/>
    </row>
    <row r="4" spans="1:16" s="27" customFormat="1" ht="18.5" x14ac:dyDescent="0.35">
      <c r="A4" s="25" t="s">
        <v>8</v>
      </c>
      <c r="B4" s="27" t="s">
        <v>157</v>
      </c>
      <c r="C4" s="32"/>
    </row>
    <row r="5" spans="1:16" s="4" customFormat="1" x14ac:dyDescent="0.35">
      <c r="C5" s="34"/>
    </row>
    <row r="6" spans="1:16" s="28" customFormat="1" ht="15" thickBot="1" x14ac:dyDescent="0.4">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x14ac:dyDescent="0.35">
      <c r="A7" s="6">
        <v>1</v>
      </c>
      <c r="B7" s="6" t="str">
        <f t="shared" ref="B7:B11" si="0">CONCATENATE($B$2, ".", A7)</f>
        <v>15.1</v>
      </c>
      <c r="C7" s="31" t="s">
        <v>39</v>
      </c>
      <c r="D7" s="36" t="s">
        <v>127</v>
      </c>
      <c r="E7" s="6" t="s">
        <v>28</v>
      </c>
      <c r="F7" s="6" t="s">
        <v>36</v>
      </c>
      <c r="G7" s="6" t="s">
        <v>36</v>
      </c>
      <c r="H7" s="31" t="s">
        <v>36</v>
      </c>
      <c r="I7" s="36" t="s">
        <v>9</v>
      </c>
      <c r="J7" s="5" t="s">
        <v>36</v>
      </c>
      <c r="K7" s="5" t="s">
        <v>36</v>
      </c>
      <c r="L7" s="5" t="s">
        <v>36</v>
      </c>
      <c r="M7" s="5" t="s">
        <v>36</v>
      </c>
      <c r="N7" s="5" t="s">
        <v>36</v>
      </c>
      <c r="O7" s="5" t="s">
        <v>36</v>
      </c>
    </row>
    <row r="8" spans="1:16" x14ac:dyDescent="0.35">
      <c r="A8" s="6">
        <v>2</v>
      </c>
      <c r="B8" s="6" t="str">
        <f t="shared" si="0"/>
        <v>15.2</v>
      </c>
      <c r="C8" s="31" t="s">
        <v>39</v>
      </c>
      <c r="D8" s="36" t="s">
        <v>36</v>
      </c>
      <c r="E8" s="36" t="s">
        <v>48</v>
      </c>
      <c r="F8" s="6" t="s">
        <v>36</v>
      </c>
      <c r="G8" s="6" t="s">
        <v>36</v>
      </c>
      <c r="H8" s="31" t="s">
        <v>36</v>
      </c>
      <c r="I8" s="36" t="s">
        <v>9</v>
      </c>
      <c r="J8" s="5" t="s">
        <v>36</v>
      </c>
      <c r="K8" s="5" t="s">
        <v>36</v>
      </c>
      <c r="L8" s="5" t="s">
        <v>36</v>
      </c>
      <c r="M8" s="5" t="s">
        <v>36</v>
      </c>
      <c r="N8" s="5" t="s">
        <v>36</v>
      </c>
      <c r="O8" s="5" t="s">
        <v>36</v>
      </c>
    </row>
    <row r="9" spans="1:16" ht="105.75" customHeight="1" x14ac:dyDescent="0.35">
      <c r="A9" s="6">
        <v>3</v>
      </c>
      <c r="B9" s="6" t="str">
        <f t="shared" si="0"/>
        <v>15.3</v>
      </c>
      <c r="C9" s="31" t="s">
        <v>39</v>
      </c>
      <c r="D9" s="6" t="s">
        <v>36</v>
      </c>
      <c r="E9" s="6" t="s">
        <v>523</v>
      </c>
      <c r="F9" s="6" t="s">
        <v>36</v>
      </c>
      <c r="G9" s="6" t="s">
        <v>36</v>
      </c>
      <c r="H9" s="31" t="s">
        <v>36</v>
      </c>
      <c r="I9" s="36" t="s">
        <v>9</v>
      </c>
      <c r="J9" s="5" t="s">
        <v>36</v>
      </c>
      <c r="K9" s="5" t="s">
        <v>152</v>
      </c>
      <c r="L9" s="48" t="s">
        <v>36</v>
      </c>
      <c r="M9" s="5" t="s">
        <v>36</v>
      </c>
      <c r="N9" s="5" t="s">
        <v>36</v>
      </c>
      <c r="O9" s="37" t="s">
        <v>184</v>
      </c>
    </row>
    <row r="10" spans="1:16" ht="105.75" customHeight="1" x14ac:dyDescent="0.35">
      <c r="A10" s="6">
        <v>4</v>
      </c>
      <c r="B10" s="6" t="str">
        <f t="shared" si="0"/>
        <v>15.4</v>
      </c>
      <c r="C10" s="31" t="s">
        <v>39</v>
      </c>
      <c r="D10" s="6" t="s">
        <v>56</v>
      </c>
      <c r="E10" s="6" t="s">
        <v>42</v>
      </c>
      <c r="F10" s="6" t="s">
        <v>36</v>
      </c>
      <c r="G10" s="6" t="s">
        <v>36</v>
      </c>
      <c r="H10" s="31" t="s">
        <v>36</v>
      </c>
      <c r="I10" s="36" t="s">
        <v>199</v>
      </c>
      <c r="J10" s="5" t="s">
        <v>36</v>
      </c>
      <c r="K10" s="5" t="s">
        <v>36</v>
      </c>
      <c r="L10" s="48" t="s">
        <v>36</v>
      </c>
      <c r="M10" s="5" t="s">
        <v>36</v>
      </c>
      <c r="N10" s="5" t="s">
        <v>36</v>
      </c>
      <c r="O10" s="37" t="s">
        <v>401</v>
      </c>
    </row>
    <row r="11" spans="1:16" ht="29" x14ac:dyDescent="0.35">
      <c r="A11" s="6">
        <v>5</v>
      </c>
      <c r="B11" s="6" t="str">
        <f t="shared" si="0"/>
        <v>15.5</v>
      </c>
      <c r="C11" s="31" t="s">
        <v>39</v>
      </c>
      <c r="D11" s="36" t="s">
        <v>57</v>
      </c>
      <c r="E11" s="36" t="s">
        <v>42</v>
      </c>
      <c r="F11" s="36" t="s">
        <v>36</v>
      </c>
      <c r="G11" s="36" t="s">
        <v>36</v>
      </c>
      <c r="H11" s="45" t="s">
        <v>36</v>
      </c>
      <c r="I11" s="36" t="s">
        <v>9</v>
      </c>
      <c r="J11" s="36" t="s">
        <v>36</v>
      </c>
      <c r="K11" s="36" t="s">
        <v>36</v>
      </c>
      <c r="L11" s="36" t="s">
        <v>36</v>
      </c>
      <c r="M11" s="36" t="s">
        <v>36</v>
      </c>
      <c r="N11" s="36" t="s">
        <v>36</v>
      </c>
      <c r="O11" s="36" t="s">
        <v>285</v>
      </c>
    </row>
    <row r="12" spans="1:16" x14ac:dyDescent="0.35">
      <c r="I12" s="36"/>
      <c r="J12" s="5"/>
      <c r="K12" s="5"/>
      <c r="L12" s="37"/>
      <c r="M12" s="37"/>
      <c r="N12" s="37"/>
      <c r="O12" s="37"/>
    </row>
    <row r="13" spans="1:16" x14ac:dyDescent="0.35">
      <c r="I13" s="36"/>
      <c r="J13" s="5"/>
      <c r="K13" s="5"/>
      <c r="L13" s="37"/>
      <c r="M13" s="37"/>
      <c r="N13" s="37"/>
      <c r="O13" s="37"/>
    </row>
    <row r="14" spans="1:16" x14ac:dyDescent="0.35">
      <c r="I14" s="36"/>
      <c r="J14" s="5"/>
      <c r="K14" s="5"/>
      <c r="L14" s="37"/>
      <c r="M14" s="37"/>
      <c r="N14" s="37"/>
      <c r="O14" s="37"/>
    </row>
    <row r="15" spans="1:16" x14ac:dyDescent="0.35">
      <c r="I15" s="36"/>
      <c r="J15" s="5"/>
      <c r="K15" s="5"/>
      <c r="L15" s="37"/>
      <c r="M15" s="37"/>
      <c r="N15" s="37"/>
      <c r="O15" s="37"/>
    </row>
    <row r="16" spans="1:16" x14ac:dyDescent="0.35">
      <c r="I16" s="36"/>
      <c r="J16" s="5"/>
      <c r="K16" s="5"/>
      <c r="L16" s="37"/>
      <c r="M16" s="37"/>
      <c r="N16" s="37"/>
      <c r="O16" s="37"/>
    </row>
    <row r="17" spans="9:15" x14ac:dyDescent="0.35">
      <c r="I17" s="36"/>
      <c r="J17" s="5"/>
      <c r="K17" s="5"/>
      <c r="L17" s="37"/>
      <c r="M17" s="37"/>
      <c r="N17" s="37"/>
      <c r="O17" s="37"/>
    </row>
    <row r="18" spans="9:15" x14ac:dyDescent="0.35">
      <c r="I18" s="36"/>
      <c r="J18" s="5"/>
      <c r="K18" s="5"/>
      <c r="L18" s="37"/>
      <c r="M18" s="37"/>
      <c r="N18" s="37"/>
      <c r="O18" s="37"/>
    </row>
  </sheetData>
  <conditionalFormatting sqref="C12:C1048576">
    <cfRule type="cellIs" dxfId="466" priority="16" operator="equal">
      <formula>"WIP (see comments)"</formula>
    </cfRule>
    <cfRule type="cellIs" dxfId="465" priority="17" operator="equal">
      <formula>"Removed"</formula>
    </cfRule>
    <cfRule type="cellIs" dxfId="464" priority="18" operator="equal">
      <formula>"Updated"</formula>
    </cfRule>
    <cfRule type="cellIs" dxfId="463" priority="19" operator="equal">
      <formula>"New"</formula>
    </cfRule>
  </conditionalFormatting>
  <conditionalFormatting sqref="C7:C10">
    <cfRule type="cellIs" dxfId="462" priority="12" operator="equal">
      <formula>"WIP (see comments)"</formula>
    </cfRule>
    <cfRule type="cellIs" dxfId="461" priority="13" operator="equal">
      <formula>"Removed"</formula>
    </cfRule>
    <cfRule type="cellIs" dxfId="460" priority="14" operator="equal">
      <formula>"Updated"</formula>
    </cfRule>
    <cfRule type="cellIs" dxfId="459" priority="15" operator="equal">
      <formula>"New"</formula>
    </cfRule>
  </conditionalFormatting>
  <conditionalFormatting sqref="A1:XFD8 A12:XFD1048576 P9:XFD10 M9:N10 A9:J9 C10:J10 A10:B11">
    <cfRule type="cellIs" dxfId="458" priority="11" operator="equal">
      <formula>"n/a"</formula>
    </cfRule>
  </conditionalFormatting>
  <conditionalFormatting sqref="K9:L10">
    <cfRule type="cellIs" dxfId="457" priority="9" operator="equal">
      <formula>"n/a"</formula>
    </cfRule>
  </conditionalFormatting>
  <conditionalFormatting sqref="O9">
    <cfRule type="cellIs" dxfId="456" priority="8" operator="equal">
      <formula>"n/a"</formula>
    </cfRule>
  </conditionalFormatting>
  <conditionalFormatting sqref="C11">
    <cfRule type="cellIs" dxfId="455" priority="4" operator="equal">
      <formula>"WIP (see comments)"</formula>
    </cfRule>
    <cfRule type="cellIs" dxfId="454" priority="5" operator="equal">
      <formula>"Removed"</formula>
    </cfRule>
    <cfRule type="cellIs" dxfId="453" priority="6" operator="equal">
      <formula>"Updated"</formula>
    </cfRule>
    <cfRule type="cellIs" dxfId="452" priority="7" operator="equal">
      <formula>"New"</formula>
    </cfRule>
  </conditionalFormatting>
  <conditionalFormatting sqref="P11:XFD11 C11">
    <cfRule type="cellIs" dxfId="451" priority="3" operator="equal">
      <formula>"n/a"</formula>
    </cfRule>
  </conditionalFormatting>
  <conditionalFormatting sqref="D11:N11">
    <cfRule type="cellIs" dxfId="450" priority="2" operator="equal">
      <formula>"n/a"</formula>
    </cfRule>
  </conditionalFormatting>
  <conditionalFormatting sqref="O10">
    <cfRule type="cellIs" dxfId="449"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
  <sheetViews>
    <sheetView workbookViewId="0">
      <pane xSplit="4" ySplit="6" topLeftCell="E7" activePane="bottomRight" state="frozen"/>
      <selection activeCell="O8" sqref="O8"/>
      <selection pane="topRight" activeCell="O8" sqref="O8"/>
      <selection pane="bottomLeft" activeCell="O8" sqref="O8"/>
      <selection pane="bottomRight" activeCell="O9" sqref="O9"/>
    </sheetView>
  </sheetViews>
  <sheetFormatPr defaultColWidth="9.1796875" defaultRowHeight="14.5" x14ac:dyDescent="0.35"/>
  <cols>
    <col min="1" max="1" width="14.7265625" style="6" customWidth="1"/>
    <col min="2" max="2" width="12.54296875" style="6" customWidth="1"/>
    <col min="3" max="3" width="15.1796875" style="31"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224</v>
      </c>
      <c r="C1" s="29"/>
      <c r="D1" s="26"/>
    </row>
    <row r="2" spans="1:16" s="27" customFormat="1" ht="18.5" x14ac:dyDescent="0.35">
      <c r="A2" s="25" t="s">
        <v>7</v>
      </c>
      <c r="B2" s="33">
        <v>16</v>
      </c>
      <c r="C2" s="32"/>
      <c r="D2" s="33"/>
    </row>
    <row r="3" spans="1:16" s="27" customFormat="1" ht="18.5" x14ac:dyDescent="0.35">
      <c r="A3" s="25" t="s">
        <v>43</v>
      </c>
      <c r="B3" s="33" t="s">
        <v>398</v>
      </c>
      <c r="C3" s="32"/>
      <c r="D3" s="33" t="s">
        <v>399</v>
      </c>
    </row>
    <row r="4" spans="1:16" s="27" customFormat="1" ht="18.5" x14ac:dyDescent="0.35">
      <c r="A4" s="25" t="s">
        <v>8</v>
      </c>
      <c r="B4" s="27" t="s">
        <v>396</v>
      </c>
      <c r="C4" s="32"/>
    </row>
    <row r="5" spans="1:16" s="4" customFormat="1" x14ac:dyDescent="0.35">
      <c r="C5" s="34"/>
    </row>
    <row r="6" spans="1:16" s="28" customFormat="1" ht="15" thickBot="1" x14ac:dyDescent="0.4">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x14ac:dyDescent="0.35">
      <c r="A7" s="5">
        <v>1</v>
      </c>
      <c r="B7" s="5" t="str">
        <f>CONCATENATE($B$2, ".", A7)</f>
        <v>16.1</v>
      </c>
      <c r="C7" s="66" t="s">
        <v>39</v>
      </c>
      <c r="D7" s="5" t="s">
        <v>36</v>
      </c>
      <c r="E7" s="37" t="s">
        <v>114</v>
      </c>
      <c r="F7" s="5" t="s">
        <v>36</v>
      </c>
      <c r="G7" s="5" t="s">
        <v>36</v>
      </c>
      <c r="H7" s="66" t="s">
        <v>36</v>
      </c>
      <c r="I7" s="37" t="s">
        <v>9</v>
      </c>
      <c r="J7" s="5" t="s">
        <v>36</v>
      </c>
      <c r="K7" s="5" t="s">
        <v>36</v>
      </c>
      <c r="L7" s="5" t="s">
        <v>36</v>
      </c>
      <c r="M7" s="5" t="s">
        <v>36</v>
      </c>
      <c r="N7" s="5" t="s">
        <v>36</v>
      </c>
      <c r="O7" s="37" t="s">
        <v>964</v>
      </c>
      <c r="P7" s="5" t="s">
        <v>965</v>
      </c>
    </row>
    <row r="8" spans="1:16" x14ac:dyDescent="0.35">
      <c r="A8" s="5">
        <v>2</v>
      </c>
      <c r="B8" s="5" t="str">
        <f t="shared" ref="B8" si="0">CONCATENATE($B$2, ".", A8)</f>
        <v>16.2</v>
      </c>
      <c r="C8" s="68" t="s">
        <v>189</v>
      </c>
      <c r="D8" s="37" t="s">
        <v>187</v>
      </c>
      <c r="E8" s="37" t="s">
        <v>115</v>
      </c>
      <c r="F8" s="5" t="s">
        <v>36</v>
      </c>
      <c r="G8" s="5" t="s">
        <v>36</v>
      </c>
      <c r="H8" s="66" t="s">
        <v>36</v>
      </c>
      <c r="I8" s="37" t="s">
        <v>9</v>
      </c>
      <c r="J8" s="5" t="s">
        <v>36</v>
      </c>
      <c r="K8" s="5" t="s">
        <v>36</v>
      </c>
      <c r="L8" s="5" t="s">
        <v>36</v>
      </c>
      <c r="M8" s="5" t="s">
        <v>36</v>
      </c>
      <c r="N8" s="5" t="s">
        <v>36</v>
      </c>
      <c r="O8" s="5"/>
      <c r="P8" s="5"/>
    </row>
    <row r="9" spans="1:16" ht="231" customHeight="1" x14ac:dyDescent="0.35">
      <c r="A9" s="6">
        <v>3</v>
      </c>
      <c r="B9" s="6" t="str">
        <f t="shared" ref="B9" si="1">CONCATENATE($B$2, ".", A9)</f>
        <v>16.3</v>
      </c>
      <c r="C9" s="68" t="s">
        <v>44</v>
      </c>
      <c r="D9" s="36" t="s">
        <v>966</v>
      </c>
      <c r="E9" s="36" t="s">
        <v>99</v>
      </c>
      <c r="F9" s="6" t="s">
        <v>36</v>
      </c>
      <c r="G9" s="6" t="s">
        <v>36</v>
      </c>
      <c r="H9" s="31" t="s">
        <v>36</v>
      </c>
      <c r="I9" s="36" t="s">
        <v>9</v>
      </c>
      <c r="J9" s="5" t="s">
        <v>36</v>
      </c>
      <c r="K9" s="5" t="s">
        <v>36</v>
      </c>
      <c r="L9" s="5" t="s">
        <v>36</v>
      </c>
      <c r="M9" s="5" t="s">
        <v>36</v>
      </c>
      <c r="N9" s="5" t="s">
        <v>36</v>
      </c>
      <c r="O9" s="5" t="s">
        <v>397</v>
      </c>
      <c r="P9" s="6" t="s">
        <v>967</v>
      </c>
    </row>
    <row r="10" spans="1:16" x14ac:dyDescent="0.35">
      <c r="I10" s="36"/>
      <c r="J10" s="5"/>
      <c r="K10" s="5"/>
      <c r="L10" s="37"/>
      <c r="M10" s="37"/>
      <c r="N10" s="37"/>
      <c r="O10" s="37"/>
    </row>
    <row r="11" spans="1:16" x14ac:dyDescent="0.35">
      <c r="I11" s="36"/>
      <c r="J11" s="5"/>
      <c r="K11" s="5"/>
      <c r="L11" s="37"/>
      <c r="M11" s="37"/>
      <c r="N11" s="37"/>
      <c r="O11" s="37"/>
    </row>
    <row r="12" spans="1:16" x14ac:dyDescent="0.35">
      <c r="I12" s="36"/>
      <c r="J12" s="5"/>
      <c r="K12" s="5"/>
      <c r="L12" s="37"/>
      <c r="M12" s="37"/>
      <c r="N12" s="37"/>
      <c r="O12" s="37"/>
    </row>
    <row r="13" spans="1:16" x14ac:dyDescent="0.35">
      <c r="I13" s="36"/>
      <c r="J13" s="5"/>
      <c r="K13" s="5"/>
      <c r="L13" s="37"/>
      <c r="M13" s="37"/>
      <c r="N13" s="37"/>
      <c r="O13" s="37"/>
    </row>
    <row r="14" spans="1:16" x14ac:dyDescent="0.35">
      <c r="I14" s="36"/>
      <c r="J14" s="5"/>
      <c r="K14" s="5"/>
      <c r="L14" s="37"/>
      <c r="M14" s="37"/>
      <c r="N14" s="37"/>
      <c r="O14" s="37"/>
    </row>
    <row r="15" spans="1:16" x14ac:dyDescent="0.35">
      <c r="I15" s="36"/>
      <c r="J15" s="5"/>
      <c r="K15" s="5"/>
      <c r="L15" s="37"/>
      <c r="M15" s="37"/>
      <c r="N15" s="37"/>
      <c r="O15" s="37"/>
    </row>
  </sheetData>
  <conditionalFormatting sqref="C7:C1048576">
    <cfRule type="cellIs" dxfId="448" priority="21" operator="equal">
      <formula>"WIP (see comments)"</formula>
    </cfRule>
    <cfRule type="cellIs" dxfId="447" priority="22" operator="equal">
      <formula>"Removed"</formula>
    </cfRule>
    <cfRule type="cellIs" dxfId="446" priority="23" operator="equal">
      <formula>"Updated"</formula>
    </cfRule>
    <cfRule type="cellIs" dxfId="445" priority="24" operator="equal">
      <formula>"New"</formula>
    </cfRule>
  </conditionalFormatting>
  <conditionalFormatting sqref="A9:O9">
    <cfRule type="cellIs" dxfId="444" priority="20" operator="equal">
      <formula>"n/a"</formula>
    </cfRule>
  </conditionalFormatting>
  <conditionalFormatting sqref="A8:P8 E7:O7 A7:C7 C8:C9">
    <cfRule type="cellIs" dxfId="443" priority="4" operator="equal">
      <formula>"n/a"</formula>
    </cfRule>
  </conditionalFormatting>
  <conditionalFormatting sqref="P7">
    <cfRule type="cellIs" dxfId="442" priority="3" operator="equal">
      <formula>"n/a"</formula>
    </cfRule>
  </conditionalFormatting>
  <conditionalFormatting sqref="D7">
    <cfRule type="cellIs" dxfId="441" priority="2" operator="equal">
      <formula>"-"</formula>
    </cfRule>
  </conditionalFormatting>
  <conditionalFormatting sqref="D7">
    <cfRule type="cellIs" dxfId="44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P12"/>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117"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577</v>
      </c>
      <c r="C1" s="29"/>
      <c r="D1" s="26"/>
      <c r="H1" s="116"/>
    </row>
    <row r="2" spans="1:16" s="27" customFormat="1" ht="18.5" x14ac:dyDescent="0.35">
      <c r="A2" s="25" t="s">
        <v>7</v>
      </c>
      <c r="B2" s="116">
        <v>17</v>
      </c>
      <c r="C2" s="32"/>
      <c r="D2" s="145" t="s">
        <v>844</v>
      </c>
      <c r="H2" s="116"/>
    </row>
    <row r="3" spans="1:16" s="27" customFormat="1" ht="18.5" x14ac:dyDescent="0.35">
      <c r="A3" s="25" t="s">
        <v>43</v>
      </c>
      <c r="B3" s="116" t="s">
        <v>582</v>
      </c>
      <c r="C3" s="32"/>
      <c r="D3" s="116" t="s">
        <v>795</v>
      </c>
      <c r="H3" s="116"/>
    </row>
    <row r="4" spans="1:16" s="27" customFormat="1" ht="18.5" x14ac:dyDescent="0.35">
      <c r="A4" s="25" t="s">
        <v>8</v>
      </c>
      <c r="B4" s="27" t="s">
        <v>489</v>
      </c>
      <c r="C4" s="32"/>
      <c r="H4" s="116"/>
    </row>
    <row r="5" spans="1:16" s="4" customFormat="1" x14ac:dyDescent="0.35">
      <c r="C5" s="34"/>
      <c r="H5" s="101"/>
    </row>
    <row r="6" spans="1:16" s="28" customFormat="1" ht="15" thickBot="1" x14ac:dyDescent="0.4">
      <c r="A6" s="28" t="s">
        <v>10</v>
      </c>
      <c r="B6" s="28" t="s">
        <v>11</v>
      </c>
      <c r="C6" s="30" t="s">
        <v>25</v>
      </c>
      <c r="D6" s="28" t="s">
        <v>24</v>
      </c>
      <c r="E6" s="28" t="s">
        <v>12</v>
      </c>
      <c r="F6" s="28" t="s">
        <v>13</v>
      </c>
      <c r="G6" s="28" t="s">
        <v>14</v>
      </c>
      <c r="H6" s="102" t="s">
        <v>15</v>
      </c>
      <c r="I6" s="28" t="s">
        <v>16</v>
      </c>
      <c r="J6" s="28" t="s">
        <v>17</v>
      </c>
      <c r="K6" s="28" t="s">
        <v>18</v>
      </c>
      <c r="L6" s="28" t="s">
        <v>19</v>
      </c>
      <c r="M6" s="28" t="s">
        <v>20</v>
      </c>
      <c r="N6" s="28" t="s">
        <v>21</v>
      </c>
      <c r="O6" s="28" t="s">
        <v>22</v>
      </c>
      <c r="P6" s="28" t="s">
        <v>23</v>
      </c>
    </row>
    <row r="7" spans="1:16" x14ac:dyDescent="0.35">
      <c r="A7" s="6">
        <v>1</v>
      </c>
      <c r="B7" s="6" t="str">
        <f t="shared" ref="B7" si="0">CONCATENATE($B$2, ".", A7)</f>
        <v>17.1</v>
      </c>
      <c r="C7" s="31" t="s">
        <v>41</v>
      </c>
      <c r="D7" s="36" t="s">
        <v>490</v>
      </c>
      <c r="E7" s="36" t="s">
        <v>28</v>
      </c>
      <c r="F7" s="6" t="s">
        <v>36</v>
      </c>
      <c r="G7" s="6" t="s">
        <v>36</v>
      </c>
      <c r="H7" s="117" t="s">
        <v>36</v>
      </c>
      <c r="I7" s="36" t="s">
        <v>9</v>
      </c>
      <c r="J7" s="5" t="s">
        <v>36</v>
      </c>
      <c r="K7" s="5" t="s">
        <v>36</v>
      </c>
      <c r="L7" s="5" t="s">
        <v>36</v>
      </c>
      <c r="M7" s="5" t="s">
        <v>36</v>
      </c>
      <c r="N7" s="5" t="s">
        <v>36</v>
      </c>
      <c r="O7" s="5" t="s">
        <v>36</v>
      </c>
      <c r="P7" s="6" t="s">
        <v>209</v>
      </c>
    </row>
    <row r="8" spans="1:16" x14ac:dyDescent="0.35">
      <c r="A8" s="6">
        <v>2</v>
      </c>
      <c r="B8" s="6" t="str">
        <f t="shared" ref="B8:B10" si="1">CONCATENATE($B$2, ".", A8)</f>
        <v>17.2</v>
      </c>
      <c r="C8" s="31" t="s">
        <v>41</v>
      </c>
      <c r="D8" s="36" t="s">
        <v>36</v>
      </c>
      <c r="E8" s="36" t="s">
        <v>47</v>
      </c>
      <c r="F8" s="6" t="s">
        <v>36</v>
      </c>
      <c r="G8" s="6" t="s">
        <v>36</v>
      </c>
      <c r="H8" s="117" t="s">
        <v>36</v>
      </c>
      <c r="I8" s="36" t="s">
        <v>9</v>
      </c>
      <c r="J8" s="5" t="s">
        <v>36</v>
      </c>
      <c r="K8" s="5" t="s">
        <v>36</v>
      </c>
      <c r="L8" s="5" t="s">
        <v>36</v>
      </c>
      <c r="M8" s="5" t="s">
        <v>36</v>
      </c>
      <c r="N8" s="5" t="s">
        <v>36</v>
      </c>
      <c r="O8" s="5" t="s">
        <v>36</v>
      </c>
      <c r="P8" s="6" t="s">
        <v>409</v>
      </c>
    </row>
    <row r="9" spans="1:16" ht="43.5" x14ac:dyDescent="0.35">
      <c r="A9" s="6">
        <v>3</v>
      </c>
      <c r="B9" s="6" t="str">
        <f t="shared" si="1"/>
        <v>17.3</v>
      </c>
      <c r="C9" s="31" t="s">
        <v>37</v>
      </c>
      <c r="D9" s="50" t="s">
        <v>491</v>
      </c>
      <c r="E9" s="6" t="s">
        <v>31</v>
      </c>
      <c r="F9" s="6" t="s">
        <v>58</v>
      </c>
      <c r="G9" s="6" t="s">
        <v>36</v>
      </c>
      <c r="H9" s="117" t="s">
        <v>36</v>
      </c>
      <c r="I9" s="6" t="s">
        <v>9</v>
      </c>
      <c r="J9" s="6" t="s">
        <v>466</v>
      </c>
      <c r="K9" s="6" t="s">
        <v>53</v>
      </c>
      <c r="L9" s="6" t="s">
        <v>968</v>
      </c>
      <c r="M9" s="6" t="s">
        <v>36</v>
      </c>
      <c r="N9" s="6" t="s">
        <v>36</v>
      </c>
      <c r="O9" s="37" t="s">
        <v>36</v>
      </c>
      <c r="P9" s="6" t="s">
        <v>209</v>
      </c>
    </row>
    <row r="10" spans="1:16" ht="66" customHeight="1" x14ac:dyDescent="0.35">
      <c r="A10" s="6">
        <v>4</v>
      </c>
      <c r="B10" s="6" t="str">
        <f t="shared" si="1"/>
        <v>17.4</v>
      </c>
      <c r="C10" s="31" t="s">
        <v>37</v>
      </c>
      <c r="D10" s="50" t="s">
        <v>492</v>
      </c>
      <c r="E10" s="6" t="s">
        <v>32</v>
      </c>
      <c r="F10" s="6" t="s">
        <v>834</v>
      </c>
      <c r="G10" s="36" t="s">
        <v>839</v>
      </c>
      <c r="H10" s="117" t="s">
        <v>578</v>
      </c>
      <c r="I10" s="6" t="s">
        <v>457</v>
      </c>
      <c r="J10" s="50" t="s">
        <v>835</v>
      </c>
      <c r="K10" s="6" t="s">
        <v>485</v>
      </c>
      <c r="L10" s="6" t="s">
        <v>969</v>
      </c>
      <c r="M10" s="6" t="s">
        <v>837</v>
      </c>
      <c r="N10" s="6" t="s">
        <v>838</v>
      </c>
      <c r="O10" s="37" t="s">
        <v>836</v>
      </c>
      <c r="P10" s="6" t="s">
        <v>209</v>
      </c>
    </row>
    <row r="11" spans="1:16" ht="43.5" x14ac:dyDescent="0.35">
      <c r="A11" s="6">
        <v>5</v>
      </c>
      <c r="B11" s="6" t="str">
        <f t="shared" ref="B11:B12" si="2">CONCATENATE($B$2, ".", A11)</f>
        <v>17.5</v>
      </c>
      <c r="C11" s="31" t="s">
        <v>41</v>
      </c>
      <c r="D11" s="6" t="s">
        <v>57</v>
      </c>
      <c r="E11" s="6" t="s">
        <v>42</v>
      </c>
      <c r="F11" s="6" t="s">
        <v>36</v>
      </c>
      <c r="G11" s="6" t="s">
        <v>36</v>
      </c>
      <c r="H11" s="117" t="s">
        <v>36</v>
      </c>
      <c r="I11" s="6" t="s">
        <v>9</v>
      </c>
      <c r="J11" s="6" t="s">
        <v>36</v>
      </c>
      <c r="K11" s="6" t="s">
        <v>36</v>
      </c>
      <c r="L11" s="6" t="s">
        <v>36</v>
      </c>
      <c r="M11" s="6" t="s">
        <v>579</v>
      </c>
      <c r="N11" s="6" t="s">
        <v>580</v>
      </c>
      <c r="O11" s="37" t="s">
        <v>691</v>
      </c>
    </row>
    <row r="12" spans="1:16" x14ac:dyDescent="0.35">
      <c r="A12" s="6">
        <v>6</v>
      </c>
      <c r="B12" s="6" t="str">
        <f t="shared" si="2"/>
        <v>17.6</v>
      </c>
      <c r="C12" s="31" t="s">
        <v>41</v>
      </c>
      <c r="D12" s="36" t="s">
        <v>56</v>
      </c>
      <c r="E12" s="6" t="s">
        <v>42</v>
      </c>
      <c r="F12" s="6" t="s">
        <v>36</v>
      </c>
      <c r="G12" s="6" t="s">
        <v>36</v>
      </c>
      <c r="H12" s="117" t="s">
        <v>36</v>
      </c>
      <c r="I12" s="6" t="s">
        <v>9</v>
      </c>
      <c r="J12" s="6" t="s">
        <v>36</v>
      </c>
      <c r="K12" s="6" t="s">
        <v>36</v>
      </c>
      <c r="L12" s="6" t="s">
        <v>36</v>
      </c>
      <c r="M12" s="36" t="s">
        <v>36</v>
      </c>
      <c r="N12" s="36" t="s">
        <v>36</v>
      </c>
      <c r="O12" s="36" t="s">
        <v>498</v>
      </c>
    </row>
  </sheetData>
  <autoFilter ref="A6:P6"/>
  <conditionalFormatting sqref="C7:C1048576">
    <cfRule type="cellIs" dxfId="439" priority="40" operator="equal">
      <formula>"WIP (see comments)"</formula>
    </cfRule>
    <cfRule type="cellIs" dxfId="438" priority="41" operator="equal">
      <formula>"Removed"</formula>
    </cfRule>
    <cfRule type="cellIs" dxfId="437" priority="42" operator="equal">
      <formula>"Updated"</formula>
    </cfRule>
    <cfRule type="cellIs" dxfId="436" priority="43" operator="equal">
      <formula>"New"</formula>
    </cfRule>
  </conditionalFormatting>
  <conditionalFormatting sqref="P12:XFD12 E12:L12 A7:XFD10 D11:XFD11 A11:C12">
    <cfRule type="cellIs" dxfId="435" priority="35" operator="equal">
      <formula>"n/a"</formula>
    </cfRule>
  </conditionalFormatting>
  <conditionalFormatting sqref="D12 M12:N12">
    <cfRule type="cellIs" dxfId="434" priority="34"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P48"/>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98"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687</v>
      </c>
      <c r="C1" s="29"/>
      <c r="D1" s="26"/>
      <c r="H1" s="97"/>
    </row>
    <row r="2" spans="1:16" s="27" customFormat="1" ht="18.5" x14ac:dyDescent="0.35">
      <c r="A2" s="25" t="s">
        <v>7</v>
      </c>
      <c r="B2" s="78">
        <v>18</v>
      </c>
      <c r="C2" s="32"/>
      <c r="D2" s="78" t="s">
        <v>844</v>
      </c>
      <c r="H2" s="97"/>
    </row>
    <row r="3" spans="1:16" s="27" customFormat="1" ht="18.5" x14ac:dyDescent="0.35">
      <c r="A3" s="25" t="s">
        <v>43</v>
      </c>
      <c r="B3" s="78" t="s">
        <v>583</v>
      </c>
      <c r="C3" s="32"/>
      <c r="D3" s="27" t="s">
        <v>709</v>
      </c>
      <c r="E3" s="78" t="s">
        <v>688</v>
      </c>
      <c r="H3" s="97"/>
    </row>
    <row r="4" spans="1:16" s="27" customFormat="1" ht="18.5" x14ac:dyDescent="0.35">
      <c r="A4" s="25" t="s">
        <v>8</v>
      </c>
      <c r="B4" s="27" t="s">
        <v>489</v>
      </c>
      <c r="C4" s="32"/>
      <c r="H4" s="97"/>
    </row>
    <row r="5" spans="1:16" s="4" customFormat="1" x14ac:dyDescent="0.35">
      <c r="C5" s="34"/>
      <c r="H5" s="101"/>
    </row>
    <row r="6" spans="1:16" s="28" customFormat="1" ht="15" thickBot="1" x14ac:dyDescent="0.4">
      <c r="A6" s="28" t="s">
        <v>10</v>
      </c>
      <c r="B6" s="28" t="s">
        <v>11</v>
      </c>
      <c r="C6" s="30" t="s">
        <v>25</v>
      </c>
      <c r="D6" s="28" t="s">
        <v>24</v>
      </c>
      <c r="E6" s="28" t="s">
        <v>12</v>
      </c>
      <c r="F6" s="28" t="s">
        <v>13</v>
      </c>
      <c r="G6" s="28" t="s">
        <v>14</v>
      </c>
      <c r="H6" s="102" t="s">
        <v>15</v>
      </c>
      <c r="I6" s="28" t="s">
        <v>16</v>
      </c>
      <c r="J6" s="28" t="s">
        <v>17</v>
      </c>
      <c r="K6" s="28" t="s">
        <v>18</v>
      </c>
      <c r="L6" s="28" t="s">
        <v>19</v>
      </c>
      <c r="M6" s="28" t="s">
        <v>20</v>
      </c>
      <c r="N6" s="28" t="s">
        <v>21</v>
      </c>
      <c r="O6" s="28" t="s">
        <v>22</v>
      </c>
      <c r="P6" s="28" t="s">
        <v>23</v>
      </c>
    </row>
    <row r="7" spans="1:16" x14ac:dyDescent="0.35">
      <c r="A7" s="6">
        <v>1</v>
      </c>
      <c r="B7" s="6" t="str">
        <f t="shared" ref="B7:B13" si="0">CONCATENATE($B$2, ".", A7)</f>
        <v>18.1</v>
      </c>
      <c r="C7" s="31" t="s">
        <v>39</v>
      </c>
      <c r="D7" s="36" t="s">
        <v>584</v>
      </c>
      <c r="E7" s="6" t="s">
        <v>115</v>
      </c>
      <c r="F7" s="6" t="s">
        <v>36</v>
      </c>
      <c r="G7" s="6" t="s">
        <v>36</v>
      </c>
      <c r="H7" s="98" t="s">
        <v>36</v>
      </c>
      <c r="I7" s="36" t="s">
        <v>9</v>
      </c>
      <c r="J7" s="5" t="s">
        <v>36</v>
      </c>
      <c r="K7" s="5" t="s">
        <v>36</v>
      </c>
      <c r="L7" s="5" t="s">
        <v>36</v>
      </c>
      <c r="M7" s="5" t="s">
        <v>36</v>
      </c>
      <c r="N7" s="5" t="s">
        <v>36</v>
      </c>
      <c r="O7" s="5" t="s">
        <v>36</v>
      </c>
    </row>
    <row r="8" spans="1:16" x14ac:dyDescent="0.35">
      <c r="A8" s="6">
        <v>2</v>
      </c>
      <c r="B8" s="6" t="str">
        <f t="shared" si="0"/>
        <v>18.2</v>
      </c>
      <c r="C8" s="31" t="s">
        <v>39</v>
      </c>
      <c r="D8" s="36" t="s">
        <v>36</v>
      </c>
      <c r="E8" s="36" t="s">
        <v>47</v>
      </c>
      <c r="F8" s="6" t="s">
        <v>36</v>
      </c>
      <c r="G8" s="6" t="s">
        <v>36</v>
      </c>
      <c r="H8" s="98" t="s">
        <v>36</v>
      </c>
      <c r="I8" s="36" t="s">
        <v>9</v>
      </c>
      <c r="J8" s="5" t="s">
        <v>36</v>
      </c>
      <c r="K8" s="5" t="s">
        <v>36</v>
      </c>
      <c r="L8" s="5" t="s">
        <v>36</v>
      </c>
      <c r="M8" s="5" t="s">
        <v>36</v>
      </c>
      <c r="N8" s="5" t="s">
        <v>36</v>
      </c>
      <c r="O8" s="5" t="s">
        <v>36</v>
      </c>
    </row>
    <row r="9" spans="1:16" x14ac:dyDescent="0.35">
      <c r="A9" s="128" t="s">
        <v>690</v>
      </c>
      <c r="B9" s="124"/>
      <c r="C9" s="125"/>
      <c r="D9" s="124"/>
      <c r="E9" s="124"/>
      <c r="F9" s="124"/>
      <c r="G9" s="124"/>
      <c r="H9" s="126"/>
      <c r="I9" s="124"/>
      <c r="J9" s="127"/>
      <c r="K9" s="127"/>
      <c r="L9" s="127"/>
      <c r="M9" s="127"/>
      <c r="N9" s="127"/>
      <c r="O9" s="127"/>
      <c r="P9" s="124"/>
    </row>
    <row r="10" spans="1:16" ht="43.5" x14ac:dyDescent="0.35">
      <c r="A10" s="6">
        <v>3</v>
      </c>
      <c r="B10" s="6" t="str">
        <f t="shared" ref="B10" si="1">CONCATENATE($B$2, ".", A10)</f>
        <v>18.3</v>
      </c>
      <c r="C10" s="31" t="s">
        <v>39</v>
      </c>
      <c r="D10" s="50" t="s">
        <v>721</v>
      </c>
      <c r="E10" s="6" t="s">
        <v>114</v>
      </c>
      <c r="F10" s="6" t="s">
        <v>36</v>
      </c>
      <c r="G10" s="36" t="s">
        <v>36</v>
      </c>
      <c r="H10" s="117" t="s">
        <v>36</v>
      </c>
      <c r="I10" s="6" t="s">
        <v>9</v>
      </c>
      <c r="J10" s="6" t="s">
        <v>36</v>
      </c>
      <c r="K10" s="6" t="s">
        <v>36</v>
      </c>
      <c r="L10" s="6" t="s">
        <v>36</v>
      </c>
      <c r="M10" s="6" t="s">
        <v>36</v>
      </c>
      <c r="N10" s="6" t="s">
        <v>36</v>
      </c>
      <c r="O10" s="37" t="s">
        <v>809</v>
      </c>
    </row>
    <row r="11" spans="1:16" ht="48" customHeight="1" x14ac:dyDescent="0.35">
      <c r="A11" s="6">
        <v>4</v>
      </c>
      <c r="B11" s="6" t="str">
        <f t="shared" si="0"/>
        <v>18.4</v>
      </c>
      <c r="C11" s="31" t="s">
        <v>39</v>
      </c>
      <c r="D11" s="50" t="s">
        <v>585</v>
      </c>
      <c r="E11" s="6" t="s">
        <v>35</v>
      </c>
      <c r="F11" s="6" t="s">
        <v>36</v>
      </c>
      <c r="G11" s="36" t="s">
        <v>36</v>
      </c>
      <c r="H11" s="98" t="s">
        <v>36</v>
      </c>
      <c r="I11" s="6" t="s">
        <v>9</v>
      </c>
      <c r="J11" s="6" t="s">
        <v>36</v>
      </c>
      <c r="K11" s="6" t="s">
        <v>36</v>
      </c>
      <c r="L11" s="6" t="s">
        <v>36</v>
      </c>
      <c r="M11" s="6" t="s">
        <v>36</v>
      </c>
      <c r="N11" s="6" t="s">
        <v>36</v>
      </c>
      <c r="O11" s="37" t="s">
        <v>692</v>
      </c>
    </row>
    <row r="12" spans="1:16" ht="61" customHeight="1" x14ac:dyDescent="0.35">
      <c r="A12" s="6">
        <v>5</v>
      </c>
      <c r="B12" s="6" t="str">
        <f t="shared" si="0"/>
        <v>18.5</v>
      </c>
      <c r="C12" s="31" t="s">
        <v>39</v>
      </c>
      <c r="D12" s="50" t="s">
        <v>586</v>
      </c>
      <c r="E12" s="6" t="s">
        <v>33</v>
      </c>
      <c r="F12" s="6" t="s">
        <v>36</v>
      </c>
      <c r="G12" s="36" t="s">
        <v>36</v>
      </c>
      <c r="H12" s="98" t="s">
        <v>36</v>
      </c>
      <c r="I12" s="6" t="s">
        <v>485</v>
      </c>
      <c r="J12" s="6" t="s">
        <v>36</v>
      </c>
      <c r="K12" s="6" t="s">
        <v>36</v>
      </c>
      <c r="L12" s="6" t="s">
        <v>36</v>
      </c>
      <c r="M12" s="6" t="s">
        <v>36</v>
      </c>
      <c r="N12" s="6" t="s">
        <v>36</v>
      </c>
      <c r="O12" s="37" t="s">
        <v>589</v>
      </c>
    </row>
    <row r="13" spans="1:16" ht="66" customHeight="1" x14ac:dyDescent="0.35">
      <c r="A13" s="6">
        <v>6</v>
      </c>
      <c r="B13" s="6" t="str">
        <f t="shared" si="0"/>
        <v>18.6</v>
      </c>
      <c r="C13" s="31" t="s">
        <v>39</v>
      </c>
      <c r="D13" s="44" t="s">
        <v>590</v>
      </c>
      <c r="E13" s="6" t="s">
        <v>33</v>
      </c>
      <c r="F13" s="6" t="s">
        <v>36</v>
      </c>
      <c r="G13" s="6" t="s">
        <v>36</v>
      </c>
      <c r="H13" s="98" t="s">
        <v>36</v>
      </c>
      <c r="I13" s="6" t="s">
        <v>485</v>
      </c>
      <c r="J13" s="6" t="s">
        <v>36</v>
      </c>
      <c r="K13" s="6" t="s">
        <v>36</v>
      </c>
      <c r="L13" s="6" t="s">
        <v>36</v>
      </c>
      <c r="M13" s="6" t="s">
        <v>36</v>
      </c>
      <c r="N13" s="6" t="s">
        <v>36</v>
      </c>
      <c r="O13" s="37" t="s">
        <v>693</v>
      </c>
    </row>
    <row r="14" spans="1:16" x14ac:dyDescent="0.35">
      <c r="A14" s="128" t="s">
        <v>694</v>
      </c>
      <c r="B14" s="124"/>
      <c r="C14" s="125"/>
      <c r="D14" s="124"/>
      <c r="E14" s="124"/>
      <c r="F14" s="124"/>
      <c r="G14" s="124"/>
      <c r="H14" s="126"/>
      <c r="I14" s="124"/>
      <c r="J14" s="127"/>
      <c r="K14" s="127"/>
      <c r="L14" s="127"/>
      <c r="M14" s="127"/>
      <c r="N14" s="127"/>
      <c r="O14" s="127"/>
      <c r="P14" s="124"/>
    </row>
    <row r="15" spans="1:16" ht="34" customHeight="1" x14ac:dyDescent="0.35">
      <c r="A15" s="6">
        <v>7</v>
      </c>
      <c r="B15" s="6" t="str">
        <f t="shared" ref="B15:B26" si="2">CONCATENATE($B$2, ".", A15)</f>
        <v>18.7</v>
      </c>
      <c r="C15" s="31" t="s">
        <v>39</v>
      </c>
      <c r="D15" s="44" t="s">
        <v>591</v>
      </c>
      <c r="E15" s="6" t="s">
        <v>28</v>
      </c>
      <c r="F15" s="6" t="s">
        <v>36</v>
      </c>
      <c r="G15" s="6" t="s">
        <v>36</v>
      </c>
      <c r="H15" s="98" t="s">
        <v>36</v>
      </c>
      <c r="I15" s="6" t="s">
        <v>9</v>
      </c>
      <c r="J15" s="6" t="s">
        <v>36</v>
      </c>
      <c r="K15" s="6" t="s">
        <v>36</v>
      </c>
      <c r="L15" s="6" t="s">
        <v>36</v>
      </c>
      <c r="M15" s="6" t="s">
        <v>36</v>
      </c>
      <c r="N15" s="6" t="s">
        <v>36</v>
      </c>
      <c r="O15" s="37" t="s">
        <v>36</v>
      </c>
    </row>
    <row r="16" spans="1:16" ht="34" customHeight="1" x14ac:dyDescent="0.35">
      <c r="A16" s="6">
        <v>8</v>
      </c>
      <c r="B16" s="6" t="str">
        <f t="shared" ref="B16:B17" si="3">CONCATENATE($B$2, ".", A16)</f>
        <v>18.8</v>
      </c>
      <c r="C16" s="31" t="s">
        <v>44</v>
      </c>
      <c r="D16" s="44" t="s">
        <v>36</v>
      </c>
      <c r="E16" s="6" t="s">
        <v>114</v>
      </c>
      <c r="F16" s="6" t="s">
        <v>36</v>
      </c>
      <c r="G16" s="36" t="s">
        <v>36</v>
      </c>
      <c r="H16" s="117" t="s">
        <v>36</v>
      </c>
      <c r="I16" s="6" t="s">
        <v>485</v>
      </c>
      <c r="J16" s="6" t="s">
        <v>36</v>
      </c>
      <c r="K16" s="6" t="s">
        <v>36</v>
      </c>
      <c r="L16" s="6" t="s">
        <v>36</v>
      </c>
      <c r="M16" s="6" t="s">
        <v>36</v>
      </c>
      <c r="N16" s="6" t="s">
        <v>36</v>
      </c>
      <c r="O16" s="37" t="s">
        <v>592</v>
      </c>
      <c r="P16" s="6" t="s">
        <v>593</v>
      </c>
    </row>
    <row r="17" spans="1:16" ht="34" customHeight="1" x14ac:dyDescent="0.35">
      <c r="A17" s="6">
        <v>9</v>
      </c>
      <c r="B17" s="6" t="str">
        <f t="shared" si="3"/>
        <v>18.9</v>
      </c>
      <c r="C17" s="31" t="s">
        <v>39</v>
      </c>
      <c r="D17" s="44" t="s">
        <v>586</v>
      </c>
      <c r="E17" s="6" t="s">
        <v>33</v>
      </c>
      <c r="F17" s="6" t="s">
        <v>36</v>
      </c>
      <c r="G17" s="36" t="s">
        <v>36</v>
      </c>
      <c r="H17" s="117" t="s">
        <v>36</v>
      </c>
      <c r="I17" s="6" t="s">
        <v>485</v>
      </c>
      <c r="J17" s="6" t="s">
        <v>36</v>
      </c>
      <c r="K17" s="6" t="s">
        <v>36</v>
      </c>
      <c r="L17" s="6" t="s">
        <v>36</v>
      </c>
      <c r="M17" s="6" t="s">
        <v>36</v>
      </c>
      <c r="N17" s="6" t="s">
        <v>36</v>
      </c>
      <c r="O17" s="37" t="s">
        <v>587</v>
      </c>
    </row>
    <row r="18" spans="1:16" ht="60" customHeight="1" x14ac:dyDescent="0.35">
      <c r="A18" s="6">
        <v>10</v>
      </c>
      <c r="B18" s="6" t="str">
        <f t="shared" ref="B18:B20" si="4">CONCATENATE($B$2, ".", A18)</f>
        <v>18.10</v>
      </c>
      <c r="C18" s="31" t="s">
        <v>39</v>
      </c>
      <c r="D18" s="129" t="s">
        <v>677</v>
      </c>
      <c r="E18" s="6" t="s">
        <v>33</v>
      </c>
      <c r="F18" s="6" t="s">
        <v>36</v>
      </c>
      <c r="G18" s="36" t="s">
        <v>36</v>
      </c>
      <c r="H18" s="117" t="s">
        <v>36</v>
      </c>
      <c r="I18" s="6" t="s">
        <v>485</v>
      </c>
      <c r="J18" s="6" t="s">
        <v>36</v>
      </c>
      <c r="K18" s="6" t="s">
        <v>36</v>
      </c>
      <c r="L18" s="6" t="s">
        <v>36</v>
      </c>
      <c r="M18" s="6" t="s">
        <v>36</v>
      </c>
      <c r="N18" s="6" t="s">
        <v>36</v>
      </c>
      <c r="O18" s="37" t="s">
        <v>587</v>
      </c>
    </row>
    <row r="19" spans="1:16" ht="34" customHeight="1" x14ac:dyDescent="0.35">
      <c r="A19" s="6">
        <v>11</v>
      </c>
      <c r="B19" s="6" t="str">
        <f t="shared" si="4"/>
        <v>18.11</v>
      </c>
      <c r="C19" s="31" t="s">
        <v>44</v>
      </c>
      <c r="D19" s="44" t="s">
        <v>36</v>
      </c>
      <c r="E19" s="6" t="s">
        <v>114</v>
      </c>
      <c r="F19" s="6" t="s">
        <v>36</v>
      </c>
      <c r="G19" s="36" t="s">
        <v>36</v>
      </c>
      <c r="H19" s="117" t="s">
        <v>36</v>
      </c>
      <c r="I19" s="6" t="s">
        <v>9</v>
      </c>
      <c r="J19" s="6" t="s">
        <v>36</v>
      </c>
      <c r="K19" s="6" t="s">
        <v>36</v>
      </c>
      <c r="L19" s="6" t="s">
        <v>36</v>
      </c>
      <c r="M19" s="6" t="s">
        <v>36</v>
      </c>
      <c r="N19" s="6" t="s">
        <v>36</v>
      </c>
      <c r="O19" s="37" t="s">
        <v>594</v>
      </c>
      <c r="P19" s="6" t="s">
        <v>595</v>
      </c>
    </row>
    <row r="20" spans="1:16" ht="34" customHeight="1" x14ac:dyDescent="0.35">
      <c r="A20" s="6">
        <v>12</v>
      </c>
      <c r="B20" s="6" t="str">
        <f t="shared" si="4"/>
        <v>18.12</v>
      </c>
      <c r="C20" s="31" t="s">
        <v>39</v>
      </c>
      <c r="D20" s="44" t="s">
        <v>588</v>
      </c>
      <c r="E20" s="6" t="s">
        <v>33</v>
      </c>
      <c r="F20" s="6" t="s">
        <v>36</v>
      </c>
      <c r="G20" s="36" t="s">
        <v>36</v>
      </c>
      <c r="H20" s="117" t="s">
        <v>36</v>
      </c>
      <c r="I20" s="6" t="s">
        <v>9</v>
      </c>
      <c r="J20" s="6" t="s">
        <v>36</v>
      </c>
      <c r="K20" s="6" t="s">
        <v>36</v>
      </c>
      <c r="L20" s="6" t="s">
        <v>36</v>
      </c>
      <c r="M20" s="6" t="s">
        <v>36</v>
      </c>
      <c r="N20" s="6" t="s">
        <v>36</v>
      </c>
      <c r="O20" s="37"/>
    </row>
    <row r="21" spans="1:16" ht="60" customHeight="1" x14ac:dyDescent="0.35">
      <c r="A21" s="6">
        <v>13</v>
      </c>
      <c r="B21" s="6" t="str">
        <f t="shared" ref="B21:B24" si="5">CONCATENATE($B$2, ".", A21)</f>
        <v>18.13</v>
      </c>
      <c r="C21" s="31" t="s">
        <v>37</v>
      </c>
      <c r="D21" s="44" t="s">
        <v>970</v>
      </c>
      <c r="E21" s="6" t="s">
        <v>33</v>
      </c>
      <c r="F21" s="6" t="s">
        <v>36</v>
      </c>
      <c r="G21" s="36" t="s">
        <v>36</v>
      </c>
      <c r="H21" s="117" t="s">
        <v>36</v>
      </c>
      <c r="I21" s="6" t="s">
        <v>9</v>
      </c>
      <c r="J21" s="6" t="s">
        <v>36</v>
      </c>
      <c r="K21" s="6" t="s">
        <v>36</v>
      </c>
      <c r="L21" s="6" t="s">
        <v>36</v>
      </c>
      <c r="M21" s="6" t="s">
        <v>36</v>
      </c>
      <c r="N21" s="6" t="s">
        <v>36</v>
      </c>
      <c r="O21" s="37" t="s">
        <v>36</v>
      </c>
    </row>
    <row r="22" spans="1:16" ht="34" customHeight="1" x14ac:dyDescent="0.35">
      <c r="A22" s="6">
        <v>14</v>
      </c>
      <c r="B22" s="6" t="str">
        <f t="shared" si="5"/>
        <v>18.14</v>
      </c>
      <c r="C22" s="31" t="s">
        <v>44</v>
      </c>
      <c r="D22" s="44" t="s">
        <v>36</v>
      </c>
      <c r="E22" s="6" t="s">
        <v>114</v>
      </c>
      <c r="F22" s="6" t="s">
        <v>36</v>
      </c>
      <c r="G22" s="36" t="s">
        <v>36</v>
      </c>
      <c r="H22" s="122" t="s">
        <v>36</v>
      </c>
      <c r="I22" s="6" t="s">
        <v>9</v>
      </c>
      <c r="J22" s="6" t="s">
        <v>36</v>
      </c>
      <c r="K22" s="6" t="s">
        <v>36</v>
      </c>
      <c r="L22" s="6" t="s">
        <v>36</v>
      </c>
      <c r="M22" s="6" t="s">
        <v>36</v>
      </c>
      <c r="N22" s="6" t="s">
        <v>36</v>
      </c>
      <c r="O22" s="37" t="s">
        <v>594</v>
      </c>
      <c r="P22" s="6" t="s">
        <v>695</v>
      </c>
    </row>
    <row r="23" spans="1:16" ht="60" customHeight="1" x14ac:dyDescent="0.35">
      <c r="A23" s="6">
        <v>15</v>
      </c>
      <c r="B23" s="6" t="str">
        <f t="shared" si="5"/>
        <v>18.15</v>
      </c>
      <c r="C23" s="31" t="s">
        <v>39</v>
      </c>
      <c r="D23" s="44" t="s">
        <v>678</v>
      </c>
      <c r="E23" s="6" t="s">
        <v>33</v>
      </c>
      <c r="F23" s="6" t="s">
        <v>36</v>
      </c>
      <c r="G23" s="36" t="s">
        <v>36</v>
      </c>
      <c r="H23" s="120" t="s">
        <v>36</v>
      </c>
      <c r="I23" s="6" t="s">
        <v>9</v>
      </c>
      <c r="J23" s="6" t="s">
        <v>36</v>
      </c>
      <c r="K23" s="6" t="s">
        <v>36</v>
      </c>
      <c r="L23" s="6" t="s">
        <v>36</v>
      </c>
      <c r="M23" s="6" t="s">
        <v>36</v>
      </c>
      <c r="N23" s="6" t="s">
        <v>36</v>
      </c>
      <c r="O23" s="37"/>
    </row>
    <row r="24" spans="1:16" ht="60" customHeight="1" x14ac:dyDescent="0.35">
      <c r="A24" s="6">
        <v>16</v>
      </c>
      <c r="B24" s="6" t="str">
        <f t="shared" si="5"/>
        <v>18.16</v>
      </c>
      <c r="C24" s="31" t="s">
        <v>39</v>
      </c>
      <c r="D24" s="44" t="s">
        <v>679</v>
      </c>
      <c r="E24" s="6" t="s">
        <v>33</v>
      </c>
      <c r="F24" s="6" t="s">
        <v>36</v>
      </c>
      <c r="G24" s="36" t="s">
        <v>36</v>
      </c>
      <c r="H24" s="120" t="s">
        <v>36</v>
      </c>
      <c r="I24" s="6" t="s">
        <v>9</v>
      </c>
      <c r="J24" s="6" t="s">
        <v>36</v>
      </c>
      <c r="K24" s="6" t="s">
        <v>36</v>
      </c>
      <c r="L24" s="6" t="s">
        <v>36</v>
      </c>
      <c r="M24" s="6" t="s">
        <v>36</v>
      </c>
      <c r="N24" s="6" t="s">
        <v>36</v>
      </c>
      <c r="O24" s="37" t="s">
        <v>36</v>
      </c>
    </row>
    <row r="25" spans="1:16" ht="14.5" customHeight="1" x14ac:dyDescent="0.35">
      <c r="A25" s="6">
        <v>17</v>
      </c>
      <c r="B25" s="6" t="str">
        <f t="shared" si="2"/>
        <v>18.17</v>
      </c>
      <c r="C25" s="31" t="s">
        <v>37</v>
      </c>
      <c r="D25" s="44" t="s">
        <v>779</v>
      </c>
      <c r="E25" s="6" t="s">
        <v>496</v>
      </c>
      <c r="F25" s="6" t="s">
        <v>36</v>
      </c>
      <c r="G25" s="6" t="s">
        <v>36</v>
      </c>
      <c r="H25" s="117" t="s">
        <v>36</v>
      </c>
      <c r="I25" s="6" t="s">
        <v>9</v>
      </c>
      <c r="J25" s="6" t="s">
        <v>36</v>
      </c>
      <c r="K25" s="6" t="s">
        <v>36</v>
      </c>
      <c r="L25" s="6" t="s">
        <v>36</v>
      </c>
      <c r="M25" s="6" t="s">
        <v>36</v>
      </c>
      <c r="N25" s="6" t="s">
        <v>36</v>
      </c>
      <c r="O25" s="37" t="s">
        <v>36</v>
      </c>
    </row>
    <row r="26" spans="1:16" ht="14.5" customHeight="1" x14ac:dyDescent="0.35">
      <c r="A26" s="6">
        <v>18</v>
      </c>
      <c r="B26" s="6" t="str">
        <f t="shared" si="2"/>
        <v>18.18</v>
      </c>
      <c r="C26" s="31" t="s">
        <v>37</v>
      </c>
      <c r="D26" s="44" t="s">
        <v>778</v>
      </c>
      <c r="E26" s="6" t="s">
        <v>496</v>
      </c>
      <c r="F26" s="6" t="s">
        <v>36</v>
      </c>
      <c r="G26" s="6" t="s">
        <v>36</v>
      </c>
      <c r="H26" s="133" t="s">
        <v>36</v>
      </c>
      <c r="I26" s="6" t="s">
        <v>9</v>
      </c>
      <c r="J26" s="6" t="s">
        <v>36</v>
      </c>
      <c r="K26" s="6" t="s">
        <v>36</v>
      </c>
      <c r="L26" s="6" t="s">
        <v>36</v>
      </c>
      <c r="M26" s="6" t="s">
        <v>36</v>
      </c>
      <c r="N26" s="6" t="s">
        <v>36</v>
      </c>
      <c r="O26" s="37" t="s">
        <v>36</v>
      </c>
    </row>
    <row r="27" spans="1:16" ht="15" customHeight="1" x14ac:dyDescent="0.35">
      <c r="A27" s="6">
        <v>19</v>
      </c>
      <c r="B27" s="6" t="str">
        <f>CONCATENATE($B$2, ".", A27)</f>
        <v>18.19</v>
      </c>
      <c r="C27" s="31" t="s">
        <v>39</v>
      </c>
      <c r="D27" s="44" t="s">
        <v>306</v>
      </c>
      <c r="E27" s="6" t="s">
        <v>496</v>
      </c>
      <c r="F27" s="6" t="s">
        <v>36</v>
      </c>
      <c r="G27" s="6" t="s">
        <v>36</v>
      </c>
      <c r="H27" s="133" t="s">
        <v>36</v>
      </c>
      <c r="I27" s="6" t="s">
        <v>9</v>
      </c>
      <c r="J27" s="6" t="s">
        <v>36</v>
      </c>
      <c r="K27" s="6" t="s">
        <v>36</v>
      </c>
      <c r="L27" s="6" t="s">
        <v>36</v>
      </c>
      <c r="M27" s="6" t="s">
        <v>36</v>
      </c>
      <c r="N27" s="6" t="s">
        <v>36</v>
      </c>
      <c r="O27" s="37" t="s">
        <v>36</v>
      </c>
    </row>
    <row r="28" spans="1:16" ht="15" customHeight="1" x14ac:dyDescent="0.35">
      <c r="A28" s="6">
        <v>20</v>
      </c>
      <c r="B28" s="6" t="str">
        <f>CONCATENATE($B$2, ".", A28)</f>
        <v>18.20</v>
      </c>
      <c r="C28" s="31" t="s">
        <v>41</v>
      </c>
      <c r="D28" s="44" t="s">
        <v>780</v>
      </c>
      <c r="E28" s="6" t="s">
        <v>496</v>
      </c>
      <c r="F28" s="6" t="s">
        <v>36</v>
      </c>
      <c r="G28" s="6" t="s">
        <v>36</v>
      </c>
      <c r="H28" s="133" t="s">
        <v>36</v>
      </c>
      <c r="I28" s="6" t="s">
        <v>9</v>
      </c>
      <c r="J28" s="6" t="s">
        <v>36</v>
      </c>
      <c r="K28" s="6" t="s">
        <v>36</v>
      </c>
      <c r="L28" s="6" t="s">
        <v>36</v>
      </c>
      <c r="M28" s="6" t="s">
        <v>36</v>
      </c>
      <c r="N28" s="6" t="s">
        <v>36</v>
      </c>
      <c r="O28" s="37" t="s">
        <v>36</v>
      </c>
    </row>
    <row r="29" spans="1:16" ht="15" customHeight="1" x14ac:dyDescent="0.35">
      <c r="A29" s="6">
        <v>21</v>
      </c>
      <c r="B29" s="6" t="str">
        <f t="shared" ref="B29:B33" si="6">CONCATENATE($B$2, ".", A29)</f>
        <v>18.21</v>
      </c>
      <c r="C29" s="31" t="s">
        <v>39</v>
      </c>
      <c r="D29" s="44" t="s">
        <v>494</v>
      </c>
      <c r="E29" s="6" t="s">
        <v>496</v>
      </c>
      <c r="F29" s="6" t="s">
        <v>36</v>
      </c>
      <c r="G29" s="148" t="s">
        <v>833</v>
      </c>
      <c r="H29" s="117" t="s">
        <v>36</v>
      </c>
      <c r="I29" s="6" t="s">
        <v>9</v>
      </c>
      <c r="J29" s="6" t="s">
        <v>36</v>
      </c>
      <c r="K29" s="6" t="s">
        <v>36</v>
      </c>
      <c r="L29" s="6" t="s">
        <v>36</v>
      </c>
      <c r="M29" s="6" t="s">
        <v>36</v>
      </c>
      <c r="N29" s="6" t="s">
        <v>36</v>
      </c>
      <c r="O29" s="37" t="s">
        <v>36</v>
      </c>
    </row>
    <row r="30" spans="1:16" ht="79.5" customHeight="1" x14ac:dyDescent="0.35">
      <c r="A30" s="6">
        <v>22</v>
      </c>
      <c r="B30" s="6" t="str">
        <f t="shared" si="6"/>
        <v>18.22</v>
      </c>
      <c r="C30" s="31" t="s">
        <v>37</v>
      </c>
      <c r="D30" s="50" t="s">
        <v>495</v>
      </c>
      <c r="E30" s="6" t="s">
        <v>496</v>
      </c>
      <c r="F30" s="6" t="s">
        <v>36</v>
      </c>
      <c r="G30" s="6" t="s">
        <v>840</v>
      </c>
      <c r="H30" s="117" t="s">
        <v>36</v>
      </c>
      <c r="I30" s="6" t="s">
        <v>9</v>
      </c>
      <c r="J30" s="6" t="s">
        <v>36</v>
      </c>
      <c r="K30" s="6" t="s">
        <v>36</v>
      </c>
      <c r="L30" s="6" t="s">
        <v>36</v>
      </c>
      <c r="M30" s="6" t="s">
        <v>842</v>
      </c>
      <c r="N30" s="6" t="s">
        <v>843</v>
      </c>
      <c r="O30" s="37" t="s">
        <v>36</v>
      </c>
      <c r="P30" s="6" t="s">
        <v>845</v>
      </c>
    </row>
    <row r="31" spans="1:16" ht="15" customHeight="1" x14ac:dyDescent="0.35">
      <c r="A31" s="6">
        <v>23</v>
      </c>
      <c r="B31" s="6" t="str">
        <f t="shared" si="6"/>
        <v>18.23</v>
      </c>
      <c r="C31" s="31" t="s">
        <v>39</v>
      </c>
      <c r="D31" s="50" t="s">
        <v>678</v>
      </c>
      <c r="E31" s="6" t="s">
        <v>496</v>
      </c>
      <c r="F31" s="6" t="s">
        <v>36</v>
      </c>
      <c r="G31" s="6" t="s">
        <v>36</v>
      </c>
      <c r="H31" s="122" t="s">
        <v>36</v>
      </c>
      <c r="I31" s="6" t="s">
        <v>9</v>
      </c>
      <c r="J31" s="6" t="s">
        <v>36</v>
      </c>
      <c r="K31" s="6" t="s">
        <v>36</v>
      </c>
      <c r="L31" s="6" t="s">
        <v>36</v>
      </c>
      <c r="M31" s="6" t="s">
        <v>36</v>
      </c>
      <c r="N31" s="6" t="s">
        <v>36</v>
      </c>
      <c r="O31" s="37" t="s">
        <v>36</v>
      </c>
    </row>
    <row r="32" spans="1:16" ht="13.5" customHeight="1" x14ac:dyDescent="0.35">
      <c r="A32" s="96" t="s">
        <v>707</v>
      </c>
      <c r="B32" s="92"/>
      <c r="C32" s="99"/>
      <c r="D32" s="100"/>
      <c r="E32" s="92"/>
      <c r="F32" s="92"/>
      <c r="G32" s="92"/>
      <c r="H32" s="94"/>
      <c r="I32" s="92"/>
      <c r="J32" s="92"/>
      <c r="K32" s="92"/>
      <c r="L32" s="92"/>
      <c r="M32" s="92"/>
      <c r="N32" s="92"/>
      <c r="O32" s="95"/>
      <c r="P32" s="92"/>
    </row>
    <row r="33" spans="1:16" ht="34" customHeight="1" x14ac:dyDescent="0.35">
      <c r="A33" s="6">
        <v>24</v>
      </c>
      <c r="B33" s="6" t="str">
        <f t="shared" si="6"/>
        <v>18.24</v>
      </c>
      <c r="C33" s="31" t="s">
        <v>37</v>
      </c>
      <c r="D33" s="44" t="s">
        <v>781</v>
      </c>
      <c r="E33" s="6" t="s">
        <v>497</v>
      </c>
      <c r="F33" s="6" t="s">
        <v>881</v>
      </c>
      <c r="G33" s="6" t="s">
        <v>36</v>
      </c>
      <c r="H33" s="117">
        <v>50</v>
      </c>
      <c r="I33" s="6" t="s">
        <v>9</v>
      </c>
      <c r="J33" s="6" t="s">
        <v>107</v>
      </c>
      <c r="K33" s="6" t="s">
        <v>53</v>
      </c>
      <c r="L33" s="6" t="s">
        <v>664</v>
      </c>
      <c r="M33" s="6" t="s">
        <v>36</v>
      </c>
      <c r="N33" s="6" t="s">
        <v>36</v>
      </c>
      <c r="O33" s="37" t="s">
        <v>36</v>
      </c>
      <c r="P33" s="6" t="s">
        <v>876</v>
      </c>
    </row>
    <row r="34" spans="1:16" ht="34" customHeight="1" x14ac:dyDescent="0.35">
      <c r="A34" s="6">
        <v>25</v>
      </c>
      <c r="B34" s="6" t="str">
        <f t="shared" ref="B34" si="7">CONCATENATE($B$2, ".", A34)</f>
        <v>18.25</v>
      </c>
      <c r="C34" s="31" t="s">
        <v>37</v>
      </c>
      <c r="D34" s="44" t="s">
        <v>782</v>
      </c>
      <c r="E34" s="6" t="s">
        <v>497</v>
      </c>
      <c r="F34" s="6" t="s">
        <v>881</v>
      </c>
      <c r="G34" s="6" t="s">
        <v>36</v>
      </c>
      <c r="H34" s="133">
        <v>50</v>
      </c>
      <c r="I34" s="6" t="s">
        <v>9</v>
      </c>
      <c r="J34" s="6" t="s">
        <v>107</v>
      </c>
      <c r="K34" s="6" t="s">
        <v>53</v>
      </c>
      <c r="L34" s="6" t="s">
        <v>664</v>
      </c>
      <c r="M34" s="6" t="s">
        <v>36</v>
      </c>
      <c r="N34" s="6" t="s">
        <v>36</v>
      </c>
      <c r="O34" s="37" t="s">
        <v>36</v>
      </c>
      <c r="P34" s="6" t="s">
        <v>876</v>
      </c>
    </row>
    <row r="35" spans="1:16" ht="34" customHeight="1" x14ac:dyDescent="0.35">
      <c r="A35" s="6">
        <v>26</v>
      </c>
      <c r="B35" s="6" t="str">
        <f>CONCATENATE($B$2, ".", A35)</f>
        <v>18.26</v>
      </c>
      <c r="C35" s="31" t="s">
        <v>39</v>
      </c>
      <c r="D35" s="44" t="s">
        <v>596</v>
      </c>
      <c r="E35" s="6" t="s">
        <v>497</v>
      </c>
      <c r="F35" s="6" t="s">
        <v>51</v>
      </c>
      <c r="G35" s="6" t="s">
        <v>36</v>
      </c>
      <c r="H35" s="38">
        <v>54</v>
      </c>
      <c r="I35" s="36" t="s">
        <v>9</v>
      </c>
      <c r="J35" s="6" t="s">
        <v>107</v>
      </c>
      <c r="K35" s="37" t="s">
        <v>53</v>
      </c>
      <c r="L35" s="37" t="s">
        <v>634</v>
      </c>
      <c r="M35" s="37" t="s">
        <v>100</v>
      </c>
      <c r="N35" s="37" t="s">
        <v>634</v>
      </c>
      <c r="O35" s="37" t="s">
        <v>36</v>
      </c>
    </row>
    <row r="36" spans="1:16" ht="80.5" customHeight="1" x14ac:dyDescent="0.35">
      <c r="A36" s="6">
        <v>27</v>
      </c>
      <c r="B36" s="6" t="str">
        <f>CONCATENATE($B$2, ".", A36)</f>
        <v>18.27</v>
      </c>
      <c r="C36" s="31" t="s">
        <v>41</v>
      </c>
      <c r="D36" s="44" t="s">
        <v>783</v>
      </c>
      <c r="E36" s="6" t="s">
        <v>497</v>
      </c>
      <c r="F36" s="36" t="s">
        <v>50</v>
      </c>
      <c r="G36" s="36" t="s">
        <v>36</v>
      </c>
      <c r="H36" s="36" t="s">
        <v>54</v>
      </c>
      <c r="I36" s="36" t="s">
        <v>9</v>
      </c>
      <c r="J36" s="37" t="s">
        <v>107</v>
      </c>
      <c r="K36" s="36" t="s">
        <v>53</v>
      </c>
      <c r="L36" s="36" t="s">
        <v>638</v>
      </c>
      <c r="M36" s="36" t="s">
        <v>55</v>
      </c>
      <c r="N36" s="37" t="s">
        <v>36</v>
      </c>
      <c r="O36" s="37" t="s">
        <v>36</v>
      </c>
    </row>
    <row r="37" spans="1:16" ht="64.5" customHeight="1" x14ac:dyDescent="0.35">
      <c r="A37" s="6">
        <v>28</v>
      </c>
      <c r="B37" s="6" t="str">
        <f t="shared" ref="B37" si="8">CONCATENATE($B$2, ".", A37)</f>
        <v>18.28</v>
      </c>
      <c r="C37" s="31" t="s">
        <v>44</v>
      </c>
      <c r="D37" s="44" t="s">
        <v>36</v>
      </c>
      <c r="E37" s="6" t="s">
        <v>114</v>
      </c>
      <c r="F37" s="6" t="s">
        <v>36</v>
      </c>
      <c r="G37" s="36" t="s">
        <v>36</v>
      </c>
      <c r="H37" s="122" t="s">
        <v>36</v>
      </c>
      <c r="I37" s="6" t="s">
        <v>703</v>
      </c>
      <c r="J37" s="6" t="s">
        <v>36</v>
      </c>
      <c r="K37" s="6" t="s">
        <v>36</v>
      </c>
      <c r="L37" s="6" t="s">
        <v>36</v>
      </c>
      <c r="M37" s="6" t="s">
        <v>36</v>
      </c>
      <c r="N37" s="6" t="s">
        <v>36</v>
      </c>
      <c r="O37" s="37" t="s">
        <v>723</v>
      </c>
      <c r="P37" s="6" t="s">
        <v>722</v>
      </c>
    </row>
    <row r="38" spans="1:16" ht="172.5" customHeight="1" x14ac:dyDescent="0.35">
      <c r="A38" s="6">
        <v>29</v>
      </c>
      <c r="B38" s="6" t="str">
        <f t="shared" ref="B38:B39" si="9">CONCATENATE($B$2, ".", A38)</f>
        <v>18.29</v>
      </c>
      <c r="C38" s="31" t="s">
        <v>39</v>
      </c>
      <c r="D38" s="44" t="s">
        <v>701</v>
      </c>
      <c r="E38" s="36" t="s">
        <v>696</v>
      </c>
      <c r="F38" s="6" t="s">
        <v>586</v>
      </c>
      <c r="G38" s="6" t="s">
        <v>36</v>
      </c>
      <c r="H38" s="117" t="s">
        <v>36</v>
      </c>
      <c r="I38" s="6" t="s">
        <v>485</v>
      </c>
      <c r="J38" s="6" t="s">
        <v>597</v>
      </c>
      <c r="K38" s="6" t="s">
        <v>83</v>
      </c>
      <c r="L38" s="6" t="s">
        <v>36</v>
      </c>
      <c r="M38" s="6" t="s">
        <v>36</v>
      </c>
      <c r="N38" s="6" t="s">
        <v>36</v>
      </c>
      <c r="O38" s="37" t="s">
        <v>697</v>
      </c>
    </row>
    <row r="39" spans="1:16" ht="79" customHeight="1" x14ac:dyDescent="0.35">
      <c r="A39" s="6">
        <v>30</v>
      </c>
      <c r="B39" s="6" t="str">
        <f t="shared" si="9"/>
        <v>18.30</v>
      </c>
      <c r="C39" s="31" t="s">
        <v>44</v>
      </c>
      <c r="D39" s="44" t="s">
        <v>36</v>
      </c>
      <c r="E39" s="6" t="s">
        <v>114</v>
      </c>
      <c r="F39" s="6" t="s">
        <v>36</v>
      </c>
      <c r="G39" s="36" t="s">
        <v>36</v>
      </c>
      <c r="H39" s="122" t="s">
        <v>36</v>
      </c>
      <c r="I39" s="6" t="s">
        <v>9</v>
      </c>
      <c r="J39" s="6" t="s">
        <v>36</v>
      </c>
      <c r="K39" s="6" t="s">
        <v>36</v>
      </c>
      <c r="L39" s="6" t="s">
        <v>36</v>
      </c>
      <c r="M39" s="6" t="s">
        <v>36</v>
      </c>
      <c r="N39" s="6" t="s">
        <v>36</v>
      </c>
      <c r="O39" s="37" t="s">
        <v>724</v>
      </c>
      <c r="P39" s="6" t="s">
        <v>722</v>
      </c>
    </row>
    <row r="40" spans="1:16" ht="172.5" customHeight="1" x14ac:dyDescent="0.35">
      <c r="A40" s="6">
        <v>31</v>
      </c>
      <c r="B40" s="6" t="str">
        <f t="shared" ref="B40:B41" si="10">CONCATENATE($B$2, ".", A40)</f>
        <v>18.31</v>
      </c>
      <c r="C40" s="31" t="s">
        <v>39</v>
      </c>
      <c r="D40" s="44" t="s">
        <v>702</v>
      </c>
      <c r="E40" s="36" t="s">
        <v>696</v>
      </c>
      <c r="F40" s="6" t="s">
        <v>698</v>
      </c>
      <c r="G40" s="6" t="s">
        <v>36</v>
      </c>
      <c r="H40" s="122" t="s">
        <v>36</v>
      </c>
      <c r="I40" s="6" t="s">
        <v>9</v>
      </c>
      <c r="J40" s="6" t="s">
        <v>597</v>
      </c>
      <c r="K40" s="6" t="s">
        <v>597</v>
      </c>
      <c r="L40" s="6" t="s">
        <v>36</v>
      </c>
      <c r="M40" s="6" t="s">
        <v>36</v>
      </c>
      <c r="N40" s="6" t="s">
        <v>36</v>
      </c>
      <c r="O40" s="37" t="s">
        <v>700</v>
      </c>
    </row>
    <row r="41" spans="1:16" ht="172.5" customHeight="1" x14ac:dyDescent="0.35">
      <c r="A41" s="6">
        <v>32</v>
      </c>
      <c r="B41" s="6" t="str">
        <f t="shared" si="10"/>
        <v>18.32</v>
      </c>
      <c r="C41" s="31" t="s">
        <v>37</v>
      </c>
      <c r="D41" s="50" t="s">
        <v>598</v>
      </c>
      <c r="E41" s="6" t="s">
        <v>32</v>
      </c>
      <c r="F41" s="6" t="s">
        <v>834</v>
      </c>
      <c r="G41" s="36" t="s">
        <v>839</v>
      </c>
      <c r="H41" s="146" t="s">
        <v>578</v>
      </c>
      <c r="I41" s="6" t="s">
        <v>457</v>
      </c>
      <c r="J41" s="50" t="s">
        <v>835</v>
      </c>
      <c r="K41" s="6" t="s">
        <v>485</v>
      </c>
      <c r="L41" s="6" t="s">
        <v>493</v>
      </c>
      <c r="M41" s="6" t="s">
        <v>841</v>
      </c>
      <c r="N41" s="6" t="s">
        <v>838</v>
      </c>
      <c r="O41" s="37" t="s">
        <v>680</v>
      </c>
      <c r="P41" s="6" t="s">
        <v>845</v>
      </c>
    </row>
    <row r="42" spans="1:16" ht="222" customHeight="1" x14ac:dyDescent="0.35">
      <c r="A42" s="6">
        <v>33</v>
      </c>
      <c r="B42" s="6" t="str">
        <f>CONCATENATE($B$2, ".", A42)</f>
        <v>18.33</v>
      </c>
      <c r="C42" s="31" t="s">
        <v>37</v>
      </c>
      <c r="D42" s="50" t="s">
        <v>676</v>
      </c>
      <c r="E42" s="6" t="s">
        <v>29</v>
      </c>
      <c r="F42" s="6" t="s">
        <v>36</v>
      </c>
      <c r="G42" s="36" t="s">
        <v>36</v>
      </c>
      <c r="H42" s="117" t="s">
        <v>36</v>
      </c>
      <c r="I42" s="6" t="s">
        <v>9</v>
      </c>
      <c r="J42" s="50" t="s">
        <v>96</v>
      </c>
      <c r="K42" s="6" t="s">
        <v>36</v>
      </c>
      <c r="L42" s="6" t="s">
        <v>36</v>
      </c>
      <c r="M42" s="6" t="s">
        <v>740</v>
      </c>
      <c r="N42" s="6" t="s">
        <v>971</v>
      </c>
      <c r="O42" s="37" t="s">
        <v>738</v>
      </c>
    </row>
    <row r="43" spans="1:16" ht="60.5" customHeight="1" x14ac:dyDescent="0.35">
      <c r="A43" s="6">
        <v>34</v>
      </c>
      <c r="B43" s="6" t="str">
        <f t="shared" ref="B43" si="11">CONCATENATE($B$2, ".", A43)</f>
        <v>18.34</v>
      </c>
      <c r="C43" s="31" t="s">
        <v>39</v>
      </c>
      <c r="D43" s="44" t="s">
        <v>681</v>
      </c>
      <c r="E43" s="6" t="s">
        <v>99</v>
      </c>
      <c r="F43" s="6" t="s">
        <v>36</v>
      </c>
      <c r="G43" s="36" t="s">
        <v>36</v>
      </c>
      <c r="H43" s="120" t="s">
        <v>36</v>
      </c>
      <c r="I43" s="6" t="s">
        <v>9</v>
      </c>
      <c r="J43" s="6" t="s">
        <v>36</v>
      </c>
      <c r="K43" s="6" t="s">
        <v>36</v>
      </c>
      <c r="L43" s="6" t="s">
        <v>36</v>
      </c>
      <c r="M43" s="6" t="s">
        <v>36</v>
      </c>
      <c r="N43" s="6" t="s">
        <v>36</v>
      </c>
      <c r="O43" s="37"/>
    </row>
    <row r="44" spans="1:16" ht="96" customHeight="1" x14ac:dyDescent="0.35">
      <c r="A44" s="6">
        <v>35</v>
      </c>
      <c r="B44" s="6" t="str">
        <f t="shared" ref="B44" si="12">CONCATENATE($B$2, ".", A44)</f>
        <v>18.35</v>
      </c>
      <c r="C44" s="31" t="s">
        <v>39</v>
      </c>
      <c r="D44" s="44" t="s">
        <v>704</v>
      </c>
      <c r="E44" s="6" t="s">
        <v>186</v>
      </c>
      <c r="F44" s="6" t="s">
        <v>36</v>
      </c>
      <c r="G44" s="36" t="s">
        <v>36</v>
      </c>
      <c r="H44" s="122" t="s">
        <v>36</v>
      </c>
      <c r="I44" s="6" t="s">
        <v>705</v>
      </c>
      <c r="J44" s="6" t="s">
        <v>36</v>
      </c>
      <c r="K44" s="6" t="s">
        <v>36</v>
      </c>
      <c r="L44" s="6" t="s">
        <v>36</v>
      </c>
      <c r="M44" s="6" t="s">
        <v>36</v>
      </c>
      <c r="N44" s="6" t="s">
        <v>36</v>
      </c>
      <c r="O44" s="37" t="s">
        <v>706</v>
      </c>
    </row>
    <row r="45" spans="1:16" ht="13.5" customHeight="1" x14ac:dyDescent="0.35">
      <c r="A45" s="96" t="s">
        <v>602</v>
      </c>
      <c r="B45" s="92"/>
      <c r="C45" s="99"/>
      <c r="D45" s="100"/>
      <c r="E45" s="92"/>
      <c r="F45" s="92"/>
      <c r="G45" s="92"/>
      <c r="H45" s="94"/>
      <c r="I45" s="92"/>
      <c r="J45" s="92"/>
      <c r="K45" s="92"/>
      <c r="L45" s="92"/>
      <c r="M45" s="92"/>
      <c r="N45" s="92"/>
      <c r="O45" s="95"/>
      <c r="P45" s="92"/>
    </row>
    <row r="46" spans="1:16" ht="82.5" customHeight="1" x14ac:dyDescent="0.35">
      <c r="A46" s="6">
        <v>36</v>
      </c>
      <c r="B46" s="6" t="str">
        <f t="shared" ref="B46" si="13">CONCATENATE($B$2, ".", A46)</f>
        <v>18.36</v>
      </c>
      <c r="C46" s="31" t="s">
        <v>39</v>
      </c>
      <c r="D46" s="44" t="s">
        <v>599</v>
      </c>
      <c r="E46" s="6" t="s">
        <v>99</v>
      </c>
      <c r="F46" s="6" t="s">
        <v>36</v>
      </c>
      <c r="G46" s="6" t="s">
        <v>36</v>
      </c>
      <c r="H46" s="98" t="s">
        <v>36</v>
      </c>
      <c r="I46" s="6" t="s">
        <v>9</v>
      </c>
      <c r="J46" s="6" t="s">
        <v>36</v>
      </c>
      <c r="K46" s="6" t="s">
        <v>36</v>
      </c>
      <c r="L46" s="6" t="s">
        <v>36</v>
      </c>
      <c r="M46" s="6" t="s">
        <v>36</v>
      </c>
      <c r="N46" s="6" t="s">
        <v>36</v>
      </c>
      <c r="O46" s="37" t="s">
        <v>600</v>
      </c>
    </row>
    <row r="47" spans="1:16" ht="159.5" x14ac:dyDescent="0.35">
      <c r="A47" s="6">
        <v>37</v>
      </c>
      <c r="B47" s="6" t="str">
        <f t="shared" ref="B47:B48" si="14">CONCATENATE($B$2, ".", A47)</f>
        <v>18.37</v>
      </c>
      <c r="C47" s="31" t="s">
        <v>39</v>
      </c>
      <c r="D47" s="6" t="s">
        <v>57</v>
      </c>
      <c r="E47" s="6" t="s">
        <v>42</v>
      </c>
      <c r="F47" s="6" t="s">
        <v>36</v>
      </c>
      <c r="G47" s="6" t="s">
        <v>36</v>
      </c>
      <c r="H47" s="98" t="s">
        <v>36</v>
      </c>
      <c r="I47" s="6" t="s">
        <v>9</v>
      </c>
      <c r="J47" s="6" t="s">
        <v>36</v>
      </c>
      <c r="K47" s="6" t="s">
        <v>36</v>
      </c>
      <c r="L47" s="6" t="s">
        <v>36</v>
      </c>
      <c r="M47" s="6" t="s">
        <v>708</v>
      </c>
      <c r="N47" s="6" t="s">
        <v>665</v>
      </c>
      <c r="O47" s="37" t="s">
        <v>890</v>
      </c>
    </row>
    <row r="48" spans="1:16" x14ac:dyDescent="0.35">
      <c r="A48" s="6">
        <v>38</v>
      </c>
      <c r="B48" s="6" t="str">
        <f t="shared" si="14"/>
        <v>18.38</v>
      </c>
      <c r="C48" s="31" t="s">
        <v>39</v>
      </c>
      <c r="D48" s="36" t="s">
        <v>56</v>
      </c>
      <c r="E48" s="6" t="s">
        <v>42</v>
      </c>
      <c r="F48" s="6" t="s">
        <v>36</v>
      </c>
      <c r="G48" s="6" t="s">
        <v>36</v>
      </c>
      <c r="H48" s="98" t="s">
        <v>36</v>
      </c>
      <c r="I48" s="6" t="s">
        <v>9</v>
      </c>
      <c r="J48" s="6" t="s">
        <v>36</v>
      </c>
      <c r="K48" s="6" t="s">
        <v>36</v>
      </c>
      <c r="L48" s="6" t="s">
        <v>36</v>
      </c>
      <c r="M48" s="36" t="s">
        <v>36</v>
      </c>
      <c r="N48" s="36" t="s">
        <v>36</v>
      </c>
      <c r="O48" s="36" t="s">
        <v>601</v>
      </c>
    </row>
  </sheetData>
  <autoFilter ref="A6:P6"/>
  <conditionalFormatting sqref="C38 C7:C14 C25:C36 C46:C1048576">
    <cfRule type="cellIs" dxfId="433" priority="121" operator="equal">
      <formula>"WIP (see comments)"</formula>
    </cfRule>
    <cfRule type="cellIs" dxfId="432" priority="122" operator="equal">
      <formula>"Removed"</formula>
    </cfRule>
    <cfRule type="cellIs" dxfId="431" priority="123" operator="equal">
      <formula>"Updated"</formula>
    </cfRule>
    <cfRule type="cellIs" dxfId="430" priority="124" operator="equal">
      <formula>"New"</formula>
    </cfRule>
  </conditionalFormatting>
  <conditionalFormatting sqref="P48:XFD48 E48:L48 P27:XFD30 A32:XFD32 D47:XFD47 A47:C48 Q43:XFD43 P42 J31:XFD31 A27:D28 A7:XFD14 F29:H31 H25:H28 J25:O30">
    <cfRule type="cellIs" dxfId="429" priority="116" operator="equal">
      <formula>"n/a"</formula>
    </cfRule>
  </conditionalFormatting>
  <conditionalFormatting sqref="D48 M48:N48">
    <cfRule type="cellIs" dxfId="428" priority="115" operator="equal">
      <formula>"n/a"</formula>
    </cfRule>
  </conditionalFormatting>
  <conditionalFormatting sqref="C15:C18">
    <cfRule type="cellIs" dxfId="427" priority="111" operator="equal">
      <formula>"WIP (see comments)"</formula>
    </cfRule>
    <cfRule type="cellIs" dxfId="426" priority="112" operator="equal">
      <formula>"Removed"</formula>
    </cfRule>
    <cfRule type="cellIs" dxfId="425" priority="113" operator="equal">
      <formula>"Updated"</formula>
    </cfRule>
    <cfRule type="cellIs" dxfId="424" priority="114" operator="equal">
      <formula>"New"</formula>
    </cfRule>
  </conditionalFormatting>
  <conditionalFormatting sqref="A46:XFD46 A15:XFD15 Q16:XFD16 P17:XFD18 C29:E29 A29:B31 P25:XFD26 A25:G25 A26:D26 A16:E18 C27:C31 C47:C48 I25:I29 E26:G28">
    <cfRule type="cellIs" dxfId="423" priority="110" operator="equal">
      <formula>"n/a"</formula>
    </cfRule>
  </conditionalFormatting>
  <conditionalFormatting sqref="D30:E31 I30:I31">
    <cfRule type="cellIs" dxfId="422" priority="104" operator="equal">
      <formula>"n/a"</formula>
    </cfRule>
  </conditionalFormatting>
  <conditionalFormatting sqref="F16:P16 F17:O18">
    <cfRule type="cellIs" dxfId="421" priority="76" operator="equal">
      <formula>"n/a"</formula>
    </cfRule>
  </conditionalFormatting>
  <conditionalFormatting sqref="C19:C21">
    <cfRule type="cellIs" dxfId="420" priority="72" operator="equal">
      <formula>"WIP (see comments)"</formula>
    </cfRule>
    <cfRule type="cellIs" dxfId="419" priority="73" operator="equal">
      <formula>"Removed"</formula>
    </cfRule>
    <cfRule type="cellIs" dxfId="418" priority="74" operator="equal">
      <formula>"Updated"</formula>
    </cfRule>
    <cfRule type="cellIs" dxfId="417" priority="75" operator="equal">
      <formula>"New"</formula>
    </cfRule>
  </conditionalFormatting>
  <conditionalFormatting sqref="Q19:XFD19 P20:XFD21 Q23:XFD24 A23:B24 A19:E21">
    <cfRule type="cellIs" dxfId="416" priority="71" operator="equal">
      <formula>"n/a"</formula>
    </cfRule>
  </conditionalFormatting>
  <conditionalFormatting sqref="F19:P19 F20:O21">
    <cfRule type="cellIs" dxfId="415" priority="70" operator="equal">
      <formula>"n/a"</formula>
    </cfRule>
  </conditionalFormatting>
  <conditionalFormatting sqref="P35:XFD36 Q41:XFD42 P38:XFD38">
    <cfRule type="cellIs" dxfId="414" priority="65" operator="equal">
      <formula>"n/a"</formula>
    </cfRule>
  </conditionalFormatting>
  <conditionalFormatting sqref="A38:O38 A42:B42 A33:XFD34 A35:G35 A36:E36 J35 O35:O36">
    <cfRule type="cellIs" dxfId="413" priority="64" operator="equal">
      <formula>"n/a"</formula>
    </cfRule>
  </conditionalFormatting>
  <conditionalFormatting sqref="D42:E42 G42:J42 M42:O42">
    <cfRule type="cellIs" dxfId="412" priority="63" operator="equal">
      <formula>"n/a"</formula>
    </cfRule>
  </conditionalFormatting>
  <conditionalFormatting sqref="H35:I35 N36 K35:N35">
    <cfRule type="cellIs" dxfId="411" priority="62" operator="equal">
      <formula>"n/a"</formula>
    </cfRule>
  </conditionalFormatting>
  <conditionalFormatting sqref="F42">
    <cfRule type="cellIs" dxfId="410" priority="61" operator="equal">
      <formula>"n/a"</formula>
    </cfRule>
  </conditionalFormatting>
  <conditionalFormatting sqref="C45">
    <cfRule type="cellIs" dxfId="409" priority="57" operator="equal">
      <formula>"WIP (see comments)"</formula>
    </cfRule>
    <cfRule type="cellIs" dxfId="408" priority="58" operator="equal">
      <formula>"Removed"</formula>
    </cfRule>
    <cfRule type="cellIs" dxfId="407" priority="59" operator="equal">
      <formula>"Updated"</formula>
    </cfRule>
    <cfRule type="cellIs" dxfId="406" priority="60" operator="equal">
      <formula>"New"</formula>
    </cfRule>
  </conditionalFormatting>
  <conditionalFormatting sqref="A45:XFD45">
    <cfRule type="cellIs" dxfId="405" priority="56" operator="equal">
      <formula>"n/a"</formula>
    </cfRule>
  </conditionalFormatting>
  <conditionalFormatting sqref="P41">
    <cfRule type="cellIs" dxfId="404" priority="51" operator="equal">
      <formula>"n/a"</formula>
    </cfRule>
  </conditionalFormatting>
  <conditionalFormatting sqref="A41">
    <cfRule type="cellIs" dxfId="403" priority="50" operator="equal">
      <formula>"n/a"</formula>
    </cfRule>
  </conditionalFormatting>
  <conditionalFormatting sqref="D41:E41 O41">
    <cfRule type="cellIs" dxfId="402" priority="49" operator="equal">
      <formula>"n/a"</formula>
    </cfRule>
  </conditionalFormatting>
  <conditionalFormatting sqref="K42">
    <cfRule type="cellIs" dxfId="401" priority="47" operator="equal">
      <formula>"n/a"</formula>
    </cfRule>
  </conditionalFormatting>
  <conditionalFormatting sqref="L42">
    <cfRule type="cellIs" dxfId="400" priority="46" operator="equal">
      <formula>"n/a"</formula>
    </cfRule>
  </conditionalFormatting>
  <conditionalFormatting sqref="C23:C24">
    <cfRule type="cellIs" dxfId="399" priority="42" operator="equal">
      <formula>"WIP (see comments)"</formula>
    </cfRule>
    <cfRule type="cellIs" dxfId="398" priority="43" operator="equal">
      <formula>"Removed"</formula>
    </cfRule>
    <cfRule type="cellIs" dxfId="397" priority="44" operator="equal">
      <formula>"Updated"</formula>
    </cfRule>
    <cfRule type="cellIs" dxfId="396" priority="45" operator="equal">
      <formula>"New"</formula>
    </cfRule>
  </conditionalFormatting>
  <conditionalFormatting sqref="P23:P24 C23:E24">
    <cfRule type="cellIs" dxfId="395" priority="41" operator="equal">
      <formula>"n/a"</formula>
    </cfRule>
  </conditionalFormatting>
  <conditionalFormatting sqref="F23:O24">
    <cfRule type="cellIs" dxfId="394" priority="40" operator="equal">
      <formula>"n/a"</formula>
    </cfRule>
  </conditionalFormatting>
  <conditionalFormatting sqref="C43:C44">
    <cfRule type="cellIs" dxfId="393" priority="36" operator="equal">
      <formula>"WIP (see comments)"</formula>
    </cfRule>
    <cfRule type="cellIs" dxfId="392" priority="37" operator="equal">
      <formula>"Removed"</formula>
    </cfRule>
    <cfRule type="cellIs" dxfId="391" priority="38" operator="equal">
      <formula>"Updated"</formula>
    </cfRule>
    <cfRule type="cellIs" dxfId="390" priority="39" operator="equal">
      <formula>"New"</formula>
    </cfRule>
  </conditionalFormatting>
  <conditionalFormatting sqref="A43:E43 C44">
    <cfRule type="cellIs" dxfId="389" priority="35" operator="equal">
      <formula>"n/a"</formula>
    </cfRule>
  </conditionalFormatting>
  <conditionalFormatting sqref="F43:P43">
    <cfRule type="cellIs" dxfId="388" priority="34" operator="equal">
      <formula>"n/a"</formula>
    </cfRule>
  </conditionalFormatting>
  <conditionalFormatting sqref="C22">
    <cfRule type="cellIs" dxfId="387" priority="30" operator="equal">
      <formula>"WIP (see comments)"</formula>
    </cfRule>
    <cfRule type="cellIs" dxfId="386" priority="31" operator="equal">
      <formula>"Removed"</formula>
    </cfRule>
    <cfRule type="cellIs" dxfId="385" priority="32" operator="equal">
      <formula>"Updated"</formula>
    </cfRule>
    <cfRule type="cellIs" dxfId="384" priority="33" operator="equal">
      <formula>"New"</formula>
    </cfRule>
  </conditionalFormatting>
  <conditionalFormatting sqref="Q22:XFD22 A22:E22">
    <cfRule type="cellIs" dxfId="383" priority="29" operator="equal">
      <formula>"n/a"</formula>
    </cfRule>
  </conditionalFormatting>
  <conditionalFormatting sqref="F22:P22">
    <cfRule type="cellIs" dxfId="382" priority="28" operator="equal">
      <formula>"n/a"</formula>
    </cfRule>
  </conditionalFormatting>
  <conditionalFormatting sqref="C40:C42">
    <cfRule type="cellIs" dxfId="381" priority="24" operator="equal">
      <formula>"WIP (see comments)"</formula>
    </cfRule>
    <cfRule type="cellIs" dxfId="380" priority="25" operator="equal">
      <formula>"Removed"</formula>
    </cfRule>
    <cfRule type="cellIs" dxfId="379" priority="26" operator="equal">
      <formula>"Updated"</formula>
    </cfRule>
    <cfRule type="cellIs" dxfId="378" priority="27" operator="equal">
      <formula>"New"</formula>
    </cfRule>
  </conditionalFormatting>
  <conditionalFormatting sqref="P40:XFD40">
    <cfRule type="cellIs" dxfId="377" priority="23" operator="equal">
      <formula>"n/a"</formula>
    </cfRule>
  </conditionalFormatting>
  <conditionalFormatting sqref="A40:O40 B41 C41:C42">
    <cfRule type="cellIs" dxfId="376" priority="22" operator="equal">
      <formula>"n/a"</formula>
    </cfRule>
  </conditionalFormatting>
  <conditionalFormatting sqref="C37">
    <cfRule type="cellIs" dxfId="375" priority="18" operator="equal">
      <formula>"WIP (see comments)"</formula>
    </cfRule>
    <cfRule type="cellIs" dxfId="374" priority="19" operator="equal">
      <formula>"Removed"</formula>
    </cfRule>
    <cfRule type="cellIs" dxfId="373" priority="20" operator="equal">
      <formula>"Updated"</formula>
    </cfRule>
    <cfRule type="cellIs" dxfId="372" priority="21" operator="equal">
      <formula>"New"</formula>
    </cfRule>
  </conditionalFormatting>
  <conditionalFormatting sqref="Q37:XFD37 A37:E37">
    <cfRule type="cellIs" dxfId="371" priority="17" operator="equal">
      <formula>"n/a"</formula>
    </cfRule>
  </conditionalFormatting>
  <conditionalFormatting sqref="F37:P37">
    <cfRule type="cellIs" dxfId="370" priority="16" operator="equal">
      <formula>"n/a"</formula>
    </cfRule>
  </conditionalFormatting>
  <conditionalFormatting sqref="C39">
    <cfRule type="cellIs" dxfId="369" priority="12" operator="equal">
      <formula>"WIP (see comments)"</formula>
    </cfRule>
    <cfRule type="cellIs" dxfId="368" priority="13" operator="equal">
      <formula>"Removed"</formula>
    </cfRule>
    <cfRule type="cellIs" dxfId="367" priority="14" operator="equal">
      <formula>"Updated"</formula>
    </cfRule>
    <cfRule type="cellIs" dxfId="366" priority="15" operator="equal">
      <formula>"New"</formula>
    </cfRule>
  </conditionalFormatting>
  <conditionalFormatting sqref="Q39:XFD39 A39:E39">
    <cfRule type="cellIs" dxfId="365" priority="11" operator="equal">
      <formula>"n/a"</formula>
    </cfRule>
  </conditionalFormatting>
  <conditionalFormatting sqref="F39:P39">
    <cfRule type="cellIs" dxfId="364" priority="10" operator="equal">
      <formula>"n/a"</formula>
    </cfRule>
  </conditionalFormatting>
  <conditionalFormatting sqref="Q44:XFD44">
    <cfRule type="cellIs" dxfId="363" priority="9" operator="equal">
      <formula>"n/a"</formula>
    </cfRule>
  </conditionalFormatting>
  <conditionalFormatting sqref="A44:B44 D44:E44">
    <cfRule type="cellIs" dxfId="362" priority="4" operator="equal">
      <formula>"n/a"</formula>
    </cfRule>
  </conditionalFormatting>
  <conditionalFormatting sqref="F44:P44">
    <cfRule type="cellIs" dxfId="361" priority="3" operator="equal">
      <formula>"n/a"</formula>
    </cfRule>
  </conditionalFormatting>
  <conditionalFormatting sqref="F36:M36">
    <cfRule type="cellIs" dxfId="360" priority="2" operator="equal">
      <formula>"n/a"</formula>
    </cfRule>
  </conditionalFormatting>
  <conditionalFormatting sqref="F41:N41">
    <cfRule type="cellIs" dxfId="35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5"/>
  <sheetViews>
    <sheetView workbookViewId="0">
      <pane xSplit="4" ySplit="6" topLeftCell="J7" activePane="bottomRight" state="frozen"/>
      <selection pane="topRight" activeCell="E1" sqref="E1"/>
      <selection pane="bottomLeft" activeCell="A7" sqref="A7"/>
      <selection pane="bottomRight" activeCell="B3" sqref="B3"/>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117"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233</v>
      </c>
      <c r="C1" s="29"/>
      <c r="D1" s="26"/>
      <c r="H1" s="116"/>
    </row>
    <row r="2" spans="1:16" s="27" customFormat="1" ht="18.5" x14ac:dyDescent="0.35">
      <c r="A2" s="25" t="s">
        <v>7</v>
      </c>
      <c r="B2" s="116">
        <v>18</v>
      </c>
      <c r="C2" s="32"/>
      <c r="D2" s="116"/>
      <c r="H2" s="116"/>
    </row>
    <row r="3" spans="1:16" s="27" customFormat="1" ht="18.5" x14ac:dyDescent="0.35">
      <c r="A3" s="25" t="s">
        <v>43</v>
      </c>
      <c r="B3" s="116" t="s">
        <v>384</v>
      </c>
      <c r="C3" s="32"/>
      <c r="D3" s="116"/>
      <c r="H3" s="116"/>
    </row>
    <row r="4" spans="1:16" s="27" customFormat="1" ht="18.5" x14ac:dyDescent="0.35">
      <c r="A4" s="25" t="s">
        <v>8</v>
      </c>
      <c r="B4" s="27" t="s">
        <v>489</v>
      </c>
      <c r="C4" s="32"/>
      <c r="H4" s="116"/>
    </row>
    <row r="5" spans="1:16" s="4" customFormat="1" x14ac:dyDescent="0.35">
      <c r="C5" s="34"/>
      <c r="H5" s="101"/>
    </row>
    <row r="6" spans="1:16" s="28" customFormat="1" ht="15" thickBot="1" x14ac:dyDescent="0.4">
      <c r="A6" s="28" t="s">
        <v>10</v>
      </c>
      <c r="B6" s="28" t="s">
        <v>11</v>
      </c>
      <c r="C6" s="30" t="s">
        <v>25</v>
      </c>
      <c r="D6" s="28" t="s">
        <v>24</v>
      </c>
      <c r="E6" s="28" t="s">
        <v>12</v>
      </c>
      <c r="F6" s="28" t="s">
        <v>13</v>
      </c>
      <c r="G6" s="28" t="s">
        <v>14</v>
      </c>
      <c r="H6" s="102" t="s">
        <v>15</v>
      </c>
      <c r="I6" s="28" t="s">
        <v>16</v>
      </c>
      <c r="J6" s="28" t="s">
        <v>17</v>
      </c>
      <c r="K6" s="28" t="s">
        <v>18</v>
      </c>
      <c r="L6" s="28" t="s">
        <v>19</v>
      </c>
      <c r="M6" s="28" t="s">
        <v>20</v>
      </c>
      <c r="N6" s="28" t="s">
        <v>21</v>
      </c>
      <c r="O6" s="28" t="s">
        <v>22</v>
      </c>
      <c r="P6" s="28" t="s">
        <v>23</v>
      </c>
    </row>
    <row r="7" spans="1:16" x14ac:dyDescent="0.35">
      <c r="A7" s="6">
        <v>1</v>
      </c>
      <c r="B7" s="6" t="str">
        <f t="shared" ref="B7:B10" si="0">CONCATENATE($B$2, ".", A7)</f>
        <v>18.1</v>
      </c>
      <c r="C7" s="31" t="s">
        <v>41</v>
      </c>
      <c r="D7" s="36" t="s">
        <v>233</v>
      </c>
      <c r="E7" s="6" t="s">
        <v>115</v>
      </c>
      <c r="F7" s="6" t="s">
        <v>36</v>
      </c>
      <c r="G7" s="6" t="s">
        <v>36</v>
      </c>
      <c r="H7" s="117" t="s">
        <v>36</v>
      </c>
      <c r="I7" s="36" t="s">
        <v>9</v>
      </c>
      <c r="J7" s="5" t="s">
        <v>36</v>
      </c>
      <c r="K7" s="5" t="s">
        <v>36</v>
      </c>
      <c r="L7" s="5" t="s">
        <v>36</v>
      </c>
      <c r="M7" s="5" t="s">
        <v>36</v>
      </c>
      <c r="N7" s="5" t="s">
        <v>36</v>
      </c>
      <c r="O7" s="5" t="s">
        <v>36</v>
      </c>
    </row>
    <row r="8" spans="1:16" ht="29" x14ac:dyDescent="0.35">
      <c r="A8" s="6">
        <v>2</v>
      </c>
      <c r="B8" s="6" t="str">
        <f t="shared" si="0"/>
        <v>18.2</v>
      </c>
      <c r="C8" s="31" t="s">
        <v>44</v>
      </c>
      <c r="D8" s="36" t="s">
        <v>36</v>
      </c>
      <c r="E8" s="36" t="s">
        <v>47</v>
      </c>
      <c r="F8" s="6" t="s">
        <v>36</v>
      </c>
      <c r="G8" s="6" t="s">
        <v>36</v>
      </c>
      <c r="H8" s="117" t="s">
        <v>36</v>
      </c>
      <c r="I8" s="36" t="s">
        <v>9</v>
      </c>
      <c r="J8" s="5" t="s">
        <v>36</v>
      </c>
      <c r="K8" s="5" t="s">
        <v>36</v>
      </c>
      <c r="L8" s="5" t="s">
        <v>36</v>
      </c>
      <c r="M8" s="5" t="s">
        <v>36</v>
      </c>
      <c r="N8" s="5" t="s">
        <v>36</v>
      </c>
      <c r="O8" s="5" t="s">
        <v>36</v>
      </c>
    </row>
    <row r="9" spans="1:16" x14ac:dyDescent="0.35">
      <c r="A9" s="6">
        <v>3</v>
      </c>
      <c r="B9" s="6" t="str">
        <f t="shared" si="0"/>
        <v>18.3</v>
      </c>
      <c r="C9" s="31" t="s">
        <v>41</v>
      </c>
      <c r="D9" s="36"/>
      <c r="E9" s="36"/>
      <c r="F9" s="6" t="s">
        <v>36</v>
      </c>
      <c r="G9" s="6" t="s">
        <v>36</v>
      </c>
      <c r="H9" s="117" t="s">
        <v>36</v>
      </c>
      <c r="I9" s="36" t="s">
        <v>9</v>
      </c>
      <c r="J9" s="5" t="s">
        <v>36</v>
      </c>
      <c r="K9" s="5" t="s">
        <v>36</v>
      </c>
      <c r="L9" s="5" t="s">
        <v>36</v>
      </c>
      <c r="M9" s="5" t="s">
        <v>36</v>
      </c>
      <c r="N9" s="5" t="s">
        <v>36</v>
      </c>
      <c r="O9" s="5" t="s">
        <v>36</v>
      </c>
    </row>
    <row r="10" spans="1:16" x14ac:dyDescent="0.35">
      <c r="A10" s="6">
        <v>4</v>
      </c>
      <c r="B10" s="6" t="str">
        <f t="shared" si="0"/>
        <v>18.4</v>
      </c>
      <c r="C10" s="31" t="s">
        <v>41</v>
      </c>
      <c r="D10" s="50"/>
      <c r="G10" s="6" t="s">
        <v>36</v>
      </c>
      <c r="H10" s="117" t="s">
        <v>36</v>
      </c>
      <c r="I10" s="6" t="s">
        <v>9</v>
      </c>
      <c r="M10" s="6" t="s">
        <v>36</v>
      </c>
      <c r="N10" s="6" t="s">
        <v>36</v>
      </c>
      <c r="O10" s="37" t="s">
        <v>36</v>
      </c>
    </row>
    <row r="11" spans="1:16" ht="49.5" customHeight="1" x14ac:dyDescent="0.35">
      <c r="A11" s="6">
        <v>30</v>
      </c>
      <c r="B11" s="6" t="str">
        <f t="shared" ref="B11:B12" si="1">CONCATENATE($B$2, ".", A11)</f>
        <v>18.30</v>
      </c>
      <c r="C11" s="31" t="s">
        <v>41</v>
      </c>
      <c r="D11" s="6" t="s">
        <v>57</v>
      </c>
      <c r="E11" s="6" t="s">
        <v>42</v>
      </c>
      <c r="F11" s="6" t="s">
        <v>36</v>
      </c>
      <c r="G11" s="6" t="s">
        <v>36</v>
      </c>
      <c r="H11" s="117" t="s">
        <v>36</v>
      </c>
      <c r="I11" s="6" t="s">
        <v>9</v>
      </c>
      <c r="J11" s="6" t="s">
        <v>36</v>
      </c>
      <c r="K11" s="6" t="s">
        <v>36</v>
      </c>
      <c r="L11" s="6" t="s">
        <v>36</v>
      </c>
      <c r="O11" s="37" t="s">
        <v>604</v>
      </c>
    </row>
    <row r="12" spans="1:16" ht="48" customHeight="1" x14ac:dyDescent="0.35">
      <c r="A12" s="6">
        <v>31</v>
      </c>
      <c r="B12" s="6" t="str">
        <f t="shared" si="1"/>
        <v>18.31</v>
      </c>
      <c r="C12" s="31" t="s">
        <v>41</v>
      </c>
      <c r="D12" s="36" t="s">
        <v>56</v>
      </c>
      <c r="E12" s="6" t="s">
        <v>42</v>
      </c>
      <c r="F12" s="6" t="s">
        <v>36</v>
      </c>
      <c r="G12" s="6" t="s">
        <v>36</v>
      </c>
      <c r="H12" s="117" t="s">
        <v>36</v>
      </c>
      <c r="I12" s="6" t="s">
        <v>9</v>
      </c>
      <c r="J12" s="6" t="s">
        <v>36</v>
      </c>
      <c r="K12" s="6" t="s">
        <v>36</v>
      </c>
      <c r="L12" s="6" t="s">
        <v>36</v>
      </c>
      <c r="M12" s="36" t="s">
        <v>36</v>
      </c>
      <c r="N12" s="36" t="s">
        <v>36</v>
      </c>
      <c r="O12" s="36" t="s">
        <v>603</v>
      </c>
    </row>
    <row r="13" spans="1:16" ht="61" customHeight="1" x14ac:dyDescent="0.35"/>
    <row r="14" spans="1:16" ht="34" customHeight="1" x14ac:dyDescent="0.35"/>
    <row r="15" spans="1:16" ht="13.5" customHeight="1" x14ac:dyDescent="0.35"/>
    <row r="16" spans="1:16" ht="34" customHeight="1" x14ac:dyDescent="0.35"/>
    <row r="17" ht="34" customHeight="1" x14ac:dyDescent="0.35"/>
    <row r="18" ht="34" customHeight="1" x14ac:dyDescent="0.35"/>
    <row r="19" ht="172.5" customHeight="1" x14ac:dyDescent="0.35"/>
    <row r="20" ht="60.5" customHeight="1" x14ac:dyDescent="0.35"/>
    <row r="21" ht="34" customHeight="1" x14ac:dyDescent="0.35"/>
    <row r="22" ht="82.5" customHeight="1" x14ac:dyDescent="0.35"/>
    <row r="23" ht="147.5" customHeight="1" x14ac:dyDescent="0.35"/>
    <row r="24" ht="34" customHeight="1" x14ac:dyDescent="0.35"/>
    <row r="25" ht="13.5" customHeight="1" x14ac:dyDescent="0.35"/>
  </sheetData>
  <autoFilter ref="A6:P6"/>
  <conditionalFormatting sqref="C11:C1048576">
    <cfRule type="cellIs" dxfId="358" priority="40" operator="equal">
      <formula>"WIP (see comments)"</formula>
    </cfRule>
    <cfRule type="cellIs" dxfId="357" priority="41" operator="equal">
      <formula>"Removed"</formula>
    </cfRule>
    <cfRule type="cellIs" dxfId="356" priority="42" operator="equal">
      <formula>"Updated"</formula>
    </cfRule>
    <cfRule type="cellIs" dxfId="355" priority="43" operator="equal">
      <formula>"New"</formula>
    </cfRule>
  </conditionalFormatting>
  <conditionalFormatting sqref="C7:C10">
    <cfRule type="cellIs" dxfId="354" priority="36" operator="equal">
      <formula>"WIP (see comments)"</formula>
    </cfRule>
    <cfRule type="cellIs" dxfId="353" priority="37" operator="equal">
      <formula>"Removed"</formula>
    </cfRule>
    <cfRule type="cellIs" dxfId="352" priority="38" operator="equal">
      <formula>"Updated"</formula>
    </cfRule>
    <cfRule type="cellIs" dxfId="351" priority="39" operator="equal">
      <formula>"New"</formula>
    </cfRule>
  </conditionalFormatting>
  <conditionalFormatting sqref="Q26:XFD26 Q32:XFD32 Q30:XFD30 Q28:XFD28 Q34:XFD39 A7:XFD15">
    <cfRule type="cellIs" dxfId="350" priority="35" operator="equal">
      <formula>"n/a"</formula>
    </cfRule>
  </conditionalFormatting>
  <conditionalFormatting sqref="D12 M12:N12">
    <cfRule type="cellIs" dxfId="349" priority="34" operator="equal">
      <formula>"n/a"</formula>
    </cfRule>
  </conditionalFormatting>
  <conditionalFormatting sqref="A16:XFD16 A22:XFD24 Q17:XFD21">
    <cfRule type="cellIs" dxfId="348" priority="29" operator="equal">
      <formula>"n/a"</formula>
    </cfRule>
  </conditionalFormatting>
  <conditionalFormatting sqref="A25:XFD25">
    <cfRule type="cellIs" dxfId="347" priority="24" operator="equal">
      <formula>"n/a"</formula>
    </cfRule>
  </conditionalFormatting>
  <conditionalFormatting sqref="Q27:XFD27">
    <cfRule type="cellIs" dxfId="346" priority="16" operator="equal">
      <formula>"n/a"</formula>
    </cfRule>
  </conditionalFormatting>
  <conditionalFormatting sqref="Q29:XFD29">
    <cfRule type="cellIs" dxfId="345" priority="11" operator="equal">
      <formula>"n/a"</formula>
    </cfRule>
  </conditionalFormatting>
  <conditionalFormatting sqref="Q31:XFD31">
    <cfRule type="cellIs" dxfId="344" priority="6" operator="equal">
      <formula>"n/a"</formula>
    </cfRule>
  </conditionalFormatting>
  <conditionalFormatting sqref="Q33:XFD33">
    <cfRule type="cellIs" dxfId="34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P26"/>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122"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766</v>
      </c>
      <c r="C1" s="29"/>
      <c r="D1" s="26"/>
      <c r="H1" s="121"/>
    </row>
    <row r="2" spans="1:16" s="27" customFormat="1" ht="18.5" x14ac:dyDescent="0.35">
      <c r="A2" s="25" t="s">
        <v>7</v>
      </c>
      <c r="B2" s="121" t="s">
        <v>699</v>
      </c>
      <c r="C2" s="32"/>
      <c r="D2" s="121"/>
      <c r="H2" s="121"/>
    </row>
    <row r="3" spans="1:16" s="27" customFormat="1" ht="18.5" x14ac:dyDescent="0.35">
      <c r="A3" s="25" t="s">
        <v>43</v>
      </c>
      <c r="B3" s="121" t="s">
        <v>737</v>
      </c>
      <c r="C3" s="32"/>
      <c r="D3" s="121" t="s">
        <v>810</v>
      </c>
      <c r="H3" s="121"/>
    </row>
    <row r="4" spans="1:16" s="27" customFormat="1" ht="18.5" x14ac:dyDescent="0.35">
      <c r="A4" s="25" t="s">
        <v>8</v>
      </c>
      <c r="B4" s="27" t="s">
        <v>769</v>
      </c>
      <c r="C4" s="32"/>
      <c r="H4" s="121"/>
    </row>
    <row r="5" spans="1:16" s="4" customFormat="1" x14ac:dyDescent="0.35">
      <c r="B5" s="60"/>
      <c r="C5" s="34"/>
      <c r="H5" s="101"/>
    </row>
    <row r="6" spans="1:16" s="28" customFormat="1" ht="15" thickBot="1" x14ac:dyDescent="0.4">
      <c r="A6" s="28" t="s">
        <v>10</v>
      </c>
      <c r="B6" s="28" t="s">
        <v>11</v>
      </c>
      <c r="C6" s="30" t="s">
        <v>25</v>
      </c>
      <c r="D6" s="28" t="s">
        <v>24</v>
      </c>
      <c r="E6" s="28" t="s">
        <v>12</v>
      </c>
      <c r="F6" s="28" t="s">
        <v>13</v>
      </c>
      <c r="G6" s="28" t="s">
        <v>14</v>
      </c>
      <c r="H6" s="102" t="s">
        <v>15</v>
      </c>
      <c r="I6" s="28" t="s">
        <v>16</v>
      </c>
      <c r="J6" s="28" t="s">
        <v>17</v>
      </c>
      <c r="K6" s="28" t="s">
        <v>18</v>
      </c>
      <c r="L6" s="28" t="s">
        <v>19</v>
      </c>
      <c r="M6" s="28" t="s">
        <v>20</v>
      </c>
      <c r="N6" s="28" t="s">
        <v>21</v>
      </c>
      <c r="O6" s="28" t="s">
        <v>22</v>
      </c>
      <c r="P6" s="28" t="s">
        <v>23</v>
      </c>
    </row>
    <row r="7" spans="1:16" x14ac:dyDescent="0.35">
      <c r="A7" s="6">
        <v>1</v>
      </c>
      <c r="B7" s="6" t="str">
        <f t="shared" ref="B7:B26" si="0">CONCATENATE($B$2, ".", A7)</f>
        <v>18a.1</v>
      </c>
      <c r="C7" s="31" t="s">
        <v>41</v>
      </c>
      <c r="D7" s="36" t="s">
        <v>806</v>
      </c>
      <c r="E7" s="36" t="s">
        <v>115</v>
      </c>
      <c r="F7" s="6" t="s">
        <v>36</v>
      </c>
      <c r="G7" s="6" t="s">
        <v>36</v>
      </c>
      <c r="H7" s="122" t="s">
        <v>36</v>
      </c>
      <c r="I7" s="36" t="s">
        <v>9</v>
      </c>
      <c r="J7" s="5" t="s">
        <v>36</v>
      </c>
      <c r="K7" s="5" t="s">
        <v>36</v>
      </c>
      <c r="L7" s="5" t="s">
        <v>36</v>
      </c>
      <c r="M7" s="5" t="s">
        <v>36</v>
      </c>
      <c r="N7" s="5" t="s">
        <v>36</v>
      </c>
      <c r="O7" s="5" t="s">
        <v>36</v>
      </c>
    </row>
    <row r="8" spans="1:16" x14ac:dyDescent="0.35">
      <c r="A8" s="6">
        <v>2</v>
      </c>
      <c r="B8" s="6" t="str">
        <f t="shared" si="0"/>
        <v>18a.2</v>
      </c>
      <c r="C8" s="31" t="s">
        <v>41</v>
      </c>
      <c r="D8" s="36" t="s">
        <v>36</v>
      </c>
      <c r="E8" s="36" t="s">
        <v>47</v>
      </c>
      <c r="F8" s="6" t="s">
        <v>36</v>
      </c>
      <c r="G8" s="6" t="s">
        <v>36</v>
      </c>
      <c r="H8" s="122" t="s">
        <v>36</v>
      </c>
      <c r="I8" s="36" t="s">
        <v>9</v>
      </c>
      <c r="J8" s="5" t="s">
        <v>36</v>
      </c>
      <c r="K8" s="5" t="s">
        <v>36</v>
      </c>
      <c r="L8" s="5" t="s">
        <v>36</v>
      </c>
      <c r="M8" s="5" t="s">
        <v>36</v>
      </c>
      <c r="N8" s="5" t="s">
        <v>36</v>
      </c>
      <c r="O8" s="5" t="s">
        <v>36</v>
      </c>
    </row>
    <row r="9" spans="1:16" ht="116" x14ac:dyDescent="0.35">
      <c r="A9" s="6">
        <v>3</v>
      </c>
      <c r="B9" s="6" t="str">
        <f t="shared" si="0"/>
        <v>18a.3</v>
      </c>
      <c r="C9" s="31" t="s">
        <v>37</v>
      </c>
      <c r="D9" s="50" t="s">
        <v>972</v>
      </c>
      <c r="E9" s="6" t="s">
        <v>33</v>
      </c>
      <c r="F9" s="6" t="s">
        <v>36</v>
      </c>
      <c r="G9" s="6" t="s">
        <v>805</v>
      </c>
      <c r="H9" s="122" t="s">
        <v>36</v>
      </c>
      <c r="I9" s="6" t="s">
        <v>9</v>
      </c>
      <c r="J9" s="6" t="s">
        <v>36</v>
      </c>
      <c r="K9" s="6" t="s">
        <v>36</v>
      </c>
      <c r="L9" s="6" t="s">
        <v>36</v>
      </c>
      <c r="M9" s="6" t="s">
        <v>36</v>
      </c>
      <c r="N9" s="6" t="s">
        <v>36</v>
      </c>
      <c r="O9" s="37" t="s">
        <v>36</v>
      </c>
    </row>
    <row r="10" spans="1:16" x14ac:dyDescent="0.35">
      <c r="A10" s="96" t="s">
        <v>893</v>
      </c>
      <c r="B10" s="134"/>
      <c r="C10" s="135"/>
      <c r="D10" s="136"/>
      <c r="E10" s="134"/>
      <c r="F10" s="134"/>
      <c r="G10" s="134"/>
      <c r="H10" s="137"/>
      <c r="I10" s="134"/>
      <c r="J10" s="134"/>
      <c r="K10" s="134"/>
      <c r="L10" s="134"/>
      <c r="M10" s="134"/>
      <c r="N10" s="134"/>
      <c r="O10" s="134"/>
      <c r="P10" s="134"/>
    </row>
    <row r="11" spans="1:16" ht="49.5" customHeight="1" x14ac:dyDescent="0.35">
      <c r="A11" s="36">
        <v>4</v>
      </c>
      <c r="B11" s="36" t="str">
        <f t="shared" si="0"/>
        <v>18a.4</v>
      </c>
      <c r="C11" s="31" t="s">
        <v>41</v>
      </c>
      <c r="D11" s="50" t="s">
        <v>808</v>
      </c>
      <c r="E11" s="6" t="s">
        <v>114</v>
      </c>
      <c r="F11" s="6" t="s">
        <v>36</v>
      </c>
      <c r="G11" s="36" t="s">
        <v>36</v>
      </c>
      <c r="H11" s="138" t="s">
        <v>36</v>
      </c>
      <c r="I11" s="6" t="s">
        <v>9</v>
      </c>
      <c r="J11" s="6" t="s">
        <v>36</v>
      </c>
      <c r="K11" s="6" t="s">
        <v>36</v>
      </c>
      <c r="L11" s="6" t="s">
        <v>36</v>
      </c>
      <c r="M11" s="6" t="s">
        <v>36</v>
      </c>
      <c r="N11" s="6" t="s">
        <v>36</v>
      </c>
      <c r="O11" s="37" t="s">
        <v>894</v>
      </c>
    </row>
    <row r="12" spans="1:16" ht="49.5" customHeight="1" x14ac:dyDescent="0.35">
      <c r="A12" s="36">
        <v>5</v>
      </c>
      <c r="B12" s="36" t="str">
        <f t="shared" si="0"/>
        <v>18a.5</v>
      </c>
      <c r="C12" s="31" t="s">
        <v>41</v>
      </c>
      <c r="D12" s="36" t="s">
        <v>891</v>
      </c>
      <c r="E12" s="36" t="s">
        <v>35</v>
      </c>
      <c r="F12" s="6" t="s">
        <v>36</v>
      </c>
      <c r="G12" s="36" t="s">
        <v>36</v>
      </c>
      <c r="H12" s="157" t="s">
        <v>36</v>
      </c>
      <c r="I12" s="36" t="s">
        <v>9</v>
      </c>
      <c r="J12" s="6" t="s">
        <v>36</v>
      </c>
      <c r="K12" s="6" t="s">
        <v>36</v>
      </c>
      <c r="L12" s="6" t="s">
        <v>36</v>
      </c>
      <c r="M12" s="6" t="s">
        <v>36</v>
      </c>
      <c r="N12" s="6" t="s">
        <v>36</v>
      </c>
      <c r="O12" s="37" t="s">
        <v>895</v>
      </c>
    </row>
    <row r="13" spans="1:16" x14ac:dyDescent="0.35">
      <c r="A13" s="36">
        <v>6</v>
      </c>
      <c r="B13" s="36" t="str">
        <f t="shared" si="0"/>
        <v>18a.6</v>
      </c>
      <c r="C13" s="31" t="s">
        <v>37</v>
      </c>
      <c r="D13" s="36" t="s">
        <v>973</v>
      </c>
      <c r="E13" s="36" t="s">
        <v>33</v>
      </c>
      <c r="F13" s="6" t="s">
        <v>36</v>
      </c>
      <c r="G13" s="36" t="s">
        <v>36</v>
      </c>
      <c r="H13" s="157" t="s">
        <v>36</v>
      </c>
      <c r="I13" s="36" t="s">
        <v>9</v>
      </c>
      <c r="J13" s="6" t="s">
        <v>36</v>
      </c>
      <c r="K13" s="6" t="s">
        <v>36</v>
      </c>
      <c r="L13" s="6" t="s">
        <v>36</v>
      </c>
      <c r="M13" s="6" t="s">
        <v>36</v>
      </c>
      <c r="N13" s="6" t="s">
        <v>36</v>
      </c>
      <c r="O13" s="37" t="s">
        <v>896</v>
      </c>
    </row>
    <row r="14" spans="1:16" ht="29" x14ac:dyDescent="0.35">
      <c r="A14" s="36">
        <v>7</v>
      </c>
      <c r="B14" s="36" t="str">
        <f t="shared" si="0"/>
        <v>18a.7</v>
      </c>
      <c r="C14" s="31" t="s">
        <v>41</v>
      </c>
      <c r="D14" s="36" t="s">
        <v>892</v>
      </c>
      <c r="E14" s="36" t="s">
        <v>35</v>
      </c>
      <c r="F14" s="6" t="s">
        <v>36</v>
      </c>
      <c r="G14" s="36" t="s">
        <v>36</v>
      </c>
      <c r="H14" s="157" t="s">
        <v>36</v>
      </c>
      <c r="I14" s="36" t="s">
        <v>9</v>
      </c>
      <c r="J14" s="6" t="s">
        <v>36</v>
      </c>
      <c r="K14" s="6" t="s">
        <v>36</v>
      </c>
      <c r="L14" s="6" t="s">
        <v>36</v>
      </c>
      <c r="M14" s="6" t="s">
        <v>36</v>
      </c>
      <c r="N14" s="6" t="s">
        <v>36</v>
      </c>
      <c r="O14" s="37" t="s">
        <v>897</v>
      </c>
    </row>
    <row r="15" spans="1:16" ht="58" x14ac:dyDescent="0.35">
      <c r="A15" s="36">
        <v>8</v>
      </c>
      <c r="B15" s="36" t="str">
        <f t="shared" si="0"/>
        <v>18a.8</v>
      </c>
      <c r="C15" s="31" t="s">
        <v>37</v>
      </c>
      <c r="D15" s="36" t="s">
        <v>974</v>
      </c>
      <c r="E15" s="36" t="s">
        <v>74</v>
      </c>
      <c r="F15" s="36" t="s">
        <v>51</v>
      </c>
      <c r="G15" s="36" t="s">
        <v>36</v>
      </c>
      <c r="H15" s="38">
        <v>35</v>
      </c>
      <c r="I15" s="36" t="s">
        <v>9</v>
      </c>
      <c r="J15" s="37" t="s">
        <v>107</v>
      </c>
      <c r="K15" s="37" t="s">
        <v>53</v>
      </c>
      <c r="L15" s="37" t="s">
        <v>770</v>
      </c>
      <c r="M15" s="37" t="s">
        <v>36</v>
      </c>
      <c r="N15" s="37" t="s">
        <v>36</v>
      </c>
      <c r="O15" s="37" t="s">
        <v>182</v>
      </c>
    </row>
    <row r="16" spans="1:16" x14ac:dyDescent="0.35">
      <c r="A16" s="96" t="s">
        <v>774</v>
      </c>
      <c r="B16" s="92"/>
      <c r="C16" s="93"/>
      <c r="D16" s="92"/>
      <c r="E16" s="92"/>
      <c r="F16" s="92"/>
      <c r="G16" s="92"/>
      <c r="H16" s="94"/>
      <c r="I16" s="92"/>
      <c r="J16" s="95"/>
      <c r="K16" s="95"/>
      <c r="L16" s="95"/>
      <c r="M16" s="95"/>
      <c r="N16" s="95"/>
      <c r="O16" s="95"/>
      <c r="P16" s="92"/>
    </row>
    <row r="17" spans="1:16" ht="43.5" x14ac:dyDescent="0.35">
      <c r="A17" s="36">
        <v>9</v>
      </c>
      <c r="B17" s="36" t="str">
        <f t="shared" ref="B17:B21" si="1">CONCATENATE($B$2, ".", A17)</f>
        <v>18a.9</v>
      </c>
      <c r="C17" s="132" t="s">
        <v>41</v>
      </c>
      <c r="D17" s="36" t="s">
        <v>452</v>
      </c>
      <c r="E17" s="36" t="s">
        <v>32</v>
      </c>
      <c r="F17" s="36" t="s">
        <v>51</v>
      </c>
      <c r="G17" s="36" t="s">
        <v>36</v>
      </c>
      <c r="H17" s="38">
        <v>10</v>
      </c>
      <c r="I17" s="36" t="s">
        <v>807</v>
      </c>
      <c r="J17" s="37" t="s">
        <v>107</v>
      </c>
      <c r="K17" s="37" t="s">
        <v>76</v>
      </c>
      <c r="L17" s="37" t="s">
        <v>643</v>
      </c>
      <c r="M17" s="37" t="s">
        <v>36</v>
      </c>
      <c r="N17" s="37" t="s">
        <v>36</v>
      </c>
      <c r="O17" s="37" t="s">
        <v>36</v>
      </c>
      <c r="P17" s="36"/>
    </row>
    <row r="18" spans="1:16" ht="43.5" x14ac:dyDescent="0.35">
      <c r="A18" s="36">
        <v>10</v>
      </c>
      <c r="B18" s="36" t="str">
        <f t="shared" si="1"/>
        <v>18a.10</v>
      </c>
      <c r="C18" s="132" t="s">
        <v>41</v>
      </c>
      <c r="D18" s="36" t="s">
        <v>453</v>
      </c>
      <c r="E18" s="36" t="s">
        <v>32</v>
      </c>
      <c r="F18" s="36" t="s">
        <v>51</v>
      </c>
      <c r="G18" s="36" t="s">
        <v>36</v>
      </c>
      <c r="H18" s="38">
        <v>35</v>
      </c>
      <c r="I18" s="36" t="s">
        <v>807</v>
      </c>
      <c r="J18" s="37" t="s">
        <v>107</v>
      </c>
      <c r="K18" s="37" t="s">
        <v>76</v>
      </c>
      <c r="L18" s="37" t="s">
        <v>644</v>
      </c>
      <c r="M18" s="37" t="s">
        <v>36</v>
      </c>
      <c r="N18" s="37" t="s">
        <v>36</v>
      </c>
      <c r="O18" s="37" t="s">
        <v>36</v>
      </c>
      <c r="P18" s="36"/>
    </row>
    <row r="19" spans="1:16" x14ac:dyDescent="0.35">
      <c r="A19" s="36">
        <v>11</v>
      </c>
      <c r="B19" s="36" t="str">
        <f t="shared" si="1"/>
        <v>18a.11</v>
      </c>
      <c r="C19" s="132" t="s">
        <v>41</v>
      </c>
      <c r="D19" s="36" t="s">
        <v>70</v>
      </c>
      <c r="E19" s="36" t="s">
        <v>32</v>
      </c>
      <c r="F19" s="36" t="s">
        <v>51</v>
      </c>
      <c r="G19" s="36" t="s">
        <v>36</v>
      </c>
      <c r="H19" s="38">
        <v>10</v>
      </c>
      <c r="I19" s="36" t="s">
        <v>807</v>
      </c>
      <c r="J19" s="37" t="s">
        <v>107</v>
      </c>
      <c r="K19" s="37" t="s">
        <v>78</v>
      </c>
      <c r="L19" s="37" t="s">
        <v>36</v>
      </c>
      <c r="M19" s="37" t="s">
        <v>36</v>
      </c>
      <c r="N19" s="37" t="s">
        <v>36</v>
      </c>
      <c r="O19" s="37" t="s">
        <v>36</v>
      </c>
      <c r="P19" s="36"/>
    </row>
    <row r="20" spans="1:16" ht="43.5" x14ac:dyDescent="0.35">
      <c r="A20" s="36">
        <v>12</v>
      </c>
      <c r="B20" s="36" t="str">
        <f t="shared" si="1"/>
        <v>18a.12</v>
      </c>
      <c r="C20" s="132" t="s">
        <v>41</v>
      </c>
      <c r="D20" s="36" t="s">
        <v>71</v>
      </c>
      <c r="E20" s="36" t="s">
        <v>32</v>
      </c>
      <c r="F20" s="36" t="s">
        <v>51</v>
      </c>
      <c r="G20" s="36" t="s">
        <v>36</v>
      </c>
      <c r="H20" s="38">
        <v>20</v>
      </c>
      <c r="I20" s="36" t="s">
        <v>807</v>
      </c>
      <c r="J20" s="37" t="s">
        <v>107</v>
      </c>
      <c r="K20" s="37" t="s">
        <v>76</v>
      </c>
      <c r="L20" s="37" t="s">
        <v>645</v>
      </c>
      <c r="M20" s="37" t="s">
        <v>36</v>
      </c>
      <c r="N20" s="37" t="s">
        <v>36</v>
      </c>
      <c r="O20" s="37" t="s">
        <v>36</v>
      </c>
      <c r="P20" s="36"/>
    </row>
    <row r="21" spans="1:16" ht="43.5" x14ac:dyDescent="0.35">
      <c r="A21" s="36">
        <v>13</v>
      </c>
      <c r="B21" s="36" t="str">
        <f t="shared" si="1"/>
        <v>18a.13</v>
      </c>
      <c r="C21" s="132" t="s">
        <v>41</v>
      </c>
      <c r="D21" s="36" t="s">
        <v>72</v>
      </c>
      <c r="E21" s="36" t="s">
        <v>34</v>
      </c>
      <c r="F21" s="36" t="s">
        <v>51</v>
      </c>
      <c r="G21" s="36" t="s">
        <v>36</v>
      </c>
      <c r="H21" s="38">
        <v>15</v>
      </c>
      <c r="I21" s="36" t="s">
        <v>807</v>
      </c>
      <c r="J21" s="37" t="s">
        <v>107</v>
      </c>
      <c r="K21" s="37" t="s">
        <v>76</v>
      </c>
      <c r="L21" s="37" t="s">
        <v>646</v>
      </c>
      <c r="M21" s="37" t="s">
        <v>36</v>
      </c>
      <c r="N21" s="37" t="s">
        <v>36</v>
      </c>
      <c r="O21" s="37" t="s">
        <v>670</v>
      </c>
      <c r="P21" s="36"/>
    </row>
    <row r="22" spans="1:16" ht="43.5" x14ac:dyDescent="0.35">
      <c r="A22" s="36">
        <v>14</v>
      </c>
      <c r="B22" s="36" t="str">
        <f>CONCATENATE($B$2, ".", A22)</f>
        <v>18a.14</v>
      </c>
      <c r="C22" s="132" t="s">
        <v>41</v>
      </c>
      <c r="D22" s="36" t="s">
        <v>73</v>
      </c>
      <c r="E22" s="36" t="s">
        <v>32</v>
      </c>
      <c r="F22" s="36" t="s">
        <v>51</v>
      </c>
      <c r="G22" s="36" t="s">
        <v>36</v>
      </c>
      <c r="H22" s="38">
        <v>7</v>
      </c>
      <c r="I22" s="36" t="s">
        <v>807</v>
      </c>
      <c r="J22" s="37" t="s">
        <v>107</v>
      </c>
      <c r="K22" s="37" t="s">
        <v>76</v>
      </c>
      <c r="L22" s="37" t="s">
        <v>647</v>
      </c>
      <c r="M22" s="37" t="s">
        <v>456</v>
      </c>
      <c r="N22" s="37" t="s">
        <v>36</v>
      </c>
      <c r="O22" s="37" t="s">
        <v>36</v>
      </c>
      <c r="P22" s="36"/>
    </row>
    <row r="23" spans="1:16" x14ac:dyDescent="0.35">
      <c r="A23" s="96" t="s">
        <v>775</v>
      </c>
      <c r="B23" s="92"/>
      <c r="C23" s="93"/>
      <c r="D23" s="92"/>
      <c r="E23" s="92"/>
      <c r="F23" s="92"/>
      <c r="G23" s="92"/>
      <c r="H23" s="94"/>
      <c r="I23" s="92"/>
      <c r="J23" s="95"/>
      <c r="K23" s="95"/>
      <c r="L23" s="95"/>
      <c r="M23" s="95"/>
      <c r="N23" s="95"/>
      <c r="O23" s="95"/>
      <c r="P23" s="92"/>
    </row>
    <row r="24" spans="1:16" x14ac:dyDescent="0.35">
      <c r="A24" s="96" t="s">
        <v>531</v>
      </c>
      <c r="B24" s="134"/>
      <c r="C24" s="135"/>
      <c r="D24" s="136"/>
      <c r="E24" s="134"/>
      <c r="F24" s="134"/>
      <c r="G24" s="134"/>
      <c r="H24" s="137"/>
      <c r="I24" s="134"/>
      <c r="J24" s="134"/>
      <c r="K24" s="134"/>
      <c r="L24" s="134"/>
      <c r="M24" s="134"/>
      <c r="N24" s="134"/>
      <c r="O24" s="134"/>
      <c r="P24" s="134"/>
    </row>
    <row r="25" spans="1:16" ht="29" x14ac:dyDescent="0.35">
      <c r="A25" s="6">
        <v>15</v>
      </c>
      <c r="B25" s="6" t="str">
        <f t="shared" si="0"/>
        <v>18a.15</v>
      </c>
      <c r="C25" s="31" t="s">
        <v>41</v>
      </c>
      <c r="D25" s="6" t="s">
        <v>57</v>
      </c>
      <c r="E25" s="6" t="s">
        <v>42</v>
      </c>
      <c r="F25" s="6" t="s">
        <v>36</v>
      </c>
      <c r="G25" s="6" t="s">
        <v>36</v>
      </c>
      <c r="H25" s="122" t="s">
        <v>36</v>
      </c>
      <c r="I25" s="6" t="s">
        <v>9</v>
      </c>
      <c r="J25" s="6" t="s">
        <v>36</v>
      </c>
      <c r="K25" s="6" t="s">
        <v>36</v>
      </c>
      <c r="L25" s="6" t="s">
        <v>36</v>
      </c>
      <c r="M25" s="6" t="s">
        <v>36</v>
      </c>
      <c r="N25" s="6" t="s">
        <v>36</v>
      </c>
      <c r="O25" s="37" t="s">
        <v>772</v>
      </c>
    </row>
    <row r="26" spans="1:16" ht="29" x14ac:dyDescent="0.35">
      <c r="A26" s="6">
        <v>16</v>
      </c>
      <c r="B26" s="6" t="str">
        <f t="shared" si="0"/>
        <v>18a.16</v>
      </c>
      <c r="C26" s="31" t="s">
        <v>41</v>
      </c>
      <c r="D26" s="36" t="s">
        <v>56</v>
      </c>
      <c r="E26" s="6" t="s">
        <v>42</v>
      </c>
      <c r="F26" s="6" t="s">
        <v>36</v>
      </c>
      <c r="G26" s="6" t="s">
        <v>36</v>
      </c>
      <c r="H26" s="122" t="s">
        <v>36</v>
      </c>
      <c r="I26" s="6" t="s">
        <v>9</v>
      </c>
      <c r="J26" s="6" t="s">
        <v>36</v>
      </c>
      <c r="K26" s="6" t="s">
        <v>36</v>
      </c>
      <c r="L26" s="6" t="s">
        <v>36</v>
      </c>
      <c r="M26" s="36" t="s">
        <v>36</v>
      </c>
      <c r="N26" s="36" t="s">
        <v>36</v>
      </c>
      <c r="O26" s="36" t="s">
        <v>771</v>
      </c>
    </row>
  </sheetData>
  <autoFilter ref="A6:P6"/>
  <conditionalFormatting sqref="C25:C1048576 C7:C15">
    <cfRule type="cellIs" dxfId="342" priority="40" operator="equal">
      <formula>"WIP (see comments)"</formula>
    </cfRule>
    <cfRule type="cellIs" dxfId="341" priority="41" operator="equal">
      <formula>"Removed"</formula>
    </cfRule>
    <cfRule type="cellIs" dxfId="340" priority="42" operator="equal">
      <formula>"Updated"</formula>
    </cfRule>
    <cfRule type="cellIs" dxfId="339" priority="43" operator="equal">
      <formula>"New"</formula>
    </cfRule>
  </conditionalFormatting>
  <conditionalFormatting sqref="E26:L26 A25:C26 P26 A7:XFD10 D25:P25 Q16:XFD16 A24:P24 P11:XFD15 C11:C15 J12:N14 F12:H14">
    <cfRule type="cellIs" dxfId="338" priority="39" operator="equal">
      <formula>"n/a"</formula>
    </cfRule>
  </conditionalFormatting>
  <conditionalFormatting sqref="D26 M26:N26">
    <cfRule type="cellIs" dxfId="337" priority="38" operator="equal">
      <formula>"n/a"</formula>
    </cfRule>
  </conditionalFormatting>
  <conditionalFormatting sqref="B15 D15:O15">
    <cfRule type="cellIs" dxfId="336" priority="32" operator="equal">
      <formula>"n/a"</formula>
    </cfRule>
  </conditionalFormatting>
  <conditionalFormatting sqref="C24">
    <cfRule type="cellIs" dxfId="335" priority="23" operator="equal">
      <formula>"WIP (see comments)"</formula>
    </cfRule>
    <cfRule type="cellIs" dxfId="334" priority="24" operator="equal">
      <formula>"Removed"</formula>
    </cfRule>
    <cfRule type="cellIs" dxfId="333" priority="25" operator="equal">
      <formula>"Updated"</formula>
    </cfRule>
    <cfRule type="cellIs" dxfId="332" priority="26" operator="equal">
      <formula>"New"</formula>
    </cfRule>
  </conditionalFormatting>
  <conditionalFormatting sqref="P16">
    <cfRule type="cellIs" dxfId="331" priority="21" operator="equal">
      <formula>"n/a"</formula>
    </cfRule>
  </conditionalFormatting>
  <conditionalFormatting sqref="B17:B22 D17:P22">
    <cfRule type="cellIs" dxfId="330" priority="20" operator="equal">
      <formula>"n/a"</formula>
    </cfRule>
  </conditionalFormatting>
  <conditionalFormatting sqref="C17:C22">
    <cfRule type="cellIs" dxfId="329" priority="16" operator="equal">
      <formula>"WIP (see comments)"</formula>
    </cfRule>
    <cfRule type="cellIs" dxfId="328" priority="17" operator="equal">
      <formula>"Removed"</formula>
    </cfRule>
    <cfRule type="cellIs" dxfId="327" priority="18" operator="equal">
      <formula>"Updated"</formula>
    </cfRule>
    <cfRule type="cellIs" dxfId="326" priority="19" operator="equal">
      <formula>"New"</formula>
    </cfRule>
  </conditionalFormatting>
  <conditionalFormatting sqref="C17:C22">
    <cfRule type="cellIs" dxfId="325" priority="15" operator="equal">
      <formula>"n/a"</formula>
    </cfRule>
  </conditionalFormatting>
  <conditionalFormatting sqref="D16:O16 B16">
    <cfRule type="cellIs" dxfId="324" priority="14" operator="equal">
      <formula>"n/a"</formula>
    </cfRule>
  </conditionalFormatting>
  <conditionalFormatting sqref="C16">
    <cfRule type="cellIs" dxfId="323" priority="10" operator="equal">
      <formula>"WIP (see comments)"</formula>
    </cfRule>
    <cfRule type="cellIs" dxfId="322" priority="11" operator="equal">
      <formula>"Removed"</formula>
    </cfRule>
    <cfRule type="cellIs" dxfId="321" priority="12" operator="equal">
      <formula>"Updated"</formula>
    </cfRule>
    <cfRule type="cellIs" dxfId="320" priority="13" operator="equal">
      <formula>"New"</formula>
    </cfRule>
  </conditionalFormatting>
  <conditionalFormatting sqref="C16">
    <cfRule type="cellIs" dxfId="319" priority="9" operator="equal">
      <formula>"n/a"</formula>
    </cfRule>
  </conditionalFormatting>
  <conditionalFormatting sqref="P23">
    <cfRule type="cellIs" dxfId="318" priority="8" operator="equal">
      <formula>"n/a"</formula>
    </cfRule>
  </conditionalFormatting>
  <conditionalFormatting sqref="D23:O23 B23">
    <cfRule type="cellIs" dxfId="317" priority="7" operator="equal">
      <formula>"n/a"</formula>
    </cfRule>
  </conditionalFormatting>
  <conditionalFormatting sqref="C23">
    <cfRule type="cellIs" dxfId="316" priority="3" operator="equal">
      <formula>"WIP (see comments)"</formula>
    </cfRule>
    <cfRule type="cellIs" dxfId="315" priority="4" operator="equal">
      <formula>"Removed"</formula>
    </cfRule>
    <cfRule type="cellIs" dxfId="314" priority="5" operator="equal">
      <formula>"Updated"</formula>
    </cfRule>
    <cfRule type="cellIs" dxfId="313" priority="6" operator="equal">
      <formula>"New"</formula>
    </cfRule>
  </conditionalFormatting>
  <conditionalFormatting sqref="C23">
    <cfRule type="cellIs" dxfId="312" priority="2" operator="equal">
      <formula>"n/a"</formula>
    </cfRule>
  </conditionalFormatting>
  <conditionalFormatting sqref="D11:O11">
    <cfRule type="cellIs" dxfId="31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Values'!$B$5:$B$12</xm:f>
          </x14:formula1>
          <xm:sqref>C24:C1048576 C7:C15</xm:sqref>
        </x14:dataValidation>
        <x14:dataValidation type="list" allowBlank="1" showInputMessage="1" showErrorMessage="1">
          <x14:formula1>
            <xm:f>'List Values'!$B$5:$B$11</xm:f>
          </x14:formula1>
          <xm:sqref>C16:C23</xm:sqref>
        </x14:dataValidation>
        <x14:dataValidation type="list" allowBlank="1" showInputMessage="1" showErrorMessage="1">
          <x14:formula1>
            <xm:f>'List Values'!$A$5:$A$35</xm:f>
          </x14:formula1>
          <xm:sqref>E7:E1048576</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P14"/>
  <sheetViews>
    <sheetView zoomScaleNormal="100" workbookViewId="0">
      <pane xSplit="4" ySplit="6" topLeftCell="J7" activePane="bottomRight" state="frozen"/>
      <selection activeCell="O8" sqref="O8"/>
      <selection pane="topRight" activeCell="O8" sqref="O8"/>
      <selection pane="bottomLeft" activeCell="O8" sqref="O8"/>
      <selection pane="bottomRight" activeCell="A10" sqref="A10"/>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31"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163" t="s">
        <v>360</v>
      </c>
      <c r="C1" s="163"/>
      <c r="D1" s="163"/>
      <c r="H1" s="32"/>
    </row>
    <row r="2" spans="1:16" s="27" customFormat="1" ht="18.5" x14ac:dyDescent="0.35">
      <c r="A2" s="25" t="s">
        <v>7</v>
      </c>
      <c r="B2" s="88" t="s">
        <v>576</v>
      </c>
      <c r="C2" s="32"/>
      <c r="D2" s="88"/>
      <c r="H2" s="32"/>
    </row>
    <row r="3" spans="1:16" s="27" customFormat="1" ht="18.5" x14ac:dyDescent="0.35">
      <c r="A3" s="25" t="s">
        <v>43</v>
      </c>
      <c r="B3" s="88" t="s">
        <v>368</v>
      </c>
      <c r="C3" s="32"/>
      <c r="D3" s="88" t="s">
        <v>369</v>
      </c>
      <c r="H3" s="32"/>
    </row>
    <row r="4" spans="1:16" s="27" customFormat="1" ht="18.5" x14ac:dyDescent="0.35">
      <c r="A4" s="25" t="s">
        <v>8</v>
      </c>
      <c r="B4" s="27" t="s">
        <v>361</v>
      </c>
      <c r="C4" s="32"/>
      <c r="H4" s="32"/>
    </row>
    <row r="5" spans="1:16" s="4" customFormat="1" x14ac:dyDescent="0.35">
      <c r="C5" s="34"/>
      <c r="H5" s="34"/>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ht="29" x14ac:dyDescent="0.35">
      <c r="A7" s="6">
        <v>1</v>
      </c>
      <c r="B7" s="6" t="str">
        <f t="shared" ref="B7" si="0">CONCATENATE($B$2, ".", A7)</f>
        <v>19a.1</v>
      </c>
      <c r="C7" s="31" t="s">
        <v>39</v>
      </c>
      <c r="D7" s="44" t="s">
        <v>363</v>
      </c>
      <c r="E7" s="6" t="s">
        <v>35</v>
      </c>
      <c r="F7" s="6" t="s">
        <v>36</v>
      </c>
      <c r="G7" s="6" t="s">
        <v>36</v>
      </c>
      <c r="H7" s="31" t="s">
        <v>36</v>
      </c>
      <c r="I7" s="6" t="s">
        <v>9</v>
      </c>
      <c r="J7" s="6" t="s">
        <v>36</v>
      </c>
      <c r="K7" s="6" t="s">
        <v>36</v>
      </c>
      <c r="L7" s="6" t="s">
        <v>36</v>
      </c>
      <c r="M7" s="6" t="s">
        <v>36</v>
      </c>
      <c r="N7" s="6" t="s">
        <v>36</v>
      </c>
      <c r="O7" s="37" t="s">
        <v>36</v>
      </c>
    </row>
    <row r="8" spans="1:16" ht="29" x14ac:dyDescent="0.35">
      <c r="A8" s="6">
        <v>2</v>
      </c>
      <c r="B8" s="6" t="str">
        <f t="shared" ref="B8:B9" si="1">CONCATENATE($B$2, ".", A8)</f>
        <v>19a.2</v>
      </c>
      <c r="C8" s="31" t="s">
        <v>44</v>
      </c>
      <c r="D8" s="36" t="s">
        <v>36</v>
      </c>
      <c r="E8" s="36" t="s">
        <v>48</v>
      </c>
      <c r="F8" s="6" t="s">
        <v>36</v>
      </c>
      <c r="G8" s="6" t="s">
        <v>36</v>
      </c>
      <c r="H8" s="31" t="s">
        <v>36</v>
      </c>
      <c r="I8" s="36" t="s">
        <v>9</v>
      </c>
      <c r="J8" s="5" t="s">
        <v>36</v>
      </c>
      <c r="K8" s="5" t="s">
        <v>36</v>
      </c>
      <c r="L8" s="5" t="s">
        <v>36</v>
      </c>
      <c r="M8" s="5" t="s">
        <v>36</v>
      </c>
      <c r="N8" s="5" t="s">
        <v>36</v>
      </c>
      <c r="O8" s="5" t="s">
        <v>36</v>
      </c>
    </row>
    <row r="9" spans="1:16" ht="29" x14ac:dyDescent="0.35">
      <c r="A9" s="6">
        <v>3</v>
      </c>
      <c r="B9" s="6" t="str">
        <f t="shared" si="1"/>
        <v>19a.3</v>
      </c>
      <c r="C9" s="31" t="s">
        <v>39</v>
      </c>
      <c r="D9" s="36" t="s">
        <v>362</v>
      </c>
      <c r="E9" s="36" t="s">
        <v>320</v>
      </c>
      <c r="F9" s="6" t="s">
        <v>36</v>
      </c>
      <c r="G9" s="6" t="s">
        <v>36</v>
      </c>
      <c r="H9" s="31" t="s">
        <v>36</v>
      </c>
      <c r="I9" s="36" t="s">
        <v>9</v>
      </c>
      <c r="J9" s="5" t="s">
        <v>36</v>
      </c>
      <c r="K9" s="5" t="s">
        <v>36</v>
      </c>
      <c r="L9" s="5" t="s">
        <v>36</v>
      </c>
      <c r="M9" s="5" t="s">
        <v>36</v>
      </c>
      <c r="N9" s="5" t="s">
        <v>36</v>
      </c>
      <c r="O9" s="5" t="s">
        <v>36</v>
      </c>
    </row>
    <row r="10" spans="1:16" ht="142.5" customHeight="1" x14ac:dyDescent="0.35">
      <c r="A10" s="6">
        <v>4</v>
      </c>
      <c r="B10" s="6" t="str">
        <f t="shared" ref="B10:B14" si="2">CONCATENATE($B$2, ".", A10)</f>
        <v>19a.4</v>
      </c>
      <c r="C10" s="31" t="s">
        <v>37</v>
      </c>
      <c r="D10" s="50" t="s">
        <v>684</v>
      </c>
      <c r="E10" s="6" t="s">
        <v>317</v>
      </c>
      <c r="F10" s="6" t="s">
        <v>36</v>
      </c>
      <c r="G10" s="48" t="s">
        <v>975</v>
      </c>
      <c r="H10" s="31" t="s">
        <v>36</v>
      </c>
      <c r="I10" s="36" t="s">
        <v>9</v>
      </c>
      <c r="J10" s="6" t="s">
        <v>36</v>
      </c>
      <c r="K10" s="6" t="s">
        <v>36</v>
      </c>
      <c r="L10" s="6" t="s">
        <v>36</v>
      </c>
      <c r="M10" s="6" t="s">
        <v>36</v>
      </c>
      <c r="N10" s="6" t="s">
        <v>36</v>
      </c>
      <c r="O10" s="37" t="s">
        <v>364</v>
      </c>
      <c r="P10" s="6" t="s">
        <v>976</v>
      </c>
    </row>
    <row r="11" spans="1:16" ht="163.5" customHeight="1" x14ac:dyDescent="0.35">
      <c r="A11" s="6">
        <v>5</v>
      </c>
      <c r="B11" s="6" t="str">
        <f t="shared" si="2"/>
        <v>19a.5</v>
      </c>
      <c r="C11" s="31" t="s">
        <v>37</v>
      </c>
      <c r="D11" s="50" t="s">
        <v>685</v>
      </c>
      <c r="E11" s="6" t="s">
        <v>317</v>
      </c>
      <c r="F11" s="6" t="s">
        <v>36</v>
      </c>
      <c r="G11" s="48" t="s">
        <v>365</v>
      </c>
      <c r="H11" s="31" t="s">
        <v>36</v>
      </c>
      <c r="I11" s="36" t="s">
        <v>9</v>
      </c>
      <c r="J11" s="6" t="s">
        <v>36</v>
      </c>
      <c r="K11" s="6" t="s">
        <v>36</v>
      </c>
      <c r="L11" s="6" t="s">
        <v>36</v>
      </c>
      <c r="M11" s="6" t="s">
        <v>36</v>
      </c>
      <c r="N11" s="6" t="s">
        <v>36</v>
      </c>
      <c r="O11" s="37" t="s">
        <v>364</v>
      </c>
      <c r="P11" s="6" t="s">
        <v>686</v>
      </c>
    </row>
    <row r="12" spans="1:16" ht="100" customHeight="1" x14ac:dyDescent="0.35">
      <c r="A12" s="6">
        <v>6</v>
      </c>
      <c r="B12" s="6" t="str">
        <f t="shared" si="2"/>
        <v>19a.6</v>
      </c>
      <c r="C12" s="31" t="s">
        <v>37</v>
      </c>
      <c r="D12" s="6" t="s">
        <v>436</v>
      </c>
      <c r="E12" s="6" t="s">
        <v>317</v>
      </c>
      <c r="F12" s="6" t="s">
        <v>36</v>
      </c>
      <c r="G12" s="6" t="s">
        <v>339</v>
      </c>
      <c r="H12" s="31" t="s">
        <v>36</v>
      </c>
      <c r="I12" s="36" t="s">
        <v>9</v>
      </c>
      <c r="J12" s="6" t="s">
        <v>36</v>
      </c>
      <c r="K12" s="6" t="s">
        <v>53</v>
      </c>
      <c r="L12" s="6" t="s">
        <v>666</v>
      </c>
      <c r="M12" s="6" t="s">
        <v>36</v>
      </c>
      <c r="N12" s="6" t="s">
        <v>36</v>
      </c>
      <c r="O12" s="37" t="s">
        <v>370</v>
      </c>
    </row>
    <row r="13" spans="1:16" ht="58" x14ac:dyDescent="0.35">
      <c r="A13" s="6">
        <v>7</v>
      </c>
      <c r="B13" s="6" t="str">
        <f t="shared" si="2"/>
        <v>19a.7</v>
      </c>
      <c r="C13" s="31" t="s">
        <v>39</v>
      </c>
      <c r="D13" s="36" t="s">
        <v>57</v>
      </c>
      <c r="E13" s="6" t="s">
        <v>42</v>
      </c>
      <c r="F13" s="36" t="s">
        <v>36</v>
      </c>
      <c r="G13" s="36" t="s">
        <v>36</v>
      </c>
      <c r="H13" s="45" t="s">
        <v>36</v>
      </c>
      <c r="I13" s="36" t="s">
        <v>9</v>
      </c>
      <c r="J13" s="36" t="s">
        <v>36</v>
      </c>
      <c r="K13" s="36" t="s">
        <v>36</v>
      </c>
      <c r="L13" s="36" t="s">
        <v>36</v>
      </c>
      <c r="M13" s="36" t="s">
        <v>36</v>
      </c>
      <c r="N13" s="36" t="s">
        <v>36</v>
      </c>
      <c r="O13" s="36" t="s">
        <v>366</v>
      </c>
    </row>
    <row r="14" spans="1:16" ht="29" x14ac:dyDescent="0.35">
      <c r="A14" s="6">
        <v>8</v>
      </c>
      <c r="B14" s="6" t="str">
        <f t="shared" si="2"/>
        <v>19a.8</v>
      </c>
      <c r="C14" s="31" t="s">
        <v>39</v>
      </c>
      <c r="D14" s="36" t="s">
        <v>56</v>
      </c>
      <c r="E14" s="6" t="s">
        <v>42</v>
      </c>
      <c r="F14" s="36" t="s">
        <v>36</v>
      </c>
      <c r="G14" s="36" t="s">
        <v>36</v>
      </c>
      <c r="H14" s="45" t="s">
        <v>36</v>
      </c>
      <c r="I14" s="36" t="s">
        <v>9</v>
      </c>
      <c r="J14" s="36" t="s">
        <v>36</v>
      </c>
      <c r="K14" s="36" t="s">
        <v>36</v>
      </c>
      <c r="L14" s="36" t="s">
        <v>36</v>
      </c>
      <c r="M14" s="36" t="s">
        <v>36</v>
      </c>
      <c r="N14" s="36" t="s">
        <v>36</v>
      </c>
      <c r="O14" s="36" t="s">
        <v>367</v>
      </c>
    </row>
  </sheetData>
  <autoFilter ref="A6:P6"/>
  <mergeCells count="1">
    <mergeCell ref="B1:D1"/>
  </mergeCells>
  <conditionalFormatting sqref="C15:C1048576 C7:C12">
    <cfRule type="cellIs" dxfId="310" priority="12" operator="equal">
      <formula>"WIP (see comments)"</formula>
    </cfRule>
    <cfRule type="cellIs" dxfId="309" priority="13" operator="equal">
      <formula>"Removed"</formula>
    </cfRule>
    <cfRule type="cellIs" dxfId="308" priority="14" operator="equal">
      <formula>"Updated"</formula>
    </cfRule>
    <cfRule type="cellIs" dxfId="307" priority="15" operator="equal">
      <formula>"New"</formula>
    </cfRule>
  </conditionalFormatting>
  <conditionalFormatting sqref="C13:C14">
    <cfRule type="cellIs" dxfId="306" priority="8" operator="equal">
      <formula>"WIP (see comments)"</formula>
    </cfRule>
    <cfRule type="cellIs" dxfId="305" priority="9" operator="equal">
      <formula>"Removed"</formula>
    </cfRule>
    <cfRule type="cellIs" dxfId="304" priority="10" operator="equal">
      <formula>"Updated"</formula>
    </cfRule>
    <cfRule type="cellIs" dxfId="303" priority="11" operator="equal">
      <formula>"New"</formula>
    </cfRule>
  </conditionalFormatting>
  <conditionalFormatting sqref="P13:XFD13 C10:XFD12 C13:C14 A7:XFD9 A10:B14 E13:E14">
    <cfRule type="cellIs" dxfId="302" priority="7" operator="equal">
      <formula>"n/a"</formula>
    </cfRule>
  </conditionalFormatting>
  <conditionalFormatting sqref="D13:D14 F13:N14">
    <cfRule type="cellIs" dxfId="301" priority="6" operator="equal">
      <formula>"n/a"</formula>
    </cfRule>
  </conditionalFormatting>
  <dataValidations count="1">
    <dataValidation type="list" allowBlank="1" showInputMessage="1" showErrorMessage="1" sqref="E15:E1048576">
      <formula1>$A$5:$A$21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E7:E14</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19"/>
  <sheetViews>
    <sheetView tabSelected="1" zoomScaleNormal="100"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31"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163" t="s">
        <v>1003</v>
      </c>
      <c r="C1" s="163"/>
      <c r="D1" s="163"/>
      <c r="H1" s="32"/>
    </row>
    <row r="2" spans="1:16" s="27" customFormat="1" ht="18.5" x14ac:dyDescent="0.35">
      <c r="A2" s="25" t="s">
        <v>7</v>
      </c>
      <c r="B2" s="160">
        <v>19</v>
      </c>
      <c r="C2" s="32"/>
      <c r="D2" s="160"/>
      <c r="H2" s="32"/>
    </row>
    <row r="3" spans="1:16" s="27" customFormat="1" ht="18.5" x14ac:dyDescent="0.35">
      <c r="A3" s="25" t="s">
        <v>43</v>
      </c>
      <c r="B3" s="160" t="s">
        <v>1004</v>
      </c>
      <c r="C3" s="32"/>
      <c r="D3" s="160" t="s">
        <v>1005</v>
      </c>
      <c r="H3" s="32"/>
    </row>
    <row r="4" spans="1:16" s="27" customFormat="1" ht="18.5" x14ac:dyDescent="0.35">
      <c r="A4" s="25" t="s">
        <v>8</v>
      </c>
      <c r="B4" s="27" t="s">
        <v>46</v>
      </c>
      <c r="C4" s="32"/>
      <c r="H4" s="32"/>
    </row>
    <row r="5" spans="1:16" s="4" customFormat="1" x14ac:dyDescent="0.35">
      <c r="C5" s="34"/>
      <c r="H5" s="34"/>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6">
        <v>1</v>
      </c>
      <c r="B7" s="6" t="str">
        <f t="shared" ref="B7:B19" si="0">CONCATENATE($B$2, ".", A7)</f>
        <v>19.1</v>
      </c>
      <c r="C7" s="31" t="s">
        <v>39</v>
      </c>
      <c r="D7" s="36" t="s">
        <v>1006</v>
      </c>
      <c r="E7" s="6" t="s">
        <v>115</v>
      </c>
      <c r="F7" s="6" t="s">
        <v>36</v>
      </c>
      <c r="G7" s="6" t="s">
        <v>36</v>
      </c>
      <c r="H7" s="31" t="s">
        <v>36</v>
      </c>
      <c r="I7" s="36" t="s">
        <v>9</v>
      </c>
      <c r="J7" s="5" t="s">
        <v>36</v>
      </c>
      <c r="K7" s="5" t="s">
        <v>36</v>
      </c>
      <c r="L7" s="5" t="s">
        <v>36</v>
      </c>
      <c r="M7" s="5" t="s">
        <v>36</v>
      </c>
      <c r="N7" s="5" t="s">
        <v>36</v>
      </c>
      <c r="O7" s="5" t="s">
        <v>36</v>
      </c>
    </row>
    <row r="8" spans="1:16" ht="29" x14ac:dyDescent="0.35">
      <c r="A8" s="6">
        <v>2</v>
      </c>
      <c r="B8" s="6" t="str">
        <f t="shared" si="0"/>
        <v>19.2</v>
      </c>
      <c r="C8" s="31" t="s">
        <v>44</v>
      </c>
      <c r="D8" s="36" t="s">
        <v>36</v>
      </c>
      <c r="E8" s="36" t="s">
        <v>48</v>
      </c>
      <c r="F8" s="6" t="s">
        <v>36</v>
      </c>
      <c r="G8" s="6" t="s">
        <v>36</v>
      </c>
      <c r="H8" s="31" t="s">
        <v>36</v>
      </c>
      <c r="I8" s="36" t="s">
        <v>9</v>
      </c>
      <c r="J8" s="5" t="s">
        <v>36</v>
      </c>
      <c r="K8" s="5" t="s">
        <v>36</v>
      </c>
      <c r="L8" s="5" t="s">
        <v>36</v>
      </c>
      <c r="M8" s="5" t="s">
        <v>36</v>
      </c>
      <c r="N8" s="5" t="s">
        <v>36</v>
      </c>
      <c r="O8" s="5" t="s">
        <v>36</v>
      </c>
    </row>
    <row r="9" spans="1:16" ht="29" x14ac:dyDescent="0.35">
      <c r="A9" s="6">
        <v>3</v>
      </c>
      <c r="B9" s="6" t="str">
        <f t="shared" si="0"/>
        <v>19.3</v>
      </c>
      <c r="C9" s="31" t="s">
        <v>39</v>
      </c>
      <c r="D9" s="36" t="s">
        <v>1007</v>
      </c>
      <c r="E9" s="36" t="s">
        <v>28</v>
      </c>
      <c r="F9" s="6" t="s">
        <v>36</v>
      </c>
      <c r="G9" s="6" t="s">
        <v>36</v>
      </c>
      <c r="H9" s="31" t="s">
        <v>36</v>
      </c>
      <c r="I9" s="36" t="s">
        <v>9</v>
      </c>
      <c r="J9" s="5" t="s">
        <v>36</v>
      </c>
      <c r="K9" s="5" t="s">
        <v>36</v>
      </c>
      <c r="L9" s="5" t="s">
        <v>36</v>
      </c>
      <c r="M9" s="5" t="s">
        <v>36</v>
      </c>
      <c r="N9" s="5" t="s">
        <v>36</v>
      </c>
      <c r="O9" s="5" t="s">
        <v>1008</v>
      </c>
    </row>
    <row r="10" spans="1:16" ht="29" x14ac:dyDescent="0.35">
      <c r="A10" s="6">
        <v>4</v>
      </c>
      <c r="B10" s="6" t="str">
        <f t="shared" si="0"/>
        <v>19.4</v>
      </c>
      <c r="C10" s="31" t="s">
        <v>39</v>
      </c>
      <c r="D10" s="44" t="s">
        <v>1009</v>
      </c>
      <c r="E10" s="6" t="s">
        <v>28</v>
      </c>
      <c r="F10" s="6" t="s">
        <v>36</v>
      </c>
      <c r="G10" s="6" t="s">
        <v>36</v>
      </c>
      <c r="H10" s="31" t="s">
        <v>36</v>
      </c>
      <c r="I10" s="6" t="s">
        <v>9</v>
      </c>
      <c r="J10" s="6" t="s">
        <v>36</v>
      </c>
      <c r="K10" s="6" t="s">
        <v>36</v>
      </c>
      <c r="L10" s="6" t="s">
        <v>36</v>
      </c>
      <c r="M10" s="6" t="s">
        <v>36</v>
      </c>
      <c r="N10" s="6" t="s">
        <v>36</v>
      </c>
      <c r="O10" s="37" t="s">
        <v>36</v>
      </c>
    </row>
    <row r="11" spans="1:16" ht="29" x14ac:dyDescent="0.35">
      <c r="A11" s="6">
        <v>5</v>
      </c>
      <c r="B11" s="6" t="str">
        <f t="shared" si="0"/>
        <v>19.5</v>
      </c>
      <c r="C11" s="31" t="s">
        <v>44</v>
      </c>
      <c r="D11" s="50" t="s">
        <v>1010</v>
      </c>
      <c r="E11" s="6" t="s">
        <v>99</v>
      </c>
      <c r="F11" s="6" t="s">
        <v>36</v>
      </c>
      <c r="G11" s="6" t="s">
        <v>36</v>
      </c>
      <c r="H11" s="31" t="s">
        <v>36</v>
      </c>
      <c r="I11" s="6" t="s">
        <v>9</v>
      </c>
      <c r="J11" s="6" t="s">
        <v>36</v>
      </c>
      <c r="K11" s="6" t="s">
        <v>36</v>
      </c>
      <c r="L11" s="6" t="s">
        <v>36</v>
      </c>
      <c r="M11" s="6" t="s">
        <v>36</v>
      </c>
      <c r="N11" s="6" t="s">
        <v>36</v>
      </c>
      <c r="O11" s="37" t="s">
        <v>1011</v>
      </c>
      <c r="P11" s="6" t="s">
        <v>1012</v>
      </c>
    </row>
    <row r="12" spans="1:16" ht="29" x14ac:dyDescent="0.35">
      <c r="A12" s="6">
        <v>6</v>
      </c>
      <c r="B12" s="6" t="str">
        <f t="shared" si="0"/>
        <v>19.6</v>
      </c>
      <c r="C12" s="31" t="s">
        <v>44</v>
      </c>
      <c r="D12" s="50" t="s">
        <v>1013</v>
      </c>
      <c r="E12" s="6" t="s">
        <v>99</v>
      </c>
      <c r="F12" s="6" t="s">
        <v>36</v>
      </c>
      <c r="G12" s="6" t="s">
        <v>36</v>
      </c>
      <c r="H12" s="31" t="s">
        <v>36</v>
      </c>
      <c r="I12" s="6" t="s">
        <v>9</v>
      </c>
      <c r="J12" s="6" t="s">
        <v>36</v>
      </c>
      <c r="K12" s="6" t="s">
        <v>36</v>
      </c>
      <c r="L12" s="6" t="s">
        <v>36</v>
      </c>
      <c r="M12" s="6" t="s">
        <v>36</v>
      </c>
      <c r="N12" s="6" t="s">
        <v>36</v>
      </c>
      <c r="O12" s="37" t="s">
        <v>1011</v>
      </c>
      <c r="P12" s="6" t="s">
        <v>1012</v>
      </c>
    </row>
    <row r="13" spans="1:16" ht="130.5" x14ac:dyDescent="0.35">
      <c r="A13" s="6">
        <v>7</v>
      </c>
      <c r="B13" s="6" t="str">
        <f t="shared" si="0"/>
        <v>19.7</v>
      </c>
      <c r="C13" s="31" t="s">
        <v>39</v>
      </c>
      <c r="D13" s="50" t="s">
        <v>1014</v>
      </c>
      <c r="E13" s="6" t="s">
        <v>317</v>
      </c>
      <c r="F13" s="6" t="s">
        <v>36</v>
      </c>
      <c r="G13" s="6" t="s">
        <v>1015</v>
      </c>
      <c r="H13" s="31" t="s">
        <v>36</v>
      </c>
      <c r="I13" s="6" t="s">
        <v>9</v>
      </c>
      <c r="J13" s="6" t="s">
        <v>36</v>
      </c>
      <c r="K13" s="6" t="s">
        <v>36</v>
      </c>
      <c r="L13" s="6" t="s">
        <v>36</v>
      </c>
      <c r="M13" s="6" t="s">
        <v>36</v>
      </c>
      <c r="N13" s="6" t="s">
        <v>36</v>
      </c>
      <c r="O13" s="37" t="s">
        <v>36</v>
      </c>
    </row>
    <row r="14" spans="1:16" ht="239" customHeight="1" x14ac:dyDescent="0.35">
      <c r="A14" s="6">
        <v>8</v>
      </c>
      <c r="B14" s="6" t="str">
        <f t="shared" si="0"/>
        <v>19.8</v>
      </c>
      <c r="C14" s="31" t="s">
        <v>41</v>
      </c>
      <c r="D14" s="50" t="s">
        <v>1016</v>
      </c>
      <c r="E14" s="6" t="s">
        <v>35</v>
      </c>
      <c r="F14" s="6" t="s">
        <v>36</v>
      </c>
      <c r="G14" s="6" t="s">
        <v>1017</v>
      </c>
      <c r="H14" s="31" t="s">
        <v>36</v>
      </c>
      <c r="I14" s="6" t="s">
        <v>1018</v>
      </c>
      <c r="J14" s="6" t="s">
        <v>36</v>
      </c>
      <c r="K14" s="6" t="s">
        <v>36</v>
      </c>
      <c r="L14" s="6" t="s">
        <v>36</v>
      </c>
      <c r="M14" s="6" t="s">
        <v>36</v>
      </c>
      <c r="N14" s="6" t="s">
        <v>36</v>
      </c>
      <c r="O14" s="37" t="s">
        <v>1019</v>
      </c>
      <c r="P14" s="6" t="s">
        <v>1020</v>
      </c>
    </row>
    <row r="15" spans="1:16" ht="72.5" x14ac:dyDescent="0.35">
      <c r="A15" s="6">
        <v>9</v>
      </c>
      <c r="B15" s="6" t="str">
        <f t="shared" si="0"/>
        <v>19.9</v>
      </c>
      <c r="C15" s="31" t="s">
        <v>39</v>
      </c>
      <c r="D15" s="50" t="s">
        <v>1021</v>
      </c>
      <c r="E15" s="6" t="s">
        <v>317</v>
      </c>
      <c r="F15" s="6" t="s">
        <v>36</v>
      </c>
      <c r="G15" s="6" t="s">
        <v>1022</v>
      </c>
      <c r="H15" s="31" t="s">
        <v>36</v>
      </c>
      <c r="I15" s="6" t="s">
        <v>9</v>
      </c>
      <c r="J15" s="6" t="s">
        <v>36</v>
      </c>
      <c r="K15" s="6" t="s">
        <v>36</v>
      </c>
      <c r="L15" s="6" t="s">
        <v>36</v>
      </c>
      <c r="M15" s="6" t="s">
        <v>36</v>
      </c>
      <c r="N15" s="6" t="s">
        <v>36</v>
      </c>
      <c r="O15" s="37" t="s">
        <v>36</v>
      </c>
    </row>
    <row r="16" spans="1:16" ht="58" x14ac:dyDescent="0.35">
      <c r="A16" s="6">
        <v>10</v>
      </c>
      <c r="B16" s="6" t="str">
        <f t="shared" si="0"/>
        <v>19.10</v>
      </c>
      <c r="C16" s="31" t="s">
        <v>39</v>
      </c>
      <c r="D16" s="44" t="s">
        <v>1023</v>
      </c>
      <c r="E16" s="6" t="s">
        <v>317</v>
      </c>
      <c r="F16" s="6" t="s">
        <v>36</v>
      </c>
      <c r="G16" s="6" t="s">
        <v>205</v>
      </c>
      <c r="H16" s="31" t="s">
        <v>36</v>
      </c>
      <c r="I16" s="6" t="s">
        <v>9</v>
      </c>
      <c r="J16" s="6" t="s">
        <v>36</v>
      </c>
      <c r="K16" s="6" t="s">
        <v>36</v>
      </c>
      <c r="L16" s="6" t="s">
        <v>36</v>
      </c>
      <c r="M16" s="6" t="s">
        <v>36</v>
      </c>
      <c r="N16" s="6" t="s">
        <v>36</v>
      </c>
      <c r="O16" s="37" t="s">
        <v>36</v>
      </c>
    </row>
    <row r="17" spans="1:15" ht="29" x14ac:dyDescent="0.35">
      <c r="A17" s="6">
        <v>11</v>
      </c>
      <c r="B17" s="6" t="str">
        <f t="shared" si="0"/>
        <v>19.11</v>
      </c>
      <c r="C17" s="31" t="s">
        <v>39</v>
      </c>
      <c r="D17" s="6" t="s">
        <v>1024</v>
      </c>
      <c r="E17" s="36" t="s">
        <v>29</v>
      </c>
      <c r="F17" s="6" t="s">
        <v>60</v>
      </c>
      <c r="G17" s="6" t="s">
        <v>36</v>
      </c>
      <c r="H17" s="31" t="s">
        <v>36</v>
      </c>
      <c r="I17" s="36" t="s">
        <v>9</v>
      </c>
      <c r="J17" s="5" t="s">
        <v>96</v>
      </c>
      <c r="K17" s="5" t="s">
        <v>53</v>
      </c>
      <c r="L17" s="37" t="s">
        <v>1025</v>
      </c>
      <c r="M17" s="5" t="s">
        <v>36</v>
      </c>
      <c r="N17" s="5" t="s">
        <v>36</v>
      </c>
      <c r="O17" s="5" t="s">
        <v>1026</v>
      </c>
    </row>
    <row r="18" spans="1:15" ht="29" x14ac:dyDescent="0.35">
      <c r="A18" s="6">
        <v>12</v>
      </c>
      <c r="B18" s="6" t="str">
        <f t="shared" si="0"/>
        <v>19.12</v>
      </c>
      <c r="C18" s="31" t="s">
        <v>39</v>
      </c>
      <c r="D18" s="36" t="s">
        <v>56</v>
      </c>
      <c r="E18" s="36" t="s">
        <v>42</v>
      </c>
      <c r="F18" s="36" t="s">
        <v>36</v>
      </c>
      <c r="G18" s="36" t="s">
        <v>36</v>
      </c>
      <c r="H18" s="45" t="s">
        <v>36</v>
      </c>
      <c r="I18" s="36" t="s">
        <v>9</v>
      </c>
      <c r="J18" s="36" t="s">
        <v>36</v>
      </c>
      <c r="K18" s="36" t="s">
        <v>36</v>
      </c>
      <c r="L18" s="36" t="s">
        <v>36</v>
      </c>
      <c r="M18" s="36" t="s">
        <v>36</v>
      </c>
      <c r="N18" s="36" t="s">
        <v>36</v>
      </c>
      <c r="O18" s="38" t="s">
        <v>367</v>
      </c>
    </row>
    <row r="19" spans="1:15" ht="116" x14ac:dyDescent="0.35">
      <c r="A19" s="6">
        <v>13</v>
      </c>
      <c r="B19" s="6" t="str">
        <f t="shared" si="0"/>
        <v>19.13</v>
      </c>
      <c r="C19" s="31" t="s">
        <v>39</v>
      </c>
      <c r="D19" s="36" t="s">
        <v>57</v>
      </c>
      <c r="E19" s="36" t="s">
        <v>42</v>
      </c>
      <c r="F19" s="36" t="s">
        <v>36</v>
      </c>
      <c r="G19" s="36" t="s">
        <v>36</v>
      </c>
      <c r="H19" s="45" t="s">
        <v>36</v>
      </c>
      <c r="I19" s="36" t="s">
        <v>9</v>
      </c>
      <c r="J19" s="36" t="s">
        <v>36</v>
      </c>
      <c r="K19" s="36" t="s">
        <v>36</v>
      </c>
      <c r="L19" s="36" t="s">
        <v>36</v>
      </c>
      <c r="M19" s="36" t="s">
        <v>36</v>
      </c>
      <c r="N19" s="36" t="s">
        <v>36</v>
      </c>
      <c r="O19" s="38" t="s">
        <v>1027</v>
      </c>
    </row>
  </sheetData>
  <autoFilter ref="A6:P6"/>
  <mergeCells count="1">
    <mergeCell ref="B1:D1"/>
  </mergeCells>
  <conditionalFormatting sqref="C7:C1048576">
    <cfRule type="cellIs" dxfId="6" priority="4" operator="equal">
      <formula>"WIP (see comments)"</formula>
    </cfRule>
    <cfRule type="cellIs" dxfId="5" priority="5" operator="equal">
      <formula>"Removed"</formula>
    </cfRule>
    <cfRule type="cellIs" dxfId="4" priority="6" operator="equal">
      <formula>"Updated"</formula>
    </cfRule>
    <cfRule type="cellIs" dxfId="3" priority="7" operator="equal">
      <formula>"New"</formula>
    </cfRule>
  </conditionalFormatting>
  <conditionalFormatting sqref="P19:XFD19 E17:O17 A7:C19 D7:XFD16">
    <cfRule type="cellIs" dxfId="2" priority="3" operator="equal">
      <formula>"n/a"</formula>
    </cfRule>
  </conditionalFormatting>
  <conditionalFormatting sqref="D18:N19">
    <cfRule type="cellIs" dxfId="1" priority="2" operator="equal">
      <formula>"n/a"</formula>
    </cfRule>
  </conditionalFormatting>
  <conditionalFormatting sqref="D17 P17:XFD18">
    <cfRule type="cellIs" dxfId="0" priority="1" operator="equal">
      <formula>"n/a"</formula>
    </cfRule>
  </conditionalFormatting>
  <dataValidations count="1">
    <dataValidation type="list" allowBlank="1" showInputMessage="1" showErrorMessage="1" sqref="E20:E1048576">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Values'!#REF!</xm:f>
          </x14:formula1>
          <xm:sqref>C20:C1048576</xm:sqref>
        </x14:dataValidation>
        <x14:dataValidation type="list" allowBlank="1" showInputMessage="1" showErrorMessage="1">
          <x14:formula1>
            <xm:f>'List Values'!$B$5:$B$9</xm:f>
          </x14:formula1>
          <xm:sqref>C7:C19</xm:sqref>
        </x14:dataValidation>
        <x14:dataValidation type="list" allowBlank="1" showInputMessage="1" showErrorMessage="1">
          <x14:formula1>
            <xm:f>'List Values'!$A$5:$A$34</xm:f>
          </x14:formula1>
          <xm:sqref>E7:E19</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P23"/>
  <sheetViews>
    <sheetView workbookViewId="0">
      <pane xSplit="4" ySplit="6" topLeftCell="E7" activePane="bottomRight" state="frozen"/>
      <selection activeCell="O8" sqref="O8"/>
      <selection pane="topRight" activeCell="O8" sqref="O8"/>
      <selection pane="bottomLeft" activeCell="O8" sqref="O8"/>
      <selection pane="bottomRight"/>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31"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520</v>
      </c>
      <c r="C1" s="35"/>
      <c r="D1" s="26"/>
      <c r="H1" s="32"/>
    </row>
    <row r="2" spans="1:16" s="27" customFormat="1" ht="18.5" x14ac:dyDescent="0.35">
      <c r="A2" s="25" t="s">
        <v>7</v>
      </c>
      <c r="B2" s="106">
        <v>20</v>
      </c>
      <c r="C2" s="32"/>
      <c r="D2" s="106"/>
      <c r="H2" s="32"/>
    </row>
    <row r="3" spans="1:16" s="27" customFormat="1" ht="18.5" x14ac:dyDescent="0.35">
      <c r="A3" s="25" t="s">
        <v>43</v>
      </c>
      <c r="B3" s="106" t="s">
        <v>521</v>
      </c>
      <c r="C3" s="32"/>
      <c r="D3" s="158" t="s">
        <v>981</v>
      </c>
      <c r="H3" s="32"/>
    </row>
    <row r="4" spans="1:16" s="27" customFormat="1" ht="18.5" x14ac:dyDescent="0.35">
      <c r="A4" s="25" t="s">
        <v>8</v>
      </c>
      <c r="B4" s="27" t="s">
        <v>615</v>
      </c>
      <c r="H4" s="32"/>
    </row>
    <row r="5" spans="1:16" s="4" customFormat="1" x14ac:dyDescent="0.35">
      <c r="C5" s="34"/>
      <c r="H5" s="34"/>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6">
        <v>1</v>
      </c>
      <c r="B7" s="6" t="str">
        <f t="shared" ref="B7:B10" si="0">CONCATENATE($B$2, ".", A7)</f>
        <v>20.1</v>
      </c>
      <c r="C7" s="31" t="s">
        <v>41</v>
      </c>
      <c r="D7" s="6" t="s">
        <v>613</v>
      </c>
      <c r="E7" s="6" t="s">
        <v>115</v>
      </c>
      <c r="F7" s="6" t="s">
        <v>36</v>
      </c>
      <c r="G7" s="6" t="s">
        <v>36</v>
      </c>
      <c r="H7" s="31" t="s">
        <v>36</v>
      </c>
      <c r="I7" s="36" t="s">
        <v>9</v>
      </c>
      <c r="J7" s="5" t="s">
        <v>36</v>
      </c>
      <c r="K7" s="5" t="s">
        <v>36</v>
      </c>
      <c r="L7" s="5" t="s">
        <v>36</v>
      </c>
      <c r="M7" s="5" t="s">
        <v>36</v>
      </c>
      <c r="N7" s="5" t="s">
        <v>36</v>
      </c>
      <c r="O7" s="5" t="s">
        <v>36</v>
      </c>
    </row>
    <row r="8" spans="1:16" x14ac:dyDescent="0.35">
      <c r="A8" s="6">
        <v>2</v>
      </c>
      <c r="B8" s="6" t="str">
        <f t="shared" si="0"/>
        <v>20.2</v>
      </c>
      <c r="C8" s="31" t="s">
        <v>41</v>
      </c>
      <c r="D8" s="36" t="s">
        <v>36</v>
      </c>
      <c r="E8" s="36" t="s">
        <v>48</v>
      </c>
      <c r="F8" s="6" t="s">
        <v>36</v>
      </c>
      <c r="G8" s="6" t="s">
        <v>36</v>
      </c>
      <c r="H8" s="31" t="s">
        <v>36</v>
      </c>
      <c r="I8" s="36" t="s">
        <v>9</v>
      </c>
      <c r="J8" s="5" t="s">
        <v>36</v>
      </c>
      <c r="K8" s="5" t="s">
        <v>36</v>
      </c>
      <c r="L8" s="5" t="s">
        <v>36</v>
      </c>
      <c r="M8" s="5" t="s">
        <v>36</v>
      </c>
      <c r="N8" s="5" t="s">
        <v>36</v>
      </c>
      <c r="O8" s="5" t="s">
        <v>36</v>
      </c>
    </row>
    <row r="9" spans="1:16" ht="30" customHeight="1" x14ac:dyDescent="0.35">
      <c r="A9" s="6">
        <v>3</v>
      </c>
      <c r="B9" s="6" t="str">
        <f>CONCATENATE($B$2, ".", A9)</f>
        <v>20.3</v>
      </c>
      <c r="C9" s="31" t="s">
        <v>41</v>
      </c>
      <c r="D9" s="6" t="s">
        <v>612</v>
      </c>
      <c r="E9" s="6" t="s">
        <v>35</v>
      </c>
      <c r="F9" s="6" t="s">
        <v>36</v>
      </c>
      <c r="G9" s="6" t="s">
        <v>36</v>
      </c>
      <c r="H9" s="31" t="s">
        <v>36</v>
      </c>
      <c r="I9" s="36" t="s">
        <v>9</v>
      </c>
      <c r="J9" s="5" t="s">
        <v>36</v>
      </c>
      <c r="K9" s="5" t="s">
        <v>36</v>
      </c>
      <c r="L9" s="5" t="s">
        <v>36</v>
      </c>
      <c r="M9" s="5" t="s">
        <v>36</v>
      </c>
      <c r="N9" s="5" t="s">
        <v>36</v>
      </c>
      <c r="O9" s="6" t="s">
        <v>619</v>
      </c>
    </row>
    <row r="10" spans="1:16" ht="105.5" customHeight="1" x14ac:dyDescent="0.35">
      <c r="A10" s="6">
        <v>4</v>
      </c>
      <c r="B10" s="6" t="str">
        <f t="shared" si="0"/>
        <v>20.4</v>
      </c>
      <c r="C10" s="31" t="s">
        <v>37</v>
      </c>
      <c r="D10" s="6" t="s">
        <v>977</v>
      </c>
      <c r="E10" s="6" t="s">
        <v>33</v>
      </c>
      <c r="F10" s="6" t="s">
        <v>36</v>
      </c>
      <c r="G10" s="6" t="s">
        <v>36</v>
      </c>
      <c r="H10" s="31" t="s">
        <v>36</v>
      </c>
      <c r="I10" s="36" t="s">
        <v>9</v>
      </c>
      <c r="J10" s="5" t="s">
        <v>36</v>
      </c>
      <c r="K10" s="5" t="s">
        <v>36</v>
      </c>
      <c r="L10" s="5" t="s">
        <v>36</v>
      </c>
      <c r="M10" s="5" t="s">
        <v>36</v>
      </c>
      <c r="N10" s="5" t="s">
        <v>36</v>
      </c>
      <c r="O10" s="6" t="s">
        <v>36</v>
      </c>
    </row>
    <row r="11" spans="1:16" ht="71" customHeight="1" x14ac:dyDescent="0.35">
      <c r="A11" s="6">
        <v>5</v>
      </c>
      <c r="B11" s="6" t="str">
        <f>CONCATENATE($B$2, ".", A11)</f>
        <v>20.5</v>
      </c>
      <c r="C11" s="31" t="s">
        <v>37</v>
      </c>
      <c r="D11" s="6" t="s">
        <v>978</v>
      </c>
      <c r="E11" s="6" t="s">
        <v>35</v>
      </c>
      <c r="F11" s="6" t="s">
        <v>36</v>
      </c>
      <c r="G11" s="6" t="s">
        <v>36</v>
      </c>
      <c r="H11" s="31" t="s">
        <v>36</v>
      </c>
      <c r="I11" s="36" t="s">
        <v>9</v>
      </c>
      <c r="J11" s="5" t="s">
        <v>36</v>
      </c>
      <c r="K11" s="5" t="s">
        <v>36</v>
      </c>
      <c r="L11" s="5" t="s">
        <v>36</v>
      </c>
      <c r="M11" s="5" t="s">
        <v>36</v>
      </c>
      <c r="N11" s="5" t="s">
        <v>36</v>
      </c>
      <c r="O11" s="6" t="s">
        <v>614</v>
      </c>
    </row>
    <row r="12" spans="1:16" ht="58" customHeight="1" x14ac:dyDescent="0.35">
      <c r="A12" s="6">
        <v>6</v>
      </c>
      <c r="B12" s="6" t="str">
        <f>CONCATENATE($B$2, ".", A12)</f>
        <v>20.6</v>
      </c>
      <c r="C12" s="31" t="s">
        <v>37</v>
      </c>
      <c r="D12" s="6" t="s">
        <v>979</v>
      </c>
      <c r="E12" s="6" t="s">
        <v>99</v>
      </c>
      <c r="F12" s="6" t="s">
        <v>36</v>
      </c>
      <c r="G12" s="6" t="s">
        <v>36</v>
      </c>
      <c r="H12" s="31" t="s">
        <v>36</v>
      </c>
      <c r="I12" s="36" t="s">
        <v>9</v>
      </c>
      <c r="J12" s="5" t="s">
        <v>36</v>
      </c>
      <c r="K12" s="5" t="s">
        <v>36</v>
      </c>
      <c r="L12" s="5" t="s">
        <v>36</v>
      </c>
      <c r="M12" s="5" t="s">
        <v>36</v>
      </c>
      <c r="N12" s="5" t="s">
        <v>36</v>
      </c>
      <c r="O12" s="6" t="s">
        <v>533</v>
      </c>
    </row>
    <row r="13" spans="1:16" ht="78" customHeight="1" x14ac:dyDescent="0.35">
      <c r="A13" s="6">
        <v>7</v>
      </c>
      <c r="B13" s="6" t="str">
        <f t="shared" ref="B13:B17" si="1">CONCATENATE($B$2, ".", A13)</f>
        <v>20.7</v>
      </c>
      <c r="C13" s="31" t="s">
        <v>41</v>
      </c>
      <c r="D13" s="6" t="s">
        <v>551</v>
      </c>
      <c r="E13" s="6" t="s">
        <v>28</v>
      </c>
      <c r="F13" s="6" t="s">
        <v>36</v>
      </c>
      <c r="G13" s="6" t="s">
        <v>36</v>
      </c>
      <c r="H13" s="31" t="s">
        <v>36</v>
      </c>
      <c r="I13" s="36" t="s">
        <v>9</v>
      </c>
      <c r="J13" s="5" t="s">
        <v>36</v>
      </c>
      <c r="K13" s="5" t="s">
        <v>36</v>
      </c>
      <c r="L13" s="5" t="s">
        <v>36</v>
      </c>
      <c r="M13" s="5" t="s">
        <v>36</v>
      </c>
      <c r="N13" s="5" t="s">
        <v>36</v>
      </c>
      <c r="O13" s="6" t="s">
        <v>36</v>
      </c>
    </row>
    <row r="14" spans="1:16" ht="16" customHeight="1" x14ac:dyDescent="0.35">
      <c r="A14" s="96" t="s">
        <v>556</v>
      </c>
      <c r="B14" s="113"/>
      <c r="C14" s="114"/>
      <c r="D14" s="113"/>
      <c r="E14" s="113"/>
      <c r="F14" s="113"/>
      <c r="G14" s="113"/>
      <c r="H14" s="114"/>
      <c r="I14" s="113"/>
      <c r="J14" s="113"/>
      <c r="K14" s="113"/>
      <c r="L14" s="113"/>
      <c r="M14" s="113"/>
      <c r="N14" s="113"/>
      <c r="O14" s="113"/>
      <c r="P14" s="113"/>
    </row>
    <row r="15" spans="1:16" ht="78" customHeight="1" x14ac:dyDescent="0.35">
      <c r="A15" s="6">
        <v>8</v>
      </c>
      <c r="B15" s="6" t="str">
        <f>CONCATENATE($B$2, ".", A15)</f>
        <v>20.8</v>
      </c>
      <c r="C15" s="31" t="s">
        <v>41</v>
      </c>
      <c r="D15" s="6" t="s">
        <v>797</v>
      </c>
      <c r="E15" s="6" t="s">
        <v>114</v>
      </c>
      <c r="F15" s="6" t="s">
        <v>36</v>
      </c>
      <c r="G15" s="6" t="s">
        <v>36</v>
      </c>
      <c r="H15" s="31" t="s">
        <v>36</v>
      </c>
      <c r="I15" s="36" t="s">
        <v>9</v>
      </c>
      <c r="J15" s="5" t="s">
        <v>36</v>
      </c>
      <c r="K15" s="5" t="s">
        <v>36</v>
      </c>
      <c r="L15" s="5" t="s">
        <v>36</v>
      </c>
      <c r="M15" s="5" t="s">
        <v>36</v>
      </c>
      <c r="N15" s="5" t="s">
        <v>36</v>
      </c>
      <c r="O15" s="168" t="s">
        <v>798</v>
      </c>
    </row>
    <row r="16" spans="1:16" ht="78" customHeight="1" x14ac:dyDescent="0.35">
      <c r="A16" s="6">
        <v>9</v>
      </c>
      <c r="B16" s="6" t="str">
        <f>CONCATENATE($B$2, ".", A16)</f>
        <v>20.9</v>
      </c>
      <c r="C16" s="31" t="s">
        <v>41</v>
      </c>
      <c r="D16" s="6" t="s">
        <v>552</v>
      </c>
      <c r="E16" s="6" t="s">
        <v>35</v>
      </c>
      <c r="F16" s="6" t="s">
        <v>36</v>
      </c>
      <c r="G16" s="6" t="s">
        <v>36</v>
      </c>
      <c r="H16" s="31" t="s">
        <v>36</v>
      </c>
      <c r="I16" s="36" t="s">
        <v>9</v>
      </c>
      <c r="J16" s="5" t="s">
        <v>36</v>
      </c>
      <c r="K16" s="5" t="s">
        <v>36</v>
      </c>
      <c r="L16" s="5" t="s">
        <v>36</v>
      </c>
      <c r="M16" s="5" t="s">
        <v>36</v>
      </c>
      <c r="N16" s="5" t="s">
        <v>36</v>
      </c>
      <c r="O16" s="168"/>
    </row>
    <row r="17" spans="1:16" ht="78" customHeight="1" x14ac:dyDescent="0.35">
      <c r="A17" s="6">
        <v>10</v>
      </c>
      <c r="B17" s="6" t="str">
        <f t="shared" si="1"/>
        <v>20.10</v>
      </c>
      <c r="C17" s="31" t="s">
        <v>37</v>
      </c>
      <c r="D17" s="6" t="s">
        <v>553</v>
      </c>
      <c r="E17" s="6" t="s">
        <v>554</v>
      </c>
      <c r="F17" s="6" t="s">
        <v>796</v>
      </c>
      <c r="G17" s="6" t="s">
        <v>36</v>
      </c>
      <c r="H17" s="31" t="s">
        <v>36</v>
      </c>
      <c r="I17" s="36" t="s">
        <v>9</v>
      </c>
      <c r="J17" s="5" t="s">
        <v>36</v>
      </c>
      <c r="K17" s="5" t="s">
        <v>36</v>
      </c>
      <c r="L17" s="5" t="s">
        <v>36</v>
      </c>
      <c r="M17" s="5" t="s">
        <v>36</v>
      </c>
      <c r="N17" s="5" t="s">
        <v>36</v>
      </c>
      <c r="O17" s="168"/>
    </row>
    <row r="18" spans="1:16" ht="43.5" x14ac:dyDescent="0.35">
      <c r="A18" s="6">
        <v>11</v>
      </c>
      <c r="B18" s="6" t="str">
        <f>CONCATENATE($B$2, ".", A18)</f>
        <v>20.11</v>
      </c>
      <c r="C18" s="31" t="s">
        <v>41</v>
      </c>
      <c r="D18" s="6" t="s">
        <v>616</v>
      </c>
      <c r="E18" s="6" t="s">
        <v>99</v>
      </c>
      <c r="F18" s="6" t="s">
        <v>36</v>
      </c>
      <c r="G18" s="6" t="s">
        <v>36</v>
      </c>
      <c r="H18" s="31" t="s">
        <v>36</v>
      </c>
      <c r="I18" s="36" t="s">
        <v>9</v>
      </c>
      <c r="J18" s="5" t="s">
        <v>36</v>
      </c>
      <c r="K18" s="5" t="s">
        <v>36</v>
      </c>
      <c r="L18" s="5" t="s">
        <v>36</v>
      </c>
      <c r="M18" s="5" t="s">
        <v>36</v>
      </c>
      <c r="N18" s="5" t="s">
        <v>36</v>
      </c>
      <c r="O18" s="6" t="s">
        <v>617</v>
      </c>
    </row>
    <row r="19" spans="1:16" ht="72.5" x14ac:dyDescent="0.35">
      <c r="A19" s="6">
        <v>12</v>
      </c>
      <c r="B19" s="6" t="str">
        <f>CONCATENATE($B$2, ".", A19)</f>
        <v>20.12</v>
      </c>
      <c r="C19" s="31" t="s">
        <v>41</v>
      </c>
      <c r="D19" s="6" t="s">
        <v>618</v>
      </c>
      <c r="E19" s="6" t="s">
        <v>35</v>
      </c>
      <c r="F19" s="6" t="s">
        <v>36</v>
      </c>
      <c r="G19" s="6" t="s">
        <v>36</v>
      </c>
      <c r="H19" s="31" t="s">
        <v>36</v>
      </c>
      <c r="I19" s="36" t="s">
        <v>9</v>
      </c>
      <c r="J19" s="5" t="s">
        <v>36</v>
      </c>
      <c r="K19" s="5" t="s">
        <v>36</v>
      </c>
      <c r="L19" s="5" t="s">
        <v>36</v>
      </c>
      <c r="M19" s="5" t="s">
        <v>36</v>
      </c>
      <c r="N19" s="5" t="s">
        <v>36</v>
      </c>
      <c r="O19" s="6" t="s">
        <v>620</v>
      </c>
    </row>
    <row r="20" spans="1:16" ht="15" customHeight="1" x14ac:dyDescent="0.35">
      <c r="A20" s="96" t="s">
        <v>531</v>
      </c>
      <c r="B20" s="113"/>
      <c r="C20" s="114"/>
      <c r="D20" s="113"/>
      <c r="E20" s="113"/>
      <c r="F20" s="113"/>
      <c r="G20" s="113"/>
      <c r="H20" s="114"/>
      <c r="I20" s="113"/>
      <c r="J20" s="113"/>
      <c r="K20" s="113"/>
      <c r="L20" s="113"/>
      <c r="M20" s="113"/>
      <c r="N20" s="113"/>
      <c r="O20" s="113"/>
      <c r="P20" s="113"/>
    </row>
    <row r="21" spans="1:16" ht="58" x14ac:dyDescent="0.35">
      <c r="A21" s="6">
        <v>13</v>
      </c>
      <c r="B21" s="6" t="str">
        <f>CONCATENATE($B$2, ".", A21)</f>
        <v>20.13</v>
      </c>
      <c r="C21" s="31" t="s">
        <v>41</v>
      </c>
      <c r="D21" s="6" t="s">
        <v>555</v>
      </c>
      <c r="E21" s="6" t="s">
        <v>42</v>
      </c>
      <c r="F21" s="6" t="s">
        <v>36</v>
      </c>
      <c r="G21" s="6" t="s">
        <v>36</v>
      </c>
      <c r="H21" s="31" t="s">
        <v>36</v>
      </c>
      <c r="I21" s="36" t="s">
        <v>9</v>
      </c>
      <c r="J21" s="5" t="s">
        <v>36</v>
      </c>
      <c r="K21" s="5" t="s">
        <v>36</v>
      </c>
      <c r="L21" s="5" t="s">
        <v>36</v>
      </c>
      <c r="M21" s="5" t="s">
        <v>36</v>
      </c>
      <c r="N21" s="5" t="s">
        <v>36</v>
      </c>
      <c r="O21" s="6" t="s">
        <v>725</v>
      </c>
    </row>
    <row r="22" spans="1:16" ht="105.5" customHeight="1" x14ac:dyDescent="0.35">
      <c r="A22" s="6">
        <v>14</v>
      </c>
      <c r="B22" s="6" t="str">
        <f t="shared" ref="B22" si="2">CONCATENATE($B$2, ".", A22)</f>
        <v>20.14</v>
      </c>
      <c r="C22" s="31" t="s">
        <v>37</v>
      </c>
      <c r="D22" s="6" t="s">
        <v>980</v>
      </c>
      <c r="E22" s="6" t="s">
        <v>33</v>
      </c>
      <c r="F22" s="6" t="s">
        <v>36</v>
      </c>
      <c r="G22" s="6" t="s">
        <v>36</v>
      </c>
      <c r="H22" s="31" t="s">
        <v>36</v>
      </c>
      <c r="I22" s="36" t="s">
        <v>9</v>
      </c>
      <c r="J22" s="5" t="s">
        <v>36</v>
      </c>
      <c r="K22" s="5" t="s">
        <v>36</v>
      </c>
      <c r="L22" s="5" t="s">
        <v>36</v>
      </c>
      <c r="M22" s="5" t="s">
        <v>36</v>
      </c>
      <c r="N22" s="5" t="s">
        <v>36</v>
      </c>
      <c r="O22" s="6" t="s">
        <v>36</v>
      </c>
      <c r="P22" s="6" t="s">
        <v>209</v>
      </c>
    </row>
    <row r="23" spans="1:16" x14ac:dyDescent="0.35">
      <c r="D23" s="6" t="s">
        <v>68</v>
      </c>
    </row>
  </sheetData>
  <autoFilter ref="A6:P21"/>
  <mergeCells count="1">
    <mergeCell ref="O15:O17"/>
  </mergeCells>
  <conditionalFormatting sqref="C20:C21 C23:C1048576 C9:C17">
    <cfRule type="cellIs" dxfId="300" priority="30" operator="equal">
      <formula>"WIP (see comments)"</formula>
    </cfRule>
    <cfRule type="cellIs" dxfId="299" priority="31" operator="equal">
      <formula>"Removed"</formula>
    </cfRule>
    <cfRule type="cellIs" dxfId="298" priority="32" operator="equal">
      <formula>"Updated"</formula>
    </cfRule>
    <cfRule type="cellIs" dxfId="297" priority="33" operator="equal">
      <formula>"New"</formula>
    </cfRule>
  </conditionalFormatting>
  <conditionalFormatting sqref="A20:XFD20 C21 F21:P21 A16:N17 P16:XFD17 A9:XFD15">
    <cfRule type="cellIs" dxfId="296" priority="29" operator="equal">
      <formula>"n/a"</formula>
    </cfRule>
  </conditionalFormatting>
  <conditionalFormatting sqref="C7:C8">
    <cfRule type="cellIs" dxfId="295" priority="25" operator="equal">
      <formula>"WIP (see comments)"</formula>
    </cfRule>
    <cfRule type="cellIs" dxfId="294" priority="26" operator="equal">
      <formula>"Removed"</formula>
    </cfRule>
    <cfRule type="cellIs" dxfId="293" priority="27" operator="equal">
      <formula>"Updated"</formula>
    </cfRule>
    <cfRule type="cellIs" dxfId="292" priority="28" operator="equal">
      <formula>"New"</formula>
    </cfRule>
  </conditionalFormatting>
  <conditionalFormatting sqref="C7:C8">
    <cfRule type="cellIs" dxfId="291" priority="24" operator="equal">
      <formula>"n/a"</formula>
    </cfRule>
  </conditionalFormatting>
  <conditionalFormatting sqref="D8:P8 F7:O7">
    <cfRule type="cellIs" dxfId="290" priority="19" operator="equal">
      <formula>"n/a"</formula>
    </cfRule>
  </conditionalFormatting>
  <conditionalFormatting sqref="C18">
    <cfRule type="cellIs" dxfId="289" priority="13" operator="equal">
      <formula>"WIP (see comments)"</formula>
    </cfRule>
    <cfRule type="cellIs" dxfId="288" priority="14" operator="equal">
      <formula>"Removed"</formula>
    </cfRule>
    <cfRule type="cellIs" dxfId="287" priority="15" operator="equal">
      <formula>"Updated"</formula>
    </cfRule>
    <cfRule type="cellIs" dxfId="286" priority="16" operator="equal">
      <formula>"New"</formula>
    </cfRule>
  </conditionalFormatting>
  <conditionalFormatting sqref="C18 F18:P18">
    <cfRule type="cellIs" dxfId="285" priority="12" operator="equal">
      <formula>"n/a"</formula>
    </cfRule>
  </conditionalFormatting>
  <conditionalFormatting sqref="C19">
    <cfRule type="cellIs" dxfId="284" priority="8" operator="equal">
      <formula>"WIP (see comments)"</formula>
    </cfRule>
    <cfRule type="cellIs" dxfId="283" priority="9" operator="equal">
      <formula>"Removed"</formula>
    </cfRule>
    <cfRule type="cellIs" dxfId="282" priority="10" operator="equal">
      <formula>"Updated"</formula>
    </cfRule>
    <cfRule type="cellIs" dxfId="281" priority="11" operator="equal">
      <formula>"New"</formula>
    </cfRule>
  </conditionalFormatting>
  <conditionalFormatting sqref="C19 F19:N19 P19">
    <cfRule type="cellIs" dxfId="280" priority="7" operator="equal">
      <formula>"n/a"</formula>
    </cfRule>
  </conditionalFormatting>
  <conditionalFormatting sqref="O19">
    <cfRule type="cellIs" dxfId="279" priority="6" operator="equal">
      <formula>"n/a"</formula>
    </cfRule>
  </conditionalFormatting>
  <conditionalFormatting sqref="C22">
    <cfRule type="cellIs" dxfId="278" priority="2" operator="equal">
      <formula>"WIP (see comments)"</formula>
    </cfRule>
    <cfRule type="cellIs" dxfId="277" priority="3" operator="equal">
      <formula>"Removed"</formula>
    </cfRule>
    <cfRule type="cellIs" dxfId="276" priority="4" operator="equal">
      <formula>"Updated"</formula>
    </cfRule>
    <cfRule type="cellIs" dxfId="275" priority="5" operator="equal">
      <formula>"New"</formula>
    </cfRule>
  </conditionalFormatting>
  <conditionalFormatting sqref="A22:XFD22">
    <cfRule type="cellIs" dxfId="27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C7:C22</xm:sqref>
        </x14:dataValidation>
        <x14:dataValidation type="list" allowBlank="1" showInputMessage="1" showErrorMessage="1">
          <x14:formula1>
            <xm:f>'List Values'!$A$5:$A$34</xm:f>
          </x14:formula1>
          <xm:sqref>E7:E22</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P21"/>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31"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534</v>
      </c>
      <c r="C1" s="35"/>
      <c r="D1" s="26"/>
      <c r="H1" s="32"/>
    </row>
    <row r="2" spans="1:16" s="27" customFormat="1" ht="18.5" x14ac:dyDescent="0.35">
      <c r="A2" s="25" t="s">
        <v>7</v>
      </c>
      <c r="B2" s="33">
        <v>21</v>
      </c>
      <c r="C2" s="32"/>
      <c r="D2" s="33"/>
      <c r="H2" s="32"/>
    </row>
    <row r="3" spans="1:16" s="27" customFormat="1" ht="18.5" x14ac:dyDescent="0.35">
      <c r="A3" s="25" t="s">
        <v>43</v>
      </c>
      <c r="B3" s="33" t="s">
        <v>500</v>
      </c>
      <c r="C3" s="32"/>
      <c r="D3" s="35" t="s">
        <v>732</v>
      </c>
      <c r="H3" s="32"/>
    </row>
    <row r="4" spans="1:16" s="27" customFormat="1" ht="18.5" x14ac:dyDescent="0.35">
      <c r="A4" s="25" t="s">
        <v>8</v>
      </c>
      <c r="B4" s="164" t="s">
        <v>46</v>
      </c>
      <c r="C4" s="164"/>
      <c r="H4" s="32"/>
    </row>
    <row r="5" spans="1:16" s="4" customFormat="1" x14ac:dyDescent="0.35">
      <c r="C5" s="34"/>
      <c r="H5" s="34"/>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6">
        <v>1</v>
      </c>
      <c r="B7" s="6" t="str">
        <f>CONCATENATE($B$2, ".", A7)</f>
        <v>21.1</v>
      </c>
      <c r="C7" s="31" t="s">
        <v>41</v>
      </c>
      <c r="D7" s="6" t="s">
        <v>527</v>
      </c>
      <c r="E7" s="6" t="s">
        <v>115</v>
      </c>
      <c r="F7" s="6" t="s">
        <v>36</v>
      </c>
      <c r="G7" s="6" t="s">
        <v>36</v>
      </c>
      <c r="H7" s="31" t="s">
        <v>36</v>
      </c>
      <c r="I7" s="6" t="s">
        <v>9</v>
      </c>
      <c r="J7" s="6" t="s">
        <v>36</v>
      </c>
      <c r="K7" s="6" t="s">
        <v>36</v>
      </c>
      <c r="L7" s="6" t="s">
        <v>36</v>
      </c>
      <c r="M7" s="6" t="s">
        <v>36</v>
      </c>
      <c r="N7" s="6" t="s">
        <v>36</v>
      </c>
      <c r="O7" s="6" t="s">
        <v>36</v>
      </c>
    </row>
    <row r="8" spans="1:16" x14ac:dyDescent="0.35">
      <c r="A8" s="6">
        <v>2</v>
      </c>
      <c r="B8" s="6" t="str">
        <f>CONCATENATE($B$2, ".", A8)</f>
        <v>21.2</v>
      </c>
      <c r="C8" s="31" t="s">
        <v>41</v>
      </c>
      <c r="D8" s="6" t="s">
        <v>36</v>
      </c>
      <c r="E8" s="6" t="s">
        <v>48</v>
      </c>
      <c r="F8" s="6" t="s">
        <v>36</v>
      </c>
      <c r="G8" s="6" t="s">
        <v>36</v>
      </c>
      <c r="H8" s="31" t="s">
        <v>36</v>
      </c>
      <c r="I8" s="6" t="s">
        <v>9</v>
      </c>
      <c r="J8" s="6" t="s">
        <v>36</v>
      </c>
      <c r="K8" s="6" t="s">
        <v>36</v>
      </c>
      <c r="L8" s="6" t="s">
        <v>36</v>
      </c>
      <c r="M8" s="6" t="s">
        <v>36</v>
      </c>
      <c r="N8" s="6" t="s">
        <v>36</v>
      </c>
      <c r="O8" s="6" t="s">
        <v>36</v>
      </c>
    </row>
    <row r="9" spans="1:16" ht="58" x14ac:dyDescent="0.35">
      <c r="A9" s="6">
        <v>3</v>
      </c>
      <c r="B9" s="6" t="str">
        <f>CONCATENATE($B$2, ".", A9)</f>
        <v>21.3</v>
      </c>
      <c r="C9" s="31" t="s">
        <v>37</v>
      </c>
      <c r="D9" s="6" t="s">
        <v>537</v>
      </c>
      <c r="E9" s="6" t="s">
        <v>33</v>
      </c>
      <c r="F9" s="6" t="s">
        <v>36</v>
      </c>
      <c r="G9" s="6" t="s">
        <v>36</v>
      </c>
      <c r="H9" s="31" t="s">
        <v>36</v>
      </c>
      <c r="I9" s="6" t="s">
        <v>9</v>
      </c>
      <c r="J9" s="6" t="s">
        <v>36</v>
      </c>
      <c r="K9" s="6" t="s">
        <v>36</v>
      </c>
      <c r="L9" s="6" t="s">
        <v>36</v>
      </c>
      <c r="M9" s="6" t="s">
        <v>36</v>
      </c>
      <c r="N9" s="6" t="s">
        <v>36</v>
      </c>
      <c r="O9" s="6" t="s">
        <v>36</v>
      </c>
    </row>
    <row r="10" spans="1:16" ht="43.5" x14ac:dyDescent="0.35">
      <c r="A10" s="6">
        <v>4</v>
      </c>
      <c r="B10" s="6" t="str">
        <f t="shared" ref="B10:B11" si="0">CONCATENATE($B$2, ".", A10)</f>
        <v>21.4</v>
      </c>
      <c r="C10" s="31" t="s">
        <v>41</v>
      </c>
      <c r="D10" s="6" t="s">
        <v>528</v>
      </c>
      <c r="E10" s="6" t="s">
        <v>35</v>
      </c>
      <c r="F10" s="6" t="s">
        <v>529</v>
      </c>
      <c r="G10" s="6" t="s">
        <v>36</v>
      </c>
      <c r="H10" s="31" t="s">
        <v>36</v>
      </c>
      <c r="I10" s="6" t="s">
        <v>9</v>
      </c>
      <c r="J10" s="6" t="s">
        <v>36</v>
      </c>
      <c r="K10" s="6" t="s">
        <v>36</v>
      </c>
      <c r="L10" s="6" t="s">
        <v>36</v>
      </c>
      <c r="M10" s="6" t="s">
        <v>36</v>
      </c>
      <c r="N10" s="6" t="s">
        <v>36</v>
      </c>
      <c r="O10" s="6" t="s">
        <v>984</v>
      </c>
      <c r="P10" s="6" t="s">
        <v>674</v>
      </c>
    </row>
    <row r="11" spans="1:16" ht="188.5" x14ac:dyDescent="0.35">
      <c r="A11" s="6">
        <v>5</v>
      </c>
      <c r="B11" s="6" t="str">
        <f t="shared" si="0"/>
        <v>21.5</v>
      </c>
      <c r="C11" s="31" t="s">
        <v>41</v>
      </c>
      <c r="D11" s="36" t="s">
        <v>530</v>
      </c>
      <c r="E11" s="36" t="s">
        <v>34</v>
      </c>
      <c r="F11" s="36" t="s">
        <v>628</v>
      </c>
      <c r="G11" s="36" t="s">
        <v>36</v>
      </c>
      <c r="H11" s="45" t="s">
        <v>36</v>
      </c>
      <c r="I11" s="36" t="s">
        <v>9</v>
      </c>
      <c r="J11" s="36" t="s">
        <v>532</v>
      </c>
      <c r="K11" s="36" t="s">
        <v>53</v>
      </c>
      <c r="L11" s="36" t="s">
        <v>667</v>
      </c>
      <c r="M11" s="36" t="s">
        <v>36</v>
      </c>
      <c r="N11" s="36" t="s">
        <v>36</v>
      </c>
      <c r="O11" s="36" t="s">
        <v>879</v>
      </c>
    </row>
    <row r="12" spans="1:16" ht="116" x14ac:dyDescent="0.35">
      <c r="A12" s="6">
        <v>6</v>
      </c>
      <c r="B12" s="6" t="str">
        <f t="shared" ref="B12:B17" si="1">CONCATENATE($B$2, ".", A12)</f>
        <v>21.6</v>
      </c>
      <c r="C12" s="31" t="s">
        <v>37</v>
      </c>
      <c r="D12" s="36" t="s">
        <v>710</v>
      </c>
      <c r="E12" s="36" t="s">
        <v>32</v>
      </c>
      <c r="F12" s="36" t="s">
        <v>714</v>
      </c>
      <c r="G12" s="36" t="s">
        <v>623</v>
      </c>
      <c r="H12" s="45" t="s">
        <v>36</v>
      </c>
      <c r="I12" s="36" t="s">
        <v>9</v>
      </c>
      <c r="J12" s="36" t="s">
        <v>36</v>
      </c>
      <c r="K12" s="36" t="s">
        <v>53</v>
      </c>
      <c r="L12" s="36" t="s">
        <v>983</v>
      </c>
      <c r="M12" s="36" t="s">
        <v>715</v>
      </c>
      <c r="N12" s="36" t="s">
        <v>983</v>
      </c>
      <c r="O12" s="36" t="s">
        <v>909</v>
      </c>
      <c r="P12" s="6" t="s">
        <v>985</v>
      </c>
    </row>
    <row r="13" spans="1:16" ht="29" x14ac:dyDescent="0.35">
      <c r="A13" s="6">
        <v>7</v>
      </c>
      <c r="B13" s="6" t="str">
        <f t="shared" si="1"/>
        <v>21.7</v>
      </c>
      <c r="C13" s="31" t="s">
        <v>37</v>
      </c>
      <c r="D13" s="36" t="s">
        <v>982</v>
      </c>
      <c r="E13" s="36" t="s">
        <v>33</v>
      </c>
      <c r="F13" s="36" t="s">
        <v>36</v>
      </c>
      <c r="G13" s="38" t="s">
        <v>36</v>
      </c>
      <c r="H13" s="45" t="s">
        <v>36</v>
      </c>
      <c r="I13" s="36" t="s">
        <v>9</v>
      </c>
      <c r="J13" s="36" t="s">
        <v>36</v>
      </c>
      <c r="K13" s="36" t="s">
        <v>36</v>
      </c>
      <c r="L13" s="36" t="s">
        <v>36</v>
      </c>
      <c r="M13" s="36" t="s">
        <v>36</v>
      </c>
      <c r="N13" s="36" t="s">
        <v>36</v>
      </c>
      <c r="O13" s="36"/>
      <c r="P13" s="36"/>
    </row>
    <row r="14" spans="1:16" ht="72.5" x14ac:dyDescent="0.35">
      <c r="A14" s="6">
        <v>8</v>
      </c>
      <c r="B14" s="6" t="str">
        <f t="shared" si="1"/>
        <v>21.8</v>
      </c>
      <c r="C14" s="31" t="s">
        <v>41</v>
      </c>
      <c r="D14" s="36" t="s">
        <v>726</v>
      </c>
      <c r="E14" s="36" t="s">
        <v>31</v>
      </c>
      <c r="F14" s="36" t="s">
        <v>731</v>
      </c>
      <c r="G14" s="36" t="s">
        <v>717</v>
      </c>
      <c r="H14" s="45">
        <v>19</v>
      </c>
      <c r="I14" s="36" t="s">
        <v>9</v>
      </c>
      <c r="J14" s="36" t="s">
        <v>466</v>
      </c>
      <c r="K14" s="36" t="s">
        <v>53</v>
      </c>
      <c r="L14" s="36" t="s">
        <v>741</v>
      </c>
      <c r="M14" s="36" t="s">
        <v>36</v>
      </c>
      <c r="N14" s="36" t="s">
        <v>36</v>
      </c>
      <c r="O14" s="36" t="s">
        <v>727</v>
      </c>
    </row>
    <row r="15" spans="1:16" ht="72.5" x14ac:dyDescent="0.35">
      <c r="A15" s="6">
        <v>9</v>
      </c>
      <c r="B15" s="6" t="str">
        <f t="shared" si="1"/>
        <v>21.9</v>
      </c>
      <c r="C15" s="31" t="s">
        <v>41</v>
      </c>
      <c r="D15" s="36" t="s">
        <v>711</v>
      </c>
      <c r="E15" s="36" t="s">
        <v>31</v>
      </c>
      <c r="F15" s="36" t="s">
        <v>731</v>
      </c>
      <c r="G15" s="36" t="s">
        <v>718</v>
      </c>
      <c r="H15" s="45">
        <v>19</v>
      </c>
      <c r="I15" s="36" t="s">
        <v>9</v>
      </c>
      <c r="J15" s="36" t="s">
        <v>466</v>
      </c>
      <c r="K15" s="36" t="s">
        <v>53</v>
      </c>
      <c r="L15" s="36" t="s">
        <v>742</v>
      </c>
      <c r="M15" s="36" t="s">
        <v>36</v>
      </c>
      <c r="N15" s="36" t="s">
        <v>36</v>
      </c>
      <c r="O15" s="36" t="s">
        <v>728</v>
      </c>
    </row>
    <row r="16" spans="1:16" ht="72.5" x14ac:dyDescent="0.35">
      <c r="A16" s="6">
        <v>10</v>
      </c>
      <c r="B16" s="6" t="str">
        <f t="shared" si="1"/>
        <v>21.10</v>
      </c>
      <c r="C16" s="31" t="s">
        <v>41</v>
      </c>
      <c r="D16" s="36" t="s">
        <v>712</v>
      </c>
      <c r="E16" s="36" t="s">
        <v>31</v>
      </c>
      <c r="F16" s="36" t="s">
        <v>731</v>
      </c>
      <c r="G16" s="36" t="s">
        <v>719</v>
      </c>
      <c r="H16" s="45">
        <v>19</v>
      </c>
      <c r="I16" s="36" t="s">
        <v>9</v>
      </c>
      <c r="J16" s="36" t="s">
        <v>466</v>
      </c>
      <c r="K16" s="36" t="s">
        <v>53</v>
      </c>
      <c r="L16" s="36" t="s">
        <v>743</v>
      </c>
      <c r="M16" s="36" t="s">
        <v>36</v>
      </c>
      <c r="N16" s="36" t="s">
        <v>36</v>
      </c>
      <c r="O16" s="36" t="s">
        <v>729</v>
      </c>
    </row>
    <row r="17" spans="1:16" ht="72.5" x14ac:dyDescent="0.35">
      <c r="A17" s="6">
        <v>11</v>
      </c>
      <c r="B17" s="6" t="str">
        <f t="shared" si="1"/>
        <v>21.11</v>
      </c>
      <c r="C17" s="31" t="s">
        <v>41</v>
      </c>
      <c r="D17" s="36" t="s">
        <v>713</v>
      </c>
      <c r="E17" s="36" t="s">
        <v>31</v>
      </c>
      <c r="F17" s="36" t="s">
        <v>731</v>
      </c>
      <c r="G17" s="36" t="s">
        <v>720</v>
      </c>
      <c r="H17" s="45">
        <v>19</v>
      </c>
      <c r="I17" s="36" t="s">
        <v>9</v>
      </c>
      <c r="J17" s="36" t="s">
        <v>466</v>
      </c>
      <c r="K17" s="36" t="s">
        <v>53</v>
      </c>
      <c r="L17" s="36" t="s">
        <v>744</v>
      </c>
      <c r="M17" s="36" t="s">
        <v>36</v>
      </c>
      <c r="N17" s="36" t="s">
        <v>36</v>
      </c>
      <c r="O17" s="36" t="s">
        <v>730</v>
      </c>
    </row>
    <row r="18" spans="1:16" ht="159.5" x14ac:dyDescent="0.35">
      <c r="A18" s="6">
        <v>12</v>
      </c>
      <c r="B18" s="6" t="str">
        <f>CONCATENATE($B$2, ".", A18)</f>
        <v>21.12</v>
      </c>
      <c r="C18" s="31" t="s">
        <v>41</v>
      </c>
      <c r="D18" s="6" t="s">
        <v>57</v>
      </c>
      <c r="E18" s="6" t="s">
        <v>42</v>
      </c>
      <c r="F18" s="36" t="s">
        <v>36</v>
      </c>
      <c r="G18" s="36" t="s">
        <v>36</v>
      </c>
      <c r="H18" s="45" t="s">
        <v>36</v>
      </c>
      <c r="I18" s="36" t="s">
        <v>9</v>
      </c>
      <c r="J18" s="36" t="s">
        <v>36</v>
      </c>
      <c r="K18" s="36" t="s">
        <v>36</v>
      </c>
      <c r="L18" s="36" t="s">
        <v>36</v>
      </c>
      <c r="M18" s="36" t="s">
        <v>36</v>
      </c>
      <c r="N18" s="36" t="s">
        <v>36</v>
      </c>
      <c r="O18" s="6" t="s">
        <v>716</v>
      </c>
    </row>
    <row r="19" spans="1:16" x14ac:dyDescent="0.35">
      <c r="A19" s="6">
        <v>13</v>
      </c>
      <c r="B19" s="6" t="str">
        <f t="shared" ref="B19" si="2">CONCATENATE($B$2, ".", A19)</f>
        <v>21.13</v>
      </c>
      <c r="C19" s="31" t="s">
        <v>40</v>
      </c>
      <c r="D19" s="6" t="s">
        <v>56</v>
      </c>
      <c r="E19" s="6" t="s">
        <v>42</v>
      </c>
      <c r="F19" s="36" t="s">
        <v>36</v>
      </c>
      <c r="G19" s="36" t="s">
        <v>36</v>
      </c>
      <c r="H19" s="45" t="s">
        <v>36</v>
      </c>
      <c r="I19" s="36" t="s">
        <v>9</v>
      </c>
      <c r="J19" s="36" t="s">
        <v>36</v>
      </c>
      <c r="K19" s="36" t="s">
        <v>36</v>
      </c>
      <c r="L19" s="36" t="s">
        <v>36</v>
      </c>
      <c r="M19" s="36" t="s">
        <v>36</v>
      </c>
      <c r="N19" s="36" t="s">
        <v>36</v>
      </c>
      <c r="O19" s="36"/>
      <c r="P19" s="36"/>
    </row>
    <row r="21" spans="1:16" x14ac:dyDescent="0.35">
      <c r="D21" s="6" t="s">
        <v>68</v>
      </c>
    </row>
  </sheetData>
  <autoFilter ref="A6:P19"/>
  <mergeCells count="1">
    <mergeCell ref="B4:C4"/>
  </mergeCells>
  <conditionalFormatting sqref="C9:C1048576">
    <cfRule type="cellIs" dxfId="273" priority="42" operator="equal">
      <formula>"WIP (see comments)"</formula>
    </cfRule>
    <cfRule type="cellIs" dxfId="272" priority="43" operator="equal">
      <formula>"Removed"</formula>
    </cfRule>
    <cfRule type="cellIs" dxfId="271" priority="44" operator="equal">
      <formula>"Updated"</formula>
    </cfRule>
    <cfRule type="cellIs" dxfId="270" priority="45" operator="equal">
      <formula>"New"</formula>
    </cfRule>
  </conditionalFormatting>
  <conditionalFormatting sqref="F7:P10 C9:C19">
    <cfRule type="cellIs" dxfId="269" priority="41" operator="equal">
      <formula>"n/a"</formula>
    </cfRule>
  </conditionalFormatting>
  <conditionalFormatting sqref="C7:C8">
    <cfRule type="cellIs" dxfId="268" priority="37" operator="equal">
      <formula>"WIP (see comments)"</formula>
    </cfRule>
    <cfRule type="cellIs" dxfId="267" priority="38" operator="equal">
      <formula>"Removed"</formula>
    </cfRule>
    <cfRule type="cellIs" dxfId="266" priority="39" operator="equal">
      <formula>"Updated"</formula>
    </cfRule>
    <cfRule type="cellIs" dxfId="265" priority="40" operator="equal">
      <formula>"New"</formula>
    </cfRule>
  </conditionalFormatting>
  <conditionalFormatting sqref="C7:C8">
    <cfRule type="cellIs" dxfId="264" priority="36" operator="equal">
      <formula>"n/a"</formula>
    </cfRule>
  </conditionalFormatting>
  <conditionalFormatting sqref="F14 K14:K15 G11:N11 H14:I17 M14:P14 M15:N17 K17 F12:P13 P10:P11">
    <cfRule type="cellIs" dxfId="263" priority="35" operator="equal">
      <formula>"n/a"</formula>
    </cfRule>
  </conditionalFormatting>
  <conditionalFormatting sqref="O15:O17">
    <cfRule type="cellIs" dxfId="262" priority="29" operator="equal">
      <formula>"n/a"</formula>
    </cfRule>
  </conditionalFormatting>
  <conditionalFormatting sqref="J14:J17">
    <cfRule type="cellIs" dxfId="261" priority="16" operator="equal">
      <formula>"n/a"</formula>
    </cfRule>
  </conditionalFormatting>
  <conditionalFormatting sqref="P15:P17">
    <cfRule type="cellIs" dxfId="260" priority="15" operator="equal">
      <formula>"n/a"</formula>
    </cfRule>
  </conditionalFormatting>
  <conditionalFormatting sqref="F11">
    <cfRule type="cellIs" dxfId="259" priority="14" operator="equal">
      <formula>"n/a"</formula>
    </cfRule>
  </conditionalFormatting>
  <conditionalFormatting sqref="O11">
    <cfRule type="cellIs" dxfId="258" priority="13" operator="equal">
      <formula>"n/a"</formula>
    </cfRule>
  </conditionalFormatting>
  <conditionalFormatting sqref="G14:G17">
    <cfRule type="cellIs" dxfId="257" priority="12" operator="equal">
      <formula>"n/a"</formula>
    </cfRule>
  </conditionalFormatting>
  <conditionalFormatting sqref="L14">
    <cfRule type="cellIs" dxfId="256" priority="11" operator="equal">
      <formula>"n/a"</formula>
    </cfRule>
  </conditionalFormatting>
  <conditionalFormatting sqref="L15:L17">
    <cfRule type="cellIs" dxfId="255" priority="10" operator="equal">
      <formula>"n/a"</formula>
    </cfRule>
  </conditionalFormatting>
  <conditionalFormatting sqref="K16">
    <cfRule type="cellIs" dxfId="254" priority="8" operator="equal">
      <formula>"n/a"</formula>
    </cfRule>
  </conditionalFormatting>
  <conditionalFormatting sqref="F18:N19">
    <cfRule type="cellIs" dxfId="253" priority="4" operator="equal">
      <formula>"n/a"</formula>
    </cfRule>
  </conditionalFormatting>
  <conditionalFormatting sqref="F15">
    <cfRule type="cellIs" dxfId="252" priority="3" operator="equal">
      <formula>"n/a"</formula>
    </cfRule>
  </conditionalFormatting>
  <conditionalFormatting sqref="F16">
    <cfRule type="cellIs" dxfId="251" priority="2" operator="equal">
      <formula>"n/a"</formula>
    </cfRule>
  </conditionalFormatting>
  <conditionalFormatting sqref="F17">
    <cfRule type="cellIs" dxfId="250" priority="1" operator="equal">
      <formula>"n/a"</formula>
    </cfRule>
  </conditionalFormatting>
  <dataValidations count="1">
    <dataValidation type="list" allowBlank="1" showInputMessage="1" showErrorMessage="1" sqref="E18:E19">
      <formula1>$A$5:$A$30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Values'!$A$5:$A$34</xm:f>
          </x14:formula1>
          <xm:sqref>E7:E17</xm:sqref>
        </x14:dataValidation>
        <x14:dataValidation type="list" allowBlank="1" showInputMessage="1" showErrorMessage="1">
          <x14:formula1>
            <xm:f>'List Values'!$B$5:$B$12</xm:f>
          </x14:formula1>
          <xm:sqref>C7:C19</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21"/>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31" bestFit="1" customWidth="1"/>
    <col min="9" max="9" width="34.81640625" style="6" customWidth="1"/>
    <col min="10" max="10" width="28.1796875" style="6" customWidth="1"/>
    <col min="11" max="11" width="14" style="6" customWidth="1"/>
    <col min="12" max="12" width="23" style="6" customWidth="1"/>
    <col min="13" max="13" width="29" style="6" customWidth="1"/>
    <col min="14" max="14" width="24.08984375" style="6" customWidth="1"/>
    <col min="15" max="15" width="48.453125" style="6" customWidth="1"/>
    <col min="16" max="16" width="41.81640625" style="6" customWidth="1"/>
    <col min="17" max="16384" width="9.1796875" style="6"/>
  </cols>
  <sheetData>
    <row r="1" spans="1:16" s="27" customFormat="1" ht="18.5" x14ac:dyDescent="0.35">
      <c r="A1" s="25" t="s">
        <v>6</v>
      </c>
      <c r="B1" s="35" t="s">
        <v>315</v>
      </c>
      <c r="C1" s="35"/>
      <c r="D1" s="26"/>
      <c r="H1" s="32"/>
    </row>
    <row r="2" spans="1:16" s="27" customFormat="1" ht="18.5" x14ac:dyDescent="0.35">
      <c r="A2" s="25" t="s">
        <v>7</v>
      </c>
      <c r="B2" s="33">
        <v>22</v>
      </c>
      <c r="C2" s="32"/>
      <c r="D2" s="33"/>
      <c r="H2" s="32"/>
    </row>
    <row r="3" spans="1:16" s="27" customFormat="1" ht="18.5" x14ac:dyDescent="0.35">
      <c r="A3" s="25" t="s">
        <v>43</v>
      </c>
      <c r="B3" s="33" t="s">
        <v>501</v>
      </c>
      <c r="C3" s="32"/>
      <c r="D3" s="33" t="s">
        <v>804</v>
      </c>
      <c r="H3" s="32"/>
    </row>
    <row r="4" spans="1:16" s="27" customFormat="1" ht="18.5" x14ac:dyDescent="0.35">
      <c r="A4" s="25" t="s">
        <v>8</v>
      </c>
      <c r="B4" s="164" t="s">
        <v>46</v>
      </c>
      <c r="C4" s="164"/>
      <c r="H4" s="32"/>
    </row>
    <row r="5" spans="1:16" s="4" customFormat="1" x14ac:dyDescent="0.35">
      <c r="C5" s="34"/>
      <c r="H5" s="34"/>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6">
        <v>1</v>
      </c>
      <c r="B7" s="6" t="str">
        <f t="shared" ref="B7:B8" si="0">CONCATENATE($B$2, ".", A7)</f>
        <v>22.1</v>
      </c>
      <c r="C7" s="31" t="s">
        <v>41</v>
      </c>
      <c r="D7" s="6" t="s">
        <v>526</v>
      </c>
      <c r="E7" s="6" t="s">
        <v>115</v>
      </c>
      <c r="F7" s="6" t="s">
        <v>36</v>
      </c>
      <c r="G7" s="6" t="s">
        <v>36</v>
      </c>
      <c r="H7" s="31" t="s">
        <v>36</v>
      </c>
      <c r="I7" s="6" t="s">
        <v>9</v>
      </c>
      <c r="J7" s="6" t="s">
        <v>36</v>
      </c>
      <c r="K7" s="6" t="s">
        <v>36</v>
      </c>
      <c r="L7" s="6" t="s">
        <v>36</v>
      </c>
      <c r="M7" s="6" t="s">
        <v>36</v>
      </c>
      <c r="N7" s="6" t="s">
        <v>36</v>
      </c>
      <c r="O7" s="6" t="s">
        <v>36</v>
      </c>
    </row>
    <row r="8" spans="1:16" ht="29" x14ac:dyDescent="0.35">
      <c r="A8" s="6">
        <v>2</v>
      </c>
      <c r="B8" s="6" t="str">
        <f t="shared" si="0"/>
        <v>22.2</v>
      </c>
      <c r="C8" s="31" t="s">
        <v>44</v>
      </c>
      <c r="D8" s="6" t="s">
        <v>36</v>
      </c>
      <c r="E8" s="6" t="s">
        <v>48</v>
      </c>
      <c r="F8" s="6" t="s">
        <v>36</v>
      </c>
      <c r="G8" s="6" t="s">
        <v>36</v>
      </c>
      <c r="H8" s="31" t="s">
        <v>36</v>
      </c>
      <c r="I8" s="6" t="s">
        <v>9</v>
      </c>
      <c r="J8" s="6" t="s">
        <v>36</v>
      </c>
      <c r="K8" s="6" t="s">
        <v>36</v>
      </c>
      <c r="L8" s="6" t="s">
        <v>36</v>
      </c>
      <c r="M8" s="6" t="s">
        <v>36</v>
      </c>
      <c r="N8" s="6" t="s">
        <v>36</v>
      </c>
      <c r="O8" s="6" t="s">
        <v>36</v>
      </c>
    </row>
    <row r="9" spans="1:16" ht="36" customHeight="1" x14ac:dyDescent="0.35">
      <c r="A9" s="6">
        <v>3</v>
      </c>
      <c r="B9" s="6" t="str">
        <f t="shared" ref="B9:B15" si="1">CONCATENATE($B$2, ".", A9)</f>
        <v>22.3</v>
      </c>
      <c r="C9" s="31" t="s">
        <v>41</v>
      </c>
      <c r="D9" s="6" t="s">
        <v>802</v>
      </c>
      <c r="E9" s="6" t="s">
        <v>28</v>
      </c>
      <c r="F9" s="6" t="s">
        <v>36</v>
      </c>
      <c r="G9" s="6" t="s">
        <v>36</v>
      </c>
      <c r="H9" s="31" t="s">
        <v>36</v>
      </c>
      <c r="I9" s="6" t="s">
        <v>9</v>
      </c>
      <c r="J9" s="6" t="s">
        <v>36</v>
      </c>
      <c r="K9" s="6" t="s">
        <v>36</v>
      </c>
      <c r="L9" s="6" t="s">
        <v>36</v>
      </c>
      <c r="M9" s="6" t="s">
        <v>36</v>
      </c>
      <c r="N9" s="6" t="s">
        <v>36</v>
      </c>
      <c r="O9" s="6" t="s">
        <v>36</v>
      </c>
    </row>
    <row r="10" spans="1:16" ht="31" customHeight="1" x14ac:dyDescent="0.35">
      <c r="A10" s="6">
        <v>4</v>
      </c>
      <c r="B10" s="6" t="str">
        <f t="shared" ref="B10" si="2">CONCATENATE($B$2, ".", A10)</f>
        <v>22.4</v>
      </c>
      <c r="C10" s="31" t="s">
        <v>37</v>
      </c>
      <c r="D10" s="6" t="s">
        <v>987</v>
      </c>
      <c r="E10" s="6" t="s">
        <v>28</v>
      </c>
      <c r="F10" s="6" t="s">
        <v>36</v>
      </c>
      <c r="G10" s="6" t="s">
        <v>36</v>
      </c>
      <c r="H10" s="31" t="s">
        <v>36</v>
      </c>
      <c r="I10" s="6" t="s">
        <v>9</v>
      </c>
      <c r="J10" s="6" t="s">
        <v>36</v>
      </c>
      <c r="K10" s="6" t="s">
        <v>36</v>
      </c>
      <c r="L10" s="6" t="s">
        <v>36</v>
      </c>
      <c r="M10" s="6" t="s">
        <v>36</v>
      </c>
      <c r="N10" s="6" t="s">
        <v>36</v>
      </c>
      <c r="O10" s="6" t="s">
        <v>36</v>
      </c>
    </row>
    <row r="11" spans="1:16" ht="54" customHeight="1" x14ac:dyDescent="0.35">
      <c r="A11" s="6">
        <v>5</v>
      </c>
      <c r="B11" s="6" t="str">
        <f t="shared" si="1"/>
        <v>22.5</v>
      </c>
      <c r="C11" s="31" t="s">
        <v>37</v>
      </c>
      <c r="D11" s="6" t="s">
        <v>749</v>
      </c>
      <c r="E11" s="6" t="s">
        <v>33</v>
      </c>
      <c r="F11" s="6" t="s">
        <v>36</v>
      </c>
      <c r="G11" s="6" t="s">
        <v>36</v>
      </c>
      <c r="H11" s="31" t="s">
        <v>36</v>
      </c>
      <c r="I11" s="6" t="s">
        <v>9</v>
      </c>
      <c r="J11" s="6" t="s">
        <v>36</v>
      </c>
      <c r="K11" s="6" t="s">
        <v>36</v>
      </c>
      <c r="L11" s="6" t="s">
        <v>36</v>
      </c>
      <c r="M11" s="6" t="s">
        <v>36</v>
      </c>
      <c r="N11" s="6" t="s">
        <v>36</v>
      </c>
      <c r="O11" s="6" t="s">
        <v>36</v>
      </c>
    </row>
    <row r="12" spans="1:16" ht="15" customHeight="1" x14ac:dyDescent="0.35">
      <c r="A12" s="96" t="s">
        <v>538</v>
      </c>
      <c r="B12" s="96"/>
      <c r="C12" s="115"/>
      <c r="D12" s="96"/>
      <c r="E12" s="96"/>
      <c r="F12" s="96"/>
      <c r="G12" s="96"/>
      <c r="H12" s="115"/>
      <c r="I12" s="96"/>
      <c r="J12" s="96"/>
      <c r="K12" s="96"/>
      <c r="L12" s="96"/>
      <c r="M12" s="96"/>
      <c r="N12" s="96"/>
      <c r="O12" s="96"/>
      <c r="P12" s="96"/>
    </row>
    <row r="13" spans="1:16" ht="57" customHeight="1" x14ac:dyDescent="0.35">
      <c r="A13" s="6">
        <v>6</v>
      </c>
      <c r="B13" s="6" t="str">
        <f t="shared" si="1"/>
        <v>22.6</v>
      </c>
      <c r="C13" s="31" t="s">
        <v>41</v>
      </c>
      <c r="D13" s="6" t="s">
        <v>528</v>
      </c>
      <c r="E13" s="6" t="s">
        <v>35</v>
      </c>
      <c r="F13" s="6" t="s">
        <v>540</v>
      </c>
      <c r="G13" s="6" t="s">
        <v>36</v>
      </c>
      <c r="H13" s="31" t="s">
        <v>36</v>
      </c>
      <c r="I13" s="6" t="s">
        <v>542</v>
      </c>
      <c r="J13" s="6" t="s">
        <v>36</v>
      </c>
      <c r="K13" s="6" t="s">
        <v>36</v>
      </c>
      <c r="L13" s="6" t="s">
        <v>36</v>
      </c>
      <c r="M13" s="6" t="s">
        <v>36</v>
      </c>
      <c r="N13" s="6" t="s">
        <v>36</v>
      </c>
      <c r="O13" s="6" t="s">
        <v>543</v>
      </c>
    </row>
    <row r="14" spans="1:16" ht="57" customHeight="1" x14ac:dyDescent="0.35">
      <c r="A14" s="6">
        <v>7</v>
      </c>
      <c r="B14" s="6" t="str">
        <f t="shared" si="1"/>
        <v>22.7</v>
      </c>
      <c r="C14" s="31" t="s">
        <v>41</v>
      </c>
      <c r="D14" s="6" t="s">
        <v>539</v>
      </c>
      <c r="E14" s="6" t="s">
        <v>35</v>
      </c>
      <c r="F14" s="6" t="s">
        <v>541</v>
      </c>
      <c r="G14" s="6" t="s">
        <v>36</v>
      </c>
      <c r="H14" s="31" t="s">
        <v>36</v>
      </c>
      <c r="I14" s="6" t="s">
        <v>542</v>
      </c>
      <c r="J14" s="6" t="s">
        <v>36</v>
      </c>
      <c r="K14" s="6" t="s">
        <v>36</v>
      </c>
      <c r="L14" s="6" t="s">
        <v>36</v>
      </c>
      <c r="M14" s="6" t="s">
        <v>36</v>
      </c>
      <c r="N14" s="6" t="s">
        <v>36</v>
      </c>
      <c r="O14" s="6" t="s">
        <v>544</v>
      </c>
      <c r="P14" s="36" t="s">
        <v>546</v>
      </c>
    </row>
    <row r="15" spans="1:16" ht="57" customHeight="1" x14ac:dyDescent="0.35">
      <c r="A15" s="6">
        <v>8</v>
      </c>
      <c r="B15" s="6" t="str">
        <f t="shared" si="1"/>
        <v>22.8</v>
      </c>
      <c r="C15" s="31" t="s">
        <v>41</v>
      </c>
      <c r="D15" s="6" t="s">
        <v>799</v>
      </c>
      <c r="E15" s="6" t="s">
        <v>99</v>
      </c>
      <c r="F15" s="6" t="s">
        <v>800</v>
      </c>
      <c r="G15" s="6" t="s">
        <v>36</v>
      </c>
      <c r="H15" s="31" t="s">
        <v>36</v>
      </c>
      <c r="I15" s="6" t="s">
        <v>542</v>
      </c>
      <c r="J15" s="6" t="s">
        <v>36</v>
      </c>
      <c r="K15" s="6" t="s">
        <v>36</v>
      </c>
      <c r="L15" s="6" t="s">
        <v>36</v>
      </c>
      <c r="M15" s="6" t="s">
        <v>36</v>
      </c>
      <c r="N15" s="6" t="s">
        <v>36</v>
      </c>
      <c r="O15" s="6" t="s">
        <v>801</v>
      </c>
      <c r="P15" s="36"/>
    </row>
    <row r="16" spans="1:16" ht="15" customHeight="1" x14ac:dyDescent="0.35">
      <c r="A16" s="96" t="s">
        <v>531</v>
      </c>
      <c r="B16" s="96"/>
      <c r="C16" s="115"/>
      <c r="D16" s="96"/>
      <c r="E16" s="96"/>
      <c r="F16" s="96"/>
      <c r="G16" s="96"/>
      <c r="H16" s="115"/>
      <c r="I16" s="96"/>
      <c r="J16" s="96"/>
      <c r="K16" s="96"/>
      <c r="L16" s="96"/>
      <c r="M16" s="96"/>
      <c r="N16" s="96"/>
      <c r="O16" s="96"/>
      <c r="P16" s="96"/>
    </row>
    <row r="17" spans="1:15" ht="58" x14ac:dyDescent="0.35">
      <c r="A17" s="6">
        <v>9</v>
      </c>
      <c r="B17" s="6" t="str">
        <f>CONCATENATE($B$2, ".", A17)</f>
        <v>22.9</v>
      </c>
      <c r="C17" s="31" t="s">
        <v>41</v>
      </c>
      <c r="D17" s="6" t="s">
        <v>803</v>
      </c>
      <c r="E17" s="6" t="s">
        <v>99</v>
      </c>
      <c r="F17" s="6" t="s">
        <v>36</v>
      </c>
      <c r="G17" s="6" t="s">
        <v>36</v>
      </c>
      <c r="H17" s="31" t="s">
        <v>36</v>
      </c>
      <c r="I17" s="6" t="s">
        <v>9</v>
      </c>
      <c r="J17" s="6" t="s">
        <v>36</v>
      </c>
      <c r="K17" s="6" t="s">
        <v>36</v>
      </c>
      <c r="L17" s="6" t="s">
        <v>36</v>
      </c>
      <c r="M17" s="6" t="s">
        <v>36</v>
      </c>
      <c r="N17" s="6" t="s">
        <v>36</v>
      </c>
      <c r="O17" s="6" t="s">
        <v>986</v>
      </c>
    </row>
    <row r="18" spans="1:15" ht="29" x14ac:dyDescent="0.35">
      <c r="A18" s="6">
        <v>10</v>
      </c>
      <c r="B18" s="6" t="str">
        <f>CONCATENATE($B$2, ".", A18)</f>
        <v>22.10</v>
      </c>
      <c r="C18" s="31" t="s">
        <v>41</v>
      </c>
      <c r="D18" s="6" t="s">
        <v>57</v>
      </c>
      <c r="E18" s="6" t="s">
        <v>42</v>
      </c>
      <c r="F18" s="6" t="s">
        <v>36</v>
      </c>
      <c r="G18" s="6" t="s">
        <v>36</v>
      </c>
      <c r="H18" s="31" t="s">
        <v>36</v>
      </c>
      <c r="I18" s="6" t="s">
        <v>9</v>
      </c>
      <c r="J18" s="6" t="s">
        <v>36</v>
      </c>
      <c r="K18" s="6" t="s">
        <v>36</v>
      </c>
      <c r="L18" s="6" t="s">
        <v>36</v>
      </c>
      <c r="M18" s="6" t="s">
        <v>36</v>
      </c>
      <c r="N18" s="6" t="s">
        <v>36</v>
      </c>
      <c r="O18" s="6" t="s">
        <v>765</v>
      </c>
    </row>
    <row r="19" spans="1:15" ht="29" x14ac:dyDescent="0.35">
      <c r="A19" s="6">
        <v>11</v>
      </c>
      <c r="B19" s="6" t="str">
        <f t="shared" ref="B19" si="3">CONCATENATE($B$2, ".", A19)</f>
        <v>22.11</v>
      </c>
      <c r="C19" s="31" t="s">
        <v>41</v>
      </c>
      <c r="D19" s="6" t="s">
        <v>56</v>
      </c>
      <c r="E19" s="6" t="s">
        <v>42</v>
      </c>
      <c r="F19" s="6" t="s">
        <v>36</v>
      </c>
      <c r="G19" s="6" t="s">
        <v>36</v>
      </c>
      <c r="H19" s="31" t="s">
        <v>36</v>
      </c>
      <c r="I19" s="6" t="s">
        <v>9</v>
      </c>
      <c r="J19" s="6" t="s">
        <v>36</v>
      </c>
      <c r="K19" s="6" t="s">
        <v>36</v>
      </c>
      <c r="L19" s="6" t="s">
        <v>36</v>
      </c>
      <c r="M19" s="6" t="s">
        <v>36</v>
      </c>
      <c r="N19" s="6" t="s">
        <v>36</v>
      </c>
      <c r="O19" s="6" t="s">
        <v>545</v>
      </c>
    </row>
    <row r="21" spans="1:15" x14ac:dyDescent="0.35">
      <c r="D21" s="6" t="s">
        <v>68</v>
      </c>
    </row>
  </sheetData>
  <autoFilter ref="A6:P19"/>
  <mergeCells count="1">
    <mergeCell ref="B4:C4"/>
  </mergeCells>
  <conditionalFormatting sqref="C17:C1048576 C7:C15">
    <cfRule type="cellIs" dxfId="249" priority="31" operator="equal">
      <formula>"WIP (see comments)"</formula>
    </cfRule>
    <cfRule type="cellIs" dxfId="248" priority="32" operator="equal">
      <formula>"Removed"</formula>
    </cfRule>
    <cfRule type="cellIs" dxfId="247" priority="33" operator="equal">
      <formula>"Updated"</formula>
    </cfRule>
    <cfRule type="cellIs" dxfId="246" priority="34" operator="equal">
      <formula>"New"</formula>
    </cfRule>
  </conditionalFormatting>
  <conditionalFormatting sqref="C7:C8 Q9:XFD15 A12:D12 A13:A15 C17:C19 F9:H10 J9:O10 C9:D11 C13:D15 F11:O15">
    <cfRule type="cellIs" dxfId="245" priority="30" operator="equal">
      <formula>"n/a"</formula>
    </cfRule>
  </conditionalFormatting>
  <conditionalFormatting sqref="K7:O8">
    <cfRule type="cellIs" dxfId="244" priority="19" operator="equal">
      <formula>"n/a"</formula>
    </cfRule>
  </conditionalFormatting>
  <conditionalFormatting sqref="F7:H8">
    <cfRule type="cellIs" dxfId="243" priority="17" operator="equal">
      <formula>"n/a"</formula>
    </cfRule>
  </conditionalFormatting>
  <conditionalFormatting sqref="J7:J8">
    <cfRule type="cellIs" dxfId="242" priority="14" operator="equal">
      <formula>"n/a"</formula>
    </cfRule>
  </conditionalFormatting>
  <conditionalFormatting sqref="C16">
    <cfRule type="cellIs" dxfId="241" priority="3" operator="equal">
      <formula>"WIP (see comments)"</formula>
    </cfRule>
    <cfRule type="cellIs" dxfId="240" priority="4" operator="equal">
      <formula>"Removed"</formula>
    </cfRule>
    <cfRule type="cellIs" dxfId="239" priority="5" operator="equal">
      <formula>"Updated"</formula>
    </cfRule>
    <cfRule type="cellIs" dxfId="238" priority="6" operator="equal">
      <formula>"New"</formula>
    </cfRule>
  </conditionalFormatting>
  <conditionalFormatting sqref="Q16:XFD16 A16:D16 F16:O16">
    <cfRule type="cellIs" dxfId="237" priority="2" operator="equal">
      <formula>"n/a"</formula>
    </cfRule>
  </conditionalFormatting>
  <conditionalFormatting sqref="F17:O19">
    <cfRule type="cellIs" dxfId="23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C7:C19</xm:sqref>
        </x14:dataValidation>
        <x14:dataValidation type="list" allowBlank="1" showInputMessage="1" showErrorMessage="1">
          <x14:formula1>
            <xm:f>'List Values'!$A$5:$A$34</xm:f>
          </x14:formula1>
          <xm:sqref>E7:E19</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39"/>
  <sheetViews>
    <sheetView workbookViewId="0">
      <pane xSplit="4" ySplit="6" topLeftCell="E7" activePane="bottomRight" state="frozen"/>
      <selection activeCell="O8" sqref="O8"/>
      <selection pane="topRight" activeCell="O8" sqref="O8"/>
      <selection pane="bottomLeft" activeCell="O8" sqref="O8"/>
      <selection pane="bottomRight" activeCell="A9" sqref="A9"/>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31" bestFit="1" customWidth="1"/>
    <col min="9" max="9" width="34.81640625" style="6" customWidth="1"/>
    <col min="10" max="10" width="28.1796875" style="6" customWidth="1"/>
    <col min="11" max="11" width="14" style="6" customWidth="1"/>
    <col min="12" max="12" width="23" style="6" customWidth="1"/>
    <col min="13" max="13" width="29" style="6" customWidth="1"/>
    <col min="14" max="14" width="24.08984375" style="6" customWidth="1"/>
    <col min="15" max="15" width="48.453125" style="6" customWidth="1"/>
    <col min="16" max="16" width="41.81640625" style="6" customWidth="1"/>
    <col min="17" max="16384" width="9.1796875" style="6"/>
  </cols>
  <sheetData>
    <row r="1" spans="1:16" s="27" customFormat="1" ht="18.5" x14ac:dyDescent="0.35">
      <c r="A1" s="25" t="s">
        <v>6</v>
      </c>
      <c r="B1" s="35" t="s">
        <v>747</v>
      </c>
      <c r="C1" s="35"/>
      <c r="D1" s="26"/>
      <c r="H1" s="32"/>
    </row>
    <row r="2" spans="1:16" s="27" customFormat="1" ht="18.5" x14ac:dyDescent="0.35">
      <c r="A2" s="25" t="s">
        <v>7</v>
      </c>
      <c r="B2" s="130">
        <v>23</v>
      </c>
      <c r="C2" s="32"/>
      <c r="D2" s="130"/>
      <c r="H2" s="32"/>
    </row>
    <row r="3" spans="1:16" s="27" customFormat="1" ht="18.5" x14ac:dyDescent="0.35">
      <c r="A3" s="25" t="s">
        <v>43</v>
      </c>
      <c r="B3" s="130" t="s">
        <v>748</v>
      </c>
      <c r="C3" s="32"/>
      <c r="D3" s="130"/>
      <c r="H3" s="32"/>
    </row>
    <row r="4" spans="1:16" s="27" customFormat="1" ht="18.5" x14ac:dyDescent="0.35">
      <c r="A4" s="25" t="s">
        <v>8</v>
      </c>
      <c r="B4" s="164" t="s">
        <v>46</v>
      </c>
      <c r="C4" s="164"/>
      <c r="H4" s="32"/>
    </row>
    <row r="5" spans="1:16" s="4" customFormat="1" x14ac:dyDescent="0.35">
      <c r="C5" s="34"/>
      <c r="H5" s="34"/>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6">
        <v>1</v>
      </c>
      <c r="B7" s="6" t="str">
        <f t="shared" ref="B7:B16" si="0">CONCATENATE($B$2, ".", A7)</f>
        <v>23.1</v>
      </c>
      <c r="C7" s="31" t="s">
        <v>41</v>
      </c>
      <c r="D7" s="6" t="s">
        <v>988</v>
      </c>
      <c r="E7" s="6" t="s">
        <v>115</v>
      </c>
      <c r="F7" s="6" t="s">
        <v>36</v>
      </c>
      <c r="G7" s="6" t="s">
        <v>36</v>
      </c>
      <c r="H7" s="144" t="s">
        <v>36</v>
      </c>
      <c r="I7" s="6" t="s">
        <v>9</v>
      </c>
      <c r="J7" s="6" t="s">
        <v>36</v>
      </c>
      <c r="K7" s="6" t="s">
        <v>36</v>
      </c>
      <c r="L7" s="6" t="s">
        <v>36</v>
      </c>
      <c r="M7" s="6" t="s">
        <v>36</v>
      </c>
      <c r="N7" s="6" t="s">
        <v>36</v>
      </c>
      <c r="O7" s="6" t="s">
        <v>36</v>
      </c>
      <c r="P7" s="6" t="s">
        <v>209</v>
      </c>
    </row>
    <row r="8" spans="1:16" ht="29" x14ac:dyDescent="0.35">
      <c r="A8" s="6">
        <v>2</v>
      </c>
      <c r="B8" s="6" t="str">
        <f t="shared" si="0"/>
        <v>23.2</v>
      </c>
      <c r="C8" s="31" t="s">
        <v>44</v>
      </c>
      <c r="D8" s="6" t="s">
        <v>36</v>
      </c>
      <c r="E8" s="6" t="s">
        <v>48</v>
      </c>
      <c r="F8" s="6" t="s">
        <v>36</v>
      </c>
      <c r="G8" s="6" t="s">
        <v>36</v>
      </c>
      <c r="H8" s="144" t="s">
        <v>36</v>
      </c>
      <c r="I8" s="6" t="s">
        <v>9</v>
      </c>
      <c r="J8" s="6" t="s">
        <v>36</v>
      </c>
      <c r="K8" s="6" t="s">
        <v>36</v>
      </c>
      <c r="L8" s="6" t="s">
        <v>36</v>
      </c>
      <c r="M8" s="6" t="s">
        <v>36</v>
      </c>
      <c r="N8" s="6" t="s">
        <v>36</v>
      </c>
      <c r="O8" s="6" t="s">
        <v>36</v>
      </c>
    </row>
    <row r="9" spans="1:16" ht="109.5" customHeight="1" x14ac:dyDescent="0.35">
      <c r="A9" s="6">
        <v>3</v>
      </c>
      <c r="B9" s="6" t="str">
        <f t="shared" si="0"/>
        <v>23.3</v>
      </c>
      <c r="C9" s="31" t="s">
        <v>37</v>
      </c>
      <c r="D9" s="6" t="s">
        <v>989</v>
      </c>
      <c r="E9" s="6" t="s">
        <v>33</v>
      </c>
      <c r="F9" s="6" t="s">
        <v>36</v>
      </c>
      <c r="G9" s="6" t="s">
        <v>36</v>
      </c>
      <c r="H9" s="144" t="s">
        <v>36</v>
      </c>
      <c r="I9" s="6" t="s">
        <v>9</v>
      </c>
      <c r="J9" s="6" t="s">
        <v>36</v>
      </c>
      <c r="K9" s="6" t="s">
        <v>36</v>
      </c>
      <c r="L9" s="6" t="s">
        <v>36</v>
      </c>
      <c r="M9" s="6" t="s">
        <v>36</v>
      </c>
      <c r="N9" s="6" t="s">
        <v>36</v>
      </c>
      <c r="O9" s="6" t="s">
        <v>36</v>
      </c>
      <c r="P9" s="6" t="s">
        <v>209</v>
      </c>
    </row>
    <row r="10" spans="1:16" ht="15" customHeight="1" x14ac:dyDescent="0.35">
      <c r="A10" s="96" t="s">
        <v>754</v>
      </c>
      <c r="B10" s="92"/>
      <c r="C10" s="99"/>
      <c r="D10" s="92"/>
      <c r="E10" s="92"/>
      <c r="F10" s="92"/>
      <c r="G10" s="92"/>
      <c r="H10" s="94"/>
      <c r="I10" s="92"/>
      <c r="J10" s="95"/>
      <c r="K10" s="95"/>
      <c r="L10" s="95"/>
      <c r="M10" s="95"/>
      <c r="N10" s="95"/>
      <c r="O10" s="95"/>
      <c r="P10" s="92"/>
    </row>
    <row r="11" spans="1:16" ht="53" customHeight="1" x14ac:dyDescent="0.35">
      <c r="A11" s="6">
        <v>4</v>
      </c>
      <c r="B11" s="6" t="str">
        <f t="shared" ref="B11:B13" si="1">CONCATENATE($B$2, ".", A11)</f>
        <v>23.4</v>
      </c>
      <c r="C11" s="31" t="s">
        <v>41</v>
      </c>
      <c r="D11" s="50" t="s">
        <v>721</v>
      </c>
      <c r="E11" s="6" t="s">
        <v>114</v>
      </c>
      <c r="F11" s="6" t="s">
        <v>36</v>
      </c>
      <c r="G11" s="36" t="s">
        <v>36</v>
      </c>
      <c r="H11" s="131" t="s">
        <v>36</v>
      </c>
      <c r="I11" s="6" t="s">
        <v>9</v>
      </c>
      <c r="J11" s="6" t="s">
        <v>36</v>
      </c>
      <c r="K11" s="6" t="s">
        <v>36</v>
      </c>
      <c r="L11" s="6" t="s">
        <v>36</v>
      </c>
      <c r="M11" s="6" t="s">
        <v>36</v>
      </c>
      <c r="N11" s="6" t="s">
        <v>36</v>
      </c>
      <c r="O11" s="37" t="s">
        <v>846</v>
      </c>
    </row>
    <row r="12" spans="1:16" ht="89" customHeight="1" x14ac:dyDescent="0.35">
      <c r="A12" s="6">
        <v>5</v>
      </c>
      <c r="B12" s="6" t="str">
        <f t="shared" si="1"/>
        <v>23.5</v>
      </c>
      <c r="C12" s="31" t="s">
        <v>37</v>
      </c>
      <c r="D12" s="50" t="s">
        <v>585</v>
      </c>
      <c r="E12" s="6" t="s">
        <v>35</v>
      </c>
      <c r="F12" s="6" t="s">
        <v>36</v>
      </c>
      <c r="G12" s="36" t="s">
        <v>993</v>
      </c>
      <c r="H12" s="131" t="s">
        <v>36</v>
      </c>
      <c r="I12" s="6" t="s">
        <v>9</v>
      </c>
      <c r="J12" s="6" t="s">
        <v>36</v>
      </c>
      <c r="K12" s="6" t="s">
        <v>36</v>
      </c>
      <c r="L12" s="6" t="s">
        <v>36</v>
      </c>
      <c r="M12" s="6" t="s">
        <v>36</v>
      </c>
      <c r="N12" s="6" t="s">
        <v>36</v>
      </c>
      <c r="O12" s="37" t="s">
        <v>848</v>
      </c>
      <c r="P12" s="36"/>
    </row>
    <row r="13" spans="1:16" ht="29" x14ac:dyDescent="0.35">
      <c r="A13" s="6">
        <v>6</v>
      </c>
      <c r="B13" s="6" t="str">
        <f t="shared" si="1"/>
        <v>23.6</v>
      </c>
      <c r="C13" s="31" t="s">
        <v>44</v>
      </c>
      <c r="D13" s="50" t="s">
        <v>830</v>
      </c>
      <c r="E13" s="6" t="s">
        <v>114</v>
      </c>
      <c r="F13" s="6" t="s">
        <v>36</v>
      </c>
      <c r="G13" s="36" t="s">
        <v>36</v>
      </c>
      <c r="H13" s="146" t="s">
        <v>36</v>
      </c>
      <c r="I13" s="6" t="s">
        <v>9</v>
      </c>
      <c r="J13" s="6" t="s">
        <v>36</v>
      </c>
      <c r="K13" s="6" t="s">
        <v>36</v>
      </c>
      <c r="L13" s="6" t="s">
        <v>36</v>
      </c>
      <c r="M13" s="6" t="s">
        <v>36</v>
      </c>
      <c r="N13" s="6" t="s">
        <v>36</v>
      </c>
      <c r="O13" s="37" t="s">
        <v>847</v>
      </c>
      <c r="P13" s="36" t="s">
        <v>395</v>
      </c>
    </row>
    <row r="14" spans="1:16" ht="15" customHeight="1" x14ac:dyDescent="0.35">
      <c r="A14" s="96" t="s">
        <v>752</v>
      </c>
      <c r="B14" s="96"/>
      <c r="C14" s="115"/>
      <c r="D14" s="96"/>
      <c r="E14" s="96"/>
      <c r="F14" s="96"/>
      <c r="G14" s="96"/>
      <c r="H14" s="115"/>
      <c r="I14" s="96"/>
      <c r="J14" s="96"/>
      <c r="K14" s="96"/>
      <c r="L14" s="96"/>
      <c r="M14" s="96"/>
      <c r="N14" s="96"/>
      <c r="O14" s="96"/>
      <c r="P14" s="96"/>
    </row>
    <row r="15" spans="1:16" ht="43.5" x14ac:dyDescent="0.35">
      <c r="A15" s="6">
        <v>7</v>
      </c>
      <c r="B15" s="6" t="str">
        <f t="shared" si="0"/>
        <v>23.7</v>
      </c>
      <c r="C15" s="31" t="s">
        <v>41</v>
      </c>
      <c r="D15" s="50" t="s">
        <v>750</v>
      </c>
      <c r="E15" s="6" t="s">
        <v>114</v>
      </c>
      <c r="F15" s="6" t="s">
        <v>36</v>
      </c>
      <c r="G15" s="36" t="s">
        <v>36</v>
      </c>
      <c r="H15" s="131" t="s">
        <v>36</v>
      </c>
      <c r="I15" s="6" t="s">
        <v>9</v>
      </c>
      <c r="J15" s="6" t="s">
        <v>36</v>
      </c>
      <c r="K15" s="6" t="s">
        <v>36</v>
      </c>
      <c r="L15" s="6" t="s">
        <v>36</v>
      </c>
      <c r="M15" s="6" t="s">
        <v>36</v>
      </c>
      <c r="N15" s="6" t="s">
        <v>36</v>
      </c>
      <c r="O15" s="37" t="s">
        <v>831</v>
      </c>
    </row>
    <row r="16" spans="1:16" ht="43.5" x14ac:dyDescent="0.35">
      <c r="A16" s="6">
        <v>8</v>
      </c>
      <c r="B16" s="6" t="str">
        <f t="shared" si="0"/>
        <v>23.8</v>
      </c>
      <c r="C16" s="31" t="s">
        <v>41</v>
      </c>
      <c r="D16" s="50" t="s">
        <v>751</v>
      </c>
      <c r="E16" s="6" t="s">
        <v>35</v>
      </c>
      <c r="F16" s="6" t="s">
        <v>36</v>
      </c>
      <c r="G16" s="36" t="s">
        <v>36</v>
      </c>
      <c r="H16" s="131" t="s">
        <v>36</v>
      </c>
      <c r="I16" s="6" t="s">
        <v>9</v>
      </c>
      <c r="J16" s="6" t="s">
        <v>36</v>
      </c>
      <c r="K16" s="6" t="s">
        <v>36</v>
      </c>
      <c r="L16" s="6" t="s">
        <v>36</v>
      </c>
      <c r="M16" s="6" t="s">
        <v>36</v>
      </c>
      <c r="N16" s="6" t="s">
        <v>36</v>
      </c>
      <c r="O16" s="37" t="s">
        <v>832</v>
      </c>
      <c r="P16" s="36"/>
    </row>
    <row r="17" spans="1:16" ht="29" x14ac:dyDescent="0.35">
      <c r="A17" s="6">
        <v>9</v>
      </c>
      <c r="B17" s="6" t="str">
        <f t="shared" ref="B17" si="2">CONCATENATE($B$2, ".", A17)</f>
        <v>23.9</v>
      </c>
      <c r="C17" s="31" t="s">
        <v>44</v>
      </c>
      <c r="D17" s="50" t="s">
        <v>830</v>
      </c>
      <c r="E17" s="6" t="s">
        <v>114</v>
      </c>
      <c r="F17" s="6" t="s">
        <v>36</v>
      </c>
      <c r="G17" s="36" t="s">
        <v>36</v>
      </c>
      <c r="H17" s="144" t="s">
        <v>36</v>
      </c>
      <c r="I17" s="6" t="s">
        <v>9</v>
      </c>
      <c r="J17" s="6" t="s">
        <v>36</v>
      </c>
      <c r="K17" s="6" t="s">
        <v>36</v>
      </c>
      <c r="L17" s="6" t="s">
        <v>36</v>
      </c>
      <c r="M17" s="6" t="s">
        <v>36</v>
      </c>
      <c r="N17" s="6" t="s">
        <v>36</v>
      </c>
      <c r="O17" s="37" t="s">
        <v>849</v>
      </c>
      <c r="P17" s="36" t="s">
        <v>395</v>
      </c>
    </row>
    <row r="18" spans="1:16" x14ac:dyDescent="0.35">
      <c r="A18" s="96" t="s">
        <v>753</v>
      </c>
      <c r="B18" s="96"/>
      <c r="C18" s="115"/>
      <c r="D18" s="96"/>
      <c r="E18" s="96"/>
      <c r="F18" s="96"/>
      <c r="G18" s="96"/>
      <c r="H18" s="115"/>
      <c r="I18" s="96"/>
      <c r="J18" s="96"/>
      <c r="K18" s="96"/>
      <c r="L18" s="96"/>
      <c r="M18" s="96"/>
      <c r="N18" s="96"/>
      <c r="O18" s="96"/>
      <c r="P18" s="96"/>
    </row>
    <row r="19" spans="1:16" x14ac:dyDescent="0.35">
      <c r="A19" s="6">
        <v>10</v>
      </c>
      <c r="B19" s="6" t="str">
        <f t="shared" ref="B19:B23" si="3">CONCATENATE($B$2, ".", A19)</f>
        <v>23.10</v>
      </c>
      <c r="C19" s="31" t="s">
        <v>37</v>
      </c>
      <c r="D19" s="44" t="s">
        <v>990</v>
      </c>
      <c r="E19" s="6" t="s">
        <v>28</v>
      </c>
      <c r="F19" s="6" t="s">
        <v>36</v>
      </c>
      <c r="G19" s="36" t="s">
        <v>36</v>
      </c>
      <c r="H19" s="131" t="s">
        <v>36</v>
      </c>
      <c r="I19" s="6" t="s">
        <v>9</v>
      </c>
      <c r="J19" s="6" t="s">
        <v>36</v>
      </c>
      <c r="K19" s="6" t="s">
        <v>36</v>
      </c>
      <c r="L19" s="6" t="s">
        <v>36</v>
      </c>
      <c r="M19" s="6" t="s">
        <v>36</v>
      </c>
      <c r="N19" s="6" t="s">
        <v>36</v>
      </c>
      <c r="O19" s="37" t="s">
        <v>36</v>
      </c>
      <c r="P19" s="6" t="s">
        <v>209</v>
      </c>
    </row>
    <row r="20" spans="1:16" ht="72.5" x14ac:dyDescent="0.35">
      <c r="A20" s="6">
        <v>11</v>
      </c>
      <c r="B20" s="6" t="str">
        <f t="shared" si="3"/>
        <v>23.11</v>
      </c>
      <c r="C20" s="31" t="s">
        <v>37</v>
      </c>
      <c r="D20" s="44" t="s">
        <v>991</v>
      </c>
      <c r="E20" s="6" t="s">
        <v>33</v>
      </c>
      <c r="F20" s="6" t="s">
        <v>36</v>
      </c>
      <c r="G20" s="36" t="s">
        <v>36</v>
      </c>
      <c r="H20" s="131" t="s">
        <v>36</v>
      </c>
      <c r="I20" s="6" t="s">
        <v>9</v>
      </c>
      <c r="J20" s="6" t="s">
        <v>36</v>
      </c>
      <c r="K20" s="6" t="s">
        <v>36</v>
      </c>
      <c r="L20" s="6" t="s">
        <v>36</v>
      </c>
      <c r="M20" s="6" t="s">
        <v>36</v>
      </c>
      <c r="N20" s="6" t="s">
        <v>36</v>
      </c>
      <c r="O20" s="37" t="s">
        <v>36</v>
      </c>
      <c r="P20" s="6" t="s">
        <v>209</v>
      </c>
    </row>
    <row r="21" spans="1:16" ht="58" x14ac:dyDescent="0.35">
      <c r="A21" s="6">
        <v>12</v>
      </c>
      <c r="B21" s="6" t="str">
        <f t="shared" ref="B21" si="4">CONCATENATE($B$2, ".", A21)</f>
        <v>23.12</v>
      </c>
      <c r="C21" s="31" t="s">
        <v>41</v>
      </c>
      <c r="D21" s="44" t="s">
        <v>599</v>
      </c>
      <c r="E21" s="6" t="s">
        <v>99</v>
      </c>
      <c r="F21" s="6" t="s">
        <v>36</v>
      </c>
      <c r="G21" s="6" t="s">
        <v>36</v>
      </c>
      <c r="H21" s="131" t="s">
        <v>36</v>
      </c>
      <c r="I21" s="6" t="s">
        <v>9</v>
      </c>
      <c r="J21" s="6" t="s">
        <v>36</v>
      </c>
      <c r="K21" s="6" t="s">
        <v>36</v>
      </c>
      <c r="L21" s="6" t="s">
        <v>36</v>
      </c>
      <c r="M21" s="6" t="s">
        <v>851</v>
      </c>
      <c r="N21" s="6" t="s">
        <v>992</v>
      </c>
      <c r="O21" s="48" t="s">
        <v>850</v>
      </c>
      <c r="P21" s="6" t="s">
        <v>209</v>
      </c>
    </row>
    <row r="22" spans="1:16" x14ac:dyDescent="0.35">
      <c r="A22" s="96" t="s">
        <v>852</v>
      </c>
      <c r="B22" s="92"/>
      <c r="C22" s="99"/>
      <c r="D22" s="100"/>
      <c r="E22" s="92"/>
      <c r="F22" s="92"/>
      <c r="G22" s="92"/>
      <c r="H22" s="94"/>
      <c r="I22" s="92"/>
      <c r="J22" s="92"/>
      <c r="K22" s="92"/>
      <c r="L22" s="92"/>
      <c r="M22" s="92"/>
      <c r="N22" s="92"/>
      <c r="O22" s="95"/>
      <c r="P22" s="92"/>
    </row>
    <row r="23" spans="1:16" x14ac:dyDescent="0.35">
      <c r="A23" s="6">
        <v>13</v>
      </c>
      <c r="B23" s="6" t="str">
        <f t="shared" si="3"/>
        <v>23.13</v>
      </c>
      <c r="C23" s="31" t="s">
        <v>41</v>
      </c>
      <c r="D23" s="44" t="s">
        <v>767</v>
      </c>
      <c r="E23" s="6" t="s">
        <v>496</v>
      </c>
      <c r="F23" s="6" t="s">
        <v>36</v>
      </c>
      <c r="G23" s="6" t="s">
        <v>36</v>
      </c>
      <c r="H23" s="131" t="s">
        <v>36</v>
      </c>
      <c r="I23" s="6" t="s">
        <v>9</v>
      </c>
      <c r="J23" s="6" t="s">
        <v>36</v>
      </c>
      <c r="K23" s="6" t="s">
        <v>36</v>
      </c>
      <c r="L23" s="6" t="s">
        <v>36</v>
      </c>
      <c r="M23" s="6" t="s">
        <v>36</v>
      </c>
      <c r="N23" s="6" t="s">
        <v>36</v>
      </c>
      <c r="O23" s="37" t="s">
        <v>36</v>
      </c>
    </row>
    <row r="24" spans="1:16" x14ac:dyDescent="0.35">
      <c r="A24" s="6">
        <v>14</v>
      </c>
      <c r="B24" s="6" t="str">
        <f t="shared" ref="B24" si="5">CONCATENATE($B$2, ".", A24)</f>
        <v>23.14</v>
      </c>
      <c r="C24" s="31" t="s">
        <v>41</v>
      </c>
      <c r="D24" s="44" t="s">
        <v>768</v>
      </c>
      <c r="E24" s="6" t="s">
        <v>496</v>
      </c>
      <c r="F24" s="6" t="s">
        <v>36</v>
      </c>
      <c r="G24" s="6" t="s">
        <v>36</v>
      </c>
      <c r="H24" s="144" t="s">
        <v>36</v>
      </c>
      <c r="I24" s="6" t="s">
        <v>9</v>
      </c>
      <c r="J24" s="6" t="s">
        <v>36</v>
      </c>
      <c r="K24" s="6" t="s">
        <v>36</v>
      </c>
      <c r="L24" s="6" t="s">
        <v>36</v>
      </c>
      <c r="M24" s="6" t="s">
        <v>36</v>
      </c>
      <c r="N24" s="6" t="s">
        <v>36</v>
      </c>
      <c r="O24" s="37" t="s">
        <v>36</v>
      </c>
    </row>
    <row r="25" spans="1:16" x14ac:dyDescent="0.35">
      <c r="A25" s="6">
        <v>15</v>
      </c>
      <c r="B25" s="6" t="str">
        <f>CONCATENATE($B$2, ".", A25)</f>
        <v>23.15</v>
      </c>
      <c r="C25" s="31" t="s">
        <v>41</v>
      </c>
      <c r="D25" s="44" t="s">
        <v>306</v>
      </c>
      <c r="E25" s="6" t="s">
        <v>496</v>
      </c>
      <c r="F25" s="6" t="s">
        <v>36</v>
      </c>
      <c r="G25" s="6" t="s">
        <v>36</v>
      </c>
      <c r="H25" s="131" t="s">
        <v>36</v>
      </c>
      <c r="I25" s="36" t="s">
        <v>9</v>
      </c>
      <c r="J25" s="6" t="s">
        <v>36</v>
      </c>
      <c r="K25" s="6" t="s">
        <v>36</v>
      </c>
      <c r="L25" s="6" t="s">
        <v>36</v>
      </c>
      <c r="M25" s="6" t="s">
        <v>36</v>
      </c>
      <c r="N25" s="6" t="s">
        <v>36</v>
      </c>
      <c r="O25" s="37" t="s">
        <v>36</v>
      </c>
    </row>
    <row r="26" spans="1:16" x14ac:dyDescent="0.35">
      <c r="A26" s="6">
        <v>16</v>
      </c>
      <c r="B26" s="6" t="str">
        <f>CONCATENATE($B$2, ".", A26)</f>
        <v>23.16</v>
      </c>
      <c r="C26" s="31" t="s">
        <v>41</v>
      </c>
      <c r="D26" s="44" t="s">
        <v>755</v>
      </c>
      <c r="E26" s="6" t="s">
        <v>496</v>
      </c>
      <c r="F26" s="6" t="s">
        <v>36</v>
      </c>
      <c r="G26" s="6" t="s">
        <v>36</v>
      </c>
      <c r="H26" s="131" t="s">
        <v>36</v>
      </c>
      <c r="I26" s="36" t="s">
        <v>9</v>
      </c>
      <c r="J26" s="6" t="s">
        <v>36</v>
      </c>
      <c r="K26" s="6" t="s">
        <v>36</v>
      </c>
      <c r="L26" s="6" t="s">
        <v>36</v>
      </c>
      <c r="M26" s="6" t="s">
        <v>36</v>
      </c>
      <c r="N26" s="6" t="s">
        <v>36</v>
      </c>
      <c r="O26" s="37" t="s">
        <v>36</v>
      </c>
    </row>
    <row r="27" spans="1:16" x14ac:dyDescent="0.35">
      <c r="A27" s="6">
        <v>17</v>
      </c>
      <c r="B27" s="6" t="str">
        <f t="shared" ref="B27:B28" si="6">CONCATENATE($B$2, ".", A27)</f>
        <v>23.17</v>
      </c>
      <c r="C27" s="31" t="s">
        <v>41</v>
      </c>
      <c r="D27" s="44" t="s">
        <v>494</v>
      </c>
      <c r="E27" s="6" t="s">
        <v>496</v>
      </c>
      <c r="F27" s="6" t="s">
        <v>36</v>
      </c>
      <c r="G27" s="6" t="s">
        <v>36</v>
      </c>
      <c r="H27" s="131" t="s">
        <v>36</v>
      </c>
      <c r="I27" s="6" t="s">
        <v>9</v>
      </c>
      <c r="J27" s="6" t="s">
        <v>36</v>
      </c>
      <c r="K27" s="6" t="s">
        <v>36</v>
      </c>
      <c r="L27" s="6" t="s">
        <v>36</v>
      </c>
      <c r="M27" s="6" t="s">
        <v>36</v>
      </c>
      <c r="N27" s="6" t="s">
        <v>36</v>
      </c>
      <c r="O27" s="37" t="s">
        <v>36</v>
      </c>
    </row>
    <row r="28" spans="1:16" ht="58" x14ac:dyDescent="0.35">
      <c r="A28" s="6">
        <v>18</v>
      </c>
      <c r="B28" s="6" t="str">
        <f t="shared" si="6"/>
        <v>23.18</v>
      </c>
      <c r="C28" s="31" t="s">
        <v>41</v>
      </c>
      <c r="D28" s="44" t="s">
        <v>781</v>
      </c>
      <c r="E28" s="6" t="s">
        <v>497</v>
      </c>
      <c r="F28" s="6" t="s">
        <v>881</v>
      </c>
      <c r="G28" s="6" t="s">
        <v>36</v>
      </c>
      <c r="H28" s="131">
        <v>50</v>
      </c>
      <c r="I28" s="6" t="s">
        <v>9</v>
      </c>
      <c r="J28" s="6" t="s">
        <v>107</v>
      </c>
      <c r="K28" s="6" t="s">
        <v>53</v>
      </c>
      <c r="L28" s="6" t="s">
        <v>854</v>
      </c>
      <c r="M28" s="6" t="s">
        <v>36</v>
      </c>
      <c r="N28" s="6" t="s">
        <v>36</v>
      </c>
      <c r="O28" s="37" t="s">
        <v>36</v>
      </c>
      <c r="P28" s="6" t="s">
        <v>877</v>
      </c>
    </row>
    <row r="29" spans="1:16" ht="58" x14ac:dyDescent="0.35">
      <c r="A29" s="6">
        <v>19</v>
      </c>
      <c r="B29" s="6" t="str">
        <f t="shared" ref="B29" si="7">CONCATENATE($B$2, ".", A29)</f>
        <v>23.19</v>
      </c>
      <c r="C29" s="31" t="s">
        <v>41</v>
      </c>
      <c r="D29" s="44" t="s">
        <v>782</v>
      </c>
      <c r="E29" s="6" t="s">
        <v>497</v>
      </c>
      <c r="F29" s="6" t="s">
        <v>881</v>
      </c>
      <c r="G29" s="6" t="s">
        <v>36</v>
      </c>
      <c r="H29" s="144">
        <v>50</v>
      </c>
      <c r="I29" s="6" t="s">
        <v>9</v>
      </c>
      <c r="J29" s="6" t="s">
        <v>107</v>
      </c>
      <c r="K29" s="6" t="s">
        <v>53</v>
      </c>
      <c r="L29" s="6" t="s">
        <v>855</v>
      </c>
      <c r="M29" s="6" t="s">
        <v>36</v>
      </c>
      <c r="N29" s="6" t="s">
        <v>36</v>
      </c>
      <c r="O29" s="37" t="s">
        <v>36</v>
      </c>
      <c r="P29" s="6" t="s">
        <v>877</v>
      </c>
    </row>
    <row r="30" spans="1:16" ht="58" x14ac:dyDescent="0.35">
      <c r="A30" s="6">
        <v>20</v>
      </c>
      <c r="B30" s="6" t="str">
        <f>CONCATENATE($B$2, ".", A30)</f>
        <v>23.20</v>
      </c>
      <c r="C30" s="31" t="s">
        <v>44</v>
      </c>
      <c r="D30" s="44" t="s">
        <v>596</v>
      </c>
      <c r="E30" s="6" t="s">
        <v>497</v>
      </c>
      <c r="F30" s="6" t="s">
        <v>51</v>
      </c>
      <c r="G30" s="6" t="s">
        <v>36</v>
      </c>
      <c r="H30" s="38">
        <v>54</v>
      </c>
      <c r="I30" s="36" t="s">
        <v>9</v>
      </c>
      <c r="J30" s="6" t="s">
        <v>107</v>
      </c>
      <c r="K30" s="37" t="s">
        <v>53</v>
      </c>
      <c r="L30" s="37" t="s">
        <v>856</v>
      </c>
      <c r="M30" s="37" t="s">
        <v>100</v>
      </c>
      <c r="N30" s="37" t="s">
        <v>634</v>
      </c>
      <c r="O30" s="37" t="s">
        <v>36</v>
      </c>
      <c r="P30" s="6" t="s">
        <v>759</v>
      </c>
    </row>
    <row r="31" spans="1:16" ht="72.5" x14ac:dyDescent="0.35">
      <c r="A31" s="6">
        <v>21</v>
      </c>
      <c r="B31" s="6" t="str">
        <f t="shared" ref="B31" si="8">CONCATENATE($B$2, ".", A31)</f>
        <v>23.21</v>
      </c>
      <c r="C31" s="31" t="s">
        <v>44</v>
      </c>
      <c r="D31" s="44" t="s">
        <v>756</v>
      </c>
      <c r="E31" s="6" t="s">
        <v>497</v>
      </c>
      <c r="F31" s="36" t="s">
        <v>50</v>
      </c>
      <c r="G31" s="36" t="s">
        <v>36</v>
      </c>
      <c r="H31" s="36" t="s">
        <v>54</v>
      </c>
      <c r="I31" s="36" t="s">
        <v>9</v>
      </c>
      <c r="J31" s="6" t="s">
        <v>107</v>
      </c>
      <c r="K31" s="36" t="s">
        <v>53</v>
      </c>
      <c r="L31" s="36" t="s">
        <v>857</v>
      </c>
      <c r="M31" s="36" t="s">
        <v>55</v>
      </c>
      <c r="N31" s="36" t="s">
        <v>758</v>
      </c>
      <c r="O31" s="37" t="s">
        <v>36</v>
      </c>
      <c r="P31" s="6" t="s">
        <v>759</v>
      </c>
    </row>
    <row r="32" spans="1:16" ht="29" x14ac:dyDescent="0.35">
      <c r="A32" s="6">
        <v>22</v>
      </c>
      <c r="B32" s="6" t="str">
        <f>CONCATENATE($B$2, ".", A32)</f>
        <v>23.22</v>
      </c>
      <c r="C32" s="31" t="s">
        <v>41</v>
      </c>
      <c r="D32" s="44" t="s">
        <v>757</v>
      </c>
      <c r="E32" s="6" t="s">
        <v>497</v>
      </c>
      <c r="F32" s="6" t="s">
        <v>51</v>
      </c>
      <c r="G32" s="6" t="s">
        <v>760</v>
      </c>
      <c r="H32" s="38">
        <v>50</v>
      </c>
      <c r="I32" s="36" t="s">
        <v>9</v>
      </c>
      <c r="J32" s="6" t="s">
        <v>107</v>
      </c>
      <c r="K32" s="37" t="s">
        <v>83</v>
      </c>
      <c r="L32" s="37" t="s">
        <v>36</v>
      </c>
      <c r="M32" s="37" t="s">
        <v>36</v>
      </c>
      <c r="N32" s="37" t="s">
        <v>36</v>
      </c>
      <c r="O32" s="37" t="s">
        <v>36</v>
      </c>
      <c r="P32" s="6" t="s">
        <v>209</v>
      </c>
    </row>
    <row r="33" spans="1:16" ht="96.5" customHeight="1" x14ac:dyDescent="0.35">
      <c r="A33" s="6">
        <v>23</v>
      </c>
      <c r="B33" s="6" t="str">
        <f>CONCATENATE($B$2, ".", A33)</f>
        <v>23.23</v>
      </c>
      <c r="C33" s="31" t="s">
        <v>44</v>
      </c>
      <c r="D33" s="44" t="s">
        <v>762</v>
      </c>
      <c r="E33" s="6" t="s">
        <v>29</v>
      </c>
      <c r="F33" s="6" t="s">
        <v>36</v>
      </c>
      <c r="G33" s="6" t="s">
        <v>994</v>
      </c>
      <c r="H33" s="38" t="s">
        <v>36</v>
      </c>
      <c r="I33" s="36" t="s">
        <v>9</v>
      </c>
      <c r="J33" s="6" t="s">
        <v>96</v>
      </c>
      <c r="K33" s="37" t="s">
        <v>83</v>
      </c>
      <c r="L33" s="37" t="s">
        <v>36</v>
      </c>
      <c r="M33" s="37" t="s">
        <v>36</v>
      </c>
      <c r="N33" s="37" t="s">
        <v>36</v>
      </c>
      <c r="O33" s="37" t="s">
        <v>764</v>
      </c>
      <c r="P33" s="6" t="s">
        <v>763</v>
      </c>
    </row>
    <row r="34" spans="1:16" ht="17.5" customHeight="1" x14ac:dyDescent="0.35">
      <c r="A34" s="6">
        <v>24</v>
      </c>
      <c r="B34" s="6" t="str">
        <f>CONCATENATE($B$2, ".", A34)</f>
        <v>23.24</v>
      </c>
      <c r="C34" s="31" t="s">
        <v>41</v>
      </c>
      <c r="D34" s="44" t="s">
        <v>681</v>
      </c>
      <c r="E34" s="6" t="s">
        <v>99</v>
      </c>
      <c r="F34" s="6" t="s">
        <v>36</v>
      </c>
      <c r="G34" s="6" t="s">
        <v>36</v>
      </c>
      <c r="H34" s="38" t="s">
        <v>36</v>
      </c>
      <c r="I34" s="36" t="s">
        <v>9</v>
      </c>
      <c r="J34" s="6" t="s">
        <v>36</v>
      </c>
      <c r="K34" s="37" t="s">
        <v>36</v>
      </c>
      <c r="L34" s="37" t="s">
        <v>36</v>
      </c>
      <c r="M34" s="37" t="s">
        <v>36</v>
      </c>
      <c r="N34" s="37" t="s">
        <v>36</v>
      </c>
      <c r="O34" s="37" t="s">
        <v>853</v>
      </c>
    </row>
    <row r="35" spans="1:16" x14ac:dyDescent="0.35">
      <c r="A35" s="96" t="s">
        <v>602</v>
      </c>
      <c r="B35" s="92"/>
      <c r="C35" s="99"/>
      <c r="D35" s="100"/>
      <c r="E35" s="92"/>
      <c r="F35" s="92"/>
      <c r="G35" s="92"/>
      <c r="H35" s="94"/>
      <c r="I35" s="92"/>
      <c r="J35" s="92"/>
      <c r="K35" s="92"/>
      <c r="L35" s="92"/>
      <c r="M35" s="92"/>
      <c r="N35" s="92"/>
      <c r="O35" s="95"/>
      <c r="P35" s="92"/>
    </row>
    <row r="36" spans="1:16" ht="87" x14ac:dyDescent="0.35">
      <c r="A36" s="6">
        <v>25</v>
      </c>
      <c r="B36" s="6" t="str">
        <f>CONCATENATE($B$2, ".", A36)</f>
        <v>23.25</v>
      </c>
      <c r="C36" s="31" t="s">
        <v>41</v>
      </c>
      <c r="D36" s="6" t="s">
        <v>57</v>
      </c>
      <c r="E36" s="6" t="s">
        <v>42</v>
      </c>
      <c r="F36" s="6" t="s">
        <v>36</v>
      </c>
      <c r="G36" s="6" t="s">
        <v>36</v>
      </c>
      <c r="H36" s="31" t="s">
        <v>36</v>
      </c>
      <c r="I36" s="6" t="s">
        <v>9</v>
      </c>
      <c r="J36" s="6" t="s">
        <v>36</v>
      </c>
      <c r="K36" s="6" t="s">
        <v>36</v>
      </c>
      <c r="L36" s="6" t="s">
        <v>36</v>
      </c>
      <c r="M36" s="6" t="s">
        <v>36</v>
      </c>
      <c r="N36" s="6" t="s">
        <v>36</v>
      </c>
      <c r="O36" s="6" t="s">
        <v>858</v>
      </c>
    </row>
    <row r="37" spans="1:16" ht="29" x14ac:dyDescent="0.35">
      <c r="A37" s="36">
        <v>26</v>
      </c>
      <c r="B37" s="6" t="str">
        <f t="shared" ref="B37" si="9">CONCATENATE($B$2, ".", A37)</f>
        <v>23.26</v>
      </c>
      <c r="C37" s="31" t="s">
        <v>41</v>
      </c>
      <c r="D37" s="6" t="s">
        <v>56</v>
      </c>
      <c r="E37" s="6" t="s">
        <v>42</v>
      </c>
      <c r="F37" s="6" t="s">
        <v>36</v>
      </c>
      <c r="G37" s="6" t="s">
        <v>36</v>
      </c>
      <c r="H37" s="31" t="s">
        <v>36</v>
      </c>
      <c r="I37" s="6" t="s">
        <v>9</v>
      </c>
      <c r="J37" s="6" t="s">
        <v>36</v>
      </c>
      <c r="K37" s="6" t="s">
        <v>36</v>
      </c>
      <c r="L37" s="6" t="s">
        <v>36</v>
      </c>
      <c r="M37" s="6" t="s">
        <v>36</v>
      </c>
      <c r="N37" s="6" t="s">
        <v>36</v>
      </c>
      <c r="O37" s="6" t="s">
        <v>761</v>
      </c>
    </row>
    <row r="39" spans="1:16" x14ac:dyDescent="0.35">
      <c r="D39" s="6" t="s">
        <v>68</v>
      </c>
    </row>
  </sheetData>
  <autoFilter ref="A6:P37"/>
  <mergeCells count="1">
    <mergeCell ref="B4:C4"/>
  </mergeCells>
  <conditionalFormatting sqref="C14 C7:C9 C36:C1048576 C19:C21">
    <cfRule type="cellIs" dxfId="235" priority="96" operator="equal">
      <formula>"WIP (see comments)"</formula>
    </cfRule>
    <cfRule type="cellIs" dxfId="234" priority="97" operator="equal">
      <formula>"Removed"</formula>
    </cfRule>
    <cfRule type="cellIs" dxfId="233" priority="98" operator="equal">
      <formula>"Updated"</formula>
    </cfRule>
    <cfRule type="cellIs" dxfId="232" priority="99" operator="equal">
      <formula>"New"</formula>
    </cfRule>
  </conditionalFormatting>
  <conditionalFormatting sqref="A14:D14 A15:A16 Q9:XFD12 C7:C8 F14:O14 F9:H9 C9:D9 A19:P20 J9:N9">
    <cfRule type="cellIs" dxfId="231" priority="95" operator="equal">
      <formula>"n/a"</formula>
    </cfRule>
  </conditionalFormatting>
  <conditionalFormatting sqref="K7:O8 O9">
    <cfRule type="cellIs" dxfId="230" priority="94" operator="equal">
      <formula>"n/a"</formula>
    </cfRule>
  </conditionalFormatting>
  <conditionalFormatting sqref="F7:H8">
    <cfRule type="cellIs" dxfId="229" priority="93" operator="equal">
      <formula>"n/a"</formula>
    </cfRule>
  </conditionalFormatting>
  <conditionalFormatting sqref="J7:J8">
    <cfRule type="cellIs" dxfId="228" priority="92" operator="equal">
      <formula>"n/a"</formula>
    </cfRule>
  </conditionalFormatting>
  <conditionalFormatting sqref="C18">
    <cfRule type="cellIs" dxfId="227" priority="88" operator="equal">
      <formula>"WIP (see comments)"</formula>
    </cfRule>
    <cfRule type="cellIs" dxfId="226" priority="89" operator="equal">
      <formula>"Removed"</formula>
    </cfRule>
    <cfRule type="cellIs" dxfId="225" priority="90" operator="equal">
      <formula>"Updated"</formula>
    </cfRule>
    <cfRule type="cellIs" dxfId="224" priority="91" operator="equal">
      <formula>"New"</formula>
    </cfRule>
  </conditionalFormatting>
  <conditionalFormatting sqref="Q14:XFD14 A18:D18 F18:O18">
    <cfRule type="cellIs" dxfId="223" priority="87" operator="equal">
      <formula>"n/a"</formula>
    </cfRule>
  </conditionalFormatting>
  <conditionalFormatting sqref="F36:O37">
    <cfRule type="cellIs" dxfId="222" priority="86" operator="equal">
      <formula>"n/a"</formula>
    </cfRule>
  </conditionalFormatting>
  <conditionalFormatting sqref="C15:C16">
    <cfRule type="cellIs" dxfId="221" priority="82" operator="equal">
      <formula>"WIP (see comments)"</formula>
    </cfRule>
    <cfRule type="cellIs" dxfId="220" priority="83" operator="equal">
      <formula>"Removed"</formula>
    </cfRule>
    <cfRule type="cellIs" dxfId="219" priority="84" operator="equal">
      <formula>"Updated"</formula>
    </cfRule>
    <cfRule type="cellIs" dxfId="218" priority="85" operator="equal">
      <formula>"New"</formula>
    </cfRule>
  </conditionalFormatting>
  <conditionalFormatting sqref="C15:O16 J17">
    <cfRule type="cellIs" dxfId="217" priority="81" operator="equal">
      <formula>"n/a"</formula>
    </cfRule>
  </conditionalFormatting>
  <conditionalFormatting sqref="A11:A12">
    <cfRule type="cellIs" dxfId="216" priority="80" operator="equal">
      <formula>"n/a"</formula>
    </cfRule>
  </conditionalFormatting>
  <conditionalFormatting sqref="C11:C12">
    <cfRule type="cellIs" dxfId="215" priority="76" operator="equal">
      <formula>"WIP (see comments)"</formula>
    </cfRule>
    <cfRule type="cellIs" dxfId="214" priority="77" operator="equal">
      <formula>"Removed"</formula>
    </cfRule>
    <cfRule type="cellIs" dxfId="213" priority="78" operator="equal">
      <formula>"Updated"</formula>
    </cfRule>
    <cfRule type="cellIs" dxfId="212" priority="79" operator="equal">
      <formula>"New"</formula>
    </cfRule>
  </conditionalFormatting>
  <conditionalFormatting sqref="C11:O12">
    <cfRule type="cellIs" dxfId="211" priority="75" operator="equal">
      <formula>"n/a"</formula>
    </cfRule>
  </conditionalFormatting>
  <conditionalFormatting sqref="C23 C25:C27">
    <cfRule type="cellIs" dxfId="210" priority="71" operator="equal">
      <formula>"WIP (see comments)"</formula>
    </cfRule>
    <cfRule type="cellIs" dxfId="209" priority="72" operator="equal">
      <formula>"Removed"</formula>
    </cfRule>
    <cfRule type="cellIs" dxfId="208" priority="73" operator="equal">
      <formula>"Updated"</formula>
    </cfRule>
    <cfRule type="cellIs" dxfId="207" priority="74" operator="equal">
      <formula>"New"</formula>
    </cfRule>
  </conditionalFormatting>
  <conditionalFormatting sqref="H23 J23:O23 F27:H27 J25:P27 A25:H26">
    <cfRule type="cellIs" dxfId="206" priority="70" operator="equal">
      <formula>"n/a"</formula>
    </cfRule>
  </conditionalFormatting>
  <conditionalFormatting sqref="A23:G23 A27:E27 I27 I23 P23 C25:C26">
    <cfRule type="cellIs" dxfId="205" priority="69" operator="equal">
      <formula>"n/a"</formula>
    </cfRule>
  </conditionalFormatting>
  <conditionalFormatting sqref="I25:I26">
    <cfRule type="cellIs" dxfId="204" priority="68" operator="equal">
      <formula>"n/a"</formula>
    </cfRule>
  </conditionalFormatting>
  <conditionalFormatting sqref="C10">
    <cfRule type="cellIs" dxfId="203" priority="57" operator="equal">
      <formula>"WIP (see comments)"</formula>
    </cfRule>
    <cfRule type="cellIs" dxfId="202" priority="58" operator="equal">
      <formula>"Removed"</formula>
    </cfRule>
    <cfRule type="cellIs" dxfId="201" priority="59" operator="equal">
      <formula>"Updated"</formula>
    </cfRule>
    <cfRule type="cellIs" dxfId="200" priority="60" operator="equal">
      <formula>"New"</formula>
    </cfRule>
  </conditionalFormatting>
  <conditionalFormatting sqref="A10:P10">
    <cfRule type="cellIs" dxfId="199" priority="56" operator="equal">
      <formula>"n/a"</formula>
    </cfRule>
  </conditionalFormatting>
  <conditionalFormatting sqref="C28 C30">
    <cfRule type="cellIs" dxfId="198" priority="52" operator="equal">
      <formula>"WIP (see comments)"</formula>
    </cfRule>
    <cfRule type="cellIs" dxfId="197" priority="53" operator="equal">
      <formula>"Removed"</formula>
    </cfRule>
    <cfRule type="cellIs" dxfId="196" priority="54" operator="equal">
      <formula>"Updated"</formula>
    </cfRule>
    <cfRule type="cellIs" dxfId="195" priority="55" operator="equal">
      <formula>"New"</formula>
    </cfRule>
  </conditionalFormatting>
  <conditionalFormatting sqref="P30:P31">
    <cfRule type="cellIs" dxfId="194" priority="51" operator="equal">
      <formula>"n/a"</formula>
    </cfRule>
  </conditionalFormatting>
  <conditionalFormatting sqref="A28:P28 A30:G30 O30 J30:J34 P29">
    <cfRule type="cellIs" dxfId="193" priority="50" operator="equal">
      <formula>"n/a"</formula>
    </cfRule>
  </conditionalFormatting>
  <conditionalFormatting sqref="H30:I30 K30:N30">
    <cfRule type="cellIs" dxfId="192" priority="49" operator="equal">
      <formula>"n/a"</formula>
    </cfRule>
  </conditionalFormatting>
  <conditionalFormatting sqref="C22">
    <cfRule type="cellIs" dxfId="191" priority="45" operator="equal">
      <formula>"WIP (see comments)"</formula>
    </cfRule>
    <cfRule type="cellIs" dxfId="190" priority="46" operator="equal">
      <formula>"Removed"</formula>
    </cfRule>
    <cfRule type="cellIs" dxfId="189" priority="47" operator="equal">
      <formula>"Updated"</formula>
    </cfRule>
    <cfRule type="cellIs" dxfId="188" priority="48" operator="equal">
      <formula>"New"</formula>
    </cfRule>
  </conditionalFormatting>
  <conditionalFormatting sqref="A22:P22">
    <cfRule type="cellIs" dxfId="187" priority="44" operator="equal">
      <formula>"n/a"</formula>
    </cfRule>
  </conditionalFormatting>
  <conditionalFormatting sqref="A21:P21 C36:C37">
    <cfRule type="cellIs" dxfId="186" priority="39" operator="equal">
      <formula>"n/a"</formula>
    </cfRule>
  </conditionalFormatting>
  <conditionalFormatting sqref="C35">
    <cfRule type="cellIs" dxfId="185" priority="35" operator="equal">
      <formula>"WIP (see comments)"</formula>
    </cfRule>
    <cfRule type="cellIs" dxfId="184" priority="36" operator="equal">
      <formula>"Removed"</formula>
    </cfRule>
    <cfRule type="cellIs" dxfId="183" priority="37" operator="equal">
      <formula>"Updated"</formula>
    </cfRule>
    <cfRule type="cellIs" dxfId="182" priority="38" operator="equal">
      <formula>"New"</formula>
    </cfRule>
  </conditionalFormatting>
  <conditionalFormatting sqref="A35:P35">
    <cfRule type="cellIs" dxfId="181" priority="34" operator="equal">
      <formula>"n/a"</formula>
    </cfRule>
  </conditionalFormatting>
  <conditionalFormatting sqref="C31:C34">
    <cfRule type="cellIs" dxfId="180" priority="30" operator="equal">
      <formula>"WIP (see comments)"</formula>
    </cfRule>
    <cfRule type="cellIs" dxfId="179" priority="31" operator="equal">
      <formula>"Removed"</formula>
    </cfRule>
    <cfRule type="cellIs" dxfId="178" priority="32" operator="equal">
      <formula>"Updated"</formula>
    </cfRule>
    <cfRule type="cellIs" dxfId="177" priority="33" operator="equal">
      <formula>"New"</formula>
    </cfRule>
  </conditionalFormatting>
  <conditionalFormatting sqref="P32:P34">
    <cfRule type="cellIs" dxfId="176" priority="29" operator="equal">
      <formula>"n/a"</formula>
    </cfRule>
  </conditionalFormatting>
  <conditionalFormatting sqref="A31:E31 A32:G34 O31:O34">
    <cfRule type="cellIs" dxfId="175" priority="28" operator="equal">
      <formula>"n/a"</formula>
    </cfRule>
  </conditionalFormatting>
  <conditionalFormatting sqref="H32:I34 K32:N34">
    <cfRule type="cellIs" dxfId="174" priority="27" operator="equal">
      <formula>"n/a"</formula>
    </cfRule>
  </conditionalFormatting>
  <conditionalFormatting sqref="F31:I31 K31:N31">
    <cfRule type="cellIs" dxfId="173" priority="26" operator="equal">
      <formula>"n/a"</formula>
    </cfRule>
  </conditionalFormatting>
  <conditionalFormatting sqref="A17">
    <cfRule type="cellIs" dxfId="172" priority="25" operator="equal">
      <formula>"n/a"</formula>
    </cfRule>
  </conditionalFormatting>
  <conditionalFormatting sqref="C17">
    <cfRule type="cellIs" dxfId="171" priority="21" operator="equal">
      <formula>"WIP (see comments)"</formula>
    </cfRule>
    <cfRule type="cellIs" dxfId="170" priority="22" operator="equal">
      <formula>"Removed"</formula>
    </cfRule>
    <cfRule type="cellIs" dxfId="169" priority="23" operator="equal">
      <formula>"Updated"</formula>
    </cfRule>
    <cfRule type="cellIs" dxfId="168" priority="24" operator="equal">
      <formula>"New"</formula>
    </cfRule>
  </conditionalFormatting>
  <conditionalFormatting sqref="C17:I17 K17:N17">
    <cfRule type="cellIs" dxfId="167" priority="20" operator="equal">
      <formula>"n/a"</formula>
    </cfRule>
  </conditionalFormatting>
  <conditionalFormatting sqref="C24">
    <cfRule type="cellIs" dxfId="166" priority="16" operator="equal">
      <formula>"WIP (see comments)"</formula>
    </cfRule>
    <cfRule type="cellIs" dxfId="165" priority="17" operator="equal">
      <formula>"Removed"</formula>
    </cfRule>
    <cfRule type="cellIs" dxfId="164" priority="18" operator="equal">
      <formula>"Updated"</formula>
    </cfRule>
    <cfRule type="cellIs" dxfId="163" priority="19" operator="equal">
      <formula>"New"</formula>
    </cfRule>
  </conditionalFormatting>
  <conditionalFormatting sqref="H24 J24:O24">
    <cfRule type="cellIs" dxfId="162" priority="15" operator="equal">
      <formula>"n/a"</formula>
    </cfRule>
  </conditionalFormatting>
  <conditionalFormatting sqref="A24:G24 I24 P24">
    <cfRule type="cellIs" dxfId="161" priority="14" operator="equal">
      <formula>"n/a"</formula>
    </cfRule>
  </conditionalFormatting>
  <conditionalFormatting sqref="C29">
    <cfRule type="cellIs" dxfId="160" priority="10" operator="equal">
      <formula>"WIP (see comments)"</formula>
    </cfRule>
    <cfRule type="cellIs" dxfId="159" priority="11" operator="equal">
      <formula>"Removed"</formula>
    </cfRule>
    <cfRule type="cellIs" dxfId="158" priority="12" operator="equal">
      <formula>"Updated"</formula>
    </cfRule>
    <cfRule type="cellIs" dxfId="157" priority="13" operator="equal">
      <formula>"New"</formula>
    </cfRule>
  </conditionalFormatting>
  <conditionalFormatting sqref="A29:O29">
    <cfRule type="cellIs" dxfId="156" priority="9" operator="equal">
      <formula>"n/a"</formula>
    </cfRule>
  </conditionalFormatting>
  <conditionalFormatting sqref="J13">
    <cfRule type="cellIs" dxfId="155" priority="8" operator="equal">
      <formula>"n/a"</formula>
    </cfRule>
  </conditionalFormatting>
  <conditionalFormatting sqref="A13">
    <cfRule type="cellIs" dxfId="154" priority="7" operator="equal">
      <formula>"n/a"</formula>
    </cfRule>
  </conditionalFormatting>
  <conditionalFormatting sqref="C13">
    <cfRule type="cellIs" dxfId="153" priority="3" operator="equal">
      <formula>"WIP (see comments)"</formula>
    </cfRule>
    <cfRule type="cellIs" dxfId="152" priority="4" operator="equal">
      <formula>"Removed"</formula>
    </cfRule>
    <cfRule type="cellIs" dxfId="151" priority="5" operator="equal">
      <formula>"Updated"</formula>
    </cfRule>
    <cfRule type="cellIs" dxfId="150" priority="6" operator="equal">
      <formula>"New"</formula>
    </cfRule>
  </conditionalFormatting>
  <conditionalFormatting sqref="C13:I13 K13:O13">
    <cfRule type="cellIs" dxfId="149" priority="2" operator="equal">
      <formula>"n/a"</formula>
    </cfRule>
  </conditionalFormatting>
  <conditionalFormatting sqref="O17">
    <cfRule type="cellIs" dxfId="14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Values'!$A$5:$A$34</xm:f>
          </x14:formula1>
          <xm:sqref>E14 E18 E36:E37 E7:E9</xm:sqref>
        </x14:dataValidation>
        <x14:dataValidation type="list" allowBlank="1" showInputMessage="1" showErrorMessage="1">
          <x14:formula1>
            <xm:f>'List Values'!$A$5:$A$35</xm:f>
          </x14:formula1>
          <xm:sqref>E15:E17 E10:E13 E19:E35</xm:sqref>
        </x14:dataValidation>
        <x14:dataValidation type="list" allowBlank="1" showInputMessage="1" showErrorMessage="1">
          <x14:formula1>
            <xm:f>'List Values'!$B$5:$B$12</xm:f>
          </x14:formula1>
          <xm:sqref>C7:C37</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workbookViewId="0">
      <pane xSplit="4" ySplit="6" topLeftCell="M7" activePane="bottomRight" state="frozen"/>
      <selection activeCell="O8" sqref="O8"/>
      <selection pane="topRight" activeCell="O8" sqref="O8"/>
      <selection pane="bottomLeft" activeCell="O8" sqref="O8"/>
      <selection pane="bottomRight" activeCell="O7" sqref="O7"/>
    </sheetView>
  </sheetViews>
  <sheetFormatPr defaultColWidth="9.1796875" defaultRowHeight="14.5" x14ac:dyDescent="0.35"/>
  <cols>
    <col min="1" max="1" width="14.7265625" style="5" customWidth="1"/>
    <col min="2" max="2" width="12.54296875" style="5" customWidth="1"/>
    <col min="3" max="3" width="14.26953125" style="39" customWidth="1"/>
    <col min="4" max="4" width="45.1796875" style="5" customWidth="1"/>
    <col min="5" max="5" width="28.7265625" style="5" customWidth="1"/>
    <col min="6" max="6" width="37" style="5" customWidth="1"/>
    <col min="7" max="7" width="29.26953125" style="5" customWidth="1"/>
    <col min="8" max="8" width="11.54296875" style="39"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116</v>
      </c>
      <c r="C1" s="29"/>
      <c r="D1" s="26"/>
      <c r="H1" s="32"/>
    </row>
    <row r="2" spans="1:16" s="27" customFormat="1" ht="18.5" x14ac:dyDescent="0.35">
      <c r="A2" s="25" t="s">
        <v>7</v>
      </c>
      <c r="B2" s="33" t="s">
        <v>133</v>
      </c>
      <c r="C2" s="32"/>
      <c r="D2" s="33"/>
      <c r="H2" s="32"/>
    </row>
    <row r="3" spans="1:16" s="27" customFormat="1" ht="18.5" x14ac:dyDescent="0.35">
      <c r="A3" s="25" t="s">
        <v>43</v>
      </c>
      <c r="B3" s="33" t="s">
        <v>286</v>
      </c>
      <c r="C3" s="32"/>
      <c r="D3" s="85" t="s">
        <v>287</v>
      </c>
      <c r="H3" s="32"/>
    </row>
    <row r="4" spans="1:16" s="27" customFormat="1" ht="18.5" x14ac:dyDescent="0.35">
      <c r="A4" s="25" t="s">
        <v>8</v>
      </c>
      <c r="B4" s="27" t="s">
        <v>113</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5">
        <v>1</v>
      </c>
      <c r="B7" s="5" t="str">
        <f>CONCATENATE($B$2, ".", A7)</f>
        <v>A.1</v>
      </c>
      <c r="C7" s="49" t="s">
        <v>39</v>
      </c>
      <c r="D7" s="5" t="s">
        <v>36</v>
      </c>
      <c r="E7" s="37" t="s">
        <v>114</v>
      </c>
      <c r="F7" s="5" t="s">
        <v>36</v>
      </c>
      <c r="G7" s="5" t="s">
        <v>36</v>
      </c>
      <c r="H7" s="39" t="s">
        <v>36</v>
      </c>
      <c r="I7" s="37" t="s">
        <v>9</v>
      </c>
      <c r="J7" s="5" t="s">
        <v>36</v>
      </c>
      <c r="K7" s="5" t="s">
        <v>36</v>
      </c>
      <c r="L7" s="5" t="s">
        <v>36</v>
      </c>
      <c r="M7" s="5" t="s">
        <v>36</v>
      </c>
      <c r="N7" s="5" t="s">
        <v>36</v>
      </c>
      <c r="O7" s="5" t="s">
        <v>902</v>
      </c>
    </row>
    <row r="8" spans="1:16" x14ac:dyDescent="0.35">
      <c r="A8" s="5">
        <v>2</v>
      </c>
      <c r="B8" s="5" t="str">
        <f t="shared" ref="B8:B10" si="0">CONCATENATE($B$2, ".", A8)</f>
        <v>A.2</v>
      </c>
      <c r="C8" s="39" t="s">
        <v>37</v>
      </c>
      <c r="D8" s="37" t="s">
        <v>437</v>
      </c>
      <c r="E8" s="37" t="s">
        <v>115</v>
      </c>
      <c r="F8" s="5" t="s">
        <v>36</v>
      </c>
      <c r="G8" s="5" t="s">
        <v>36</v>
      </c>
      <c r="H8" s="39" t="s">
        <v>36</v>
      </c>
      <c r="I8" s="37" t="s">
        <v>9</v>
      </c>
      <c r="J8" s="5" t="s">
        <v>36</v>
      </c>
      <c r="K8" s="5" t="s">
        <v>36</v>
      </c>
      <c r="L8" s="5" t="s">
        <v>36</v>
      </c>
      <c r="M8" s="5" t="s">
        <v>36</v>
      </c>
      <c r="N8" s="5" t="s">
        <v>36</v>
      </c>
    </row>
    <row r="9" spans="1:16" x14ac:dyDescent="0.35">
      <c r="A9" s="5">
        <v>3</v>
      </c>
      <c r="B9" s="5" t="str">
        <f t="shared" si="0"/>
        <v>A.3</v>
      </c>
      <c r="C9" s="49" t="s">
        <v>39</v>
      </c>
      <c r="D9" s="42" t="s">
        <v>128</v>
      </c>
      <c r="E9" s="37" t="s">
        <v>33</v>
      </c>
      <c r="F9" s="5" t="s">
        <v>36</v>
      </c>
      <c r="G9" s="5" t="s">
        <v>36</v>
      </c>
      <c r="H9" s="39" t="s">
        <v>36</v>
      </c>
      <c r="I9" s="37" t="s">
        <v>9</v>
      </c>
      <c r="J9" s="5" t="s">
        <v>36</v>
      </c>
      <c r="K9" s="5" t="s">
        <v>36</v>
      </c>
      <c r="L9" s="5" t="s">
        <v>36</v>
      </c>
      <c r="M9" s="5" t="s">
        <v>36</v>
      </c>
      <c r="N9" s="5" t="s">
        <v>36</v>
      </c>
    </row>
    <row r="10" spans="1:16" ht="81" customHeight="1" x14ac:dyDescent="0.35">
      <c r="A10" s="5">
        <v>4</v>
      </c>
      <c r="B10" s="5" t="str">
        <f t="shared" si="0"/>
        <v>A.4</v>
      </c>
      <c r="C10" s="49" t="s">
        <v>37</v>
      </c>
      <c r="D10" s="46" t="s">
        <v>996</v>
      </c>
      <c r="E10" s="37" t="s">
        <v>33</v>
      </c>
      <c r="F10" s="5" t="s">
        <v>36</v>
      </c>
      <c r="G10" s="5" t="s">
        <v>36</v>
      </c>
      <c r="H10" s="39" t="s">
        <v>36</v>
      </c>
      <c r="I10" s="37" t="s">
        <v>9</v>
      </c>
      <c r="J10" s="5" t="s">
        <v>36</v>
      </c>
      <c r="K10" s="5" t="s">
        <v>36</v>
      </c>
      <c r="L10" s="5" t="s">
        <v>36</v>
      </c>
      <c r="M10" s="5" t="s">
        <v>36</v>
      </c>
      <c r="N10" s="5" t="s">
        <v>36</v>
      </c>
      <c r="O10" s="5" t="s">
        <v>557</v>
      </c>
    </row>
    <row r="11" spans="1:16" x14ac:dyDescent="0.35">
      <c r="I11" s="37"/>
      <c r="L11" s="37"/>
      <c r="M11" s="37"/>
      <c r="N11" s="37"/>
      <c r="O11" s="37"/>
    </row>
    <row r="12" spans="1:16" x14ac:dyDescent="0.35">
      <c r="I12" s="37"/>
      <c r="L12" s="37"/>
      <c r="M12" s="37"/>
      <c r="N12" s="37"/>
      <c r="O12" s="37"/>
    </row>
  </sheetData>
  <autoFilter ref="A6:P9"/>
  <conditionalFormatting sqref="C7:C1048576">
    <cfRule type="cellIs" dxfId="147" priority="6" operator="equal">
      <formula>"WIP (see comments)"</formula>
    </cfRule>
    <cfRule type="cellIs" dxfId="146" priority="7" operator="equal">
      <formula>"Removed"</formula>
    </cfRule>
    <cfRule type="cellIs" dxfId="145" priority="8" operator="equal">
      <formula>"Updated"</formula>
    </cfRule>
    <cfRule type="cellIs" dxfId="144" priority="9" operator="equal">
      <formula>"New"</formula>
    </cfRule>
  </conditionalFormatting>
  <conditionalFormatting sqref="D9">
    <cfRule type="cellIs" dxfId="143" priority="5" operator="equal">
      <formula>"-"</formula>
    </cfRule>
  </conditionalFormatting>
  <conditionalFormatting sqref="A1:XFD2 E7:XFD7 A8:XFD1048576 A7:C7 A4:XFD6 A3:C3 E3:XFD3">
    <cfRule type="cellIs" dxfId="142" priority="4" operator="equal">
      <formula>"n/a"</formula>
    </cfRule>
  </conditionalFormatting>
  <conditionalFormatting sqref="D7">
    <cfRule type="cellIs" dxfId="141" priority="3" operator="equal">
      <formula>"-"</formula>
    </cfRule>
  </conditionalFormatting>
  <conditionalFormatting sqref="D7">
    <cfRule type="cellIs" dxfId="140" priority="2" operator="equal">
      <formula>"n/a"</formula>
    </cfRule>
  </conditionalFormatting>
  <conditionalFormatting sqref="D3">
    <cfRule type="cellIs" dxfId="13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workbookViewId="0">
      <pane xSplit="4" ySplit="6" topLeftCell="E7" activePane="bottomRight" state="frozen"/>
      <selection activeCell="O8" sqref="O8"/>
      <selection pane="topRight" activeCell="O8" sqref="O8"/>
      <selection pane="bottomLeft" activeCell="O8" sqref="O8"/>
      <selection pane="bottomRight" activeCell="O9" sqref="O9"/>
    </sheetView>
  </sheetViews>
  <sheetFormatPr defaultColWidth="9.1796875" defaultRowHeight="14.5" x14ac:dyDescent="0.35"/>
  <cols>
    <col min="1" max="1" width="14.7265625" style="5" customWidth="1"/>
    <col min="2" max="2" width="12.54296875" style="5" customWidth="1"/>
    <col min="3" max="3" width="15.81640625" style="39" customWidth="1"/>
    <col min="4" max="4" width="45.1796875" style="5" customWidth="1"/>
    <col min="5" max="5" width="28.7265625" style="5" customWidth="1"/>
    <col min="6" max="6" width="37" style="5" customWidth="1"/>
    <col min="7" max="7" width="29.26953125" style="5" customWidth="1"/>
    <col min="8" max="8" width="11.54296875" style="39"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117</v>
      </c>
      <c r="C1" s="29"/>
      <c r="D1" s="26"/>
      <c r="H1" s="32"/>
    </row>
    <row r="2" spans="1:16" s="27" customFormat="1" ht="18.5" x14ac:dyDescent="0.35">
      <c r="A2" s="25" t="s">
        <v>7</v>
      </c>
      <c r="B2" s="33" t="s">
        <v>134</v>
      </c>
      <c r="C2" s="32"/>
      <c r="D2" s="33"/>
      <c r="H2" s="32"/>
    </row>
    <row r="3" spans="1:16" s="27" customFormat="1" ht="18.5" x14ac:dyDescent="0.35">
      <c r="A3" s="25" t="s">
        <v>43</v>
      </c>
      <c r="B3" s="33" t="s">
        <v>288</v>
      </c>
      <c r="C3" s="32"/>
      <c r="D3" s="85" t="s">
        <v>289</v>
      </c>
      <c r="H3" s="32"/>
    </row>
    <row r="4" spans="1:16" s="27" customFormat="1" ht="18.5" x14ac:dyDescent="0.35">
      <c r="A4" s="25" t="s">
        <v>8</v>
      </c>
      <c r="B4" s="27" t="s">
        <v>156</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5">
        <v>1</v>
      </c>
      <c r="B7" s="5" t="str">
        <f>CONCATENATE($B$2, ".", A7)</f>
        <v>B.1</v>
      </c>
      <c r="C7" s="49" t="s">
        <v>39</v>
      </c>
      <c r="D7" s="5" t="s">
        <v>36</v>
      </c>
      <c r="E7" s="37" t="s">
        <v>114</v>
      </c>
      <c r="F7" s="5" t="s">
        <v>36</v>
      </c>
      <c r="G7" s="5" t="s">
        <v>36</v>
      </c>
      <c r="H7" s="39" t="s">
        <v>36</v>
      </c>
      <c r="I7" s="37" t="s">
        <v>9</v>
      </c>
      <c r="J7" s="5" t="s">
        <v>36</v>
      </c>
      <c r="K7" s="5" t="s">
        <v>36</v>
      </c>
      <c r="L7" s="5" t="s">
        <v>36</v>
      </c>
      <c r="M7" s="5" t="s">
        <v>36</v>
      </c>
      <c r="N7" s="5" t="s">
        <v>36</v>
      </c>
      <c r="O7" s="5" t="s">
        <v>902</v>
      </c>
    </row>
    <row r="8" spans="1:16" x14ac:dyDescent="0.35">
      <c r="A8" s="5">
        <v>2</v>
      </c>
      <c r="B8" s="5" t="str">
        <f t="shared" ref="B8:B9" si="0">CONCATENATE($B$2, ".", A8)</f>
        <v>B.2</v>
      </c>
      <c r="C8" s="39" t="s">
        <v>39</v>
      </c>
      <c r="D8" s="37" t="s">
        <v>129</v>
      </c>
      <c r="E8" s="37" t="s">
        <v>115</v>
      </c>
      <c r="F8" s="5" t="s">
        <v>36</v>
      </c>
      <c r="G8" s="5" t="s">
        <v>36</v>
      </c>
      <c r="H8" s="39" t="s">
        <v>36</v>
      </c>
      <c r="I8" s="37" t="s">
        <v>9</v>
      </c>
      <c r="J8" s="5" t="s">
        <v>36</v>
      </c>
      <c r="K8" s="5" t="s">
        <v>36</v>
      </c>
      <c r="L8" s="5" t="s">
        <v>36</v>
      </c>
      <c r="M8" s="5" t="s">
        <v>36</v>
      </c>
      <c r="N8" s="5" t="s">
        <v>36</v>
      </c>
    </row>
    <row r="9" spans="1:16" ht="71.25" customHeight="1" x14ac:dyDescent="0.35">
      <c r="A9" s="5">
        <v>3</v>
      </c>
      <c r="B9" s="5" t="str">
        <f t="shared" si="0"/>
        <v>B.3</v>
      </c>
      <c r="C9" s="49" t="s">
        <v>37</v>
      </c>
      <c r="D9" s="46" t="s">
        <v>997</v>
      </c>
      <c r="E9" s="37" t="s">
        <v>33</v>
      </c>
      <c r="F9" s="5" t="s">
        <v>36</v>
      </c>
      <c r="G9" s="5" t="s">
        <v>36</v>
      </c>
      <c r="H9" s="39" t="s">
        <v>36</v>
      </c>
      <c r="I9" s="37" t="s">
        <v>9</v>
      </c>
      <c r="J9" s="5" t="s">
        <v>36</v>
      </c>
      <c r="K9" s="5" t="s">
        <v>36</v>
      </c>
      <c r="L9" s="5" t="s">
        <v>36</v>
      </c>
      <c r="M9" s="5" t="s">
        <v>36</v>
      </c>
      <c r="N9" s="5" t="s">
        <v>36</v>
      </c>
      <c r="O9" s="5" t="s">
        <v>393</v>
      </c>
    </row>
    <row r="10" spans="1:16" x14ac:dyDescent="0.35">
      <c r="I10" s="37"/>
      <c r="L10" s="37"/>
      <c r="M10" s="37"/>
      <c r="N10" s="37"/>
      <c r="O10" s="37"/>
    </row>
    <row r="11" spans="1:16" x14ac:dyDescent="0.35">
      <c r="I11" s="37"/>
      <c r="L11" s="37"/>
      <c r="M11" s="37"/>
      <c r="N11" s="37"/>
      <c r="O11" s="37"/>
    </row>
  </sheetData>
  <autoFilter ref="A6:P9"/>
  <conditionalFormatting sqref="C7:C1048576">
    <cfRule type="cellIs" dxfId="138" priority="9" operator="equal">
      <formula>"WIP (see comments)"</formula>
    </cfRule>
    <cfRule type="cellIs" dxfId="137" priority="10" operator="equal">
      <formula>"Removed"</formula>
    </cfRule>
    <cfRule type="cellIs" dxfId="136" priority="11" operator="equal">
      <formula>"Updated"</formula>
    </cfRule>
    <cfRule type="cellIs" dxfId="135" priority="12" operator="equal">
      <formula>"New"</formula>
    </cfRule>
  </conditionalFormatting>
  <conditionalFormatting sqref="A12:XFD1048576 A11:C11 E11:XFD11 P9:XFD9 A10:XFD10 A1:XFD2 Q7:XFD7 E7:N7 A8:XFD8 A9:N9 A7:C7 A4:XFD6 A3:C3 E3:XFD3">
    <cfRule type="cellIs" dxfId="134" priority="7" operator="equal">
      <formula>"n/a"</formula>
    </cfRule>
  </conditionalFormatting>
  <conditionalFormatting sqref="O9">
    <cfRule type="cellIs" dxfId="133" priority="6" operator="equal">
      <formula>"n/a"</formula>
    </cfRule>
  </conditionalFormatting>
  <conditionalFormatting sqref="P7">
    <cfRule type="cellIs" dxfId="132" priority="5" operator="equal">
      <formula>"n/a"</formula>
    </cfRule>
  </conditionalFormatting>
  <conditionalFormatting sqref="D7">
    <cfRule type="cellIs" dxfId="131" priority="4" operator="equal">
      <formula>"-"</formula>
    </cfRule>
  </conditionalFormatting>
  <conditionalFormatting sqref="D7">
    <cfRule type="cellIs" dxfId="130" priority="3" operator="equal">
      <formula>"n/a"</formula>
    </cfRule>
  </conditionalFormatting>
  <conditionalFormatting sqref="D3">
    <cfRule type="cellIs" dxfId="129" priority="2" operator="equal">
      <formula>"n/a"</formula>
    </cfRule>
  </conditionalFormatting>
  <conditionalFormatting sqref="O7">
    <cfRule type="cellIs" dxfId="12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workbookViewId="0">
      <pane xSplit="4" ySplit="6" topLeftCell="L7" activePane="bottomRight" state="frozen"/>
      <selection activeCell="O8" sqref="O8"/>
      <selection pane="topRight" activeCell="O8" sqref="O8"/>
      <selection pane="bottomLeft" activeCell="O8" sqref="O8"/>
      <selection pane="bottomRight" activeCell="A9" sqref="A9"/>
    </sheetView>
  </sheetViews>
  <sheetFormatPr defaultColWidth="9.1796875" defaultRowHeight="14.5" x14ac:dyDescent="0.35"/>
  <cols>
    <col min="1" max="1" width="14.7265625" style="5" customWidth="1"/>
    <col min="2" max="2" width="12.54296875" style="5" customWidth="1"/>
    <col min="3" max="3" width="13" style="39" customWidth="1"/>
    <col min="4" max="4" width="45.1796875" style="5" customWidth="1"/>
    <col min="5" max="5" width="28.7265625" style="5" customWidth="1"/>
    <col min="6" max="6" width="37" style="5" customWidth="1"/>
    <col min="7" max="7" width="29.26953125" style="5" customWidth="1"/>
    <col min="8" max="8" width="11.54296875" style="39"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118</v>
      </c>
      <c r="C1" s="29"/>
      <c r="D1" s="26"/>
      <c r="H1" s="32"/>
    </row>
    <row r="2" spans="1:16" s="27" customFormat="1" ht="18.5" x14ac:dyDescent="0.35">
      <c r="A2" s="25" t="s">
        <v>7</v>
      </c>
      <c r="B2" s="33" t="s">
        <v>135</v>
      </c>
      <c r="C2" s="32"/>
      <c r="D2" s="33"/>
      <c r="H2" s="32"/>
    </row>
    <row r="3" spans="1:16" s="27" customFormat="1" ht="18.5" x14ac:dyDescent="0.35">
      <c r="A3" s="25" t="s">
        <v>43</v>
      </c>
      <c r="B3" s="33" t="s">
        <v>291</v>
      </c>
      <c r="C3" s="32"/>
      <c r="D3" s="85" t="s">
        <v>290</v>
      </c>
      <c r="H3" s="32"/>
    </row>
    <row r="4" spans="1:16" s="27" customFormat="1" ht="18.5" x14ac:dyDescent="0.35">
      <c r="A4" s="25" t="s">
        <v>8</v>
      </c>
      <c r="B4" s="27" t="s">
        <v>210</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5">
        <v>1</v>
      </c>
      <c r="B7" s="5" t="str">
        <f>CONCATENATE($B$2, ".", A7)</f>
        <v>C.1</v>
      </c>
      <c r="C7" s="49" t="s">
        <v>39</v>
      </c>
      <c r="D7" s="5" t="s">
        <v>36</v>
      </c>
      <c r="E7" s="37" t="s">
        <v>114</v>
      </c>
      <c r="F7" s="5" t="s">
        <v>36</v>
      </c>
      <c r="G7" s="5" t="s">
        <v>36</v>
      </c>
      <c r="H7" s="39" t="s">
        <v>36</v>
      </c>
      <c r="I7" s="37" t="s">
        <v>9</v>
      </c>
      <c r="J7" s="5" t="s">
        <v>36</v>
      </c>
      <c r="K7" s="5" t="s">
        <v>36</v>
      </c>
      <c r="L7" s="5" t="s">
        <v>36</v>
      </c>
      <c r="M7" s="5" t="s">
        <v>36</v>
      </c>
      <c r="N7" s="5" t="s">
        <v>36</v>
      </c>
      <c r="O7" s="5" t="s">
        <v>902</v>
      </c>
    </row>
    <row r="8" spans="1:16" x14ac:dyDescent="0.35">
      <c r="A8" s="5">
        <v>2</v>
      </c>
      <c r="B8" s="5" t="str">
        <f t="shared" ref="B8:B10" si="0">CONCATENATE($B$2, ".", A8)</f>
        <v>C.2</v>
      </c>
      <c r="C8" s="39" t="s">
        <v>39</v>
      </c>
      <c r="D8" s="37" t="s">
        <v>119</v>
      </c>
      <c r="E8" s="37" t="s">
        <v>115</v>
      </c>
      <c r="F8" s="5" t="s">
        <v>36</v>
      </c>
      <c r="G8" s="5" t="s">
        <v>36</v>
      </c>
      <c r="H8" s="39" t="s">
        <v>36</v>
      </c>
      <c r="I8" s="37" t="s">
        <v>9</v>
      </c>
      <c r="J8" s="5" t="s">
        <v>36</v>
      </c>
      <c r="K8" s="5" t="s">
        <v>36</v>
      </c>
      <c r="L8" s="5" t="s">
        <v>36</v>
      </c>
      <c r="M8" s="5" t="s">
        <v>36</v>
      </c>
      <c r="N8" s="5" t="s">
        <v>36</v>
      </c>
    </row>
    <row r="9" spans="1:16" ht="29" x14ac:dyDescent="0.35">
      <c r="A9" s="5">
        <v>3</v>
      </c>
      <c r="B9" s="5" t="str">
        <f t="shared" si="0"/>
        <v>C.3</v>
      </c>
      <c r="C9" s="49" t="s">
        <v>37</v>
      </c>
      <c r="D9" s="5" t="s">
        <v>438</v>
      </c>
      <c r="E9" s="37" t="s">
        <v>33</v>
      </c>
      <c r="F9" s="5" t="s">
        <v>36</v>
      </c>
      <c r="G9" s="5" t="s">
        <v>36</v>
      </c>
      <c r="H9" s="39" t="s">
        <v>36</v>
      </c>
      <c r="I9" s="37" t="s">
        <v>9</v>
      </c>
      <c r="J9" s="5" t="s">
        <v>36</v>
      </c>
      <c r="K9" s="5" t="s">
        <v>36</v>
      </c>
      <c r="L9" s="5" t="s">
        <v>36</v>
      </c>
      <c r="M9" s="5" t="s">
        <v>36</v>
      </c>
      <c r="N9" s="5" t="s">
        <v>36</v>
      </c>
    </row>
    <row r="10" spans="1:16" ht="54" customHeight="1" x14ac:dyDescent="0.35">
      <c r="A10" s="5">
        <v>4</v>
      </c>
      <c r="B10" s="5" t="str">
        <f t="shared" si="0"/>
        <v>C.4</v>
      </c>
      <c r="C10" s="49" t="s">
        <v>37</v>
      </c>
      <c r="D10" s="5" t="s">
        <v>439</v>
      </c>
      <c r="E10" s="37" t="s">
        <v>33</v>
      </c>
      <c r="F10" s="5" t="s">
        <v>36</v>
      </c>
      <c r="G10" s="5" t="s">
        <v>36</v>
      </c>
      <c r="H10" s="39" t="s">
        <v>36</v>
      </c>
      <c r="I10" s="37" t="s">
        <v>9</v>
      </c>
      <c r="J10" s="5" t="s">
        <v>36</v>
      </c>
      <c r="K10" s="5" t="s">
        <v>36</v>
      </c>
      <c r="L10" s="5" t="s">
        <v>36</v>
      </c>
      <c r="M10" s="5" t="s">
        <v>36</v>
      </c>
      <c r="N10" s="5" t="s">
        <v>36</v>
      </c>
    </row>
    <row r="11" spans="1:16" x14ac:dyDescent="0.35">
      <c r="I11" s="37"/>
      <c r="L11" s="37"/>
      <c r="M11" s="37"/>
      <c r="N11" s="37"/>
      <c r="O11" s="37"/>
    </row>
    <row r="12" spans="1:16" x14ac:dyDescent="0.35">
      <c r="I12" s="37"/>
      <c r="L12" s="37"/>
      <c r="M12" s="37"/>
      <c r="N12" s="37"/>
      <c r="O12" s="37"/>
    </row>
  </sheetData>
  <autoFilter ref="A6:P9"/>
  <conditionalFormatting sqref="C7:C1048576">
    <cfRule type="cellIs" dxfId="127" priority="6" operator="equal">
      <formula>"WIP (see comments)"</formula>
    </cfRule>
    <cfRule type="cellIs" dxfId="126" priority="7" operator="equal">
      <formula>"Removed"</formula>
    </cfRule>
    <cfRule type="cellIs" dxfId="125" priority="8" operator="equal">
      <formula>"Updated"</formula>
    </cfRule>
    <cfRule type="cellIs" dxfId="124" priority="9" operator="equal">
      <formula>"New"</formula>
    </cfRule>
  </conditionalFormatting>
  <conditionalFormatting sqref="D9 D7">
    <cfRule type="cellIs" dxfId="123" priority="5" operator="equal">
      <formula>"-"</formula>
    </cfRule>
  </conditionalFormatting>
  <conditionalFormatting sqref="A1:XFD2 Q7:XFD7 A8:XFD1048576 A7:N7 A4:XFD6 A3:C3 E3:XFD3">
    <cfRule type="cellIs" dxfId="122" priority="4" operator="equal">
      <formula>"n/a"</formula>
    </cfRule>
  </conditionalFormatting>
  <conditionalFormatting sqref="P7">
    <cfRule type="cellIs" dxfId="121" priority="3" operator="equal">
      <formula>"n/a"</formula>
    </cfRule>
  </conditionalFormatting>
  <conditionalFormatting sqref="D3">
    <cfRule type="cellIs" dxfId="120" priority="2" operator="equal">
      <formula>"n/a"</formula>
    </cfRule>
  </conditionalFormatting>
  <conditionalFormatting sqref="O7">
    <cfRule type="cellIs" dxfId="11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zoomScaleNormal="100" workbookViewId="0">
      <pane xSplit="4" ySplit="6" topLeftCell="M7" activePane="bottomRight" state="frozen"/>
      <selection activeCell="O8" sqref="O8"/>
      <selection pane="topRight" activeCell="O8" sqref="O8"/>
      <selection pane="bottomLeft" activeCell="O8" sqref="O8"/>
      <selection pane="bottomRight" activeCell="A5" sqref="A5"/>
    </sheetView>
  </sheetViews>
  <sheetFormatPr defaultColWidth="9.1796875" defaultRowHeight="14.5" x14ac:dyDescent="0.35"/>
  <cols>
    <col min="1" max="1" width="14.7265625" style="5" customWidth="1"/>
    <col min="2" max="2" width="12.54296875" style="5" customWidth="1"/>
    <col min="3" max="3" width="13" style="39" customWidth="1"/>
    <col min="4" max="4" width="45.1796875" style="5" customWidth="1"/>
    <col min="5" max="5" width="28.7265625" style="5" customWidth="1"/>
    <col min="6" max="6" width="37" style="5" customWidth="1"/>
    <col min="7" max="7" width="29.26953125" style="5" customWidth="1"/>
    <col min="8" max="8" width="11.54296875" style="39"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120</v>
      </c>
      <c r="C1" s="29"/>
      <c r="D1" s="26"/>
      <c r="H1" s="32"/>
    </row>
    <row r="2" spans="1:16" s="27" customFormat="1" ht="18.5" x14ac:dyDescent="0.35">
      <c r="A2" s="25" t="s">
        <v>7</v>
      </c>
      <c r="B2" s="33" t="s">
        <v>136</v>
      </c>
      <c r="C2" s="32"/>
      <c r="D2" s="33"/>
      <c r="H2" s="32"/>
    </row>
    <row r="3" spans="1:16" s="27" customFormat="1" ht="18.5" x14ac:dyDescent="0.35">
      <c r="A3" s="25" t="s">
        <v>43</v>
      </c>
      <c r="B3" s="33" t="s">
        <v>391</v>
      </c>
      <c r="C3" s="32"/>
      <c r="D3" s="33" t="s">
        <v>392</v>
      </c>
      <c r="H3" s="32"/>
    </row>
    <row r="4" spans="1:16" s="27" customFormat="1" ht="18.5" x14ac:dyDescent="0.35">
      <c r="A4" s="25" t="s">
        <v>8</v>
      </c>
      <c r="B4" s="27" t="s">
        <v>121</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5">
        <v>1</v>
      </c>
      <c r="B7" s="5" t="str">
        <f>CONCATENATE($B$2, ".", A7)</f>
        <v>D.1</v>
      </c>
      <c r="C7" s="49" t="s">
        <v>39</v>
      </c>
      <c r="D7" s="5" t="s">
        <v>36</v>
      </c>
      <c r="E7" s="37" t="s">
        <v>114</v>
      </c>
      <c r="F7" s="5" t="s">
        <v>36</v>
      </c>
      <c r="G7" s="5" t="s">
        <v>36</v>
      </c>
      <c r="H7" s="39" t="s">
        <v>36</v>
      </c>
      <c r="I7" s="37" t="s">
        <v>9</v>
      </c>
      <c r="J7" s="5" t="s">
        <v>36</v>
      </c>
      <c r="K7" s="5" t="s">
        <v>36</v>
      </c>
      <c r="L7" s="5" t="s">
        <v>36</v>
      </c>
      <c r="M7" s="5" t="s">
        <v>36</v>
      </c>
      <c r="N7" s="5" t="s">
        <v>36</v>
      </c>
      <c r="O7" s="5" t="s">
        <v>902</v>
      </c>
    </row>
    <row r="8" spans="1:16" x14ac:dyDescent="0.35">
      <c r="A8" s="5">
        <v>2</v>
      </c>
      <c r="B8" s="5" t="str">
        <f t="shared" ref="B8:B9" si="0">CONCATENATE($B$2, ".", A8)</f>
        <v>D.2</v>
      </c>
      <c r="C8" s="39" t="s">
        <v>39</v>
      </c>
      <c r="D8" s="37" t="s">
        <v>122</v>
      </c>
      <c r="E8" s="37" t="s">
        <v>115</v>
      </c>
      <c r="F8" s="5" t="s">
        <v>36</v>
      </c>
      <c r="G8" s="5" t="s">
        <v>36</v>
      </c>
      <c r="H8" s="39" t="s">
        <v>36</v>
      </c>
      <c r="I8" s="37" t="s">
        <v>9</v>
      </c>
      <c r="J8" s="5" t="s">
        <v>36</v>
      </c>
      <c r="K8" s="5" t="s">
        <v>36</v>
      </c>
      <c r="L8" s="5" t="s">
        <v>36</v>
      </c>
      <c r="M8" s="5" t="s">
        <v>36</v>
      </c>
      <c r="N8" s="5" t="s">
        <v>36</v>
      </c>
    </row>
    <row r="9" spans="1:16" ht="43.5" x14ac:dyDescent="0.35">
      <c r="A9" s="5">
        <v>3</v>
      </c>
      <c r="B9" s="5" t="str">
        <f t="shared" si="0"/>
        <v>D.3</v>
      </c>
      <c r="C9" s="49" t="s">
        <v>37</v>
      </c>
      <c r="D9" s="42" t="s">
        <v>998</v>
      </c>
      <c r="E9" s="37" t="s">
        <v>99</v>
      </c>
      <c r="F9" s="5" t="s">
        <v>36</v>
      </c>
      <c r="G9" s="5" t="s">
        <v>36</v>
      </c>
      <c r="H9" s="39" t="s">
        <v>36</v>
      </c>
      <c r="I9" s="37" t="s">
        <v>9</v>
      </c>
      <c r="J9" s="5" t="s">
        <v>36</v>
      </c>
      <c r="K9" s="5" t="s">
        <v>36</v>
      </c>
      <c r="L9" s="5" t="s">
        <v>36</v>
      </c>
      <c r="M9" s="5" t="s">
        <v>36</v>
      </c>
      <c r="N9" s="5" t="s">
        <v>36</v>
      </c>
      <c r="O9" s="5" t="s">
        <v>548</v>
      </c>
      <c r="P9" s="5" t="s">
        <v>390</v>
      </c>
    </row>
    <row r="10" spans="1:16" x14ac:dyDescent="0.35">
      <c r="I10" s="37"/>
      <c r="L10" s="37"/>
      <c r="M10" s="37"/>
      <c r="N10" s="37"/>
      <c r="O10" s="37"/>
    </row>
    <row r="11" spans="1:16" x14ac:dyDescent="0.35">
      <c r="I11" s="37"/>
      <c r="L11" s="37"/>
      <c r="M11" s="37"/>
      <c r="N11" s="37"/>
      <c r="O11" s="37"/>
    </row>
  </sheetData>
  <autoFilter ref="A6:P9"/>
  <conditionalFormatting sqref="C7:C1048576">
    <cfRule type="cellIs" dxfId="118" priority="6" operator="equal">
      <formula>"WIP (see comments)"</formula>
    </cfRule>
    <cfRule type="cellIs" dxfId="117" priority="7" operator="equal">
      <formula>"Removed"</formula>
    </cfRule>
    <cfRule type="cellIs" dxfId="116" priority="8" operator="equal">
      <formula>"Updated"</formula>
    </cfRule>
    <cfRule type="cellIs" dxfId="115" priority="9" operator="equal">
      <formula>"New"</formula>
    </cfRule>
  </conditionalFormatting>
  <conditionalFormatting sqref="D9 D7">
    <cfRule type="cellIs" dxfId="114" priority="5" operator="equal">
      <formula>"-"</formula>
    </cfRule>
  </conditionalFormatting>
  <conditionalFormatting sqref="A1:XFD6 Q7:XFD7 A10:XFD1048576 F7:N7 A7:D9 F8:XFD9">
    <cfRule type="cellIs" dxfId="113" priority="4" operator="equal">
      <formula>"n/a"</formula>
    </cfRule>
  </conditionalFormatting>
  <conditionalFormatting sqref="P7">
    <cfRule type="cellIs" dxfId="112" priority="3" operator="equal">
      <formula>"n/a"</formula>
    </cfRule>
  </conditionalFormatting>
  <conditionalFormatting sqref="E7:E9">
    <cfRule type="cellIs" dxfId="111" priority="2" operator="equal">
      <formula>"n/a"</formula>
    </cfRule>
  </conditionalFormatting>
  <conditionalFormatting sqref="O7">
    <cfRule type="cellIs" dxfId="11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zoomScaleNormal="100" workbookViewId="0">
      <pane xSplit="4" ySplit="6" topLeftCell="M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5" customWidth="1"/>
    <col min="2" max="2" width="12.54296875" style="5" customWidth="1"/>
    <col min="3" max="3" width="13" style="39" customWidth="1"/>
    <col min="4" max="4" width="45.1796875" style="5" customWidth="1"/>
    <col min="5" max="5" width="28.7265625" style="5" customWidth="1"/>
    <col min="6" max="6" width="37" style="5" customWidth="1"/>
    <col min="7" max="7" width="29.26953125" style="5" customWidth="1"/>
    <col min="8" max="8" width="11.54296875" style="39"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123</v>
      </c>
      <c r="C1" s="29"/>
      <c r="D1" s="26"/>
      <c r="H1" s="32"/>
    </row>
    <row r="2" spans="1:16" s="27" customFormat="1" ht="18.5" x14ac:dyDescent="0.35">
      <c r="A2" s="25" t="s">
        <v>7</v>
      </c>
      <c r="B2" s="33" t="s">
        <v>137</v>
      </c>
      <c r="C2" s="32"/>
      <c r="D2" s="33"/>
      <c r="H2" s="32"/>
    </row>
    <row r="3" spans="1:16" s="27" customFormat="1" ht="18.5" x14ac:dyDescent="0.35">
      <c r="A3" s="25" t="s">
        <v>43</v>
      </c>
      <c r="B3" s="33" t="s">
        <v>334</v>
      </c>
      <c r="C3" s="32"/>
      <c r="D3" s="33" t="s">
        <v>443</v>
      </c>
      <c r="H3" s="32"/>
    </row>
    <row r="4" spans="1:16" s="27" customFormat="1" ht="18.5" x14ac:dyDescent="0.35">
      <c r="A4" s="25" t="s">
        <v>8</v>
      </c>
      <c r="B4" s="27" t="s">
        <v>124</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5">
        <v>1</v>
      </c>
      <c r="B7" s="5" t="str">
        <f>CONCATENATE($B$2, ".", A7)</f>
        <v>E.1</v>
      </c>
      <c r="C7" s="49" t="s">
        <v>39</v>
      </c>
      <c r="D7" s="5" t="s">
        <v>36</v>
      </c>
      <c r="E7" s="37" t="s">
        <v>114</v>
      </c>
      <c r="F7" s="5" t="s">
        <v>36</v>
      </c>
      <c r="G7" s="5" t="s">
        <v>36</v>
      </c>
      <c r="H7" s="39" t="s">
        <v>36</v>
      </c>
      <c r="I7" s="37" t="s">
        <v>9</v>
      </c>
      <c r="J7" s="5" t="s">
        <v>36</v>
      </c>
      <c r="K7" s="5" t="s">
        <v>36</v>
      </c>
      <c r="L7" s="5" t="s">
        <v>36</v>
      </c>
      <c r="M7" s="5" t="s">
        <v>36</v>
      </c>
      <c r="N7" s="5" t="s">
        <v>36</v>
      </c>
      <c r="O7" s="5" t="s">
        <v>902</v>
      </c>
    </row>
    <row r="8" spans="1:16" x14ac:dyDescent="0.35">
      <c r="A8" s="5">
        <v>2</v>
      </c>
      <c r="B8" s="5" t="str">
        <f t="shared" ref="B8:B10" si="0">CONCATENATE($B$2, ".", A8)</f>
        <v>E.2</v>
      </c>
      <c r="C8" s="39" t="s">
        <v>37</v>
      </c>
      <c r="D8" s="37" t="s">
        <v>440</v>
      </c>
      <c r="E8" s="37" t="s">
        <v>115</v>
      </c>
      <c r="F8" s="5" t="s">
        <v>36</v>
      </c>
      <c r="G8" s="5" t="s">
        <v>36</v>
      </c>
      <c r="H8" s="39" t="s">
        <v>36</v>
      </c>
      <c r="I8" s="37" t="s">
        <v>9</v>
      </c>
      <c r="J8" s="5" t="s">
        <v>36</v>
      </c>
      <c r="K8" s="5" t="s">
        <v>36</v>
      </c>
      <c r="L8" s="5" t="s">
        <v>36</v>
      </c>
      <c r="M8" s="5" t="s">
        <v>36</v>
      </c>
      <c r="N8" s="5" t="s">
        <v>36</v>
      </c>
    </row>
    <row r="9" spans="1:16" ht="29" x14ac:dyDescent="0.35">
      <c r="A9" s="5">
        <v>3</v>
      </c>
      <c r="B9" s="5" t="str">
        <f t="shared" si="0"/>
        <v>E.3</v>
      </c>
      <c r="C9" s="49" t="s">
        <v>37</v>
      </c>
      <c r="D9" s="42" t="s">
        <v>441</v>
      </c>
      <c r="E9" s="37" t="s">
        <v>33</v>
      </c>
      <c r="F9" s="5" t="s">
        <v>36</v>
      </c>
      <c r="G9" s="5" t="s">
        <v>36</v>
      </c>
      <c r="H9" s="39" t="s">
        <v>36</v>
      </c>
      <c r="I9" s="37" t="s">
        <v>9</v>
      </c>
      <c r="J9" s="5" t="s">
        <v>36</v>
      </c>
      <c r="K9" s="5" t="s">
        <v>36</v>
      </c>
      <c r="L9" s="5" t="s">
        <v>36</v>
      </c>
      <c r="M9" s="5" t="s">
        <v>36</v>
      </c>
      <c r="N9" s="5" t="s">
        <v>36</v>
      </c>
    </row>
    <row r="10" spans="1:16" ht="38" customHeight="1" x14ac:dyDescent="0.35">
      <c r="A10" s="5">
        <v>4</v>
      </c>
      <c r="B10" s="5" t="str">
        <f t="shared" si="0"/>
        <v>E.4</v>
      </c>
      <c r="C10" s="49" t="s">
        <v>37</v>
      </c>
      <c r="D10" s="5" t="s">
        <v>442</v>
      </c>
      <c r="E10" s="37" t="s">
        <v>33</v>
      </c>
      <c r="F10" s="5" t="s">
        <v>36</v>
      </c>
      <c r="G10" s="5" t="s">
        <v>36</v>
      </c>
      <c r="H10" s="39" t="s">
        <v>36</v>
      </c>
      <c r="I10" s="37" t="s">
        <v>9</v>
      </c>
      <c r="J10" s="5" t="s">
        <v>36</v>
      </c>
      <c r="K10" s="5" t="s">
        <v>36</v>
      </c>
      <c r="L10" s="5" t="s">
        <v>36</v>
      </c>
      <c r="M10" s="5" t="s">
        <v>36</v>
      </c>
      <c r="N10" s="5" t="s">
        <v>36</v>
      </c>
    </row>
    <row r="11" spans="1:16" x14ac:dyDescent="0.35">
      <c r="I11" s="37"/>
      <c r="L11" s="37"/>
      <c r="M11" s="37"/>
      <c r="N11" s="37"/>
      <c r="O11" s="37"/>
    </row>
    <row r="12" spans="1:16" x14ac:dyDescent="0.35">
      <c r="I12" s="37"/>
      <c r="L12" s="37"/>
      <c r="M12" s="37"/>
      <c r="N12" s="37"/>
      <c r="O12" s="37"/>
    </row>
  </sheetData>
  <autoFilter ref="A6:P9"/>
  <conditionalFormatting sqref="C7:C1048576">
    <cfRule type="cellIs" dxfId="109" priority="5" operator="equal">
      <formula>"WIP (see comments)"</formula>
    </cfRule>
    <cfRule type="cellIs" dxfId="108" priority="6" operator="equal">
      <formula>"Removed"</formula>
    </cfRule>
    <cfRule type="cellIs" dxfId="107" priority="7" operator="equal">
      <formula>"Updated"</formula>
    </cfRule>
    <cfRule type="cellIs" dxfId="106" priority="8" operator="equal">
      <formula>"New"</formula>
    </cfRule>
  </conditionalFormatting>
  <conditionalFormatting sqref="D9 D7">
    <cfRule type="cellIs" dxfId="105" priority="4" operator="equal">
      <formula>"-"</formula>
    </cfRule>
  </conditionalFormatting>
  <conditionalFormatting sqref="A1:XFD6 Q7:XFD7 A8:XFD1048576 A7:N7">
    <cfRule type="cellIs" dxfId="104" priority="3" operator="equal">
      <formula>"n/a"</formula>
    </cfRule>
  </conditionalFormatting>
  <conditionalFormatting sqref="P7">
    <cfRule type="cellIs" dxfId="103" priority="2" operator="equal">
      <formula>"n/a"</formula>
    </cfRule>
  </conditionalFormatting>
  <conditionalFormatting sqref="O7">
    <cfRule type="cellIs" dxfId="10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Values'!$B$5:$B$13</xm:f>
          </x14:formula1>
          <xm:sqref>C7:C1048576</xm:sqref>
        </x14:dataValidation>
        <x14:dataValidation type="list" allowBlank="1" showInputMessage="1" showErrorMessage="1">
          <x14:formula1>
            <xm:f>'List Values'!$A$5:$A$35</xm:f>
          </x14:formula1>
          <xm:sqref>E11:E1048576</xm:sqref>
        </x14:dataValidation>
        <x14:dataValidation type="list" allowBlank="1" showInputMessage="1" showErrorMessage="1">
          <x14:formula1>
            <xm:f>'List Values'!$A$5:$A$34</xm:f>
          </x14:formula1>
          <xm:sqref>E7:E10</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workbookViewId="0">
      <pane xSplit="4" ySplit="6" topLeftCell="M7" activePane="bottomRight" state="frozen"/>
      <selection activeCell="O8" sqref="O8"/>
      <selection pane="topRight" activeCell="O8" sqref="O8"/>
      <selection pane="bottomLeft" activeCell="O8" sqref="O8"/>
      <selection pane="bottomRight" activeCell="A11" sqref="A11"/>
    </sheetView>
  </sheetViews>
  <sheetFormatPr defaultColWidth="9.1796875" defaultRowHeight="14.5" x14ac:dyDescent="0.35"/>
  <cols>
    <col min="1" max="1" width="14.7265625" style="5" customWidth="1"/>
    <col min="2" max="2" width="12.54296875" style="5" customWidth="1"/>
    <col min="3" max="3" width="13" style="39" customWidth="1"/>
    <col min="4" max="4" width="45.1796875" style="5" customWidth="1"/>
    <col min="5" max="5" width="28.7265625" style="5" customWidth="1"/>
    <col min="6" max="6" width="37" style="5" customWidth="1"/>
    <col min="7" max="7" width="29.26953125" style="5" customWidth="1"/>
    <col min="8" max="8" width="11.54296875" style="39"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125</v>
      </c>
      <c r="C1" s="29"/>
      <c r="D1" s="26"/>
      <c r="H1" s="32"/>
    </row>
    <row r="2" spans="1:16" s="27" customFormat="1" ht="18.5" x14ac:dyDescent="0.35">
      <c r="A2" s="25" t="s">
        <v>7</v>
      </c>
      <c r="B2" s="33" t="s">
        <v>138</v>
      </c>
      <c r="C2" s="32"/>
      <c r="D2" s="33"/>
      <c r="H2" s="32"/>
    </row>
    <row r="3" spans="1:16" s="27" customFormat="1" ht="18.5" x14ac:dyDescent="0.35">
      <c r="A3" s="25" t="s">
        <v>43</v>
      </c>
      <c r="B3" s="33" t="s">
        <v>335</v>
      </c>
      <c r="C3" s="32"/>
      <c r="D3" s="33" t="s">
        <v>446</v>
      </c>
      <c r="H3" s="32"/>
    </row>
    <row r="4" spans="1:16" s="27" customFormat="1" ht="18.5" x14ac:dyDescent="0.35">
      <c r="A4" s="25" t="s">
        <v>8</v>
      </c>
      <c r="B4" s="27" t="s">
        <v>126</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5">
        <v>1</v>
      </c>
      <c r="B7" s="5" t="str">
        <f t="shared" ref="B7:B11" si="0">CONCATENATE($B$2, ".", A7)</f>
        <v>F.1</v>
      </c>
      <c r="C7" s="49" t="s">
        <v>37</v>
      </c>
      <c r="D7" s="37" t="s">
        <v>445</v>
      </c>
      <c r="E7" s="37" t="s">
        <v>115</v>
      </c>
      <c r="F7" s="5" t="s">
        <v>36</v>
      </c>
      <c r="G7" s="5" t="s">
        <v>36</v>
      </c>
      <c r="H7" s="49" t="s">
        <v>36</v>
      </c>
      <c r="I7" s="37" t="s">
        <v>9</v>
      </c>
      <c r="J7" s="5" t="s">
        <v>36</v>
      </c>
      <c r="K7" s="5" t="s">
        <v>36</v>
      </c>
      <c r="L7" s="5" t="s">
        <v>36</v>
      </c>
      <c r="M7" s="5" t="s">
        <v>36</v>
      </c>
      <c r="N7" s="5" t="s">
        <v>36</v>
      </c>
    </row>
    <row r="8" spans="1:16" ht="43.5" x14ac:dyDescent="0.35">
      <c r="A8" s="5">
        <v>2</v>
      </c>
      <c r="B8" s="5" t="str">
        <f t="shared" si="0"/>
        <v>F.2</v>
      </c>
      <c r="C8" s="49" t="s">
        <v>37</v>
      </c>
      <c r="D8" s="42" t="s">
        <v>444</v>
      </c>
      <c r="E8" s="37" t="s">
        <v>33</v>
      </c>
      <c r="F8" s="5" t="s">
        <v>36</v>
      </c>
      <c r="G8" s="5" t="s">
        <v>36</v>
      </c>
      <c r="H8" s="49" t="s">
        <v>36</v>
      </c>
      <c r="I8" s="37" t="s">
        <v>9</v>
      </c>
      <c r="J8" s="5" t="s">
        <v>36</v>
      </c>
      <c r="K8" s="5" t="s">
        <v>36</v>
      </c>
      <c r="L8" s="5" t="s">
        <v>36</v>
      </c>
      <c r="M8" s="5" t="s">
        <v>36</v>
      </c>
      <c r="N8" s="5" t="s">
        <v>36</v>
      </c>
      <c r="P8" s="5" t="s">
        <v>447</v>
      </c>
    </row>
    <row r="9" spans="1:16" x14ac:dyDescent="0.35">
      <c r="A9" s="5">
        <v>3</v>
      </c>
      <c r="B9" s="5" t="str">
        <f t="shared" si="0"/>
        <v>F.3</v>
      </c>
      <c r="C9" s="51" t="s">
        <v>39</v>
      </c>
      <c r="D9" s="42" t="s">
        <v>159</v>
      </c>
      <c r="E9" s="37" t="s">
        <v>558</v>
      </c>
      <c r="F9" s="5" t="s">
        <v>36</v>
      </c>
      <c r="G9" s="5" t="s">
        <v>36</v>
      </c>
      <c r="H9" s="49" t="s">
        <v>36</v>
      </c>
      <c r="I9" s="37" t="s">
        <v>9</v>
      </c>
      <c r="J9" s="5" t="s">
        <v>36</v>
      </c>
      <c r="K9" s="5" t="s">
        <v>36</v>
      </c>
      <c r="L9" s="5" t="s">
        <v>36</v>
      </c>
      <c r="M9" s="5" t="s">
        <v>36</v>
      </c>
      <c r="N9" s="5" t="s">
        <v>36</v>
      </c>
    </row>
    <row r="10" spans="1:16" x14ac:dyDescent="0.35">
      <c r="A10" s="5">
        <v>4</v>
      </c>
      <c r="B10" s="5" t="str">
        <f t="shared" si="0"/>
        <v>F.4</v>
      </c>
      <c r="C10" s="51" t="s">
        <v>39</v>
      </c>
      <c r="D10" s="5" t="s">
        <v>160</v>
      </c>
      <c r="E10" s="5" t="s">
        <v>42</v>
      </c>
      <c r="F10" s="5" t="s">
        <v>36</v>
      </c>
      <c r="G10" s="5" t="s">
        <v>36</v>
      </c>
      <c r="H10" s="49" t="s">
        <v>36</v>
      </c>
      <c r="I10" s="37" t="s">
        <v>9</v>
      </c>
      <c r="J10" s="5" t="s">
        <v>36</v>
      </c>
      <c r="K10" s="5" t="s">
        <v>36</v>
      </c>
      <c r="L10" s="5" t="s">
        <v>36</v>
      </c>
      <c r="M10" s="5" t="s">
        <v>36</v>
      </c>
      <c r="N10" s="5" t="s">
        <v>36</v>
      </c>
      <c r="O10" s="37" t="s">
        <v>502</v>
      </c>
    </row>
    <row r="11" spans="1:16" x14ac:dyDescent="0.35">
      <c r="A11" s="5">
        <v>5</v>
      </c>
      <c r="B11" s="5" t="str">
        <f t="shared" si="0"/>
        <v>F.5</v>
      </c>
      <c r="C11" s="51" t="s">
        <v>39</v>
      </c>
      <c r="D11" s="5" t="s">
        <v>265</v>
      </c>
      <c r="E11" s="5" t="s">
        <v>42</v>
      </c>
      <c r="F11" s="5" t="s">
        <v>36</v>
      </c>
      <c r="G11" s="5" t="s">
        <v>36</v>
      </c>
      <c r="H11" s="49" t="s">
        <v>36</v>
      </c>
      <c r="I11" s="37" t="s">
        <v>9</v>
      </c>
      <c r="J11" s="5" t="s">
        <v>36</v>
      </c>
      <c r="K11" s="5" t="s">
        <v>36</v>
      </c>
      <c r="L11" s="5" t="s">
        <v>36</v>
      </c>
      <c r="M11" s="5" t="s">
        <v>36</v>
      </c>
      <c r="N11" s="5" t="s">
        <v>36</v>
      </c>
      <c r="O11" s="37" t="s">
        <v>503</v>
      </c>
    </row>
  </sheetData>
  <autoFilter ref="A6:P6"/>
  <conditionalFormatting sqref="C12:C1048576">
    <cfRule type="cellIs" dxfId="101" priority="20" operator="equal">
      <formula>"WIP (see comments)"</formula>
    </cfRule>
    <cfRule type="cellIs" dxfId="100" priority="21" operator="equal">
      <formula>"Removed"</formula>
    </cfRule>
    <cfRule type="cellIs" dxfId="99" priority="22" operator="equal">
      <formula>"Updated"</formula>
    </cfRule>
    <cfRule type="cellIs" dxfId="98" priority="23" operator="equal">
      <formula>"New"</formula>
    </cfRule>
  </conditionalFormatting>
  <conditionalFormatting sqref="A1:XFD6 A12:XFD1048576">
    <cfRule type="cellIs" dxfId="97" priority="18" operator="equal">
      <formula>"n/a"</formula>
    </cfRule>
  </conditionalFormatting>
  <conditionalFormatting sqref="D8:D9">
    <cfRule type="cellIs" dxfId="96" priority="17" operator="equal">
      <formula>"-"</formula>
    </cfRule>
  </conditionalFormatting>
  <conditionalFormatting sqref="A8:B9 D8:XFD9">
    <cfRule type="cellIs" dxfId="95" priority="16" operator="equal">
      <formula>"n/a"</formula>
    </cfRule>
  </conditionalFormatting>
  <conditionalFormatting sqref="C7:C11">
    <cfRule type="cellIs" dxfId="94" priority="12" operator="equal">
      <formula>"WIP (see comments)"</formula>
    </cfRule>
    <cfRule type="cellIs" dxfId="93" priority="13" operator="equal">
      <formula>"Removed"</formula>
    </cfRule>
    <cfRule type="cellIs" dxfId="92" priority="14" operator="equal">
      <formula>"Updated"</formula>
    </cfRule>
    <cfRule type="cellIs" dxfId="91" priority="15" operator="equal">
      <formula>"New"</formula>
    </cfRule>
  </conditionalFormatting>
  <conditionalFormatting sqref="A7:XFD7 C8:C11">
    <cfRule type="cellIs" dxfId="90" priority="11" operator="equal">
      <formula>"n/a"</formula>
    </cfRule>
  </conditionalFormatting>
  <conditionalFormatting sqref="A10:B10 D10:XFD10">
    <cfRule type="cellIs" dxfId="89" priority="6" operator="equal">
      <formula>"n/a"</formula>
    </cfRule>
  </conditionalFormatting>
  <conditionalFormatting sqref="A11:B11 D11:XFD11">
    <cfRule type="cellIs" dxfId="8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
  <sheetViews>
    <sheetView workbookViewId="0">
      <pane xSplit="4" ySplit="6" topLeftCell="L7" activePane="bottomRight" state="frozen"/>
      <selection activeCell="O8" sqref="O8"/>
      <selection pane="topRight" activeCell="O8" sqref="O8"/>
      <selection pane="bottomLeft" activeCell="O8" sqref="O8"/>
      <selection pane="bottomRight" activeCell="D36" sqref="D36"/>
    </sheetView>
  </sheetViews>
  <sheetFormatPr defaultColWidth="9.1796875" defaultRowHeight="14.5" x14ac:dyDescent="0.35"/>
  <cols>
    <col min="1" max="1" width="14.7265625" style="5" customWidth="1"/>
    <col min="2" max="2" width="12.54296875" style="5" customWidth="1"/>
    <col min="3" max="3" width="13" style="51" customWidth="1"/>
    <col min="4" max="4" width="45.1796875" style="5" customWidth="1"/>
    <col min="5" max="5" width="28.7265625" style="5" customWidth="1"/>
    <col min="6" max="6" width="37" style="5" customWidth="1"/>
    <col min="7" max="7" width="29.26953125" style="5" customWidth="1"/>
    <col min="8" max="8" width="11.54296875" style="51"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164</v>
      </c>
      <c r="C1" s="29"/>
      <c r="D1" s="26"/>
      <c r="H1" s="32"/>
    </row>
    <row r="2" spans="1:16" s="27" customFormat="1" ht="18.5" x14ac:dyDescent="0.35">
      <c r="A2" s="25" t="s">
        <v>7</v>
      </c>
      <c r="B2" s="33" t="s">
        <v>163</v>
      </c>
      <c r="C2" s="32"/>
      <c r="D2" s="33" t="s">
        <v>388</v>
      </c>
      <c r="H2" s="32"/>
    </row>
    <row r="3" spans="1:16" s="27" customFormat="1" ht="18.5" x14ac:dyDescent="0.35">
      <c r="A3" s="25" t="s">
        <v>43</v>
      </c>
      <c r="B3" s="33" t="s">
        <v>386</v>
      </c>
      <c r="C3" s="32"/>
      <c r="D3" s="27" t="s">
        <v>389</v>
      </c>
      <c r="H3" s="32"/>
    </row>
    <row r="4" spans="1:16" s="27" customFormat="1" ht="18.5" x14ac:dyDescent="0.35">
      <c r="A4" s="25" t="s">
        <v>8</v>
      </c>
      <c r="B4" s="27" t="s">
        <v>387</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5">
        <v>1</v>
      </c>
      <c r="B7" s="5" t="str">
        <f t="shared" ref="B7:B10" si="0">CONCATENATE($B$2, ".", A7)</f>
        <v>G.1</v>
      </c>
      <c r="C7" s="51" t="s">
        <v>189</v>
      </c>
      <c r="D7" s="37" t="s">
        <v>165</v>
      </c>
      <c r="E7" s="37" t="s">
        <v>115</v>
      </c>
      <c r="F7" s="5" t="s">
        <v>36</v>
      </c>
      <c r="G7" s="5" t="s">
        <v>36</v>
      </c>
      <c r="H7" s="51" t="s">
        <v>36</v>
      </c>
      <c r="I7" s="37" t="s">
        <v>9</v>
      </c>
      <c r="J7" s="5" t="s">
        <v>36</v>
      </c>
      <c r="K7" s="5" t="s">
        <v>36</v>
      </c>
      <c r="L7" s="5" t="s">
        <v>36</v>
      </c>
      <c r="M7" s="5" t="s">
        <v>36</v>
      </c>
      <c r="N7" s="5" t="s">
        <v>36</v>
      </c>
    </row>
    <row r="8" spans="1:16" ht="29" x14ac:dyDescent="0.35">
      <c r="A8" s="5">
        <v>3</v>
      </c>
      <c r="B8" s="5" t="str">
        <f>CONCATENATE($B$2, ".", A8)</f>
        <v>G.3</v>
      </c>
      <c r="C8" s="68" t="s">
        <v>189</v>
      </c>
      <c r="D8" s="42" t="s">
        <v>169</v>
      </c>
      <c r="E8" s="37" t="s">
        <v>168</v>
      </c>
      <c r="F8" s="5" t="s">
        <v>36</v>
      </c>
      <c r="G8" s="5" t="s">
        <v>36</v>
      </c>
      <c r="H8" s="51" t="s">
        <v>36</v>
      </c>
      <c r="I8" s="37" t="s">
        <v>9</v>
      </c>
      <c r="J8" s="5" t="s">
        <v>36</v>
      </c>
      <c r="K8" s="5" t="s">
        <v>36</v>
      </c>
      <c r="L8" s="5" t="s">
        <v>36</v>
      </c>
      <c r="M8" s="5" t="s">
        <v>36</v>
      </c>
      <c r="N8" s="5" t="s">
        <v>36</v>
      </c>
      <c r="O8" s="5" t="s">
        <v>170</v>
      </c>
    </row>
    <row r="9" spans="1:16" ht="29" x14ac:dyDescent="0.35">
      <c r="A9" s="5">
        <v>2</v>
      </c>
      <c r="B9" s="5" t="str">
        <f t="shared" si="0"/>
        <v>G.2</v>
      </c>
      <c r="C9" s="68" t="s">
        <v>189</v>
      </c>
      <c r="D9" s="5" t="s">
        <v>166</v>
      </c>
      <c r="E9" s="37" t="s">
        <v>33</v>
      </c>
      <c r="F9" s="5" t="s">
        <v>36</v>
      </c>
      <c r="G9" s="5" t="s">
        <v>36</v>
      </c>
      <c r="H9" s="51" t="s">
        <v>36</v>
      </c>
      <c r="I9" s="37" t="s">
        <v>9</v>
      </c>
      <c r="J9" s="5" t="s">
        <v>36</v>
      </c>
      <c r="K9" s="5" t="s">
        <v>36</v>
      </c>
      <c r="L9" s="5" t="s">
        <v>36</v>
      </c>
      <c r="M9" s="5" t="s">
        <v>36</v>
      </c>
      <c r="N9" s="5" t="s">
        <v>36</v>
      </c>
    </row>
    <row r="10" spans="1:16" ht="43.5" x14ac:dyDescent="0.35">
      <c r="A10" s="5">
        <v>4</v>
      </c>
      <c r="B10" s="5" t="str">
        <f t="shared" si="0"/>
        <v>G.4</v>
      </c>
      <c r="C10" s="68" t="s">
        <v>189</v>
      </c>
      <c r="D10" s="5" t="s">
        <v>160</v>
      </c>
      <c r="E10" s="5" t="s">
        <v>42</v>
      </c>
      <c r="F10" s="5" t="s">
        <v>36</v>
      </c>
      <c r="G10" s="5" t="s">
        <v>36</v>
      </c>
      <c r="H10" s="51" t="s">
        <v>36</v>
      </c>
      <c r="I10" s="37" t="s">
        <v>9</v>
      </c>
      <c r="J10" s="5" t="s">
        <v>36</v>
      </c>
      <c r="K10" s="5" t="s">
        <v>36</v>
      </c>
      <c r="L10" s="5" t="s">
        <v>36</v>
      </c>
      <c r="M10" s="5" t="s">
        <v>36</v>
      </c>
      <c r="N10" s="5" t="s">
        <v>36</v>
      </c>
      <c r="O10" s="37" t="s">
        <v>167</v>
      </c>
    </row>
  </sheetData>
  <autoFilter ref="A6:P6"/>
  <conditionalFormatting sqref="C11:C1048576">
    <cfRule type="cellIs" dxfId="87" priority="11" operator="equal">
      <formula>"WIP (see comments)"</formula>
    </cfRule>
    <cfRule type="cellIs" dxfId="86" priority="12" operator="equal">
      <formula>"Removed"</formula>
    </cfRule>
    <cfRule type="cellIs" dxfId="85" priority="13" operator="equal">
      <formula>"Updated"</formula>
    </cfRule>
    <cfRule type="cellIs" dxfId="84" priority="14" operator="equal">
      <formula>"New"</formula>
    </cfRule>
  </conditionalFormatting>
  <conditionalFormatting sqref="A11:XFD1048576 A8:B9 D8:XFD9 A4:XFD6 A3:C3 E3:XFD3 A1:XFD2">
    <cfRule type="cellIs" dxfId="83" priority="10" operator="equal">
      <formula>"n/a"</formula>
    </cfRule>
  </conditionalFormatting>
  <conditionalFormatting sqref="D8:D9">
    <cfRule type="cellIs" dxfId="82" priority="9" operator="equal">
      <formula>"-"</formula>
    </cfRule>
  </conditionalFormatting>
  <conditionalFormatting sqref="C7:C10">
    <cfRule type="cellIs" dxfId="81" priority="4" operator="equal">
      <formula>"WIP (see comments)"</formula>
    </cfRule>
    <cfRule type="cellIs" dxfId="80" priority="5" operator="equal">
      <formula>"Removed"</formula>
    </cfRule>
    <cfRule type="cellIs" dxfId="79" priority="6" operator="equal">
      <formula>"Updated"</formula>
    </cfRule>
    <cfRule type="cellIs" dxfId="78" priority="7" operator="equal">
      <formula>"New"</formula>
    </cfRule>
  </conditionalFormatting>
  <conditionalFormatting sqref="A7:XFD7 C8:C10">
    <cfRule type="cellIs" dxfId="77" priority="3" operator="equal">
      <formula>"n/a"</formula>
    </cfRule>
  </conditionalFormatting>
  <conditionalFormatting sqref="A10:B10 D10:XFD10">
    <cfRule type="cellIs" dxfId="76" priority="2"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3" style="64" customWidth="1"/>
    <col min="4" max="4" width="45.1796875" style="5" customWidth="1"/>
    <col min="5" max="5" width="28.7265625" style="5" customWidth="1"/>
    <col min="6" max="6" width="37" style="5" customWidth="1"/>
    <col min="7" max="7" width="29.26953125" style="5" customWidth="1"/>
    <col min="8" max="8" width="11.54296875" style="6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171</v>
      </c>
      <c r="C1" s="29"/>
      <c r="D1" s="26"/>
      <c r="H1" s="32"/>
    </row>
    <row r="2" spans="1:16" s="27" customFormat="1" ht="18.5" x14ac:dyDescent="0.35">
      <c r="A2" s="25" t="s">
        <v>7</v>
      </c>
      <c r="B2" s="33" t="s">
        <v>173</v>
      </c>
      <c r="C2" s="32"/>
      <c r="D2" s="33"/>
      <c r="H2" s="32"/>
    </row>
    <row r="3" spans="1:16" s="27" customFormat="1" ht="18.5" x14ac:dyDescent="0.35">
      <c r="A3" s="25" t="s">
        <v>43</v>
      </c>
      <c r="B3" s="33" t="s">
        <v>504</v>
      </c>
      <c r="C3" s="32"/>
      <c r="D3" s="33" t="s">
        <v>68</v>
      </c>
      <c r="H3" s="32"/>
    </row>
    <row r="4" spans="1:16" s="27" customFormat="1" ht="18.5" x14ac:dyDescent="0.35">
      <c r="A4" s="25" t="s">
        <v>8</v>
      </c>
      <c r="B4" s="27" t="s">
        <v>172</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ht="43.5" x14ac:dyDescent="0.35">
      <c r="A7" s="5">
        <v>1</v>
      </c>
      <c r="B7" s="5" t="str">
        <f t="shared" ref="B7" si="0">CONCATENATE($B$2, ".", A7)</f>
        <v>H.1</v>
      </c>
      <c r="C7" s="64" t="s">
        <v>39</v>
      </c>
      <c r="D7" s="37" t="s">
        <v>36</v>
      </c>
      <c r="E7" s="37" t="s">
        <v>114</v>
      </c>
      <c r="F7" s="5" t="s">
        <v>36</v>
      </c>
      <c r="G7" s="5" t="s">
        <v>36</v>
      </c>
      <c r="H7" s="64" t="s">
        <v>36</v>
      </c>
      <c r="I7" s="37" t="s">
        <v>9</v>
      </c>
      <c r="J7" s="5" t="s">
        <v>36</v>
      </c>
      <c r="K7" s="5" t="s">
        <v>36</v>
      </c>
      <c r="L7" s="5" t="s">
        <v>36</v>
      </c>
      <c r="M7" s="5" t="s">
        <v>36</v>
      </c>
      <c r="N7" s="5" t="s">
        <v>36</v>
      </c>
      <c r="O7" s="37" t="s">
        <v>995</v>
      </c>
    </row>
  </sheetData>
  <autoFilter ref="A6:P6"/>
  <conditionalFormatting sqref="C8:C1048576">
    <cfRule type="cellIs" dxfId="75" priority="10" operator="equal">
      <formula>"WIP (see comments)"</formula>
    </cfRule>
    <cfRule type="cellIs" dxfId="74" priority="11" operator="equal">
      <formula>"Removed"</formula>
    </cfRule>
    <cfRule type="cellIs" dxfId="73" priority="12" operator="equal">
      <formula>"Updated"</formula>
    </cfRule>
    <cfRule type="cellIs" dxfId="72" priority="13" operator="equal">
      <formula>"New"</formula>
    </cfRule>
  </conditionalFormatting>
  <conditionalFormatting sqref="A1:XFD6 A8:XFD1048576">
    <cfRule type="cellIs" dxfId="71" priority="9" operator="equal">
      <formula>"n/a"</formula>
    </cfRule>
  </conditionalFormatting>
  <conditionalFormatting sqref="C7">
    <cfRule type="cellIs" dxfId="70" priority="4" operator="equal">
      <formula>"WIP (see comments)"</formula>
    </cfRule>
    <cfRule type="cellIs" dxfId="69" priority="5" operator="equal">
      <formula>"Removed"</formula>
    </cfRule>
    <cfRule type="cellIs" dxfId="68" priority="6" operator="equal">
      <formula>"Updated"</formula>
    </cfRule>
    <cfRule type="cellIs" dxfId="67" priority="7" operator="equal">
      <formula>"New"</formula>
    </cfRule>
  </conditionalFormatting>
  <conditionalFormatting sqref="A7:N7 P7:XFD7">
    <cfRule type="cellIs" dxfId="66" priority="3" operator="equal">
      <formula>"n/a"</formula>
    </cfRule>
  </conditionalFormatting>
  <conditionalFormatting sqref="O7">
    <cfRule type="cellIs" dxfId="65"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P10"/>
  <sheetViews>
    <sheetView workbookViewId="0">
      <pane xSplit="4" ySplit="6" topLeftCell="E7" activePane="bottomRight" state="frozen"/>
      <selection activeCell="O8" sqref="O8"/>
      <selection pane="topRight" activeCell="O8" sqref="O8"/>
      <selection pane="bottomLeft" activeCell="O8" sqref="O8"/>
      <selection pane="bottomRight" activeCell="E7" sqref="E7"/>
    </sheetView>
  </sheetViews>
  <sheetFormatPr defaultColWidth="9.1796875" defaultRowHeight="14.5" x14ac:dyDescent="0.35"/>
  <cols>
    <col min="1" max="1" width="14.7265625" style="5" customWidth="1"/>
    <col min="2" max="2" width="12.54296875" style="5" customWidth="1"/>
    <col min="3" max="3" width="19.26953125" style="68" customWidth="1"/>
    <col min="4" max="4" width="45.1796875" style="5" customWidth="1"/>
    <col min="5" max="5" width="28.7265625" style="5" customWidth="1"/>
    <col min="6" max="6" width="37" style="5" customWidth="1"/>
    <col min="7" max="7" width="29.26953125" style="5" customWidth="1"/>
    <col min="8" max="8" width="11.54296875" style="68"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191</v>
      </c>
      <c r="C1" s="29"/>
      <c r="D1" s="26"/>
      <c r="H1" s="32"/>
    </row>
    <row r="2" spans="1:16" s="27" customFormat="1" ht="18.5" x14ac:dyDescent="0.35">
      <c r="A2" s="25" t="s">
        <v>7</v>
      </c>
      <c r="B2" s="33" t="s">
        <v>190</v>
      </c>
      <c r="C2" s="32"/>
      <c r="D2" s="33"/>
      <c r="H2" s="32"/>
    </row>
    <row r="3" spans="1:16" s="27" customFormat="1" ht="18.5" x14ac:dyDescent="0.35">
      <c r="A3" s="25" t="s">
        <v>43</v>
      </c>
      <c r="B3" s="33" t="s">
        <v>294</v>
      </c>
      <c r="C3" s="32"/>
      <c r="D3" s="86" t="s">
        <v>293</v>
      </c>
      <c r="H3" s="32"/>
    </row>
    <row r="4" spans="1:16" s="27" customFormat="1" ht="18.5" x14ac:dyDescent="0.35">
      <c r="A4" s="25" t="s">
        <v>8</v>
      </c>
      <c r="B4" s="27" t="s">
        <v>195</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5">
        <v>1</v>
      </c>
      <c r="B7" s="5" t="str">
        <f t="shared" ref="B7:B10" si="0">CONCATENATE($B$2, ".", A7)</f>
        <v>I.1</v>
      </c>
      <c r="C7" s="68" t="s">
        <v>37</v>
      </c>
      <c r="D7" s="37" t="s">
        <v>1000</v>
      </c>
      <c r="E7" s="37" t="s">
        <v>115</v>
      </c>
      <c r="F7" s="5" t="s">
        <v>36</v>
      </c>
      <c r="G7" s="5" t="s">
        <v>36</v>
      </c>
      <c r="H7" s="68" t="s">
        <v>36</v>
      </c>
      <c r="I7" s="37" t="s">
        <v>9</v>
      </c>
      <c r="J7" s="5" t="s">
        <v>36</v>
      </c>
      <c r="K7" s="5" t="s">
        <v>36</v>
      </c>
      <c r="L7" s="5" t="s">
        <v>36</v>
      </c>
      <c r="M7" s="5" t="s">
        <v>36</v>
      </c>
      <c r="N7" s="5" t="s">
        <v>36</v>
      </c>
    </row>
    <row r="8" spans="1:16" ht="90" customHeight="1" x14ac:dyDescent="0.35">
      <c r="A8" s="5">
        <v>2</v>
      </c>
      <c r="B8" s="5" t="str">
        <f t="shared" si="0"/>
        <v>I.2</v>
      </c>
      <c r="C8" s="69" t="s">
        <v>37</v>
      </c>
      <c r="D8" s="91" t="s">
        <v>999</v>
      </c>
      <c r="E8" s="37" t="s">
        <v>33</v>
      </c>
      <c r="F8" s="5" t="s">
        <v>36</v>
      </c>
      <c r="G8" s="5" t="s">
        <v>36</v>
      </c>
      <c r="H8" s="68" t="s">
        <v>36</v>
      </c>
      <c r="I8" s="37" t="s">
        <v>9</v>
      </c>
      <c r="J8" s="5" t="s">
        <v>36</v>
      </c>
      <c r="K8" s="5" t="s">
        <v>36</v>
      </c>
      <c r="L8" s="5" t="s">
        <v>36</v>
      </c>
      <c r="M8" s="5" t="s">
        <v>36</v>
      </c>
      <c r="N8" s="5" t="s">
        <v>36</v>
      </c>
      <c r="O8" s="5" t="s">
        <v>139</v>
      </c>
    </row>
    <row r="9" spans="1:16" x14ac:dyDescent="0.35">
      <c r="A9" s="5">
        <v>3</v>
      </c>
      <c r="B9" s="5" t="str">
        <f t="shared" si="0"/>
        <v>I.3</v>
      </c>
      <c r="C9" s="69" t="s">
        <v>189</v>
      </c>
      <c r="D9" s="42" t="s">
        <v>192</v>
      </c>
      <c r="E9" s="37" t="s">
        <v>35</v>
      </c>
      <c r="F9" s="5" t="s">
        <v>36</v>
      </c>
      <c r="G9" s="5" t="s">
        <v>36</v>
      </c>
      <c r="H9" s="68" t="s">
        <v>36</v>
      </c>
      <c r="I9" s="37" t="s">
        <v>9</v>
      </c>
      <c r="J9" s="5" t="s">
        <v>36</v>
      </c>
      <c r="K9" s="5" t="s">
        <v>36</v>
      </c>
      <c r="L9" s="5" t="s">
        <v>36</v>
      </c>
      <c r="M9" s="5" t="s">
        <v>36</v>
      </c>
      <c r="N9" s="5" t="s">
        <v>36</v>
      </c>
    </row>
    <row r="10" spans="1:16" ht="29" x14ac:dyDescent="0.35">
      <c r="A10" s="5">
        <v>4</v>
      </c>
      <c r="B10" s="5" t="str">
        <f t="shared" si="0"/>
        <v>I.4</v>
      </c>
      <c r="C10" s="69" t="s">
        <v>189</v>
      </c>
      <c r="D10" s="5" t="s">
        <v>193</v>
      </c>
      <c r="E10" s="37" t="s">
        <v>33</v>
      </c>
      <c r="F10" s="5" t="s">
        <v>36</v>
      </c>
      <c r="G10" s="5" t="s">
        <v>36</v>
      </c>
      <c r="H10" s="68" t="s">
        <v>36</v>
      </c>
      <c r="I10" s="37" t="s">
        <v>9</v>
      </c>
      <c r="J10" s="5" t="s">
        <v>36</v>
      </c>
      <c r="K10" s="5" t="s">
        <v>36</v>
      </c>
      <c r="L10" s="5" t="s">
        <v>36</v>
      </c>
      <c r="M10" s="5" t="s">
        <v>36</v>
      </c>
      <c r="N10" s="5" t="s">
        <v>36</v>
      </c>
      <c r="O10" s="37"/>
    </row>
  </sheetData>
  <autoFilter ref="A6:P6"/>
  <conditionalFormatting sqref="C11:C1048576">
    <cfRule type="cellIs" dxfId="64" priority="14" operator="equal">
      <formula>"WIP (see comments)"</formula>
    </cfRule>
    <cfRule type="cellIs" dxfId="63" priority="15" operator="equal">
      <formula>"Removed"</formula>
    </cfRule>
    <cfRule type="cellIs" dxfId="62" priority="16" operator="equal">
      <formula>"Updated"</formula>
    </cfRule>
    <cfRule type="cellIs" dxfId="61" priority="17" operator="equal">
      <formula>"New"</formula>
    </cfRule>
  </conditionalFormatting>
  <conditionalFormatting sqref="A1:XFD2 A11:XFD1048576 A4:XFD6 A3:C3 E3:XFD3">
    <cfRule type="cellIs" dxfId="60" priority="13" operator="equal">
      <formula>"n/a"</formula>
    </cfRule>
  </conditionalFormatting>
  <conditionalFormatting sqref="D8:D9">
    <cfRule type="cellIs" dxfId="59" priority="12" operator="equal">
      <formula>"-"</formula>
    </cfRule>
  </conditionalFormatting>
  <conditionalFormatting sqref="A8:B9 D9:XFD9 D8:N8 P8:XFD8">
    <cfRule type="cellIs" dxfId="58" priority="11" operator="equal">
      <formula>"n/a"</formula>
    </cfRule>
  </conditionalFormatting>
  <conditionalFormatting sqref="C7:C10">
    <cfRule type="cellIs" dxfId="57" priority="7" operator="equal">
      <formula>"WIP (see comments)"</formula>
    </cfRule>
    <cfRule type="cellIs" dxfId="56" priority="8" operator="equal">
      <formula>"Removed"</formula>
    </cfRule>
    <cfRule type="cellIs" dxfId="55" priority="9" operator="equal">
      <formula>"Updated"</formula>
    </cfRule>
    <cfRule type="cellIs" dxfId="54" priority="10" operator="equal">
      <formula>"New"</formula>
    </cfRule>
  </conditionalFormatting>
  <conditionalFormatting sqref="A7:XFD7 C8:C10">
    <cfRule type="cellIs" dxfId="53" priority="6" operator="equal">
      <formula>"n/a"</formula>
    </cfRule>
  </conditionalFormatting>
  <conditionalFormatting sqref="A10:B10 D10 F10:XFD10">
    <cfRule type="cellIs" dxfId="52" priority="5" operator="equal">
      <formula>"n/a"</formula>
    </cfRule>
  </conditionalFormatting>
  <conditionalFormatting sqref="E10">
    <cfRule type="cellIs" dxfId="51" priority="3" operator="equal">
      <formula>"n/a"</formula>
    </cfRule>
  </conditionalFormatting>
  <conditionalFormatting sqref="O8">
    <cfRule type="cellIs" dxfId="50" priority="2" operator="equal">
      <formula>"n/a"</formula>
    </cfRule>
  </conditionalFormatting>
  <conditionalFormatting sqref="D3">
    <cfRule type="cellIs" dxfId="4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17"/>
  <sheetViews>
    <sheetView workbookViewId="0">
      <pane xSplit="4" ySplit="6" topLeftCell="E7" activePane="bottomRight" state="frozen"/>
      <selection pane="topRight" activeCell="E1" sqref="E1"/>
      <selection pane="bottomLeft" activeCell="A7" sqref="A7"/>
      <selection pane="bottomRight" activeCell="A17" sqref="A17"/>
    </sheetView>
  </sheetViews>
  <sheetFormatPr defaultColWidth="9.1796875" defaultRowHeight="14.5" x14ac:dyDescent="0.35"/>
  <cols>
    <col min="1" max="1" width="14.7265625" style="5" customWidth="1"/>
    <col min="2" max="2" width="12.54296875" style="5" customWidth="1"/>
    <col min="3" max="3" width="19.26953125" style="105" customWidth="1"/>
    <col min="4" max="4" width="45.1796875" style="5" customWidth="1"/>
    <col min="5" max="5" width="28.7265625" style="5" customWidth="1"/>
    <col min="6" max="6" width="37" style="5" customWidth="1"/>
    <col min="7" max="7" width="29.26953125" style="5" customWidth="1"/>
    <col min="8" max="8" width="11.54296875" style="105"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505</v>
      </c>
      <c r="C1" s="29"/>
      <c r="D1" s="26"/>
      <c r="H1" s="32"/>
    </row>
    <row r="2" spans="1:16" s="27" customFormat="1" ht="18.5" x14ac:dyDescent="0.35">
      <c r="A2" s="25" t="s">
        <v>7</v>
      </c>
      <c r="B2" s="104" t="s">
        <v>227</v>
      </c>
      <c r="C2" s="32"/>
      <c r="D2" s="104"/>
      <c r="H2" s="32"/>
    </row>
    <row r="3" spans="1:16" s="27" customFormat="1" ht="18.5" x14ac:dyDescent="0.35">
      <c r="A3" s="25" t="s">
        <v>43</v>
      </c>
      <c r="B3" s="104" t="s">
        <v>559</v>
      </c>
      <c r="C3" s="32"/>
      <c r="D3" s="104" t="s">
        <v>811</v>
      </c>
      <c r="H3" s="32"/>
    </row>
    <row r="4" spans="1:16" s="27" customFormat="1" ht="18.5" x14ac:dyDescent="0.35">
      <c r="A4" s="25" t="s">
        <v>8</v>
      </c>
      <c r="B4" s="27" t="s">
        <v>506</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s="108" customFormat="1" ht="15" customHeight="1" x14ac:dyDescent="0.35">
      <c r="A7" s="107" t="s">
        <v>508</v>
      </c>
      <c r="B7" s="107"/>
      <c r="C7" s="107"/>
      <c r="D7" s="107"/>
      <c r="E7" s="107"/>
    </row>
    <row r="8" spans="1:16" s="37" customFormat="1" ht="29" x14ac:dyDescent="0.35">
      <c r="A8" s="37">
        <v>1</v>
      </c>
      <c r="B8" s="37" t="str">
        <f t="shared" ref="B8:B17" si="0">CONCATENATE($B$2, ".", A8)</f>
        <v>J.1</v>
      </c>
      <c r="C8" s="109" t="s">
        <v>37</v>
      </c>
      <c r="D8" s="37" t="s">
        <v>509</v>
      </c>
      <c r="E8" s="37" t="s">
        <v>115</v>
      </c>
      <c r="F8" s="37" t="s">
        <v>36</v>
      </c>
      <c r="G8" s="37" t="s">
        <v>36</v>
      </c>
      <c r="H8" s="109" t="s">
        <v>36</v>
      </c>
      <c r="I8" s="37" t="s">
        <v>510</v>
      </c>
      <c r="J8" s="37" t="s">
        <v>36</v>
      </c>
      <c r="K8" s="37" t="s">
        <v>36</v>
      </c>
      <c r="L8" s="37" t="s">
        <v>36</v>
      </c>
      <c r="M8" s="37" t="s">
        <v>36</v>
      </c>
      <c r="N8" s="37" t="s">
        <v>36</v>
      </c>
    </row>
    <row r="9" spans="1:16" s="37" customFormat="1" ht="29" x14ac:dyDescent="0.35">
      <c r="A9" s="37">
        <v>2</v>
      </c>
      <c r="B9" s="37" t="str">
        <f t="shared" si="0"/>
        <v>J.2</v>
      </c>
      <c r="C9" s="109" t="s">
        <v>37</v>
      </c>
      <c r="D9" s="37" t="s">
        <v>511</v>
      </c>
      <c r="E9" s="37" t="s">
        <v>115</v>
      </c>
      <c r="F9" s="37" t="s">
        <v>36</v>
      </c>
      <c r="G9" s="37" t="s">
        <v>36</v>
      </c>
      <c r="H9" s="109" t="s">
        <v>36</v>
      </c>
      <c r="I9" s="37" t="s">
        <v>512</v>
      </c>
      <c r="J9" s="37" t="s">
        <v>36</v>
      </c>
      <c r="K9" s="37" t="s">
        <v>36</v>
      </c>
      <c r="L9" s="37" t="s">
        <v>36</v>
      </c>
      <c r="M9" s="37" t="s">
        <v>36</v>
      </c>
      <c r="N9" s="37" t="s">
        <v>36</v>
      </c>
    </row>
    <row r="10" spans="1:16" s="108" customFormat="1" ht="15" customHeight="1" x14ac:dyDescent="0.35">
      <c r="A10" s="107" t="s">
        <v>513</v>
      </c>
      <c r="B10" s="107"/>
      <c r="C10" s="107"/>
      <c r="D10" s="107"/>
      <c r="E10" s="107"/>
    </row>
    <row r="11" spans="1:16" ht="98.25" customHeight="1" x14ac:dyDescent="0.35">
      <c r="A11" s="5">
        <v>3</v>
      </c>
      <c r="B11" s="5" t="str">
        <f t="shared" si="0"/>
        <v>J.3</v>
      </c>
      <c r="C11" s="105" t="s">
        <v>39</v>
      </c>
      <c r="D11" s="37" t="s">
        <v>514</v>
      </c>
      <c r="E11" s="37" t="s">
        <v>33</v>
      </c>
      <c r="F11" s="5" t="s">
        <v>36</v>
      </c>
      <c r="G11" s="5" t="s">
        <v>36</v>
      </c>
      <c r="H11" s="105" t="s">
        <v>36</v>
      </c>
      <c r="I11" s="37" t="s">
        <v>515</v>
      </c>
      <c r="J11" s="5" t="s">
        <v>36</v>
      </c>
      <c r="K11" s="5" t="s">
        <v>36</v>
      </c>
      <c r="L11" s="5" t="s">
        <v>36</v>
      </c>
      <c r="M11" s="5" t="s">
        <v>36</v>
      </c>
      <c r="N11" s="5" t="s">
        <v>36</v>
      </c>
    </row>
    <row r="12" spans="1:16" ht="50.25" customHeight="1" x14ac:dyDescent="0.35">
      <c r="A12" s="5">
        <v>4</v>
      </c>
      <c r="B12" s="5" t="str">
        <f t="shared" si="0"/>
        <v>J.4</v>
      </c>
      <c r="C12" s="105" t="s">
        <v>39</v>
      </c>
      <c r="D12" s="37" t="s">
        <v>516</v>
      </c>
      <c r="E12" s="37" t="s">
        <v>33</v>
      </c>
      <c r="F12" s="5" t="s">
        <v>36</v>
      </c>
      <c r="G12" s="5" t="s">
        <v>36</v>
      </c>
      <c r="H12" s="105" t="s">
        <v>36</v>
      </c>
      <c r="I12" s="37" t="s">
        <v>517</v>
      </c>
      <c r="J12" s="5" t="s">
        <v>36</v>
      </c>
      <c r="K12" s="5" t="s">
        <v>36</v>
      </c>
      <c r="L12" s="5" t="s">
        <v>36</v>
      </c>
      <c r="M12" s="5" t="s">
        <v>36</v>
      </c>
      <c r="N12" s="5" t="s">
        <v>36</v>
      </c>
    </row>
    <row r="13" spans="1:16" s="37" customFormat="1" ht="90.75" customHeight="1" x14ac:dyDescent="0.35">
      <c r="A13" s="37">
        <v>5</v>
      </c>
      <c r="B13" s="37" t="str">
        <f t="shared" si="0"/>
        <v>J.5</v>
      </c>
      <c r="C13" s="109" t="s">
        <v>37</v>
      </c>
      <c r="D13" s="37" t="s">
        <v>518</v>
      </c>
      <c r="E13" s="37" t="s">
        <v>33</v>
      </c>
      <c r="F13" s="37" t="s">
        <v>36</v>
      </c>
      <c r="G13" s="37" t="s">
        <v>36</v>
      </c>
      <c r="H13" s="109" t="s">
        <v>36</v>
      </c>
      <c r="I13" s="37" t="s">
        <v>512</v>
      </c>
      <c r="J13" s="37" t="s">
        <v>36</v>
      </c>
      <c r="K13" s="37" t="s">
        <v>36</v>
      </c>
      <c r="L13" s="37" t="s">
        <v>36</v>
      </c>
      <c r="M13" s="37" t="s">
        <v>36</v>
      </c>
      <c r="N13" s="37" t="s">
        <v>36</v>
      </c>
    </row>
    <row r="14" spans="1:16" s="108" customFormat="1" ht="15" customHeight="1" x14ac:dyDescent="0.35">
      <c r="A14" s="107" t="s">
        <v>519</v>
      </c>
      <c r="B14" s="107"/>
      <c r="C14" s="107"/>
      <c r="D14" s="107"/>
      <c r="E14" s="107"/>
    </row>
    <row r="15" spans="1:16" ht="72" customHeight="1" x14ac:dyDescent="0.35">
      <c r="A15" s="5">
        <v>6</v>
      </c>
      <c r="B15" s="5" t="str">
        <f t="shared" si="0"/>
        <v>J.6</v>
      </c>
      <c r="C15" s="105" t="s">
        <v>37</v>
      </c>
      <c r="D15" s="103" t="s">
        <v>550</v>
      </c>
      <c r="E15" s="37" t="s">
        <v>99</v>
      </c>
      <c r="F15" s="37" t="s">
        <v>36</v>
      </c>
      <c r="G15" s="37" t="s">
        <v>36</v>
      </c>
      <c r="H15" s="109" t="s">
        <v>36</v>
      </c>
      <c r="I15" s="169" t="s">
        <v>510</v>
      </c>
      <c r="J15" s="5" t="s">
        <v>36</v>
      </c>
      <c r="K15" s="5" t="s">
        <v>36</v>
      </c>
      <c r="L15" s="5" t="s">
        <v>36</v>
      </c>
      <c r="M15" s="5" t="s">
        <v>36</v>
      </c>
      <c r="N15" s="5" t="s">
        <v>36</v>
      </c>
      <c r="O15" s="5" t="s">
        <v>393</v>
      </c>
    </row>
    <row r="16" spans="1:16" ht="30" customHeight="1" x14ac:dyDescent="0.35">
      <c r="A16" s="5">
        <v>7</v>
      </c>
      <c r="B16" s="5" t="str">
        <f t="shared" si="0"/>
        <v>J.7</v>
      </c>
      <c r="C16" s="105" t="s">
        <v>39</v>
      </c>
      <c r="D16" s="37" t="s">
        <v>507</v>
      </c>
      <c r="E16" s="37" t="s">
        <v>35</v>
      </c>
      <c r="F16" s="37" t="s">
        <v>36</v>
      </c>
      <c r="G16" s="37" t="s">
        <v>36</v>
      </c>
      <c r="H16" s="109" t="s">
        <v>36</v>
      </c>
      <c r="I16" s="169"/>
      <c r="J16" s="5" t="s">
        <v>36</v>
      </c>
      <c r="K16" s="5" t="s">
        <v>36</v>
      </c>
      <c r="L16" s="5" t="s">
        <v>36</v>
      </c>
      <c r="M16" s="5" t="s">
        <v>36</v>
      </c>
      <c r="N16" s="5" t="s">
        <v>36</v>
      </c>
    </row>
    <row r="17" spans="1:15" ht="29" x14ac:dyDescent="0.35">
      <c r="A17" s="5">
        <v>8</v>
      </c>
      <c r="B17" s="5" t="str">
        <f t="shared" si="0"/>
        <v>J.8</v>
      </c>
      <c r="C17" s="105" t="s">
        <v>39</v>
      </c>
      <c r="D17" s="37" t="s">
        <v>193</v>
      </c>
      <c r="E17" s="37" t="s">
        <v>33</v>
      </c>
      <c r="F17" s="37" t="s">
        <v>36</v>
      </c>
      <c r="G17" s="37" t="s">
        <v>36</v>
      </c>
      <c r="H17" s="109" t="s">
        <v>36</v>
      </c>
      <c r="I17" s="169"/>
      <c r="J17" s="5" t="s">
        <v>36</v>
      </c>
      <c r="K17" s="5" t="s">
        <v>36</v>
      </c>
      <c r="L17" s="5" t="s">
        <v>36</v>
      </c>
      <c r="M17" s="5" t="s">
        <v>36</v>
      </c>
      <c r="N17" s="5" t="s">
        <v>36</v>
      </c>
      <c r="O17" s="37"/>
    </row>
  </sheetData>
  <autoFilter ref="A6:P6"/>
  <mergeCells count="1">
    <mergeCell ref="I15:I17"/>
  </mergeCells>
  <conditionalFormatting sqref="A1:XFD1048576">
    <cfRule type="cellIs" dxfId="48" priority="1" operator="equal">
      <formula>"n/a"</formula>
    </cfRule>
  </conditionalFormatting>
  <conditionalFormatting sqref="C1:C1048576">
    <cfRule type="cellIs" dxfId="47" priority="2" operator="equal">
      <formula>"WIP (see comments)"</formula>
    </cfRule>
    <cfRule type="cellIs" dxfId="46" priority="3" operator="equal">
      <formula>"Removed"</formula>
    </cfRule>
    <cfRule type="cellIs" dxfId="45" priority="4" operator="equal">
      <formula>"Updated"</formula>
    </cfRule>
    <cfRule type="cellIs" dxfId="44" priority="5" operator="equal">
      <formula>"New"</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14:formula1>
            <xm:f>'C:\Users\hicksi\Documents\Personal DCO\[CWB Personal DCO Primary Applicant Field Spec (Ver 1.1).xlsx]List Values'!#REF!</xm:f>
          </x14:formula1>
          <xm:sqref>C18:C1048576</xm:sqref>
        </x14:dataValidation>
        <x14:dataValidation type="list" allowBlank="1" showInputMessage="1" showErrorMessage="1">
          <x14:formula1>
            <xm:f>'C:\Users\hicksi\Documents\Personal DCO\[CWB Personal DCO Primary Applicant Field Spec (Ver 1.1).xlsx]List Values'!#REF!</xm:f>
          </x14:formula1>
          <xm:sqref>E18:E1048576</xm:sqref>
        </x14:dataValidation>
        <x14:dataValidation type="list" allowBlank="1" showInputMessage="1" showErrorMessage="1">
          <x14:formula1>
            <xm:f>'List Values'!$B$5:$B$9</xm:f>
          </x14:formula1>
          <xm:sqref>C8:C17</xm:sqref>
        </x14:dataValidation>
        <x14:dataValidation type="list" allowBlank="1" showInputMessage="1" showErrorMessage="1">
          <x14:formula1>
            <xm:f>'List Values'!$A$5:$A$34</xm:f>
          </x14:formula1>
          <xm:sqref>E8:E17</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P9"/>
  <sheetViews>
    <sheetView workbookViewId="0">
      <pane xSplit="4" ySplit="6" topLeftCell="E7" activePane="bottomRight" state="frozen"/>
      <selection activeCell="O8" sqref="O8"/>
      <selection pane="topRight" activeCell="O8" sqref="O8"/>
      <selection pane="bottomLeft" activeCell="O8" sqref="O8"/>
      <selection pane="bottomRight" activeCell="I33" sqref="I33"/>
    </sheetView>
  </sheetViews>
  <sheetFormatPr defaultColWidth="9.1796875" defaultRowHeight="14.5" x14ac:dyDescent="0.35"/>
  <cols>
    <col min="1" max="1" width="14.7265625" style="5" customWidth="1"/>
    <col min="2" max="2" width="12.54296875" style="5" customWidth="1"/>
    <col min="3" max="3" width="13" style="111" customWidth="1"/>
    <col min="4" max="4" width="45.1796875" style="5" customWidth="1"/>
    <col min="5" max="5" width="28.7265625" style="5" customWidth="1"/>
    <col min="6" max="6" width="37" style="5" customWidth="1"/>
    <col min="7" max="7" width="29.26953125" style="5" customWidth="1"/>
    <col min="8" max="8" width="11.54296875" style="111"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745</v>
      </c>
      <c r="C1" s="29"/>
      <c r="D1" s="26"/>
      <c r="H1" s="32"/>
    </row>
    <row r="2" spans="1:16" s="27" customFormat="1" ht="18.5" x14ac:dyDescent="0.35">
      <c r="A2" s="25" t="s">
        <v>7</v>
      </c>
      <c r="B2" s="110" t="s">
        <v>314</v>
      </c>
      <c r="C2" s="32"/>
      <c r="D2" s="110"/>
      <c r="H2" s="32"/>
    </row>
    <row r="3" spans="1:16" s="27" customFormat="1" ht="18.5" x14ac:dyDescent="0.35">
      <c r="A3" s="25" t="s">
        <v>43</v>
      </c>
      <c r="B3" s="110" t="s">
        <v>547</v>
      </c>
      <c r="C3" s="32"/>
      <c r="D3" s="110"/>
      <c r="H3" s="32"/>
    </row>
    <row r="4" spans="1:16" s="27" customFormat="1" ht="18.5" x14ac:dyDescent="0.35">
      <c r="A4" s="25" t="s">
        <v>8</v>
      </c>
      <c r="B4" s="27" t="s">
        <v>746</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5">
        <v>1</v>
      </c>
      <c r="B7" s="5" t="str">
        <f>CONCATENATE($B$2, ".", A7)</f>
        <v>DEPRECATED.1</v>
      </c>
      <c r="C7" s="123" t="s">
        <v>40</v>
      </c>
      <c r="D7" s="37" t="s">
        <v>36</v>
      </c>
      <c r="E7" s="37" t="s">
        <v>114</v>
      </c>
      <c r="F7" s="5" t="s">
        <v>36</v>
      </c>
      <c r="G7" s="5" t="s">
        <v>36</v>
      </c>
      <c r="H7" s="123" t="s">
        <v>36</v>
      </c>
      <c r="I7" s="37" t="s">
        <v>9</v>
      </c>
      <c r="J7" s="5" t="s">
        <v>36</v>
      </c>
      <c r="K7" s="5" t="s">
        <v>36</v>
      </c>
      <c r="L7" s="5" t="s">
        <v>36</v>
      </c>
      <c r="M7" s="5" t="s">
        <v>36</v>
      </c>
      <c r="N7" s="5" t="s">
        <v>36</v>
      </c>
      <c r="O7" s="5" t="s">
        <v>733</v>
      </c>
      <c r="P7" s="5" t="s">
        <v>395</v>
      </c>
    </row>
    <row r="8" spans="1:16" x14ac:dyDescent="0.35">
      <c r="A8" s="5">
        <v>2</v>
      </c>
      <c r="B8" s="5" t="str">
        <f t="shared" ref="B8:B9" si="0">CONCATENATE($B$2, ".", A8)</f>
        <v>DEPRECATED.2</v>
      </c>
      <c r="C8" s="159" t="s">
        <v>40</v>
      </c>
      <c r="D8" s="37" t="s">
        <v>734</v>
      </c>
      <c r="E8" s="37" t="s">
        <v>115</v>
      </c>
      <c r="F8" s="5" t="s">
        <v>36</v>
      </c>
      <c r="G8" s="5" t="s">
        <v>36</v>
      </c>
      <c r="H8" s="111" t="s">
        <v>36</v>
      </c>
      <c r="I8" s="37" t="s">
        <v>9</v>
      </c>
      <c r="J8" s="5" t="s">
        <v>36</v>
      </c>
      <c r="K8" s="5" t="s">
        <v>36</v>
      </c>
      <c r="L8" s="5" t="s">
        <v>36</v>
      </c>
      <c r="M8" s="5" t="s">
        <v>36</v>
      </c>
      <c r="N8" s="5" t="s">
        <v>36</v>
      </c>
      <c r="P8" s="5" t="s">
        <v>209</v>
      </c>
    </row>
    <row r="9" spans="1:16" ht="87" x14ac:dyDescent="0.35">
      <c r="A9" s="5">
        <v>3</v>
      </c>
      <c r="B9" s="5" t="str">
        <f t="shared" si="0"/>
        <v>DEPRECATED.3</v>
      </c>
      <c r="C9" s="159" t="s">
        <v>40</v>
      </c>
      <c r="D9" s="103" t="s">
        <v>675</v>
      </c>
      <c r="E9" s="37" t="s">
        <v>33</v>
      </c>
      <c r="F9" s="5" t="s">
        <v>36</v>
      </c>
      <c r="G9" s="5" t="s">
        <v>36</v>
      </c>
      <c r="H9" s="111" t="s">
        <v>36</v>
      </c>
      <c r="I9" s="37" t="s">
        <v>9</v>
      </c>
      <c r="J9" s="5" t="s">
        <v>36</v>
      </c>
      <c r="K9" s="5" t="s">
        <v>36</v>
      </c>
      <c r="L9" s="5" t="s">
        <v>36</v>
      </c>
      <c r="M9" s="5" t="s">
        <v>36</v>
      </c>
      <c r="N9" s="5" t="s">
        <v>36</v>
      </c>
      <c r="O9" s="5" t="s">
        <v>36</v>
      </c>
      <c r="P9" s="5" t="s">
        <v>735</v>
      </c>
    </row>
  </sheetData>
  <autoFilter ref="A6:P6"/>
  <conditionalFormatting sqref="C7:C1048576">
    <cfRule type="cellIs" dxfId="43" priority="11" operator="equal">
      <formula>"WIP (see comments)"</formula>
    </cfRule>
    <cfRule type="cellIs" dxfId="42" priority="12" operator="equal">
      <formula>"Removed"</formula>
    </cfRule>
    <cfRule type="cellIs" dxfId="41" priority="13" operator="equal">
      <formula>"Updated"</formula>
    </cfRule>
    <cfRule type="cellIs" dxfId="40" priority="14" operator="equal">
      <formula>"New"</formula>
    </cfRule>
  </conditionalFormatting>
  <conditionalFormatting sqref="A10:XFD1048576 A1:XFD8 C8:C9">
    <cfRule type="cellIs" dxfId="39" priority="10" operator="equal">
      <formula>"n/a"</formula>
    </cfRule>
  </conditionalFormatting>
  <conditionalFormatting sqref="D9">
    <cfRule type="cellIs" dxfId="38" priority="9" operator="equal">
      <formula>"-"</formula>
    </cfRule>
  </conditionalFormatting>
  <conditionalFormatting sqref="D9:XFD9 A9:B9">
    <cfRule type="cellIs" dxfId="37" priority="8"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11"/>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12" sqref="A12"/>
    </sheetView>
  </sheetViews>
  <sheetFormatPr defaultColWidth="9.1796875" defaultRowHeight="14.5" x14ac:dyDescent="0.35"/>
  <cols>
    <col min="1" max="1" width="14.7265625" style="5" customWidth="1"/>
    <col min="2" max="2" width="12.54296875" style="5" customWidth="1"/>
    <col min="3" max="3" width="19.26953125" style="156" customWidth="1"/>
    <col min="4" max="4" width="45.1796875" style="5" customWidth="1"/>
    <col min="5" max="5" width="28.7265625" style="5" customWidth="1"/>
    <col min="6" max="6" width="37" style="5" customWidth="1"/>
    <col min="7" max="7" width="29.26953125" style="5" customWidth="1"/>
    <col min="8" max="8" width="11.54296875" style="156"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900</v>
      </c>
      <c r="C1" s="29"/>
      <c r="D1" s="26"/>
      <c r="H1" s="32"/>
    </row>
    <row r="2" spans="1:16" s="27" customFormat="1" ht="18.5" x14ac:dyDescent="0.35">
      <c r="A2" s="25" t="s">
        <v>7</v>
      </c>
      <c r="B2" s="155" t="s">
        <v>899</v>
      </c>
      <c r="C2" s="32"/>
      <c r="D2" s="155"/>
      <c r="H2" s="32"/>
    </row>
    <row r="3" spans="1:16" s="27" customFormat="1" ht="18.5" x14ac:dyDescent="0.35">
      <c r="A3" s="25" t="s">
        <v>43</v>
      </c>
      <c r="B3" s="155" t="s">
        <v>898</v>
      </c>
      <c r="C3" s="32"/>
      <c r="D3" s="154" t="s">
        <v>907</v>
      </c>
      <c r="H3" s="32"/>
    </row>
    <row r="4" spans="1:16" s="27" customFormat="1" ht="18.5" x14ac:dyDescent="0.35">
      <c r="A4" s="25" t="s">
        <v>8</v>
      </c>
      <c r="B4" s="27" t="s">
        <v>210</v>
      </c>
      <c r="C4" s="32"/>
      <c r="D4" s="27" t="s">
        <v>1001</v>
      </c>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5">
        <v>1</v>
      </c>
      <c r="B7" s="5" t="str">
        <f t="shared" ref="B7" si="0">CONCATENATE($B$2, ".", A7)</f>
        <v>L.1</v>
      </c>
      <c r="C7" s="156" t="s">
        <v>41</v>
      </c>
      <c r="D7" s="37" t="s">
        <v>830</v>
      </c>
      <c r="E7" s="37" t="s">
        <v>114</v>
      </c>
      <c r="F7" s="5" t="s">
        <v>36</v>
      </c>
      <c r="G7" s="5" t="s">
        <v>36</v>
      </c>
      <c r="H7" s="156" t="s">
        <v>36</v>
      </c>
      <c r="I7" s="37" t="s">
        <v>9</v>
      </c>
      <c r="J7" s="5" t="s">
        <v>36</v>
      </c>
      <c r="K7" s="5" t="s">
        <v>36</v>
      </c>
      <c r="L7" s="5" t="s">
        <v>36</v>
      </c>
      <c r="M7" s="5" t="s">
        <v>36</v>
      </c>
      <c r="N7" s="5" t="s">
        <v>36</v>
      </c>
      <c r="O7" s="5" t="s">
        <v>901</v>
      </c>
      <c r="P7" s="5" t="s">
        <v>902</v>
      </c>
    </row>
    <row r="8" spans="1:16" x14ac:dyDescent="0.35">
      <c r="A8" s="5">
        <v>2</v>
      </c>
      <c r="B8" s="5" t="str">
        <f t="shared" ref="B8:B11" si="1">CONCATENATE($B$2, ".", A8)</f>
        <v>L.2</v>
      </c>
      <c r="C8" s="156" t="s">
        <v>41</v>
      </c>
      <c r="D8" s="37" t="s">
        <v>194</v>
      </c>
      <c r="E8" s="37" t="s">
        <v>115</v>
      </c>
      <c r="F8" s="5" t="s">
        <v>36</v>
      </c>
      <c r="G8" s="5" t="s">
        <v>36</v>
      </c>
      <c r="H8" s="156" t="s">
        <v>36</v>
      </c>
      <c r="I8" s="37" t="s">
        <v>9</v>
      </c>
      <c r="J8" s="5" t="s">
        <v>36</v>
      </c>
      <c r="K8" s="5" t="s">
        <v>36</v>
      </c>
      <c r="L8" s="5" t="s">
        <v>36</v>
      </c>
      <c r="M8" s="5" t="s">
        <v>36</v>
      </c>
      <c r="N8" s="5" t="s">
        <v>36</v>
      </c>
    </row>
    <row r="9" spans="1:16" ht="120.5" customHeight="1" x14ac:dyDescent="0.35">
      <c r="A9" s="5">
        <v>3</v>
      </c>
      <c r="B9" s="5" t="str">
        <f t="shared" si="1"/>
        <v>L.3</v>
      </c>
      <c r="C9" s="156" t="s">
        <v>41</v>
      </c>
      <c r="D9" s="91" t="s">
        <v>903</v>
      </c>
      <c r="E9" s="37" t="s">
        <v>33</v>
      </c>
      <c r="F9" s="5" t="s">
        <v>36</v>
      </c>
      <c r="G9" s="5" t="s">
        <v>36</v>
      </c>
      <c r="H9" s="156" t="s">
        <v>36</v>
      </c>
      <c r="I9" s="37" t="s">
        <v>9</v>
      </c>
      <c r="J9" s="5" t="s">
        <v>36</v>
      </c>
      <c r="K9" s="5" t="s">
        <v>36</v>
      </c>
      <c r="L9" s="5" t="s">
        <v>36</v>
      </c>
      <c r="M9" s="5" t="s">
        <v>36</v>
      </c>
      <c r="N9" s="5" t="s">
        <v>36</v>
      </c>
      <c r="O9" s="5" t="s">
        <v>139</v>
      </c>
      <c r="P9" s="5" t="s">
        <v>904</v>
      </c>
    </row>
    <row r="10" spans="1:16" x14ac:dyDescent="0.35">
      <c r="A10" s="5">
        <v>4</v>
      </c>
      <c r="B10" s="5" t="str">
        <f t="shared" si="1"/>
        <v>L.4</v>
      </c>
      <c r="C10" s="156" t="s">
        <v>41</v>
      </c>
      <c r="D10" s="42" t="s">
        <v>192</v>
      </c>
      <c r="E10" s="37" t="s">
        <v>35</v>
      </c>
      <c r="F10" s="5" t="s">
        <v>36</v>
      </c>
      <c r="G10" s="5" t="s">
        <v>36</v>
      </c>
      <c r="H10" s="156" t="s">
        <v>36</v>
      </c>
      <c r="I10" s="37" t="s">
        <v>9</v>
      </c>
      <c r="J10" s="5" t="s">
        <v>36</v>
      </c>
      <c r="K10" s="5" t="s">
        <v>36</v>
      </c>
      <c r="L10" s="5" t="s">
        <v>36</v>
      </c>
      <c r="M10" s="5" t="s">
        <v>36</v>
      </c>
      <c r="N10" s="5" t="s">
        <v>36</v>
      </c>
    </row>
    <row r="11" spans="1:16" ht="29" x14ac:dyDescent="0.35">
      <c r="A11" s="5">
        <v>5</v>
      </c>
      <c r="B11" s="5" t="str">
        <f t="shared" si="1"/>
        <v>L.5</v>
      </c>
      <c r="C11" s="156" t="s">
        <v>41</v>
      </c>
      <c r="D11" s="5" t="s">
        <v>193</v>
      </c>
      <c r="E11" s="37" t="s">
        <v>33</v>
      </c>
      <c r="F11" s="5" t="s">
        <v>36</v>
      </c>
      <c r="G11" s="5" t="s">
        <v>36</v>
      </c>
      <c r="H11" s="156" t="s">
        <v>36</v>
      </c>
      <c r="I11" s="37" t="s">
        <v>9</v>
      </c>
      <c r="J11" s="5" t="s">
        <v>36</v>
      </c>
      <c r="K11" s="5" t="s">
        <v>36</v>
      </c>
      <c r="L11" s="5" t="s">
        <v>36</v>
      </c>
      <c r="M11" s="5" t="s">
        <v>36</v>
      </c>
      <c r="N11" s="5" t="s">
        <v>36</v>
      </c>
      <c r="O11" s="37"/>
    </row>
  </sheetData>
  <autoFilter ref="A6:P6"/>
  <conditionalFormatting sqref="C12:C1048576">
    <cfRule type="cellIs" dxfId="36" priority="13" operator="equal">
      <formula>"WIP (see comments)"</formula>
    </cfRule>
    <cfRule type="cellIs" dxfId="35" priority="14" operator="equal">
      <formula>"Removed"</formula>
    </cfRule>
    <cfRule type="cellIs" dxfId="34" priority="15" operator="equal">
      <formula>"Updated"</formula>
    </cfRule>
    <cfRule type="cellIs" dxfId="33" priority="16" operator="equal">
      <formula>"New"</formula>
    </cfRule>
  </conditionalFormatting>
  <conditionalFormatting sqref="A1:XFD2 A12:XFD1048576 A4:XFD6 A3:C3 E3:XFD3">
    <cfRule type="cellIs" dxfId="32" priority="12" operator="equal">
      <formula>"n/a"</formula>
    </cfRule>
  </conditionalFormatting>
  <conditionalFormatting sqref="D9:D10">
    <cfRule type="cellIs" dxfId="31" priority="11" operator="equal">
      <formula>"-"</formula>
    </cfRule>
  </conditionalFormatting>
  <conditionalFormatting sqref="A9:B10 D10:XFD10 D9:N9 P9:XFD9">
    <cfRule type="cellIs" dxfId="30" priority="10" operator="equal">
      <formula>"n/a"</formula>
    </cfRule>
  </conditionalFormatting>
  <conditionalFormatting sqref="C7:C11">
    <cfRule type="cellIs" dxfId="29" priority="6" operator="equal">
      <formula>"WIP (see comments)"</formula>
    </cfRule>
    <cfRule type="cellIs" dxfId="28" priority="7" operator="equal">
      <formula>"Removed"</formula>
    </cfRule>
    <cfRule type="cellIs" dxfId="27" priority="8" operator="equal">
      <formula>"Updated"</formula>
    </cfRule>
    <cfRule type="cellIs" dxfId="26" priority="9" operator="equal">
      <formula>"New"</formula>
    </cfRule>
  </conditionalFormatting>
  <conditionalFormatting sqref="A7:XFD8 C8:C11">
    <cfRule type="cellIs" dxfId="25" priority="5" operator="equal">
      <formula>"n/a"</formula>
    </cfRule>
  </conditionalFormatting>
  <conditionalFormatting sqref="A11:B11 D11 F11:XFD11">
    <cfRule type="cellIs" dxfId="24" priority="4" operator="equal">
      <formula>"n/a"</formula>
    </cfRule>
  </conditionalFormatting>
  <conditionalFormatting sqref="E11">
    <cfRule type="cellIs" dxfId="23" priority="3" operator="equal">
      <formula>"n/a"</formula>
    </cfRule>
  </conditionalFormatting>
  <conditionalFormatting sqref="O9">
    <cfRule type="cellIs" dxfId="22" priority="2" operator="equal">
      <formula>"n/a"</formula>
    </cfRule>
  </conditionalFormatting>
  <conditionalFormatting sqref="D3">
    <cfRule type="cellIs" dxfId="2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Values'!$A$5:$A$35</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workbookViewId="0">
      <pane ySplit="6" topLeftCell="A7" activePane="bottomLeft" state="frozen"/>
      <selection activeCell="O8" sqref="O8"/>
      <selection pane="bottomLeft" activeCell="O8" sqref="O8"/>
    </sheetView>
  </sheetViews>
  <sheetFormatPr defaultColWidth="9.1796875" defaultRowHeight="14.5" x14ac:dyDescent="0.35"/>
  <cols>
    <col min="1" max="1" width="14.7265625" style="5" customWidth="1"/>
    <col min="2" max="2" width="12.54296875" style="5" customWidth="1"/>
    <col min="3" max="3" width="13" style="77" customWidth="1"/>
    <col min="4" max="4" width="45.1796875" style="5" customWidth="1"/>
    <col min="5" max="5" width="28.7265625" style="5" customWidth="1"/>
    <col min="6" max="6" width="37" style="5" customWidth="1"/>
    <col min="7" max="7" width="29.26953125" style="5" customWidth="1"/>
    <col min="8" max="8" width="11.54296875" style="77"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228</v>
      </c>
      <c r="C1" s="29"/>
      <c r="D1" s="26"/>
      <c r="H1" s="32"/>
    </row>
    <row r="2" spans="1:16" s="27" customFormat="1" ht="18.5" x14ac:dyDescent="0.35">
      <c r="A2" s="25" t="s">
        <v>7</v>
      </c>
      <c r="B2" s="78" t="s">
        <v>227</v>
      </c>
      <c r="C2" s="32"/>
      <c r="D2" s="78"/>
      <c r="H2" s="32"/>
    </row>
    <row r="3" spans="1:16" s="27" customFormat="1" ht="18.5" x14ac:dyDescent="0.35">
      <c r="A3" s="25" t="s">
        <v>43</v>
      </c>
      <c r="B3" s="78" t="s">
        <v>204</v>
      </c>
      <c r="C3" s="32"/>
      <c r="D3" s="78" t="s">
        <v>68</v>
      </c>
      <c r="H3" s="32"/>
    </row>
    <row r="4" spans="1:16" s="27" customFormat="1" ht="18.5" x14ac:dyDescent="0.35">
      <c r="A4" s="25" t="s">
        <v>8</v>
      </c>
      <c r="B4" s="27" t="s">
        <v>210</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5">
        <v>1</v>
      </c>
      <c r="B7" s="5" t="str">
        <f>CONCATENATE($B$2, ".", A7)</f>
        <v>J.1</v>
      </c>
      <c r="C7" s="77" t="s">
        <v>39</v>
      </c>
      <c r="D7" s="5" t="s">
        <v>36</v>
      </c>
      <c r="E7" s="37" t="s">
        <v>114</v>
      </c>
      <c r="F7" s="5" t="s">
        <v>36</v>
      </c>
      <c r="G7" s="5" t="s">
        <v>36</v>
      </c>
      <c r="H7" s="77" t="s">
        <v>36</v>
      </c>
      <c r="I7" s="37" t="s">
        <v>9</v>
      </c>
      <c r="J7" s="5" t="s">
        <v>36</v>
      </c>
      <c r="K7" s="5" t="s">
        <v>36</v>
      </c>
      <c r="L7" s="5" t="s">
        <v>36</v>
      </c>
      <c r="M7" s="5" t="s">
        <v>36</v>
      </c>
      <c r="N7" s="5" t="s">
        <v>36</v>
      </c>
      <c r="O7" s="5" t="s">
        <v>158</v>
      </c>
    </row>
    <row r="8" spans="1:16" x14ac:dyDescent="0.35">
      <c r="A8" s="5">
        <v>2</v>
      </c>
      <c r="B8" s="5" t="str">
        <f t="shared" ref="B8:B10" si="0">CONCATENATE($B$2, ".", A8)</f>
        <v>J.2</v>
      </c>
      <c r="C8" s="77" t="s">
        <v>39</v>
      </c>
      <c r="D8" s="37" t="s">
        <v>119</v>
      </c>
      <c r="E8" s="37" t="s">
        <v>115</v>
      </c>
      <c r="F8" s="5" t="s">
        <v>36</v>
      </c>
      <c r="G8" s="5" t="s">
        <v>36</v>
      </c>
      <c r="H8" s="77" t="s">
        <v>36</v>
      </c>
      <c r="I8" s="37" t="s">
        <v>9</v>
      </c>
      <c r="J8" s="5" t="s">
        <v>36</v>
      </c>
      <c r="K8" s="5" t="s">
        <v>36</v>
      </c>
      <c r="L8" s="5" t="s">
        <v>36</v>
      </c>
      <c r="M8" s="5" t="s">
        <v>36</v>
      </c>
      <c r="N8" s="5" t="s">
        <v>36</v>
      </c>
    </row>
    <row r="9" spans="1:16" ht="43.5" x14ac:dyDescent="0.35">
      <c r="A9" s="5">
        <v>3</v>
      </c>
      <c r="B9" s="5" t="str">
        <f t="shared" si="0"/>
        <v>J.3</v>
      </c>
      <c r="C9" s="77" t="s">
        <v>39</v>
      </c>
      <c r="D9" s="5" t="s">
        <v>226</v>
      </c>
      <c r="E9" s="37" t="s">
        <v>33</v>
      </c>
      <c r="F9" s="5" t="s">
        <v>36</v>
      </c>
      <c r="G9" s="5" t="s">
        <v>36</v>
      </c>
      <c r="H9" s="77" t="s">
        <v>36</v>
      </c>
      <c r="I9" s="37" t="s">
        <v>9</v>
      </c>
      <c r="J9" s="5" t="s">
        <v>36</v>
      </c>
      <c r="K9" s="5" t="s">
        <v>36</v>
      </c>
      <c r="L9" s="5" t="s">
        <v>36</v>
      </c>
      <c r="M9" s="5" t="s">
        <v>36</v>
      </c>
      <c r="N9" s="5" t="s">
        <v>36</v>
      </c>
    </row>
    <row r="10" spans="1:16" ht="54" customHeight="1" x14ac:dyDescent="0.35">
      <c r="A10" s="5">
        <v>4</v>
      </c>
      <c r="B10" s="5" t="str">
        <f t="shared" si="0"/>
        <v>J.4</v>
      </c>
      <c r="C10" s="77" t="s">
        <v>39</v>
      </c>
      <c r="D10" s="5" t="s">
        <v>225</v>
      </c>
      <c r="E10" s="37" t="s">
        <v>33</v>
      </c>
      <c r="F10" s="5" t="s">
        <v>36</v>
      </c>
      <c r="G10" s="5" t="s">
        <v>36</v>
      </c>
      <c r="H10" s="77" t="s">
        <v>36</v>
      </c>
      <c r="I10" s="37" t="s">
        <v>9</v>
      </c>
      <c r="J10" s="5" t="s">
        <v>36</v>
      </c>
      <c r="K10" s="5" t="s">
        <v>36</v>
      </c>
      <c r="L10" s="5" t="s">
        <v>36</v>
      </c>
      <c r="M10" s="5" t="s">
        <v>36</v>
      </c>
      <c r="N10" s="5" t="s">
        <v>36</v>
      </c>
    </row>
    <row r="11" spans="1:16" x14ac:dyDescent="0.35">
      <c r="I11" s="37"/>
      <c r="L11" s="37"/>
      <c r="M11" s="37"/>
      <c r="N11" s="37"/>
      <c r="O11" s="37"/>
    </row>
    <row r="12" spans="1:16" x14ac:dyDescent="0.35">
      <c r="I12" s="37"/>
      <c r="L12" s="37"/>
      <c r="M12" s="37"/>
      <c r="N12" s="37"/>
      <c r="O12" s="37"/>
    </row>
  </sheetData>
  <autoFilter ref="A6:P9"/>
  <conditionalFormatting sqref="C7:C1048576">
    <cfRule type="cellIs" dxfId="20" priority="4" operator="equal">
      <formula>"WIP (see comments)"</formula>
    </cfRule>
    <cfRule type="cellIs" dxfId="19" priority="5" operator="equal">
      <formula>"Removed"</formula>
    </cfRule>
    <cfRule type="cellIs" dxfId="18" priority="6" operator="equal">
      <formula>"Updated"</formula>
    </cfRule>
    <cfRule type="cellIs" dxfId="17" priority="7" operator="equal">
      <formula>"New"</formula>
    </cfRule>
  </conditionalFormatting>
  <conditionalFormatting sqref="D9 D7">
    <cfRule type="cellIs" dxfId="16" priority="3" operator="equal">
      <formula>"-"</formula>
    </cfRule>
  </conditionalFormatting>
  <conditionalFormatting sqref="A1:XFD6 Q7:XFD7 A8:XFD1048576 A7:O7">
    <cfRule type="cellIs" dxfId="15" priority="2" operator="equal">
      <formula>"n/a"</formula>
    </cfRule>
  </conditionalFormatting>
  <conditionalFormatting sqref="P7">
    <cfRule type="cellIs" dxfId="1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topLeftCell="J1" workbookViewId="0">
      <pane ySplit="6" topLeftCell="A7" activePane="bottomLeft" state="frozen"/>
      <selection activeCell="O8" sqref="O8"/>
      <selection pane="bottomLeft" activeCell="O8" sqref="O8"/>
    </sheetView>
  </sheetViews>
  <sheetFormatPr defaultColWidth="9.1796875" defaultRowHeight="14.5" x14ac:dyDescent="0.35"/>
  <cols>
    <col min="1" max="1" width="14.7265625" style="5" customWidth="1"/>
    <col min="2" max="2" width="12.54296875" style="5" customWidth="1"/>
    <col min="3" max="3" width="13" style="77" customWidth="1"/>
    <col min="4" max="4" width="45.1796875" style="5" customWidth="1"/>
    <col min="5" max="5" width="28.7265625" style="5" customWidth="1"/>
    <col min="6" max="6" width="37" style="5" customWidth="1"/>
    <col min="7" max="7" width="29.26953125" style="5" customWidth="1"/>
    <col min="8" max="8" width="11.54296875" style="77"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230</v>
      </c>
      <c r="C1" s="29"/>
      <c r="D1" s="26"/>
      <c r="H1" s="32"/>
    </row>
    <row r="2" spans="1:16" s="27" customFormat="1" ht="18.5" x14ac:dyDescent="0.35">
      <c r="A2" s="25" t="s">
        <v>7</v>
      </c>
      <c r="B2" s="78" t="s">
        <v>231</v>
      </c>
      <c r="C2" s="32"/>
      <c r="D2" s="78"/>
      <c r="H2" s="32"/>
    </row>
    <row r="3" spans="1:16" s="27" customFormat="1" ht="18.5" x14ac:dyDescent="0.35">
      <c r="A3" s="25" t="s">
        <v>43</v>
      </c>
      <c r="B3" s="78" t="s">
        <v>204</v>
      </c>
      <c r="C3" s="32"/>
      <c r="D3" s="78" t="s">
        <v>68</v>
      </c>
      <c r="H3" s="32"/>
    </row>
    <row r="4" spans="1:16" s="27" customFormat="1" ht="18.5" x14ac:dyDescent="0.35">
      <c r="A4" s="25" t="s">
        <v>8</v>
      </c>
      <c r="B4" s="27" t="s">
        <v>210</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5">
        <v>1</v>
      </c>
      <c r="B7" s="5" t="str">
        <f>CONCATENATE($B$2, ".", A7)</f>
        <v>K.1</v>
      </c>
      <c r="C7" s="77" t="s">
        <v>39</v>
      </c>
      <c r="D7" s="5" t="s">
        <v>36</v>
      </c>
      <c r="E7" s="37" t="s">
        <v>114</v>
      </c>
      <c r="F7" s="5" t="s">
        <v>36</v>
      </c>
      <c r="G7" s="5" t="s">
        <v>36</v>
      </c>
      <c r="H7" s="77" t="s">
        <v>36</v>
      </c>
      <c r="I7" s="37" t="s">
        <v>9</v>
      </c>
      <c r="J7" s="5" t="s">
        <v>36</v>
      </c>
      <c r="K7" s="5" t="s">
        <v>36</v>
      </c>
      <c r="L7" s="5" t="s">
        <v>36</v>
      </c>
      <c r="M7" s="5" t="s">
        <v>36</v>
      </c>
      <c r="N7" s="5" t="s">
        <v>36</v>
      </c>
      <c r="O7" s="5" t="s">
        <v>158</v>
      </c>
    </row>
    <row r="8" spans="1:16" x14ac:dyDescent="0.35">
      <c r="A8" s="5">
        <v>2</v>
      </c>
      <c r="B8" s="5" t="str">
        <f t="shared" ref="B8:B10" si="0">CONCATENATE($B$2, ".", A8)</f>
        <v>K.2</v>
      </c>
      <c r="C8" s="77" t="s">
        <v>39</v>
      </c>
      <c r="D8" s="37" t="s">
        <v>119</v>
      </c>
      <c r="E8" s="37" t="s">
        <v>115</v>
      </c>
      <c r="F8" s="5" t="s">
        <v>36</v>
      </c>
      <c r="G8" s="5" t="s">
        <v>36</v>
      </c>
      <c r="H8" s="77" t="s">
        <v>36</v>
      </c>
      <c r="I8" s="37" t="s">
        <v>9</v>
      </c>
      <c r="J8" s="5" t="s">
        <v>36</v>
      </c>
      <c r="K8" s="5" t="s">
        <v>36</v>
      </c>
      <c r="L8" s="5" t="s">
        <v>36</v>
      </c>
      <c r="M8" s="5" t="s">
        <v>36</v>
      </c>
      <c r="N8" s="5" t="s">
        <v>36</v>
      </c>
    </row>
    <row r="9" spans="1:16" ht="43.5" x14ac:dyDescent="0.35">
      <c r="A9" s="5">
        <v>3</v>
      </c>
      <c r="B9" s="5" t="str">
        <f t="shared" si="0"/>
        <v>K.3</v>
      </c>
      <c r="C9" s="77" t="s">
        <v>39</v>
      </c>
      <c r="D9" s="5" t="s">
        <v>226</v>
      </c>
      <c r="E9" s="37" t="s">
        <v>33</v>
      </c>
      <c r="F9" s="5" t="s">
        <v>36</v>
      </c>
      <c r="G9" s="5" t="s">
        <v>36</v>
      </c>
      <c r="H9" s="77" t="s">
        <v>36</v>
      </c>
      <c r="I9" s="37" t="s">
        <v>9</v>
      </c>
      <c r="J9" s="5" t="s">
        <v>36</v>
      </c>
      <c r="K9" s="5" t="s">
        <v>36</v>
      </c>
      <c r="L9" s="5" t="s">
        <v>36</v>
      </c>
      <c r="M9" s="5" t="s">
        <v>36</v>
      </c>
      <c r="N9" s="5" t="s">
        <v>36</v>
      </c>
    </row>
    <row r="10" spans="1:16" ht="54" customHeight="1" x14ac:dyDescent="0.35">
      <c r="A10" s="5">
        <v>4</v>
      </c>
      <c r="B10" s="5" t="str">
        <f t="shared" si="0"/>
        <v>K.4</v>
      </c>
      <c r="C10" s="77" t="s">
        <v>39</v>
      </c>
      <c r="D10" s="5" t="s">
        <v>225</v>
      </c>
      <c r="E10" s="37" t="s">
        <v>33</v>
      </c>
      <c r="F10" s="5" t="s">
        <v>36</v>
      </c>
      <c r="G10" s="5" t="s">
        <v>36</v>
      </c>
      <c r="H10" s="77" t="s">
        <v>36</v>
      </c>
      <c r="I10" s="37" t="s">
        <v>9</v>
      </c>
      <c r="J10" s="5" t="s">
        <v>36</v>
      </c>
      <c r="K10" s="5" t="s">
        <v>36</v>
      </c>
      <c r="L10" s="5" t="s">
        <v>36</v>
      </c>
      <c r="M10" s="5" t="s">
        <v>36</v>
      </c>
      <c r="N10" s="5" t="s">
        <v>36</v>
      </c>
    </row>
    <row r="11" spans="1:16" x14ac:dyDescent="0.35">
      <c r="I11" s="37"/>
      <c r="L11" s="37"/>
      <c r="M11" s="37"/>
      <c r="N11" s="37"/>
      <c r="O11" s="37"/>
    </row>
    <row r="12" spans="1:16" x14ac:dyDescent="0.35">
      <c r="I12" s="37"/>
      <c r="L12" s="37"/>
      <c r="M12" s="37"/>
      <c r="N12" s="37"/>
      <c r="O12" s="37"/>
    </row>
  </sheetData>
  <autoFilter ref="A6:P9"/>
  <conditionalFormatting sqref="C7:C1048576">
    <cfRule type="cellIs" dxfId="13" priority="4" operator="equal">
      <formula>"WIP (see comments)"</formula>
    </cfRule>
    <cfRule type="cellIs" dxfId="12" priority="5" operator="equal">
      <formula>"Removed"</formula>
    </cfRule>
    <cfRule type="cellIs" dxfId="11" priority="6" operator="equal">
      <formula>"Updated"</formula>
    </cfRule>
    <cfRule type="cellIs" dxfId="10" priority="7" operator="equal">
      <formula>"New"</formula>
    </cfRule>
  </conditionalFormatting>
  <conditionalFormatting sqref="D9 D7">
    <cfRule type="cellIs" dxfId="9" priority="3" operator="equal">
      <formula>"-"</formula>
    </cfRule>
  </conditionalFormatting>
  <conditionalFormatting sqref="A1:XFD6 Q7:XFD7 A8:XFD1048576 A7:O7">
    <cfRule type="cellIs" dxfId="8" priority="2" operator="equal">
      <formula>"n/a"</formula>
    </cfRule>
  </conditionalFormatting>
  <conditionalFormatting sqref="P7">
    <cfRule type="cellIs" dxfId="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Values'!$A$5:$A$35</xm:f>
          </x14:formula1>
          <xm:sqref>E7:E1048576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AB74A445-A5D8-4E83-8762-7A5C89C2A8FC}"/>
</file>

<file path=customXml/itemProps2.xml><?xml version="1.0" encoding="utf-8"?>
<ds:datastoreItem xmlns:ds="http://schemas.openxmlformats.org/officeDocument/2006/customXml" ds:itemID="{70B4951B-0E43-4E7C-85E5-AE9E5EB92042}">
  <ds:schemaRefs>
    <ds:schemaRef ds:uri="http://schemas.microsoft.com/sharepoint/v3/contenttype/forms"/>
  </ds:schemaRefs>
</ds:datastoreItem>
</file>

<file path=customXml/itemProps3.xml><?xml version="1.0" encoding="utf-8"?>
<ds:datastoreItem xmlns:ds="http://schemas.openxmlformats.org/officeDocument/2006/customXml" ds:itemID="{C3D6FEB5-9572-48F7-8975-C31DE547C2D9}">
  <ds:schemaRefs>
    <ds:schemaRef ds:uri="http://purl.org/dc/elements/1.1/"/>
    <ds:schemaRef ds:uri="http://schemas.microsoft.com/office/2006/metadata/properties"/>
    <ds:schemaRef ds:uri="http://schemas.openxmlformats.org/package/2006/metadata/core-properties"/>
    <ds:schemaRef ds:uri="http://schemas.microsoft.com/sharepoint/v4"/>
    <ds:schemaRef ds:uri="http://purl.org/dc/terms/"/>
    <ds:schemaRef ds:uri="http://schemas.microsoft.com/office/infopath/2007/PartnerControls"/>
    <ds:schemaRef ds:uri="http://schemas.microsoft.com/office/2006/documentManagement/types"/>
    <ds:schemaRef ds:uri="http://www.w3.org/XML/1998/namespace"/>
    <ds:schemaRef ds:uri="http://purl.org/dc/dcmitype/"/>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46</vt:i4>
      </vt:variant>
    </vt:vector>
  </HeadingPairs>
  <TitlesOfParts>
    <vt:vector size="46" baseType="lpstr">
      <vt:lpstr>Revision Control</vt:lpstr>
      <vt:lpstr>List Values</vt:lpstr>
      <vt:lpstr>1. Qualifying Questions</vt:lpstr>
      <vt:lpstr>1a. Not Qualified Info Page</vt:lpstr>
      <vt:lpstr>2. Existing Cust. Check</vt:lpstr>
      <vt:lpstr>3. Contact Info</vt:lpstr>
      <vt:lpstr>4. Verify Mobile</vt:lpstr>
      <vt:lpstr>DEPRECATED Screening Questions</vt:lpstr>
      <vt:lpstr>DEPRECATED Failed Screening</vt:lpstr>
      <vt:lpstr>5. Business eConsent</vt:lpstr>
      <vt:lpstr>6. About Your Business - CODAT</vt:lpstr>
      <vt:lpstr>7. Log into CODAT</vt:lpstr>
      <vt:lpstr>8. Your Business</vt:lpstr>
      <vt:lpstr>9. More About Your Business</vt:lpstr>
      <vt:lpstr>10. App - IDScan</vt:lpstr>
      <vt:lpstr>11. App - Name &amp; Address</vt:lpstr>
      <vt:lpstr>12. App - Birthday, SIN &amp; Occ.</vt:lpstr>
      <vt:lpstr>12a. App-Security Question</vt:lpstr>
      <vt:lpstr>13. App - eConsent</vt:lpstr>
      <vt:lpstr>14. App- Alternate IDV</vt:lpstr>
      <vt:lpstr>15. App - Flinks</vt:lpstr>
      <vt:lpstr>16. App - Manual IDV</vt:lpstr>
      <vt:lpstr>17. Your Role</vt:lpstr>
      <vt:lpstr>18. Owners, Directors+Signers</vt:lpstr>
      <vt:lpstr>18. Authorized Signers</vt:lpstr>
      <vt:lpstr>18a. Non-signing Owners</vt:lpstr>
      <vt:lpstr>19a. Disclosures-Tax Residency</vt:lpstr>
      <vt:lpstr>19. Business Disclosures</vt:lpstr>
      <vt:lpstr>20. Await Auth Signers</vt:lpstr>
      <vt:lpstr>21. Account Options</vt:lpstr>
      <vt:lpstr>22. Complementary Services</vt:lpstr>
      <vt:lpstr>23. Online Banking+Delegates</vt:lpstr>
      <vt:lpstr>A. Generic Error</vt:lpstr>
      <vt:lpstr>B. Manual Review</vt:lpstr>
      <vt:lpstr>C. Decline</vt:lpstr>
      <vt:lpstr>D. Cancel</vt:lpstr>
      <vt:lpstr>E. Save</vt:lpstr>
      <vt:lpstr>F. Resume</vt:lpstr>
      <vt:lpstr>G. Time Out</vt:lpstr>
      <vt:lpstr>H. Progress</vt:lpstr>
      <vt:lpstr>I. Previously Submitted</vt:lpstr>
      <vt:lpstr>J. Concurrent App</vt:lpstr>
      <vt:lpstr>DEPRECATED Unable to Resume</vt:lpstr>
      <vt:lpstr>L. Submission Complete</vt:lpstr>
      <vt:lpstr>Not Qualified</vt:lpstr>
      <vt:lpstr>Failed Screening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2021-02-26T22:32:39Z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582000</vt:r8>
  </property>
  <property fmtid="{D5CDD505-2E9C-101B-9397-08002B2CF9AE}" pid="4" name="URL">
    <vt:lpwstr/>
  </property>
</Properties>
</file>