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901" activeTab="2"/>
  </bookViews>
  <sheets>
    <sheet name="Revision Control" sheetId="1" r:id="rId1"/>
    <sheet name="List Values" sheetId="3" r:id="rId2"/>
    <sheet name="1. Entry Page" sheetId="41" r:id="rId3"/>
    <sheet name="2. Landing Page" sheetId="2" r:id="rId4"/>
    <sheet name="3. Existing Cust. Check" sheetId="42" r:id="rId5"/>
    <sheet name="4. Contact Info" sheetId="5" r:id="rId6"/>
    <sheet name="4a. Mobile Verify" sheetId="35" r:id="rId7"/>
    <sheet name="5. Qualifying Questions" sheetId="9" r:id="rId8"/>
    <sheet name="6. IDScan" sheetId="11" r:id="rId9"/>
    <sheet name="7. Name &amp; Address" sheetId="12" r:id="rId10"/>
    <sheet name="DEPRECATED Address" sheetId="13" r:id="rId11"/>
    <sheet name="8. Birthday &amp; SIN" sheetId="14" r:id="rId12"/>
    <sheet name="9. Account Options" sheetId="18" r:id="rId13"/>
    <sheet name="10. eConsent" sheetId="16" r:id="rId14"/>
    <sheet name="11. Alternate IDV" sheetId="29" r:id="rId15"/>
    <sheet name="12. Flinks" sheetId="31" r:id="rId16"/>
    <sheet name="13. Manual IDV" sheetId="36" r:id="rId17"/>
    <sheet name="14. Dynamic Disclosures" sheetId="17" r:id="rId18"/>
    <sheet name="A. Generic Error" sheetId="22" r:id="rId19"/>
    <sheet name="B. Manual Review" sheetId="23" r:id="rId20"/>
    <sheet name="C. Decline" sheetId="24" r:id="rId21"/>
    <sheet name="D. Cancel" sheetId="26" r:id="rId22"/>
    <sheet name="E. Save" sheetId="27" r:id="rId23"/>
    <sheet name="F. Resume" sheetId="28" r:id="rId24"/>
    <sheet name="G. Time Out" sheetId="33" r:id="rId25"/>
    <sheet name="H. Progress" sheetId="34" r:id="rId26"/>
    <sheet name="I. Previously Submitted" sheetId="37" r:id="rId27"/>
  </sheets>
  <externalReferences>
    <externalReference r:id="rId28"/>
  </externalReferences>
  <definedNames>
    <definedName name="_xlnm._FilterDatabase" localSheetId="2" hidden="1">'1. Entry Page'!$A$6:$P$6</definedName>
    <definedName name="_xlnm._FilterDatabase" localSheetId="13" hidden="1">'10. eConsent'!$A$6:$P$15</definedName>
    <definedName name="_xlnm._FilterDatabase" localSheetId="17" hidden="1">'14. Dynamic Disclosures'!$A$6:$P$6</definedName>
    <definedName name="_xlnm._FilterDatabase" localSheetId="6" hidden="1">'4a. Mobile Verify'!$A$6:$P$6</definedName>
    <definedName name="_xlnm._FilterDatabase" localSheetId="11" hidden="1">'8. Birthday &amp; SIN'!$A$6:$P$13</definedName>
    <definedName name="_xlnm._FilterDatabase" localSheetId="12" hidden="1">'9. Account Options'!$A$6:$P$13</definedName>
    <definedName name="_xlnm._FilterDatabase" localSheetId="18" hidden="1">'A. Generic Error'!$A$6:$P$9</definedName>
    <definedName name="_xlnm._FilterDatabase" localSheetId="19" hidden="1">'B. Manual Review'!$A$6:$P$9</definedName>
    <definedName name="_xlnm._FilterDatabase" localSheetId="20" hidden="1">'C. Decline'!$A$6:$P$9</definedName>
    <definedName name="_xlnm._FilterDatabase" localSheetId="21" hidden="1">'D. Cancel'!$A$6:$P$9</definedName>
    <definedName name="_xlnm._FilterDatabase" localSheetId="22" hidden="1">'E. Save'!$A$6:$P$9</definedName>
    <definedName name="_xlnm._FilterDatabase" localSheetId="23" hidden="1">'F. Resume'!$A$6:$P$6</definedName>
    <definedName name="_xlnm._FilterDatabase" localSheetId="24" hidden="1">'G. Time Out'!$A$6:$P$6</definedName>
    <definedName name="_xlnm._FilterDatabase" localSheetId="25" hidden="1">'H. Progress'!$A$6:$P$6</definedName>
    <definedName name="_xlnm._FilterDatabase" localSheetId="26" hidden="1">'I. Previously Submitted'!$A$6:$P$6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2" l="1"/>
  <c r="B41" i="12"/>
  <c r="B40" i="12"/>
  <c r="B38" i="12"/>
  <c r="B37" i="12"/>
  <c r="B36" i="12"/>
  <c r="B35" i="12"/>
  <c r="B34" i="12"/>
  <c r="B33" i="12"/>
  <c r="B32" i="12"/>
  <c r="B31" i="12"/>
  <c r="B29" i="12"/>
  <c r="B28" i="12"/>
  <c r="B27" i="12"/>
  <c r="B26" i="12"/>
  <c r="B25" i="12"/>
  <c r="B24" i="12"/>
  <c r="B23" i="12"/>
  <c r="B22" i="12"/>
  <c r="B20" i="12"/>
  <c r="B19" i="12"/>
  <c r="B18" i="12"/>
  <c r="B17" i="12"/>
  <c r="B16" i="12"/>
  <c r="B15" i="12"/>
  <c r="B14" i="12"/>
  <c r="B13" i="12"/>
  <c r="B12" i="5" l="1"/>
  <c r="B13" i="5"/>
  <c r="B14" i="42" l="1"/>
  <c r="B13" i="42"/>
  <c r="B12" i="42"/>
  <c r="B11" i="42"/>
  <c r="B10" i="42"/>
  <c r="B9" i="42"/>
  <c r="B8" i="42"/>
  <c r="B7" i="42"/>
  <c r="B10" i="13" l="1"/>
  <c r="B12" i="2"/>
  <c r="B11" i="2"/>
  <c r="B10" i="2"/>
  <c r="B8" i="41"/>
  <c r="B11" i="41"/>
  <c r="B12" i="41"/>
  <c r="B10" i="41"/>
  <c r="B9" i="41"/>
  <c r="B7" i="41"/>
  <c r="B15" i="17" l="1"/>
  <c r="B10" i="31"/>
  <c r="B11" i="31"/>
  <c r="B10" i="37" l="1"/>
  <c r="B9" i="37"/>
  <c r="B8" i="37"/>
  <c r="B7" i="37"/>
  <c r="B7" i="36" l="1"/>
  <c r="B8" i="36"/>
  <c r="B10" i="18"/>
  <c r="B9" i="18"/>
  <c r="B11" i="14"/>
  <c r="B12" i="29" l="1"/>
  <c r="B9" i="36"/>
  <c r="B9" i="29"/>
  <c r="B13" i="29"/>
  <c r="B11" i="29"/>
  <c r="B10" i="29"/>
  <c r="B8" i="29"/>
  <c r="B7" i="29"/>
  <c r="B13" i="11" l="1"/>
  <c r="B12" i="11"/>
  <c r="B12" i="35" l="1"/>
  <c r="B10" i="35"/>
  <c r="B11" i="35"/>
  <c r="B9" i="35"/>
  <c r="B8" i="35"/>
  <c r="B7" i="35"/>
  <c r="B7" i="34" l="1"/>
  <c r="B10" i="33" l="1"/>
  <c r="B8" i="33"/>
  <c r="B9" i="33"/>
  <c r="B7" i="33"/>
  <c r="B9" i="31" l="1"/>
  <c r="B11" i="28"/>
  <c r="B10" i="28"/>
  <c r="B9" i="28"/>
  <c r="B8" i="28"/>
  <c r="B7" i="28"/>
  <c r="B16" i="17"/>
  <c r="B14" i="17"/>
  <c r="B13" i="17"/>
  <c r="B12" i="17"/>
  <c r="B11" i="17"/>
  <c r="B10" i="17"/>
  <c r="B9" i="17"/>
  <c r="B8" i="17"/>
  <c r="B7" i="17"/>
  <c r="B14" i="9"/>
  <c r="B10" i="5"/>
  <c r="B8" i="31" l="1"/>
  <c r="B7" i="31"/>
  <c r="B15" i="11"/>
  <c r="B14" i="11"/>
  <c r="B11" i="11"/>
  <c r="B10" i="11"/>
  <c r="B9" i="11"/>
  <c r="B8" i="11"/>
  <c r="B7" i="11"/>
  <c r="B10" i="16" l="1"/>
  <c r="B11" i="16"/>
  <c r="B12" i="16"/>
  <c r="B26" i="13" l="1"/>
  <c r="B25" i="13"/>
  <c r="B10" i="27" l="1"/>
  <c r="B7" i="27"/>
  <c r="B9" i="27"/>
  <c r="B8" i="27"/>
  <c r="B7" i="26"/>
  <c r="B9" i="26"/>
  <c r="B8" i="26"/>
  <c r="B10" i="24"/>
  <c r="B7" i="24"/>
  <c r="B9" i="24"/>
  <c r="B8" i="24"/>
  <c r="B7" i="23"/>
  <c r="B9" i="23"/>
  <c r="B8" i="23"/>
  <c r="B10" i="22"/>
  <c r="B7" i="22"/>
  <c r="B9" i="22"/>
  <c r="B8" i="22"/>
  <c r="B15" i="9" l="1"/>
  <c r="B13" i="9"/>
  <c r="B12" i="9"/>
  <c r="B11" i="9"/>
  <c r="B10" i="9"/>
  <c r="B9" i="9" l="1"/>
  <c r="B11" i="18" l="1"/>
  <c r="B13" i="18"/>
  <c r="B12" i="18"/>
  <c r="B8" i="18"/>
  <c r="B7" i="18"/>
  <c r="B9" i="16" l="1"/>
  <c r="B13" i="16"/>
  <c r="B14" i="16" l="1"/>
  <c r="B15" i="16"/>
  <c r="B8" i="16"/>
  <c r="B7" i="16"/>
  <c r="B12" i="14" l="1"/>
  <c r="B13" i="14"/>
  <c r="B10" i="14"/>
  <c r="B9" i="14"/>
  <c r="B8" i="14"/>
  <c r="B7" i="14"/>
  <c r="B35" i="13"/>
  <c r="B34" i="13"/>
  <c r="B33" i="13"/>
  <c r="B32" i="13"/>
  <c r="B31" i="13"/>
  <c r="B30" i="13"/>
  <c r="B29" i="13"/>
  <c r="B28" i="13"/>
  <c r="B24" i="13" l="1"/>
  <c r="B23" i="13"/>
  <c r="B22" i="13"/>
  <c r="B21" i="13"/>
  <c r="B20" i="13"/>
  <c r="B19" i="13"/>
  <c r="B17" i="13" l="1"/>
  <c r="B16" i="13"/>
  <c r="B15" i="13"/>
  <c r="B14" i="13"/>
  <c r="B13" i="13"/>
  <c r="B12" i="13"/>
  <c r="B37" i="13"/>
  <c r="B38" i="13"/>
  <c r="B11" i="13"/>
  <c r="B8" i="13"/>
  <c r="B7" i="13"/>
  <c r="B10" i="12"/>
  <c r="B9" i="12"/>
  <c r="B8" i="12"/>
  <c r="B7" i="12"/>
  <c r="B16" i="9" l="1"/>
  <c r="B17" i="9"/>
  <c r="B7" i="9"/>
  <c r="B8" i="9" l="1"/>
  <c r="B11" i="5"/>
  <c r="B9" i="5"/>
  <c r="B8" i="5"/>
  <c r="B7" i="5"/>
  <c r="B16" i="2"/>
  <c r="B8" i="2" l="1"/>
  <c r="B14" i="2"/>
  <c r="B15" i="2"/>
  <c r="B7" i="2"/>
</calcChain>
</file>

<file path=xl/sharedStrings.xml><?xml version="1.0" encoding="utf-8"?>
<sst xmlns="http://schemas.openxmlformats.org/spreadsheetml/2006/main" count="2824" uniqueCount="423">
  <si>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</si>
  <si>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</si>
  <si>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</si>
  <si>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</si>
  <si>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</si>
  <si>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</si>
  <si>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</si>
  <si>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</si>
  <si>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</si>
  <si>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</si>
  <si>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</si>
  <si>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</si>
  <si>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</si>
  <si>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</si>
  <si>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</si>
  <si>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</si>
  <si>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</si>
  <si>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</si>
  <si>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</si>
  <si>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</si>
  <si>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</si>
  <si>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</si>
  <si>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</si>
  <si>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</si>
  <si>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</si>
  <si>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</si>
  <si>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</si>
  <si>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</si>
  <si>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</si>
  <si>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</si>
  <si>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</si>
  <si>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</si>
  <si>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</si>
  <si>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</si>
  <si>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</si>
  <si>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</si>
  <si>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</si>
  <si>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</si>
  <si>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</si>
  <si>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</si>
  <si>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</si>
  <si>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</si>
  <si>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</si>
  <si>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</si>
  <si>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</si>
  <si>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</si>
  <si>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</si>
  <si>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</si>
  <si>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</si>
  <si>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</si>
  <si>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</si>
  <si>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</si>
  <si>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</si>
  <si>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</si>
  <si>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</si>
  <si>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</si>
  <si>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</si>
  <si>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Please provide a valid email address</t>
  </si>
  <si>
    <t>Please provide a valid mobile phone number</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</si>
  <si>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</si>
  <si>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</si>
  <si>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</si>
  <si>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</si>
  <si>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</si>
  <si>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</si>
  <si>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</si>
  <si>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</si>
  <si>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</si>
  <si>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</si>
  <si>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</si>
  <si>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</si>
  <si>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</si>
  <si>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</si>
  <si>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</si>
  <si>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</si>
  <si>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</si>
  <si>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</si>
  <si>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</si>
  <si>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</si>
  <si>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</si>
  <si>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</si>
  <si>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</si>
  <si>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</si>
  <si>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</si>
  <si>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</si>
  <si>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</si>
  <si>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</si>
  <si>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</si>
  <si>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</si>
  <si>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</si>
  <si>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</si>
  <si>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</si>
  <si>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</si>
  <si>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Birthday &amp; SIN</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</si>
  <si>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</si>
  <si>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</si>
  <si>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</si>
  <si>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</si>
  <si>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</si>
  <si>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</si>
  <si>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</si>
  <si>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</si>
  <si>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</si>
  <si>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</si>
  <si>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</si>
  <si>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</si>
  <si>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</si>
  <si>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</si>
  <si>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</si>
  <si>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</si>
  <si>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</si>
  <si>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</si>
  <si>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</si>
  <si>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</si>
  <si>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</si>
  <si>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 click, navigate to "Dynamic Disclosures" page (CWB-176)</t>
  </si>
  <si>
    <t>Only if the user's product selection includes a chequing and/or savings account.</t>
  </si>
  <si>
    <t>"Yes", if the user is applying for a chequing account.
"No", otherwise.</t>
  </si>
  <si>
    <t>Ready to get started? Here's what you'll need:</t>
  </si>
  <si>
    <t>1. Your personal details
2. Optionally, your Social Insurance Number and drivers license
3. About 5 minutes of your time</t>
  </si>
  <si>
    <t>Let's go!</t>
  </si>
  <si>
    <t>Step 1: Let's get started</t>
  </si>
  <si>
    <t>To be displayed only for existing Motive Financial clients. 
On click, navigate to the URL:
https://www.motivefinancial.com/OnlineBanking/</t>
  </si>
  <si>
    <t>Static text with hyperlink</t>
  </si>
  <si>
    <t>Step 2: How may we reach you?</t>
  </si>
  <si>
    <t>Email address format:
"local-part@DomainName"</t>
  </si>
  <si>
    <t>Mobile phone number:</t>
  </si>
  <si>
    <t>If you take a break from this application, we'll send a one-time password to your mobile phone, so that you may resume later.</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</si>
  <si>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</si>
  <si>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</si>
  <si>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</si>
  <si>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</si>
  <si>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</si>
  <si>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</si>
  <si>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</si>
  <si>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</si>
  <si>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</si>
  <si>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</si>
  <si>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</si>
  <si>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</si>
  <si>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</si>
  <si>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</si>
  <si>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</si>
  <si>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</si>
  <si>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Yes, I meet all of the above criteria.</t>
  </si>
  <si>
    <t>We are unable to open accounts for residents of Quebec.</t>
  </si>
  <si>
    <t>This may include being a citizen of another country or having dual citizenship.</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</si>
  <si>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</si>
  <si>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</si>
  <si>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</si>
  <si>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</si>
  <si>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</si>
  <si>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</si>
  <si>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</si>
  <si>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</si>
  <si>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</si>
  <si>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</si>
  <si>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</si>
  <si>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</si>
  <si>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</si>
  <si>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</si>
  <si>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</si>
  <si>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</si>
  <si>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</si>
  <si>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A little help from our friends</t>
  </si>
  <si>
    <t>We weren't able to process your application.</t>
  </si>
  <si>
    <t>We're reviewing your application.</t>
  </si>
  <si>
    <t>Unfortunately, at this time we can't approve your application.</t>
  </si>
  <si>
    <t>We've cancelled your application, but if you change your mind, please call us at 1 (877) 441-2249, or email us at Help@MotiveFinancial.com.</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</si>
  <si>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</si>
  <si>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</si>
  <si>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</si>
  <si>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</si>
  <si>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</si>
  <si>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</si>
  <si>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</si>
  <si>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</si>
  <si>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</si>
  <si>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</si>
  <si>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</si>
  <si>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</si>
  <si>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</si>
  <si>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</si>
  <si>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</si>
  <si>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</si>
  <si>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</si>
  <si>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</si>
  <si>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r>
      <t xml:space="preserve">For assistance, please call Motive Financial at 1 (877) 441-2249 or email </t>
    </r>
    <r>
      <rPr>
        <u/>
        <sz val="11"/>
        <color theme="1"/>
        <rFont val="Calibri"/>
        <family val="2"/>
        <scheme val="minor"/>
      </rPr>
      <t>Help@MotiveFinancial.com</t>
    </r>
    <r>
      <rPr>
        <sz val="11"/>
        <color theme="1"/>
        <rFont val="Calibri"/>
        <family val="2"/>
        <scheme val="minor"/>
      </rPr>
      <t>, and we will be happy to help you complete your application.</t>
    </r>
  </si>
  <si>
    <r>
      <t xml:space="preserve">Please check your email for some next steps, contact a Motive Financial team member at 1 (877) 441-2249, or email us at </t>
    </r>
    <r>
      <rPr>
        <u/>
        <sz val="11"/>
        <color theme="1"/>
        <rFont val="Calibri"/>
        <family val="2"/>
        <scheme val="minor"/>
      </rPr>
      <t>Help@MotiveFinancial.com</t>
    </r>
    <r>
      <rPr>
        <sz val="11"/>
        <color theme="1"/>
        <rFont val="Calibri"/>
        <family val="2"/>
        <scheme val="minor"/>
      </rPr>
      <t>.</t>
    </r>
  </si>
  <si>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</si>
  <si>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</si>
  <si>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</si>
  <si>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</si>
  <si>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</si>
  <si>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</si>
  <si>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</si>
  <si>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</si>
  <si>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</si>
  <si>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</si>
  <si>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</si>
  <si>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</si>
  <si>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</si>
  <si>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</si>
  <si>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</si>
  <si>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</si>
  <si>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</si>
  <si>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</si>
  <si>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</si>
  <si>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</si>
  <si>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</si>
  <si>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</si>
  <si>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</si>
  <si>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</si>
  <si>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I, &lt;&lt;First Name&gt;&gt; &lt;&lt;Last Name&gt;&gt;, agree to the following:</t>
  </si>
  <si>
    <t>Hyperlink the word "here" to the following URL:
https://www.motivefinancial.com/Legal/Agreements/InternetBankingAccountAgreement/</t>
  </si>
  <si>
    <t>- I am a tax resident of Canada</t>
  </si>
  <si>
    <t xml:space="preserve">We are required under Canadian tax law to collect 
this information to determine the tax residency of 
all our account holders.  If you need help with your
 tax residency information for these questions, see 
Income Tax Folio, S5-F1-C1, Determining an Individual’s 
Residence Status, which you can find on the CRA website. </t>
  </si>
  <si>
    <t>- I am not a tax resident or citizen of the United States</t>
  </si>
  <si>
    <t>- I am not a tax resident of a jurisdiction other than Canada or the United States</t>
  </si>
  <si>
    <t>- I am not opening this account(s) for use by or benefit of a third party</t>
  </si>
  <si>
    <t>Display "Oops.svg" image</t>
  </si>
  <si>
    <t>Display "reviewing.svg" image</t>
  </si>
  <si>
    <t>Display "thankyou.svg" image</t>
  </si>
  <si>
    <t>Display "sorry.svg" image</t>
  </si>
  <si>
    <t>Display "safe-app.svg" image</t>
  </si>
  <si>
    <t>Welcome Back!</t>
  </si>
  <si>
    <t>A PIN code was sent to the mobile number you provided when you started your application. Please enter it below to continue with your application.</t>
  </si>
  <si>
    <t>&lt;&lt;no caption&gt;&gt;</t>
  </si>
  <si>
    <t>Continue</t>
  </si>
  <si>
    <t>On click, validate PIN, and resume application.</t>
  </si>
  <si>
    <t>Resend PIN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</si>
  <si>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</si>
  <si>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</si>
  <si>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</si>
  <si>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</si>
  <si>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</si>
  <si>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</si>
  <si>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</si>
  <si>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</si>
  <si>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</si>
  <si>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</si>
  <si>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</si>
  <si>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</si>
  <si>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</si>
  <si>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</si>
  <si>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</si>
  <si>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</si>
  <si>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Mobile Verification Page</t>
  </si>
  <si>
    <t>Please verify your mobile device</t>
  </si>
  <si>
    <t>Google reCAPTCHA</t>
  </si>
  <si>
    <t>[Sample barcode instruction text - decision pending]</t>
  </si>
  <si>
    <t>The SIN you provided is not valid. Please provide a valid SIN.</t>
  </si>
  <si>
    <t>I'd like to sign into my other bank or financial institution to verify my identity.</t>
  </si>
  <si>
    <t>Please select your preferred method of identity verification</t>
  </si>
  <si>
    <t>Mandatory field.
The user must select one of the radio buttons from this group.</t>
  </si>
  <si>
    <t>Manual IDV</t>
  </si>
  <si>
    <t>We'll use your email address to send you status updates and important information about your application.</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</si>
  <si>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</si>
  <si>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</si>
  <si>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</si>
  <si>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</si>
  <si>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</si>
  <si>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</si>
  <si>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</si>
  <si>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</si>
  <si>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</si>
  <si>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</si>
  <si>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</si>
  <si>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r>
      <t xml:space="preserve">Please send one of the following documents to </t>
    </r>
    <r>
      <rPr>
        <u/>
        <sz val="11"/>
        <color theme="1"/>
        <rFont val="Calibri"/>
        <family val="2"/>
        <scheme val="minor"/>
      </rPr>
      <t>Help@MotiveFinancial.com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(877) 441-2249.</t>
    </r>
  </si>
  <si>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</si>
  <si>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</si>
  <si>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</si>
  <si>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</si>
  <si>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</si>
  <si>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</si>
  <si>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</si>
  <si>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r>
      <t xml:space="preserve">This application has already been submitted.
For assistance, please e-mail Motive Financial at </t>
    </r>
    <r>
      <rPr>
        <u/>
        <sz val="11"/>
        <color theme="1"/>
        <rFont val="Calibri"/>
        <family val="2"/>
        <scheme val="minor"/>
      </rPr>
      <t>Help@MotiveFinancial.com</t>
    </r>
    <r>
      <rPr>
        <sz val="11"/>
        <color theme="1"/>
        <rFont val="Calibri"/>
        <family val="2"/>
        <scheme val="minor"/>
      </rPr>
      <t>, or call 1 (877) 441-2249.
Your reference number is:</t>
    </r>
  </si>
  <si>
    <t>Submission Complete</t>
  </si>
  <si>
    <t>As Required (in response to a user trying to access a previously submitted application)</t>
  </si>
  <si>
    <t>Resend Token</t>
  </si>
  <si>
    <t>[Sample barcode image]</t>
  </si>
  <si>
    <t>We can scan the back of your driver's licence to quickly fill in your personal information for you.  Upload an image or skip this step to fill in your information yourself.</t>
  </si>
  <si>
    <t>On click, navigate to the "eConsent" page.</t>
  </si>
  <si>
    <t>On click, navigate back to the "Birthday &amp; SIN" page</t>
  </si>
  <si>
    <t>On click, navigate back to "Account Options" page</t>
  </si>
  <si>
    <t>On click, start account provisioning</t>
  </si>
  <si>
    <t>On click, navigate to one of the following pages, based on the user's radio button selection:
A) "Flinks" page (CWB-327)
B) "Manual IDV" (CWB-492)</t>
  </si>
  <si>
    <t>Only when a response has not been received from the Flinks service.
Hide button when response arrives.</t>
  </si>
  <si>
    <t>On Click...
Navigate back to the Alternate IDV page (CWB-473)</t>
  </si>
  <si>
    <t>Entry Page</t>
  </si>
  <si>
    <t>We just sent a 4-7 digit token to your mobile number. Please enter it below to continue with your application.</t>
  </si>
  <si>
    <t>Text field (masked input)</t>
  </si>
  <si>
    <t>Please provide the token we sent to your mobile number</t>
  </si>
  <si>
    <t>On click, resend token to mobile number.</t>
  </si>
  <si>
    <t>Always show</t>
  </si>
  <si>
    <t>On click, navigate to "Existing Customer Check" page</t>
  </si>
  <si>
    <t>About your application</t>
  </si>
  <si>
    <t>&lt;&lt;Product Name&gt;&gt;</t>
  </si>
  <si>
    <t>&lt;&lt;Product Description&gt;&gt;</t>
  </si>
  <si>
    <t>For &lt;&lt;Intended Use&gt;&gt;</t>
  </si>
  <si>
    <t>4a</t>
  </si>
  <si>
    <t>Step 3: First things first</t>
  </si>
  <si>
    <t>Step 4: Help us help you</t>
  </si>
  <si>
    <t>Step 5: All about you</t>
  </si>
  <si>
    <t>Step 6: What's your address?</t>
  </si>
  <si>
    <t>Step 7: Your fine print</t>
  </si>
  <si>
    <t>Step 8:  Almost there</t>
  </si>
  <si>
    <t>Step 9:  With your permission…</t>
  </si>
  <si>
    <t>After the user clicks "Next", if radio button 12.6 has been selected.</t>
  </si>
  <si>
    <t>If the user selects radio button 12.6 and clicks "Next" (12.8),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</si>
  <si>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Step 10:  Our not-so-fine print</t>
  </si>
  <si>
    <t>Please tell us whether you live with your co-applicant</t>
  </si>
  <si>
    <t>Yes, if radio button 8.11 is "No", and not in manual address mode.</t>
  </si>
  <si>
    <t>Yes, if radio button 8.19 is "No", and not in manual address mode.</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</si>
  <si>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</si>
  <si>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</si>
  <si>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</si>
  <si>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</si>
  <si>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</si>
  <si>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</si>
  <si>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</si>
  <si>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</si>
  <si>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</si>
  <si>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Welcome to CWB!</t>
  </si>
  <si>
    <t>Review language</t>
  </si>
  <si>
    <t>Display a separate instance of the following fields, for each account and complementary product on the primary application form</t>
  </si>
  <si>
    <t>Summary will need to be expanded to include complementary products, plus other auth signers and any delegated persons</t>
  </si>
  <si>
    <t>Review language and content.
Needs to include Applicant, other Auth Signers and any delegated individuals, if applicable.</t>
  </si>
  <si>
    <t>Review language and content.
Needs to include all accounts and complementary products selected</t>
  </si>
  <si>
    <t>May need to have a decline path, if the auth signer chooses not to accept</t>
  </si>
  <si>
    <t>This would essentially lead to the "authenticated path" if they are existing - i.e. skip all of the IDV and related activity then continue in the SB flow.</t>
  </si>
  <si>
    <t>CWB-xxx</t>
  </si>
  <si>
    <t>Review for language</t>
  </si>
  <si>
    <t>Are you already a CWB or Motive Financial personal customer?</t>
  </si>
  <si>
    <t>A) Yes - CWB
B) Yes - Motive
C) No</t>
  </si>
  <si>
    <t>Review for language
Confirm there will be 2 choices</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</si>
  <si>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</si>
  <si>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</si>
  <si>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</si>
  <si>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</si>
  <si>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</si>
  <si>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</si>
  <si>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Review for language and navigation</t>
  </si>
  <si>
    <t>On click, navigate to the ??</t>
  </si>
  <si>
    <t>Log into CWB</t>
  </si>
  <si>
    <t>Only if radio button 2.3 is "(A) Yes - CWB"</t>
  </si>
  <si>
    <t xml:space="preserve">To be displayed only for existing CWB clients. 
On click, navigate to the URL:
</t>
  </si>
  <si>
    <t>Authenticated path TBC - likely skip IDV pages</t>
  </si>
  <si>
    <t>Log into Motive</t>
  </si>
  <si>
    <t>Only if radio button 2.3 is "(B) Yes - Motive"</t>
  </si>
  <si>
    <t>We just sent a 4-7 digit token to your mobile number.  Please enter it below to continue with your application.
If you take a break from this application, we'll send a one-time password to your mobile phone, so that you may resume later.</t>
  </si>
  <si>
    <t>Review navigation</t>
  </si>
  <si>
    <t>Before we continue, we need to confirm that you meet the following required conditions to open a CWB business account:
You are:</t>
  </si>
  <si>
    <t>CWB is unable to open an account that will be used by, or on behalf of, anyone other than the named account holder.</t>
  </si>
  <si>
    <t>Based on equivalent Co-App page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</si>
  <si>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</si>
  <si>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</si>
  <si>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</si>
  <si>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Review language and content</t>
  </si>
  <si>
    <t>Review language and content
URL to be confirmed</t>
  </si>
  <si>
    <t>- I have read and agree to the CWB Internet Banking Account Agreement, which can be found here</t>
  </si>
  <si>
    <t>By submission of this application, I certify that the tax jurisdiction information provided is correct and complete. I will notify CWB within 30 days of any change in circumstances that causes this tax jurisdiction information to become incomplete or inaccurate.</t>
  </si>
  <si>
    <t>If you'd like to apply to CWB again, you may do so in six months.</t>
  </si>
  <si>
    <t>As Required</t>
  </si>
  <si>
    <t>Small Business Digital Client Onboarding (DCO) - Authorized Signer Form</t>
  </si>
  <si>
    <t>Small Business Digital Client Onboarding (DCO)</t>
  </si>
  <si>
    <t>I, &lt;&lt;Applicant Name&gt;&gt;, agree to allow CWB to:</t>
  </si>
  <si>
    <t>CWBSB-60</t>
  </si>
  <si>
    <t>Text/verbiage updates for SB CWBSB-</t>
  </si>
  <si>
    <t>Text/verbiage updates for SB CWBSB-96</t>
  </si>
  <si>
    <t xml:space="preserve">You’re applying with &lt;&lt;Primary applicant F.Name&gt;&gt; &lt;&lt;Primary applicant L.Name&gt;&gt;, to open the following business account(s): </t>
  </si>
  <si>
    <t>CWBSB-61</t>
  </si>
  <si>
    <t>Text/verbiage updates for SB CWBSB-xx</t>
  </si>
  <si>
    <t>CWBSB-62</t>
  </si>
  <si>
    <t>On click, navigate to "Qualifying Questions" page (CWBSB-63)</t>
  </si>
  <si>
    <t>Text/verbiage updates for SB CWBSB-97</t>
  </si>
  <si>
    <t>CWBSB-63</t>
  </si>
  <si>
    <t>We are only able to open accounts for residents of Canada.</t>
  </si>
  <si>
    <t>- A resident of Canada</t>
  </si>
  <si>
    <t>Removed for Small Business use: tax residency is not required for authorized signers on a business account.</t>
  </si>
  <si>
    <t>Contact info to be confirmed</t>
  </si>
  <si>
    <t>On click, navigate to "ID Scan" page (CWBSB-62)</t>
  </si>
  <si>
    <t>Navigation TBC</t>
  </si>
  <si>
    <t>Changed to "resident of Canada" instead of "tax resident" (tax residency not required for auth signers).</t>
  </si>
  <si>
    <t>On click, navigate to "xxx" page</t>
  </si>
  <si>
    <t>On click, navigate to "Auth Signer Address" page (CWBSB-65)</t>
  </si>
  <si>
    <t>CWBSB-71</t>
  </si>
  <si>
    <t>Text/verbiage updates for SB CWBSB-98</t>
  </si>
  <si>
    <t>1.0 WIP</t>
  </si>
  <si>
    <t>CWBSB-166</t>
  </si>
  <si>
    <t>CWBSB-167</t>
  </si>
  <si>
    <t>On click, navigate to "Auth Signer Qualifying Questions" page (CWBSB-63)</t>
  </si>
  <si>
    <t>On click, navigate to "Auth Signer Contact Info" page (CWBSB-166)</t>
  </si>
  <si>
    <t>On click, navigate back to "Contact Info" page (CWBSB-166)</t>
  </si>
  <si>
    <r>
      <t xml:space="preserve">Please review the list above and confirm that you meet all of the conditions by checking this box. For more information, please contact CWB at </t>
    </r>
    <r>
      <rPr>
        <sz val="11"/>
        <color rgb="FFFF0000"/>
        <rFont val="Calibri"/>
        <family val="2"/>
        <scheme val="minor"/>
      </rPr>
      <t>1 (866) 843-3917</t>
    </r>
    <r>
      <rPr>
        <sz val="11"/>
        <color theme="1"/>
        <rFont val="Calibri"/>
        <family val="2"/>
        <scheme val="minor"/>
      </rPr>
      <t>.</t>
    </r>
  </si>
  <si>
    <t>CWBSB-64</t>
  </si>
  <si>
    <t>What's your address?</t>
  </si>
  <si>
    <t>Name &amp; Address</t>
  </si>
  <si>
    <t>Deprecated for Auth Signer</t>
  </si>
  <si>
    <t>Only if manual address mode is enabled on field 7.7 (current address).</t>
  </si>
  <si>
    <t>Only if radio button 7.14 is "No".</t>
  </si>
  <si>
    <t>Only if radio button 7.14 is "No", and manual address mode is enabled on field 7.15 (previous address).</t>
  </si>
  <si>
    <t>Only if radio button 7.22 is "No".</t>
  </si>
  <si>
    <t>Only if radio button 7.22 is "No", and manual address mode is enabled on field 7.23 (mailing address).</t>
  </si>
  <si>
    <t>On click, navigate to "Name &amp; Address" page (CWBSB-64)</t>
  </si>
  <si>
    <t>DEPRECATED</t>
  </si>
  <si>
    <t>N/A</t>
  </si>
  <si>
    <t>On click, navigate to "Existing Customer Check" page CWBSB-xx</t>
  </si>
  <si>
    <t>Show auth signer e-mail address as provided by primary applicant.</t>
  </si>
  <si>
    <t>Show auth signer mobile number as provided by primary applicant.</t>
  </si>
  <si>
    <t>On click, apply the following conditional logic:
A) If the mobile number has not been verified (user changed their number), navigate to Auth Signer "Mobile Verification" page CWBSB-167
B) If the mobile number has been verified or is the same one originally provided by the primary applicant, navigate to "Qualifying Questions" page CWBSB-63</t>
  </si>
  <si>
    <t>Text/verbiage updates CWBSB-172</t>
  </si>
  <si>
    <t>Subject to business rules in Auth Signer Contact Info CWBSB-166</t>
  </si>
  <si>
    <t>On click, navigate to "Auth Signer ID Scan" page (CWBSB-62)</t>
  </si>
  <si>
    <t>On click, navigate to "Auth Signer Birthday &amp; SIN" page (CWBSB-71)</t>
  </si>
  <si>
    <r>
      <t xml:space="preserve">If you would like to update your contact information, you may do so now.
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</si>
  <si>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Text/verbiage updates CWBSB-173</t>
  </si>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</sst>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z val="11"/>
      <color rgb="FFFF000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s>
  <cellStyleXfs count="1">
    <xf numFmtId="0" fontId="0" fillId="0" borderId="0"/>
  </cellStyleXfs>
  <cellXfs count="8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381">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all%20Business%20DCO%20Small%20Business%20Form%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zoomScaleNormal="100" workbookViewId="0">
      <selection activeCell="A8" sqref="A8"/>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364</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ht="15" customHeight="1" x14ac:dyDescent="0.35">
      <c r="A6" s="12" t="s">
        <v>320</v>
      </c>
      <c r="B6" s="13">
        <v>44026</v>
      </c>
      <c r="C6" s="14" t="s">
        <v>321</v>
      </c>
      <c r="D6" s="23" t="s">
        <v>322</v>
      </c>
      <c r="E6" s="25"/>
    </row>
    <row r="7" spans="1:15" s="4" customFormat="1" ht="52" x14ac:dyDescent="0.35">
      <c r="A7" s="15" t="s">
        <v>388</v>
      </c>
      <c r="B7" s="16">
        <v>44036</v>
      </c>
      <c r="C7" s="17" t="s">
        <v>420</v>
      </c>
      <c r="D7" s="26" t="s">
        <v>322</v>
      </c>
      <c r="E7" s="18" t="s">
        <v>422</v>
      </c>
    </row>
    <row r="8" spans="1:15" s="4" customFormat="1" ht="91" x14ac:dyDescent="0.35">
      <c r="A8" s="15" t="s">
        <v>419</v>
      </c>
      <c r="B8" s="16">
        <v>44056</v>
      </c>
      <c r="C8" s="17" t="s">
        <v>421</v>
      </c>
      <c r="D8" s="26" t="s">
        <v>322</v>
      </c>
      <c r="E8" s="18" t="s">
        <v>422</v>
      </c>
    </row>
    <row r="9" spans="1:15" s="4" customFormat="1" x14ac:dyDescent="0.35">
      <c r="A9" s="15"/>
      <c r="B9" s="16"/>
      <c r="C9" s="17"/>
      <c r="D9" s="26"/>
      <c r="E9" s="18"/>
    </row>
    <row r="10" spans="1:15" s="4" customFormat="1" x14ac:dyDescent="0.35">
      <c r="A10" s="15"/>
      <c r="B10" s="16"/>
      <c r="C10" s="17"/>
      <c r="D10" s="26"/>
      <c r="E10" s="18"/>
    </row>
    <row r="11" spans="1:15" s="4" customFormat="1" x14ac:dyDescent="0.35">
      <c r="A11" s="15"/>
      <c r="B11" s="16"/>
      <c r="C11" s="17"/>
      <c r="D11" s="26"/>
      <c r="E11" s="18"/>
    </row>
    <row r="12" spans="1:15" s="4" customFormat="1" x14ac:dyDescent="0.35">
      <c r="A12" s="15"/>
      <c r="B12" s="16"/>
      <c r="C12" s="17"/>
      <c r="D12" s="26"/>
      <c r="E12" s="18"/>
    </row>
    <row r="13" spans="1:15" s="4" customFormat="1" x14ac:dyDescent="0.35">
      <c r="A13" s="15"/>
      <c r="B13" s="16"/>
      <c r="C13" s="17"/>
      <c r="D13" s="26"/>
      <c r="E13" s="18"/>
    </row>
    <row r="14" spans="1:15" s="4" customFormat="1" x14ac:dyDescent="0.35">
      <c r="A14" s="55"/>
      <c r="B14" s="56"/>
      <c r="C14" s="57"/>
      <c r="D14" s="58"/>
      <c r="E14" s="59"/>
    </row>
    <row r="15" spans="1:15" s="4" customFormat="1" ht="15" thickBot="1" x14ac:dyDescent="0.4">
      <c r="A15" s="19"/>
      <c r="B15" s="20"/>
      <c r="C15" s="21"/>
      <c r="D15" s="24"/>
      <c r="E15" s="22"/>
    </row>
  </sheetData>
  <conditionalFormatting sqref="H1:I2">
    <cfRule type="cellIs" dxfId="380" priority="10" operator="equal">
      <formula>"Not Applicable"</formula>
    </cfRule>
    <cfRule type="cellIs" dxfId="379" priority="11" operator="equal">
      <formula>"4 - Future Initiative (out of scope)"</formula>
    </cfRule>
    <cfRule type="cellIs" dxfId="378" priority="12" operator="equal">
      <formula>"3 - Desirable (Nice To Have)"</formula>
    </cfRule>
    <cfRule type="cellIs" dxfId="377" priority="13" operator="equal">
      <formula>"2 - Recommended (Best Practice)"</formula>
    </cfRule>
    <cfRule type="cellIs" dxfId="376" priority="14" operator="equal">
      <formula>"1 - Mandatory (Must Have)"</formula>
    </cfRule>
  </conditionalFormatting>
  <conditionalFormatting sqref="F1:F2">
    <cfRule type="cellIs" dxfId="375" priority="8" operator="equal">
      <formula>"Non-functional"</formula>
    </cfRule>
    <cfRule type="cellIs" dxfId="374"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2" sqref="A2"/>
    </sheetView>
  </sheetViews>
  <sheetFormatPr defaultRowHeight="14.5" x14ac:dyDescent="0.35"/>
  <cols>
    <col min="1" max="1" width="47.26953125" bestFit="1" customWidth="1"/>
    <col min="2" max="2" width="25.54296875" customWidth="1"/>
  </cols>
  <sheetData>
    <row r="1" spans="1:15" s="1" customFormat="1" ht="18.5" x14ac:dyDescent="0.35">
      <c r="A1" s="1" t="s">
        <v>365</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7" customFormat="1" x14ac:dyDescent="0.35">
      <c r="A4" s="27" t="s">
        <v>28</v>
      </c>
      <c r="B4" s="27" t="s">
        <v>39</v>
      </c>
    </row>
    <row r="5" spans="1:15" x14ac:dyDescent="0.35">
      <c r="A5" t="s">
        <v>43</v>
      </c>
      <c r="B5" t="s">
        <v>42</v>
      </c>
    </row>
    <row r="6" spans="1:15" x14ac:dyDescent="0.35">
      <c r="A6" t="s">
        <v>30</v>
      </c>
      <c r="B6" t="s">
        <v>40</v>
      </c>
    </row>
    <row r="7" spans="1:15" x14ac:dyDescent="0.35">
      <c r="A7" t="s">
        <v>63</v>
      </c>
      <c r="B7" t="s">
        <v>41</v>
      </c>
    </row>
    <row r="8" spans="1:15" x14ac:dyDescent="0.35">
      <c r="A8" t="s">
        <v>266</v>
      </c>
      <c r="B8" t="s">
        <v>38</v>
      </c>
    </row>
    <row r="9" spans="1:15" x14ac:dyDescent="0.35">
      <c r="A9" t="s">
        <v>95</v>
      </c>
      <c r="B9" t="s">
        <v>45</v>
      </c>
    </row>
    <row r="10" spans="1:15" x14ac:dyDescent="0.35">
      <c r="A10" t="s">
        <v>35</v>
      </c>
    </row>
    <row r="11" spans="1:15" x14ac:dyDescent="0.35">
      <c r="A11" t="s">
        <v>232</v>
      </c>
    </row>
    <row r="12" spans="1:15" x14ac:dyDescent="0.35">
      <c r="A12" t="s">
        <v>249</v>
      </c>
    </row>
    <row r="13" spans="1:15" x14ac:dyDescent="0.35">
      <c r="A13" t="s">
        <v>202</v>
      </c>
    </row>
    <row r="14" spans="1:15" x14ac:dyDescent="0.35">
      <c r="A14" t="s">
        <v>150</v>
      </c>
    </row>
    <row r="15" spans="1:15" x14ac:dyDescent="0.35">
      <c r="A15" t="s">
        <v>48</v>
      </c>
    </row>
    <row r="16" spans="1:15" x14ac:dyDescent="0.35">
      <c r="A16" t="s">
        <v>32</v>
      </c>
    </row>
    <row r="17" spans="1:1" x14ac:dyDescent="0.35">
      <c r="A17" t="s">
        <v>31</v>
      </c>
    </row>
    <row r="18" spans="1:1" x14ac:dyDescent="0.35">
      <c r="A18" t="s">
        <v>151</v>
      </c>
    </row>
    <row r="19" spans="1:1" x14ac:dyDescent="0.35">
      <c r="A19" t="s">
        <v>29</v>
      </c>
    </row>
    <row r="20" spans="1:1" x14ac:dyDescent="0.35">
      <c r="A20" t="s">
        <v>123</v>
      </c>
    </row>
    <row r="21" spans="1:1" x14ac:dyDescent="0.35">
      <c r="A21" t="s">
        <v>34</v>
      </c>
    </row>
    <row r="22" spans="1:1" x14ac:dyDescent="0.35">
      <c r="A22" t="s">
        <v>36</v>
      </c>
    </row>
    <row r="23" spans="1:1" x14ac:dyDescent="0.35">
      <c r="A23" t="s">
        <v>33</v>
      </c>
    </row>
    <row r="24" spans="1:1" x14ac:dyDescent="0.35">
      <c r="A24" t="s">
        <v>291</v>
      </c>
    </row>
    <row r="25" spans="1:1" x14ac:dyDescent="0.35">
      <c r="A25" t="s">
        <v>80</v>
      </c>
    </row>
    <row r="26" spans="1:1" x14ac:dyDescent="0.35">
      <c r="A26" t="s">
        <v>240</v>
      </c>
    </row>
  </sheetData>
  <sortState ref="A5:A15">
    <sortCondition ref="A16"/>
  </sortState>
  <conditionalFormatting sqref="H1:I2">
    <cfRule type="cellIs" dxfId="373" priority="3" operator="equal">
      <formula>"Not Applicable"</formula>
    </cfRule>
    <cfRule type="cellIs" dxfId="372" priority="4" operator="equal">
      <formula>"4 - Future Initiative (out of scope)"</formula>
    </cfRule>
    <cfRule type="cellIs" dxfId="371" priority="5" operator="equal">
      <formula>"3 - Desirable (Nice To Have)"</formula>
    </cfRule>
    <cfRule type="cellIs" dxfId="370" priority="6" operator="equal">
      <formula>"2 - Recommended (Best Practice)"</formula>
    </cfRule>
    <cfRule type="cellIs" dxfId="369" priority="7" operator="equal">
      <formula>"1 - Mandatory (Must Have)"</formula>
    </cfRule>
  </conditionalFormatting>
  <conditionalFormatting sqref="F1:F2">
    <cfRule type="cellIs" dxfId="368" priority="1" operator="equal">
      <formula>"Non-functional"</formula>
    </cfRule>
    <cfRule type="cellIs" dxfId="367"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tabSelected="1" workbookViewId="0">
      <pane xSplit="4" ySplit="6" topLeftCell="E7" activePane="bottomRight" state="frozen"/>
      <selection pane="topRight" activeCell="E1" sqref="E1"/>
      <selection pane="bottomLeft" activeCell="A7" sqref="A7"/>
      <selection pane="bottomRight" activeCell="D7" sqref="D7"/>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289</v>
      </c>
      <c r="C1" s="32"/>
      <c r="D1" s="29"/>
      <c r="H1" s="35"/>
    </row>
    <row r="2" spans="1:16" s="30" customFormat="1" ht="18.5" x14ac:dyDescent="0.35">
      <c r="A2" s="28" t="s">
        <v>7</v>
      </c>
      <c r="B2" s="36">
        <v>1</v>
      </c>
      <c r="C2" s="35"/>
      <c r="D2" s="36"/>
      <c r="H2" s="35"/>
    </row>
    <row r="3" spans="1:16" s="30" customFormat="1" ht="18.5" x14ac:dyDescent="0.35">
      <c r="A3" s="28" t="s">
        <v>44</v>
      </c>
      <c r="B3" s="36" t="s">
        <v>367</v>
      </c>
      <c r="C3" s="35"/>
      <c r="D3" s="64" t="s">
        <v>369</v>
      </c>
      <c r="H3" s="35"/>
    </row>
    <row r="4" spans="1:16" s="30" customFormat="1" ht="18.5" x14ac:dyDescent="0.35">
      <c r="A4" s="28" t="s">
        <v>8</v>
      </c>
      <c r="B4" s="30" t="s">
        <v>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1.1</v>
      </c>
      <c r="C7" s="77" t="s">
        <v>38</v>
      </c>
      <c r="D7" s="40" t="s">
        <v>323</v>
      </c>
      <c r="E7" s="40" t="s">
        <v>151</v>
      </c>
      <c r="F7" s="5" t="s">
        <v>37</v>
      </c>
      <c r="G7" s="5" t="s">
        <v>37</v>
      </c>
      <c r="H7" s="77" t="s">
        <v>37</v>
      </c>
      <c r="I7" s="40" t="s">
        <v>10</v>
      </c>
      <c r="J7" s="5" t="s">
        <v>37</v>
      </c>
      <c r="K7" s="5" t="s">
        <v>37</v>
      </c>
      <c r="L7" s="5" t="s">
        <v>37</v>
      </c>
      <c r="M7" s="5" t="s">
        <v>37</v>
      </c>
      <c r="N7" s="5" t="s">
        <v>37</v>
      </c>
    </row>
    <row r="8" spans="1:16" s="6" customFormat="1" x14ac:dyDescent="0.35">
      <c r="A8" s="6">
        <v>2</v>
      </c>
      <c r="B8" s="6" t="str">
        <f t="shared" si="0"/>
        <v>1.2</v>
      </c>
      <c r="C8" s="77" t="s">
        <v>40</v>
      </c>
      <c r="D8" s="39" t="s">
        <v>37</v>
      </c>
      <c r="E8" s="39" t="s">
        <v>49</v>
      </c>
      <c r="F8" s="6" t="s">
        <v>37</v>
      </c>
      <c r="G8" s="6" t="s">
        <v>37</v>
      </c>
      <c r="H8" s="6" t="s">
        <v>37</v>
      </c>
      <c r="I8" s="39" t="s">
        <v>10</v>
      </c>
      <c r="J8" s="5" t="s">
        <v>37</v>
      </c>
      <c r="K8" s="5" t="s">
        <v>37</v>
      </c>
      <c r="L8" s="5" t="s">
        <v>37</v>
      </c>
      <c r="M8" s="5" t="s">
        <v>37</v>
      </c>
      <c r="N8" s="5" t="s">
        <v>37</v>
      </c>
      <c r="O8" s="5"/>
    </row>
    <row r="9" spans="1:16" ht="43.5" x14ac:dyDescent="0.35">
      <c r="A9" s="5">
        <v>3</v>
      </c>
      <c r="B9" s="5" t="str">
        <f t="shared" si="0"/>
        <v>1.3</v>
      </c>
      <c r="C9" s="79" t="s">
        <v>40</v>
      </c>
      <c r="D9" s="45" t="s">
        <v>290</v>
      </c>
      <c r="E9" s="40" t="s">
        <v>34</v>
      </c>
      <c r="F9" s="5" t="s">
        <v>37</v>
      </c>
      <c r="G9" s="5" t="s">
        <v>37</v>
      </c>
      <c r="H9" s="77" t="s">
        <v>37</v>
      </c>
      <c r="I9" s="40" t="s">
        <v>10</v>
      </c>
      <c r="J9" s="5" t="s">
        <v>37</v>
      </c>
      <c r="K9" s="5" t="s">
        <v>37</v>
      </c>
      <c r="L9" s="5" t="s">
        <v>37</v>
      </c>
      <c r="M9" s="5" t="s">
        <v>37</v>
      </c>
      <c r="N9" s="5" t="s">
        <v>37</v>
      </c>
    </row>
    <row r="10" spans="1:16" ht="43.5" x14ac:dyDescent="0.35">
      <c r="A10" s="5">
        <v>4</v>
      </c>
      <c r="B10" s="5" t="str">
        <f t="shared" si="0"/>
        <v>1.4</v>
      </c>
      <c r="C10" s="79" t="s">
        <v>40</v>
      </c>
      <c r="D10" s="45"/>
      <c r="E10" s="40" t="s">
        <v>291</v>
      </c>
      <c r="F10" s="5" t="s">
        <v>52</v>
      </c>
      <c r="G10" s="5" t="s">
        <v>37</v>
      </c>
      <c r="H10" s="77" t="s">
        <v>37</v>
      </c>
      <c r="I10" s="40" t="s">
        <v>10</v>
      </c>
      <c r="J10" s="5" t="s">
        <v>37</v>
      </c>
      <c r="K10" s="5" t="s">
        <v>54</v>
      </c>
      <c r="L10" s="5" t="s">
        <v>292</v>
      </c>
      <c r="M10" s="5" t="s">
        <v>37</v>
      </c>
      <c r="N10" s="5" t="s">
        <v>37</v>
      </c>
    </row>
    <row r="11" spans="1:16" x14ac:dyDescent="0.35">
      <c r="A11" s="5">
        <v>5</v>
      </c>
      <c r="B11" s="5" t="str">
        <f>CONCATENATE($B$2, ".", A11)</f>
        <v>1.5</v>
      </c>
      <c r="C11" s="79" t="s">
        <v>40</v>
      </c>
      <c r="D11" s="5" t="s">
        <v>279</v>
      </c>
      <c r="E11" s="5" t="s">
        <v>43</v>
      </c>
      <c r="F11" s="5" t="s">
        <v>37</v>
      </c>
      <c r="G11" s="5" t="s">
        <v>37</v>
      </c>
      <c r="H11" s="77" t="s">
        <v>37</v>
      </c>
      <c r="I11" s="40" t="s">
        <v>10</v>
      </c>
      <c r="J11" s="5" t="s">
        <v>37</v>
      </c>
      <c r="K11" s="5" t="s">
        <v>37</v>
      </c>
      <c r="L11" s="5" t="s">
        <v>37</v>
      </c>
      <c r="M11" s="5" t="s">
        <v>37</v>
      </c>
      <c r="N11" s="5" t="s">
        <v>37</v>
      </c>
      <c r="O11" s="40" t="s">
        <v>293</v>
      </c>
    </row>
    <row r="12" spans="1:16" x14ac:dyDescent="0.35">
      <c r="A12" s="5">
        <v>6</v>
      </c>
      <c r="B12" s="5" t="str">
        <f t="shared" si="0"/>
        <v>1.6</v>
      </c>
      <c r="C12" s="79" t="s">
        <v>40</v>
      </c>
      <c r="D12" s="5" t="s">
        <v>228</v>
      </c>
      <c r="E12" s="5" t="s">
        <v>43</v>
      </c>
      <c r="F12" s="5" t="s">
        <v>37</v>
      </c>
      <c r="G12" s="5" t="s">
        <v>37</v>
      </c>
      <c r="H12" s="77" t="s">
        <v>37</v>
      </c>
      <c r="I12" s="40" t="s">
        <v>10</v>
      </c>
      <c r="J12" s="5" t="s">
        <v>37</v>
      </c>
      <c r="K12" s="5" t="s">
        <v>37</v>
      </c>
      <c r="L12" s="5" t="s">
        <v>37</v>
      </c>
      <c r="M12" s="5" t="s">
        <v>37</v>
      </c>
      <c r="N12" s="5" t="s">
        <v>37</v>
      </c>
      <c r="O12" s="40" t="s">
        <v>229</v>
      </c>
    </row>
  </sheetData>
  <autoFilter ref="A6:P6"/>
  <conditionalFormatting sqref="C13:C1048576">
    <cfRule type="cellIs" dxfId="366" priority="17" operator="equal">
      <formula>"WIP (see comments)"</formula>
    </cfRule>
    <cfRule type="cellIs" dxfId="365" priority="18" operator="equal">
      <formula>"Removed"</formula>
    </cfRule>
    <cfRule type="cellIs" dxfId="364" priority="19" operator="equal">
      <formula>"Updated"</formula>
    </cfRule>
    <cfRule type="cellIs" dxfId="363" priority="20" operator="equal">
      <formula>"New"</formula>
    </cfRule>
  </conditionalFormatting>
  <conditionalFormatting sqref="A1:XFD2 A13:XFD1048576 A4:XFD6 A3:C3 E3:XFD3">
    <cfRule type="cellIs" dxfId="362" priority="16" operator="equal">
      <formula>"n/a"</formula>
    </cfRule>
  </conditionalFormatting>
  <conditionalFormatting sqref="D9:D10">
    <cfRule type="cellIs" dxfId="361" priority="15" operator="equal">
      <formula>"-"</formula>
    </cfRule>
  </conditionalFormatting>
  <conditionalFormatting sqref="A9:B10 D9:XFD10">
    <cfRule type="cellIs" dxfId="360" priority="14" operator="equal">
      <formula>"n/a"</formula>
    </cfRule>
  </conditionalFormatting>
  <conditionalFormatting sqref="C7:C12">
    <cfRule type="cellIs" dxfId="359" priority="10" operator="equal">
      <formula>"WIP (see comments)"</formula>
    </cfRule>
    <cfRule type="cellIs" dxfId="358" priority="11" operator="equal">
      <formula>"Removed"</formula>
    </cfRule>
    <cfRule type="cellIs" dxfId="357" priority="12" operator="equal">
      <formula>"Updated"</formula>
    </cfRule>
    <cfRule type="cellIs" dxfId="356" priority="13" operator="equal">
      <formula>"New"</formula>
    </cfRule>
  </conditionalFormatting>
  <conditionalFormatting sqref="A7:XFD7 C8:C12">
    <cfRule type="cellIs" dxfId="355" priority="9" operator="equal">
      <formula>"n/a"</formula>
    </cfRule>
  </conditionalFormatting>
  <conditionalFormatting sqref="A12:B12 D12:XFD12">
    <cfRule type="cellIs" dxfId="354" priority="8" operator="equal">
      <formula>"n/a"</formula>
    </cfRule>
  </conditionalFormatting>
  <conditionalFormatting sqref="A11:B11 D11:XFD11">
    <cfRule type="cellIs" dxfId="353" priority="7" operator="equal">
      <formula>"n/a"</formula>
    </cfRule>
  </conditionalFormatting>
  <conditionalFormatting sqref="A8:B8 D8:XFD8">
    <cfRule type="cellIs" dxfId="352" priority="2" operator="equal">
      <formula>"n/a"</formula>
    </cfRule>
  </conditionalFormatting>
  <conditionalFormatting sqref="D3">
    <cfRule type="cellIs" dxfId="3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C7:C1048576</xm:sqref>
        </x14:dataValidation>
        <x14:dataValidation type="list" allowBlank="1" showInputMessage="1" showErrorMessage="1">
          <x14:formula1>
            <xm:f>'List Values'!$A$5:$A$28</xm:f>
          </x14:formula1>
          <xm:sqref>E7 E9:E1048576</xm:sqref>
        </x14:dataValidation>
        <x14:dataValidation type="list" allowBlank="1" showInputMessage="1" showErrorMessage="1">
          <x14:formula1>
            <xm:f>'List Values'!$A$5:$A$27</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zoomScaleNormal="100" workbookViewId="0">
      <pane xSplit="4" ySplit="6" topLeftCell="E7" activePane="bottomRight" state="frozen"/>
      <selection pane="topRight" activeCell="E1" sqref="E1"/>
      <selection pane="bottomLeft" activeCell="A7" sqref="A7"/>
      <selection pane="bottomRight" activeCell="P3" sqref="P3"/>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v>
      </c>
      <c r="C1" s="32"/>
      <c r="D1" s="29"/>
    </row>
    <row r="2" spans="1:16" s="30" customFormat="1" ht="18.5" x14ac:dyDescent="0.35">
      <c r="A2" s="28" t="s">
        <v>7</v>
      </c>
      <c r="B2" s="36">
        <v>2</v>
      </c>
      <c r="C2" s="35"/>
      <c r="D2" s="36" t="s">
        <v>326</v>
      </c>
    </row>
    <row r="3" spans="1:16" s="30" customFormat="1" ht="18.5" x14ac:dyDescent="0.35">
      <c r="A3" s="28" t="s">
        <v>44</v>
      </c>
      <c r="B3" s="36" t="s">
        <v>371</v>
      </c>
      <c r="C3" s="35"/>
      <c r="D3" s="64" t="s">
        <v>372</v>
      </c>
    </row>
    <row r="4" spans="1:16" s="30" customFormat="1" ht="18.5" x14ac:dyDescent="0.35">
      <c r="A4" s="28" t="s">
        <v>8</v>
      </c>
      <c r="B4" s="30" t="s">
        <v>294</v>
      </c>
      <c r="C4" s="35"/>
      <c r="D4" s="36" t="s">
        <v>329</v>
      </c>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2.1</v>
      </c>
      <c r="C7" s="34" t="s">
        <v>40</v>
      </c>
      <c r="D7" s="39" t="s">
        <v>296</v>
      </c>
      <c r="E7" s="6" t="s">
        <v>36</v>
      </c>
      <c r="F7" s="6" t="s">
        <v>37</v>
      </c>
      <c r="G7" s="6" t="s">
        <v>37</v>
      </c>
      <c r="H7" s="6" t="s">
        <v>37</v>
      </c>
      <c r="I7" s="39" t="s">
        <v>10</v>
      </c>
      <c r="J7" s="5" t="s">
        <v>37</v>
      </c>
      <c r="K7" s="5" t="s">
        <v>37</v>
      </c>
      <c r="L7" s="5" t="s">
        <v>37</v>
      </c>
      <c r="M7" s="5" t="s">
        <v>37</v>
      </c>
      <c r="N7" s="5" t="s">
        <v>37</v>
      </c>
      <c r="O7" s="5"/>
    </row>
    <row r="8" spans="1:16" ht="128.25" customHeight="1" x14ac:dyDescent="0.35">
      <c r="A8" s="6">
        <v>2</v>
      </c>
      <c r="B8" s="6" t="str">
        <f>CONCATENATE($B$2, ".", A8)</f>
        <v>2.2</v>
      </c>
      <c r="C8" s="34" t="s">
        <v>45</v>
      </c>
      <c r="D8" s="39" t="s">
        <v>370</v>
      </c>
      <c r="E8" s="6" t="s">
        <v>36</v>
      </c>
      <c r="F8" s="6" t="s">
        <v>37</v>
      </c>
      <c r="G8" s="6" t="s">
        <v>37</v>
      </c>
      <c r="H8" s="6" t="s">
        <v>37</v>
      </c>
      <c r="I8" s="39" t="s">
        <v>10</v>
      </c>
      <c r="J8" s="5" t="s">
        <v>37</v>
      </c>
      <c r="K8" s="5" t="s">
        <v>37</v>
      </c>
      <c r="L8" s="5" t="s">
        <v>37</v>
      </c>
      <c r="M8" s="5" t="s">
        <v>37</v>
      </c>
      <c r="N8" s="5" t="s">
        <v>37</v>
      </c>
      <c r="O8" s="5"/>
      <c r="P8" s="6" t="s">
        <v>327</v>
      </c>
    </row>
    <row r="9" spans="1:16" s="76" customFormat="1" x14ac:dyDescent="0.35">
      <c r="A9" s="80" t="s">
        <v>325</v>
      </c>
      <c r="B9" s="80"/>
      <c r="C9" s="80"/>
      <c r="D9" s="80"/>
      <c r="E9" s="80"/>
    </row>
    <row r="10" spans="1:16" ht="43.5" x14ac:dyDescent="0.35">
      <c r="A10" s="6">
        <v>3</v>
      </c>
      <c r="B10" s="6" t="str">
        <f>CONCATENATE($B$2, ".", A10)</f>
        <v>2.3</v>
      </c>
      <c r="C10" s="34" t="s">
        <v>45</v>
      </c>
      <c r="D10" s="39" t="s">
        <v>297</v>
      </c>
      <c r="E10" s="6" t="s">
        <v>36</v>
      </c>
      <c r="F10" s="6" t="s">
        <v>37</v>
      </c>
      <c r="G10" s="6" t="s">
        <v>37</v>
      </c>
      <c r="H10" s="6" t="s">
        <v>37</v>
      </c>
      <c r="I10" s="39" t="s">
        <v>10</v>
      </c>
      <c r="J10" s="6" t="s">
        <v>37</v>
      </c>
      <c r="K10" s="6" t="s">
        <v>37</v>
      </c>
      <c r="L10" s="6" t="s">
        <v>37</v>
      </c>
      <c r="M10" s="6" t="s">
        <v>37</v>
      </c>
      <c r="N10" s="6" t="s">
        <v>37</v>
      </c>
      <c r="O10" s="5"/>
      <c r="P10" s="6" t="s">
        <v>328</v>
      </c>
    </row>
    <row r="11" spans="1:16" ht="29" x14ac:dyDescent="0.35">
      <c r="A11" s="6">
        <v>4</v>
      </c>
      <c r="B11" s="6" t="str">
        <f>CONCATENATE($B$2, ".", A11)</f>
        <v>2.4</v>
      </c>
      <c r="C11" s="34" t="s">
        <v>45</v>
      </c>
      <c r="D11" s="39" t="s">
        <v>298</v>
      </c>
      <c r="E11" s="6" t="s">
        <v>36</v>
      </c>
      <c r="F11" s="6" t="s">
        <v>37</v>
      </c>
      <c r="G11" s="6" t="s">
        <v>37</v>
      </c>
      <c r="H11" s="6" t="s">
        <v>37</v>
      </c>
      <c r="I11" s="39" t="s">
        <v>10</v>
      </c>
      <c r="J11" s="6" t="s">
        <v>37</v>
      </c>
      <c r="K11" s="6" t="s">
        <v>37</v>
      </c>
      <c r="L11" s="6" t="s">
        <v>37</v>
      </c>
      <c r="M11" s="6" t="s">
        <v>37</v>
      </c>
      <c r="N11" s="6" t="s">
        <v>37</v>
      </c>
      <c r="O11" s="5"/>
    </row>
    <row r="12" spans="1:16" ht="29" x14ac:dyDescent="0.35">
      <c r="A12" s="6">
        <v>5</v>
      </c>
      <c r="B12" s="6" t="str">
        <f>CONCATENATE($B$2, ".", A12)</f>
        <v>2.5</v>
      </c>
      <c r="C12" s="34" t="s">
        <v>45</v>
      </c>
      <c r="D12" s="39" t="s">
        <v>299</v>
      </c>
      <c r="E12" s="6" t="s">
        <v>36</v>
      </c>
      <c r="F12" s="6" t="s">
        <v>37</v>
      </c>
      <c r="G12" s="6" t="s">
        <v>37</v>
      </c>
      <c r="H12" s="6" t="s">
        <v>37</v>
      </c>
      <c r="I12" s="39" t="s">
        <v>10</v>
      </c>
      <c r="J12" s="6" t="s">
        <v>37</v>
      </c>
      <c r="K12" s="6" t="s">
        <v>37</v>
      </c>
      <c r="L12" s="6" t="s">
        <v>37</v>
      </c>
      <c r="M12" s="6" t="s">
        <v>37</v>
      </c>
      <c r="N12" s="6" t="s">
        <v>37</v>
      </c>
      <c r="O12" s="5"/>
    </row>
    <row r="13" spans="1:16" s="76" customFormat="1" x14ac:dyDescent="0.35">
      <c r="A13" s="80"/>
      <c r="B13" s="80"/>
      <c r="C13" s="80"/>
      <c r="D13" s="80"/>
      <c r="E13" s="80"/>
    </row>
    <row r="14" spans="1:16" ht="20.25" customHeight="1" x14ac:dyDescent="0.35">
      <c r="A14" s="6">
        <v>6</v>
      </c>
      <c r="B14" s="6" t="str">
        <f>CONCATENATE($B$2, ".", A14)</f>
        <v>2.6</v>
      </c>
      <c r="C14" s="34" t="s">
        <v>40</v>
      </c>
      <c r="D14" s="39" t="s">
        <v>118</v>
      </c>
      <c r="E14" s="6" t="s">
        <v>29</v>
      </c>
      <c r="F14" s="6" t="s">
        <v>37</v>
      </c>
      <c r="G14" s="6" t="s">
        <v>37</v>
      </c>
      <c r="H14" s="6" t="s">
        <v>37</v>
      </c>
      <c r="I14" s="6" t="s">
        <v>10</v>
      </c>
      <c r="J14" s="5" t="s">
        <v>37</v>
      </c>
      <c r="K14" s="5" t="s">
        <v>37</v>
      </c>
      <c r="L14" s="5" t="s">
        <v>37</v>
      </c>
      <c r="M14" s="5" t="s">
        <v>37</v>
      </c>
      <c r="N14" s="5" t="s">
        <v>37</v>
      </c>
      <c r="O14" s="6" t="s">
        <v>37</v>
      </c>
    </row>
    <row r="15" spans="1:16" ht="66.75" customHeight="1" x14ac:dyDescent="0.35">
      <c r="A15" s="6">
        <v>7</v>
      </c>
      <c r="B15" s="6" t="str">
        <f>CONCATENATE($B$2, ".", A15)</f>
        <v>2.7</v>
      </c>
      <c r="C15" s="34" t="s">
        <v>45</v>
      </c>
      <c r="D15" s="39" t="s">
        <v>119</v>
      </c>
      <c r="E15" s="39" t="s">
        <v>34</v>
      </c>
      <c r="F15" s="6" t="s">
        <v>37</v>
      </c>
      <c r="G15" s="6" t="s">
        <v>37</v>
      </c>
      <c r="H15" s="6" t="s">
        <v>37</v>
      </c>
      <c r="I15" s="6" t="s">
        <v>10</v>
      </c>
      <c r="J15" s="5" t="s">
        <v>37</v>
      </c>
      <c r="K15" s="5" t="s">
        <v>37</v>
      </c>
      <c r="L15" s="5" t="s">
        <v>37</v>
      </c>
      <c r="M15" s="5" t="s">
        <v>37</v>
      </c>
      <c r="N15" s="5" t="s">
        <v>37</v>
      </c>
      <c r="O15" s="6" t="s">
        <v>37</v>
      </c>
      <c r="P15" s="6" t="s">
        <v>324</v>
      </c>
    </row>
    <row r="16" spans="1:16" ht="29" x14ac:dyDescent="0.35">
      <c r="A16" s="6">
        <v>8</v>
      </c>
      <c r="B16" s="6" t="str">
        <f>CONCATENATE($B$2, ".", A16)</f>
        <v>2.8</v>
      </c>
      <c r="C16" s="34" t="s">
        <v>45</v>
      </c>
      <c r="D16" s="6" t="s">
        <v>120</v>
      </c>
      <c r="E16" s="6" t="s">
        <v>43</v>
      </c>
      <c r="F16" s="6" t="s">
        <v>37</v>
      </c>
      <c r="G16" s="6" t="s">
        <v>37</v>
      </c>
      <c r="H16" s="6" t="s">
        <v>37</v>
      </c>
      <c r="I16" s="6" t="s">
        <v>10</v>
      </c>
      <c r="J16" s="5" t="s">
        <v>37</v>
      </c>
      <c r="K16" s="5" t="s">
        <v>37</v>
      </c>
      <c r="L16" s="5" t="s">
        <v>37</v>
      </c>
      <c r="M16" s="5" t="s">
        <v>37</v>
      </c>
      <c r="N16" s="5" t="s">
        <v>37</v>
      </c>
      <c r="O16" s="6" t="s">
        <v>295</v>
      </c>
      <c r="P16" s="6" t="s">
        <v>351</v>
      </c>
    </row>
  </sheetData>
  <mergeCells count="2">
    <mergeCell ref="A9:E9"/>
    <mergeCell ref="A13:E13"/>
  </mergeCells>
  <conditionalFormatting sqref="C14:C1048576 C7:C8 C10:C12">
    <cfRule type="cellIs" dxfId="350" priority="7" operator="equal">
      <formula>"WIP (see comments)"</formula>
    </cfRule>
    <cfRule type="cellIs" dxfId="349" priority="8" operator="equal">
      <formula>"Removed"</formula>
    </cfRule>
    <cfRule type="cellIs" dxfId="348" priority="9" operator="equal">
      <formula>"Updated"</formula>
    </cfRule>
    <cfRule type="cellIs" dxfId="347" priority="10" operator="equal">
      <formula>"New"</formula>
    </cfRule>
  </conditionalFormatting>
  <conditionalFormatting sqref="A14:XFD1048576 A1:C1 E1:XFD1 A10:XFD12 A2:XFD2 A3:C3 E3:XFD3 A4:XFD8">
    <cfRule type="cellIs" dxfId="346" priority="6" operator="equal">
      <formula>"n/a"</formula>
    </cfRule>
  </conditionalFormatting>
  <conditionalFormatting sqref="F9:XFD9 A9">
    <cfRule type="cellIs" dxfId="345" priority="5" operator="equal">
      <formula>"n/a"</formula>
    </cfRule>
  </conditionalFormatting>
  <conditionalFormatting sqref="F13:XFD13 A13">
    <cfRule type="cellIs" dxfId="344" priority="4" operator="equal">
      <formula>"n/a"</formula>
    </cfRule>
  </conditionalFormatting>
  <conditionalFormatting sqref="D1">
    <cfRule type="cellIs" dxfId="343" priority="2" operator="equal">
      <formula>"n/a"</formula>
    </cfRule>
  </conditionalFormatting>
  <conditionalFormatting sqref="D3">
    <cfRule type="cellIs" dxfId="34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C7:C8 C14:C1048576 C10:C12</xm:sqref>
        </x14:dataValidation>
        <x14:dataValidation type="list" allowBlank="1" showInputMessage="1" showErrorMessage="1">
          <x14:formula1>
            <xm:f>'List Values'!$A$5:$A$27</xm:f>
          </x14:formula1>
          <xm:sqref>E7:E8 E14:E1048576 E10:E12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6" customWidth="1"/>
    <col min="2" max="2" width="12.54296875" style="6" customWidth="1"/>
    <col min="3" max="3" width="16.1796875" style="3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61</v>
      </c>
      <c r="C1" s="32"/>
      <c r="D1" s="29" t="s">
        <v>354</v>
      </c>
    </row>
    <row r="2" spans="1:16" s="30" customFormat="1" ht="18.5" x14ac:dyDescent="0.35">
      <c r="A2" s="28" t="s">
        <v>7</v>
      </c>
      <c r="B2" s="36">
        <v>2</v>
      </c>
      <c r="C2" s="35"/>
      <c r="D2" s="36" t="s">
        <v>330</v>
      </c>
    </row>
    <row r="3" spans="1:16" s="30" customFormat="1" ht="18.5" x14ac:dyDescent="0.35">
      <c r="A3" s="28" t="s">
        <v>44</v>
      </c>
      <c r="B3" s="36" t="s">
        <v>331</v>
      </c>
      <c r="C3" s="35"/>
      <c r="D3" s="36"/>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ht="29" x14ac:dyDescent="0.35">
      <c r="A7" s="6">
        <v>1</v>
      </c>
      <c r="B7" s="6" t="str">
        <f t="shared" ref="B7:B14" si="0">CONCATENATE($B$2, ".", A7)</f>
        <v>2.1</v>
      </c>
      <c r="C7" s="34" t="s">
        <v>45</v>
      </c>
      <c r="D7" s="39" t="s">
        <v>121</v>
      </c>
      <c r="E7" s="6" t="s">
        <v>29</v>
      </c>
      <c r="F7" s="6" t="s">
        <v>37</v>
      </c>
      <c r="G7" s="6" t="s">
        <v>37</v>
      </c>
      <c r="H7" s="6" t="s">
        <v>37</v>
      </c>
      <c r="I7" s="39" t="s">
        <v>10</v>
      </c>
      <c r="J7" s="5" t="s">
        <v>37</v>
      </c>
      <c r="K7" s="5" t="s">
        <v>37</v>
      </c>
      <c r="L7" s="5" t="s">
        <v>37</v>
      </c>
      <c r="M7" s="5" t="s">
        <v>37</v>
      </c>
      <c r="N7" s="5" t="s">
        <v>37</v>
      </c>
      <c r="O7" s="5" t="s">
        <v>37</v>
      </c>
      <c r="P7" s="6" t="s">
        <v>332</v>
      </c>
    </row>
    <row r="8" spans="1:16" x14ac:dyDescent="0.35">
      <c r="A8" s="6">
        <v>2</v>
      </c>
      <c r="B8" s="6" t="str">
        <f t="shared" si="0"/>
        <v>2.2</v>
      </c>
      <c r="C8" s="34" t="s">
        <v>40</v>
      </c>
      <c r="D8" s="39" t="s">
        <v>37</v>
      </c>
      <c r="E8" s="39" t="s">
        <v>49</v>
      </c>
      <c r="F8" s="6" t="s">
        <v>37</v>
      </c>
      <c r="G8" s="6" t="s">
        <v>37</v>
      </c>
      <c r="H8" s="6" t="s">
        <v>37</v>
      </c>
      <c r="I8" s="39" t="s">
        <v>10</v>
      </c>
      <c r="J8" s="5" t="s">
        <v>37</v>
      </c>
      <c r="K8" s="5" t="s">
        <v>37</v>
      </c>
      <c r="L8" s="5" t="s">
        <v>37</v>
      </c>
      <c r="M8" s="5" t="s">
        <v>37</v>
      </c>
      <c r="N8" s="5" t="s">
        <v>37</v>
      </c>
      <c r="O8" s="5" t="s">
        <v>37</v>
      </c>
    </row>
    <row r="9" spans="1:16" ht="43.5" x14ac:dyDescent="0.35">
      <c r="A9" s="6">
        <v>3</v>
      </c>
      <c r="B9" s="6" t="str">
        <f t="shared" si="0"/>
        <v>2.3</v>
      </c>
      <c r="C9" s="34" t="s">
        <v>45</v>
      </c>
      <c r="D9" s="39" t="s">
        <v>333</v>
      </c>
      <c r="E9" s="39" t="s">
        <v>32</v>
      </c>
      <c r="F9" s="6" t="s">
        <v>334</v>
      </c>
      <c r="G9" s="6" t="s">
        <v>37</v>
      </c>
      <c r="H9" s="6" t="s">
        <v>37</v>
      </c>
      <c r="I9" s="39" t="s">
        <v>10</v>
      </c>
      <c r="J9" s="5" t="s">
        <v>66</v>
      </c>
      <c r="K9" s="5" t="s">
        <v>54</v>
      </c>
      <c r="L9" s="5" t="s">
        <v>37</v>
      </c>
      <c r="M9" s="5" t="s">
        <v>37</v>
      </c>
      <c r="N9" s="5" t="s">
        <v>37</v>
      </c>
      <c r="O9" s="5" t="s">
        <v>37</v>
      </c>
      <c r="P9" s="6" t="s">
        <v>335</v>
      </c>
    </row>
    <row r="10" spans="1:16" ht="83.25" customHeight="1" x14ac:dyDescent="0.35">
      <c r="A10" s="6">
        <v>4</v>
      </c>
      <c r="B10" s="6" t="str">
        <f t="shared" si="0"/>
        <v>2.4</v>
      </c>
      <c r="C10" s="34" t="s">
        <v>45</v>
      </c>
      <c r="D10" s="39" t="s">
        <v>336</v>
      </c>
      <c r="E10" s="39" t="s">
        <v>34</v>
      </c>
      <c r="F10" s="6" t="s">
        <v>37</v>
      </c>
      <c r="G10" s="6" t="s">
        <v>37</v>
      </c>
      <c r="H10" s="6" t="s">
        <v>37</v>
      </c>
      <c r="I10" s="6" t="s">
        <v>337</v>
      </c>
      <c r="J10" s="5" t="s">
        <v>37</v>
      </c>
      <c r="K10" s="5" t="s">
        <v>37</v>
      </c>
      <c r="L10" s="5" t="s">
        <v>37</v>
      </c>
      <c r="M10" s="5" t="s">
        <v>37</v>
      </c>
      <c r="N10" s="5" t="s">
        <v>37</v>
      </c>
      <c r="O10" s="5" t="s">
        <v>338</v>
      </c>
      <c r="P10" s="6" t="s">
        <v>339</v>
      </c>
    </row>
    <row r="11" spans="1:16" ht="29" x14ac:dyDescent="0.35">
      <c r="A11" s="6">
        <v>5</v>
      </c>
      <c r="B11" s="6" t="str">
        <f>CONCATENATE($B$2, ".", A11)</f>
        <v>2.5</v>
      </c>
      <c r="C11" s="34" t="s">
        <v>45</v>
      </c>
      <c r="D11" s="39" t="s">
        <v>60</v>
      </c>
      <c r="E11" s="6" t="s">
        <v>43</v>
      </c>
      <c r="F11" s="6" t="s">
        <v>37</v>
      </c>
      <c r="G11" s="6" t="s">
        <v>37</v>
      </c>
      <c r="H11" s="6" t="s">
        <v>37</v>
      </c>
      <c r="I11" s="6" t="s">
        <v>340</v>
      </c>
      <c r="J11" s="6" t="s">
        <v>37</v>
      </c>
      <c r="K11" s="6" t="s">
        <v>37</v>
      </c>
      <c r="L11" s="6" t="s">
        <v>37</v>
      </c>
      <c r="M11" s="6" t="s">
        <v>37</v>
      </c>
      <c r="N11" s="6" t="s">
        <v>37</v>
      </c>
      <c r="O11" s="6" t="s">
        <v>341</v>
      </c>
      <c r="P11" s="6" t="s">
        <v>342</v>
      </c>
    </row>
    <row r="12" spans="1:16" ht="29" x14ac:dyDescent="0.35">
      <c r="A12" s="6">
        <v>6</v>
      </c>
      <c r="B12" s="6" t="str">
        <f t="shared" si="0"/>
        <v>2.6</v>
      </c>
      <c r="C12" s="34" t="s">
        <v>45</v>
      </c>
      <c r="D12" s="39" t="s">
        <v>59</v>
      </c>
      <c r="E12" s="6" t="s">
        <v>43</v>
      </c>
      <c r="F12" s="6" t="s">
        <v>37</v>
      </c>
      <c r="G12" s="6" t="s">
        <v>37</v>
      </c>
      <c r="H12" s="6" t="s">
        <v>37</v>
      </c>
      <c r="I12" s="6" t="s">
        <v>10</v>
      </c>
      <c r="J12" s="6" t="s">
        <v>37</v>
      </c>
      <c r="K12" s="6" t="s">
        <v>37</v>
      </c>
      <c r="L12" s="6" t="s">
        <v>37</v>
      </c>
      <c r="M12" s="6" t="s">
        <v>37</v>
      </c>
      <c r="N12" s="6" t="s">
        <v>37</v>
      </c>
      <c r="O12" s="6" t="s">
        <v>343</v>
      </c>
      <c r="P12" s="6" t="s">
        <v>342</v>
      </c>
    </row>
    <row r="13" spans="1:16" ht="91.5" customHeight="1" x14ac:dyDescent="0.35">
      <c r="A13" s="6">
        <v>7</v>
      </c>
      <c r="B13" s="6" t="str">
        <f t="shared" si="0"/>
        <v>2.7</v>
      </c>
      <c r="C13" s="34" t="s">
        <v>45</v>
      </c>
      <c r="D13" s="39" t="s">
        <v>344</v>
      </c>
      <c r="E13" s="6" t="s">
        <v>43</v>
      </c>
      <c r="F13" s="6" t="s">
        <v>37</v>
      </c>
      <c r="G13" s="6" t="s">
        <v>37</v>
      </c>
      <c r="H13" s="6" t="s">
        <v>37</v>
      </c>
      <c r="I13" s="6" t="s">
        <v>345</v>
      </c>
      <c r="J13" s="6" t="s">
        <v>37</v>
      </c>
      <c r="K13" s="6" t="s">
        <v>37</v>
      </c>
      <c r="L13" s="6" t="s">
        <v>37</v>
      </c>
      <c r="M13" s="6" t="s">
        <v>37</v>
      </c>
      <c r="N13" s="6" t="s">
        <v>37</v>
      </c>
      <c r="O13" s="6" t="s">
        <v>346</v>
      </c>
      <c r="P13" s="6" t="s">
        <v>347</v>
      </c>
    </row>
    <row r="14" spans="1:16" ht="91.5" customHeight="1" x14ac:dyDescent="0.35">
      <c r="A14" s="6">
        <v>8</v>
      </c>
      <c r="B14" s="6" t="str">
        <f t="shared" si="0"/>
        <v>2.8</v>
      </c>
      <c r="C14" s="34" t="s">
        <v>45</v>
      </c>
      <c r="D14" s="39" t="s">
        <v>348</v>
      </c>
      <c r="E14" s="6" t="s">
        <v>43</v>
      </c>
      <c r="F14" s="6" t="s">
        <v>37</v>
      </c>
      <c r="G14" s="6" t="s">
        <v>37</v>
      </c>
      <c r="H14" s="6" t="s">
        <v>37</v>
      </c>
      <c r="I14" s="6" t="s">
        <v>349</v>
      </c>
      <c r="J14" s="6" t="s">
        <v>37</v>
      </c>
      <c r="K14" s="6" t="s">
        <v>37</v>
      </c>
      <c r="L14" s="6" t="s">
        <v>37</v>
      </c>
      <c r="M14" s="6" t="s">
        <v>37</v>
      </c>
      <c r="N14" s="6" t="s">
        <v>37</v>
      </c>
      <c r="O14" s="6" t="s">
        <v>122</v>
      </c>
      <c r="P14" s="6" t="s">
        <v>347</v>
      </c>
    </row>
  </sheetData>
  <conditionalFormatting sqref="C7:C1048576">
    <cfRule type="cellIs" dxfId="341" priority="4" operator="equal">
      <formula>"WIP (see comments)"</formula>
    </cfRule>
    <cfRule type="cellIs" dxfId="340" priority="5" operator="equal">
      <formula>"Removed"</formula>
    </cfRule>
    <cfRule type="cellIs" dxfId="339" priority="6" operator="equal">
      <formula>"Updated"</formula>
    </cfRule>
    <cfRule type="cellIs" dxfId="338" priority="7" operator="equal">
      <formula>"New"</formula>
    </cfRule>
  </conditionalFormatting>
  <conditionalFormatting sqref="A2:XFD1048576 A1:C1 E1:XFD1">
    <cfRule type="cellIs" dxfId="337" priority="3" operator="equal">
      <formula>"n/a"</formula>
    </cfRule>
  </conditionalFormatting>
  <conditionalFormatting sqref="D1">
    <cfRule type="cellIs" dxfId="336"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'C:\Users\hicksi\Documents\Small Business DCO\Field Specs\[Small Business DCO Small Business Form Field Spec v0.1 WIP.xlsx]List Values'!#REF!</xm:f>
          </x14:formula1>
          <xm:sqref>C7:C14 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3"/>
  <sheetViews>
    <sheetView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17.7265625" style="39" customWidth="1"/>
    <col min="8" max="8" width="27.81640625" style="39" customWidth="1"/>
    <col min="9" max="9" width="34.81640625" style="39" customWidth="1"/>
    <col min="10" max="10" width="23.453125" style="39" customWidth="1"/>
    <col min="11" max="11" width="10.7265625" style="39" bestFit="1" customWidth="1"/>
    <col min="12" max="12" width="19.26953125" style="39" bestFit="1"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3" customFormat="1" ht="18.5" x14ac:dyDescent="0.35">
      <c r="A1" s="60" t="s">
        <v>6</v>
      </c>
      <c r="B1" s="61" t="s">
        <v>46</v>
      </c>
      <c r="C1" s="62"/>
      <c r="D1" s="29"/>
    </row>
    <row r="2" spans="1:16" s="63" customFormat="1" ht="18.5" x14ac:dyDescent="0.35">
      <c r="A2" s="60" t="s">
        <v>7</v>
      </c>
      <c r="B2" s="64">
        <v>4</v>
      </c>
      <c r="C2" s="65"/>
      <c r="D2" s="64"/>
    </row>
    <row r="3" spans="1:16" s="63" customFormat="1" ht="18.5" x14ac:dyDescent="0.35">
      <c r="A3" s="60" t="s">
        <v>44</v>
      </c>
      <c r="B3" s="64" t="s">
        <v>389</v>
      </c>
      <c r="C3" s="65"/>
      <c r="D3" s="64" t="s">
        <v>411</v>
      </c>
    </row>
    <row r="4" spans="1:16" s="63" customFormat="1" ht="18.5" x14ac:dyDescent="0.35">
      <c r="A4" s="60" t="s">
        <v>8</v>
      </c>
      <c r="B4" s="63" t="s">
        <v>47</v>
      </c>
      <c r="C4" s="65"/>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x14ac:dyDescent="0.35">
      <c r="A7" s="39">
        <v>1</v>
      </c>
      <c r="B7" s="39" t="str">
        <f t="shared" ref="B7:B11" si="0">CONCATENATE($B$2, ".", A7)</f>
        <v>4.1</v>
      </c>
      <c r="C7" s="47" t="s">
        <v>40</v>
      </c>
      <c r="D7" s="39" t="s">
        <v>124</v>
      </c>
      <c r="E7" s="39" t="s">
        <v>29</v>
      </c>
      <c r="F7" s="39" t="s">
        <v>37</v>
      </c>
      <c r="G7" s="39" t="s">
        <v>37</v>
      </c>
      <c r="H7" s="39" t="s">
        <v>37</v>
      </c>
      <c r="I7" s="39" t="s">
        <v>10</v>
      </c>
      <c r="J7" s="40" t="s">
        <v>37</v>
      </c>
      <c r="K7" s="40" t="s">
        <v>37</v>
      </c>
      <c r="L7" s="40" t="s">
        <v>37</v>
      </c>
      <c r="M7" s="40" t="s">
        <v>37</v>
      </c>
      <c r="N7" s="40" t="s">
        <v>37</v>
      </c>
      <c r="O7" s="40" t="s">
        <v>37</v>
      </c>
      <c r="P7" s="39" t="s">
        <v>332</v>
      </c>
    </row>
    <row r="8" spans="1:16" x14ac:dyDescent="0.35">
      <c r="A8" s="39">
        <v>2</v>
      </c>
      <c r="B8" s="39" t="str">
        <f t="shared" si="0"/>
        <v>4.2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100.5" customHeight="1" x14ac:dyDescent="0.35">
      <c r="A9" s="39">
        <v>3</v>
      </c>
      <c r="B9" s="39" t="str">
        <f t="shared" si="0"/>
        <v>4.3</v>
      </c>
      <c r="C9" s="47" t="s">
        <v>40</v>
      </c>
      <c r="D9" s="39" t="s">
        <v>415</v>
      </c>
      <c r="E9" s="39" t="s">
        <v>123</v>
      </c>
      <c r="F9" s="39" t="s">
        <v>37</v>
      </c>
      <c r="G9" s="39" t="s">
        <v>37</v>
      </c>
      <c r="H9" s="39" t="s">
        <v>37</v>
      </c>
      <c r="I9" s="39" t="s">
        <v>10</v>
      </c>
      <c r="J9" s="40" t="s">
        <v>37</v>
      </c>
      <c r="K9" s="40" t="s">
        <v>37</v>
      </c>
      <c r="L9" s="40" t="s">
        <v>37</v>
      </c>
      <c r="M9" s="40" t="s">
        <v>37</v>
      </c>
      <c r="N9" s="40" t="s">
        <v>37</v>
      </c>
      <c r="O9" s="40" t="s">
        <v>109</v>
      </c>
      <c r="P9" s="39" t="s">
        <v>332</v>
      </c>
    </row>
    <row r="10" spans="1:16" ht="120.75" customHeight="1" x14ac:dyDescent="0.35">
      <c r="A10" s="39">
        <v>4</v>
      </c>
      <c r="B10" s="39" t="str">
        <f t="shared" si="0"/>
        <v>4.4</v>
      </c>
      <c r="C10" s="47" t="s">
        <v>40</v>
      </c>
      <c r="D10" s="39" t="s">
        <v>50</v>
      </c>
      <c r="E10" s="39" t="s">
        <v>33</v>
      </c>
      <c r="F10" s="39" t="s">
        <v>52</v>
      </c>
      <c r="G10" s="39" t="s">
        <v>256</v>
      </c>
      <c r="H10" s="39" t="s">
        <v>53</v>
      </c>
      <c r="I10" s="39" t="s">
        <v>10</v>
      </c>
      <c r="J10" s="40" t="s">
        <v>408</v>
      </c>
      <c r="K10" s="40" t="s">
        <v>54</v>
      </c>
      <c r="L10" s="40" t="s">
        <v>57</v>
      </c>
      <c r="M10" s="40" t="s">
        <v>125</v>
      </c>
      <c r="N10" s="40" t="s">
        <v>57</v>
      </c>
      <c r="O10" s="40" t="s">
        <v>37</v>
      </c>
    </row>
    <row r="11" spans="1:16" ht="149.25" customHeight="1" x14ac:dyDescent="0.35">
      <c r="A11" s="39">
        <v>5</v>
      </c>
      <c r="B11" s="39" t="str">
        <f t="shared" si="0"/>
        <v>4.5</v>
      </c>
      <c r="C11" s="47" t="s">
        <v>40</v>
      </c>
      <c r="D11" s="39" t="s">
        <v>126</v>
      </c>
      <c r="E11" s="39" t="s">
        <v>33</v>
      </c>
      <c r="F11" s="39" t="s">
        <v>51</v>
      </c>
      <c r="G11" s="39" t="s">
        <v>127</v>
      </c>
      <c r="H11" s="39" t="s">
        <v>55</v>
      </c>
      <c r="I11" s="39" t="s">
        <v>10</v>
      </c>
      <c r="J11" s="40" t="s">
        <v>409</v>
      </c>
      <c r="K11" s="39" t="s">
        <v>54</v>
      </c>
      <c r="L11" s="39" t="s">
        <v>58</v>
      </c>
      <c r="M11" s="39" t="s">
        <v>56</v>
      </c>
      <c r="N11" s="39" t="s">
        <v>58</v>
      </c>
      <c r="O11" s="40" t="s">
        <v>37</v>
      </c>
    </row>
    <row r="12" spans="1:16" ht="156.75" customHeight="1" x14ac:dyDescent="0.35">
      <c r="A12" s="39">
        <v>6</v>
      </c>
      <c r="B12" s="39" t="str">
        <f t="shared" ref="B12:B13" si="1">CONCATENATE($B$2, ".", A12)</f>
        <v>4.6</v>
      </c>
      <c r="C12" s="47" t="s">
        <v>38</v>
      </c>
      <c r="D12" s="39" t="s">
        <v>60</v>
      </c>
      <c r="E12" s="39" t="s">
        <v>43</v>
      </c>
      <c r="F12" s="39" t="s">
        <v>37</v>
      </c>
      <c r="G12" s="39" t="s">
        <v>37</v>
      </c>
      <c r="H12" s="39" t="s">
        <v>37</v>
      </c>
      <c r="I12" s="39" t="s">
        <v>10</v>
      </c>
      <c r="J12" s="39" t="s">
        <v>37</v>
      </c>
      <c r="K12" s="39" t="s">
        <v>37</v>
      </c>
      <c r="L12" s="39" t="s">
        <v>37</v>
      </c>
      <c r="M12" s="39" t="s">
        <v>37</v>
      </c>
      <c r="N12" s="39" t="s">
        <v>37</v>
      </c>
      <c r="O12" s="39" t="s">
        <v>410</v>
      </c>
    </row>
    <row r="13" spans="1:16" ht="30.5" customHeight="1" x14ac:dyDescent="0.35">
      <c r="A13" s="39">
        <v>7</v>
      </c>
      <c r="B13" s="39" t="str">
        <f t="shared" si="1"/>
        <v>4.7</v>
      </c>
      <c r="C13" s="47" t="s">
        <v>45</v>
      </c>
      <c r="D13" s="39" t="s">
        <v>59</v>
      </c>
      <c r="E13" s="39" t="s">
        <v>43</v>
      </c>
      <c r="F13" s="39" t="s">
        <v>37</v>
      </c>
      <c r="G13" s="39" t="s">
        <v>37</v>
      </c>
      <c r="H13" s="39" t="s">
        <v>37</v>
      </c>
      <c r="I13" s="39" t="s">
        <v>10</v>
      </c>
      <c r="J13" s="39" t="s">
        <v>37</v>
      </c>
      <c r="K13" s="39" t="s">
        <v>37</v>
      </c>
      <c r="L13" s="39" t="s">
        <v>37</v>
      </c>
      <c r="M13" s="39" t="s">
        <v>37</v>
      </c>
      <c r="N13" s="39" t="s">
        <v>37</v>
      </c>
      <c r="O13" s="39" t="s">
        <v>407</v>
      </c>
    </row>
  </sheetData>
  <conditionalFormatting sqref="C7:C1048576">
    <cfRule type="cellIs" dxfId="335" priority="18" operator="equal">
      <formula>"WIP (see comments)"</formula>
    </cfRule>
    <cfRule type="cellIs" dxfId="334" priority="19" operator="equal">
      <formula>"Removed"</formula>
    </cfRule>
    <cfRule type="cellIs" dxfId="333" priority="20" operator="equal">
      <formula>"Updated"</formula>
    </cfRule>
    <cfRule type="cellIs" dxfId="332" priority="21" operator="equal">
      <formula>"New"</formula>
    </cfRule>
  </conditionalFormatting>
  <conditionalFormatting sqref="A2:XFD9 Q10:XFD10 A11:N11 P11:XFD11 A1:C1 E1:XFD1 C9:C12 A12:XFD1048576">
    <cfRule type="cellIs" dxfId="331" priority="9" operator="equal">
      <formula>"n/a"</formula>
    </cfRule>
  </conditionalFormatting>
  <conditionalFormatting sqref="A10:B10 D10:P10">
    <cfRule type="cellIs" dxfId="330" priority="4" operator="equal">
      <formula>"n/a"</formula>
    </cfRule>
  </conditionalFormatting>
  <conditionalFormatting sqref="O11">
    <cfRule type="cellIs" dxfId="329" priority="3" operator="equal">
      <formula>"n/a"</formula>
    </cfRule>
  </conditionalFormatting>
  <conditionalFormatting sqref="D1">
    <cfRule type="cellIs" dxfId="328"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247</v>
      </c>
      <c r="C1" s="32"/>
      <c r="D1" s="29"/>
      <c r="H1" s="35"/>
    </row>
    <row r="2" spans="1:16" s="30" customFormat="1" ht="18.5" x14ac:dyDescent="0.35">
      <c r="A2" s="28" t="s">
        <v>7</v>
      </c>
      <c r="B2" s="36" t="s">
        <v>300</v>
      </c>
      <c r="C2" s="35"/>
      <c r="D2" s="36"/>
      <c r="H2" s="35"/>
    </row>
    <row r="3" spans="1:16" s="30" customFormat="1" ht="18.5" x14ac:dyDescent="0.35">
      <c r="A3" s="28" t="s">
        <v>44</v>
      </c>
      <c r="B3" s="36" t="s">
        <v>390</v>
      </c>
      <c r="C3" s="35"/>
      <c r="D3" s="36" t="s">
        <v>74</v>
      </c>
      <c r="H3" s="35"/>
    </row>
    <row r="4" spans="1:16" s="30" customFormat="1" ht="18.5" x14ac:dyDescent="0.35">
      <c r="A4" s="28" t="s">
        <v>8</v>
      </c>
      <c r="B4" s="30" t="s">
        <v>412</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2" si="0">CONCATENATE($B$2, ".", A7)</f>
        <v>4a.1</v>
      </c>
      <c r="C7" s="71" t="s">
        <v>40</v>
      </c>
      <c r="D7" s="40" t="s">
        <v>248</v>
      </c>
      <c r="E7" s="40" t="s">
        <v>151</v>
      </c>
      <c r="F7" s="5" t="s">
        <v>37</v>
      </c>
      <c r="G7" s="5" t="s">
        <v>37</v>
      </c>
      <c r="H7" s="71" t="s">
        <v>37</v>
      </c>
      <c r="I7" s="40" t="s">
        <v>10</v>
      </c>
      <c r="J7" s="5" t="s">
        <v>37</v>
      </c>
      <c r="K7" s="5" t="s">
        <v>37</v>
      </c>
      <c r="L7" s="5" t="s">
        <v>37</v>
      </c>
      <c r="M7" s="5" t="s">
        <v>37</v>
      </c>
      <c r="N7" s="5" t="s">
        <v>37</v>
      </c>
    </row>
    <row r="8" spans="1:16" ht="105.75" customHeight="1" x14ac:dyDescent="0.35">
      <c r="A8" s="5">
        <v>2</v>
      </c>
      <c r="B8" s="5" t="str">
        <f t="shared" si="0"/>
        <v>4a.2</v>
      </c>
      <c r="C8" s="71" t="s">
        <v>40</v>
      </c>
      <c r="D8" s="45" t="s">
        <v>350</v>
      </c>
      <c r="E8" s="40" t="s">
        <v>34</v>
      </c>
      <c r="F8" s="5" t="s">
        <v>37</v>
      </c>
      <c r="G8" s="5" t="s">
        <v>37</v>
      </c>
      <c r="H8" s="71" t="s">
        <v>37</v>
      </c>
      <c r="I8" s="40" t="s">
        <v>10</v>
      </c>
      <c r="J8" s="5" t="s">
        <v>37</v>
      </c>
      <c r="K8" s="5" t="s">
        <v>37</v>
      </c>
      <c r="L8" s="5" t="s">
        <v>37</v>
      </c>
      <c r="M8" s="5" t="s">
        <v>37</v>
      </c>
      <c r="N8" s="5" t="s">
        <v>37</v>
      </c>
    </row>
    <row r="9" spans="1:16" x14ac:dyDescent="0.35">
      <c r="A9" s="5">
        <v>3</v>
      </c>
      <c r="B9" s="5" t="str">
        <f t="shared" si="0"/>
        <v>4a.3</v>
      </c>
      <c r="C9" s="74" t="s">
        <v>40</v>
      </c>
      <c r="D9" s="45" t="s">
        <v>227</v>
      </c>
      <c r="E9" s="40" t="s">
        <v>33</v>
      </c>
      <c r="F9" s="5" t="s">
        <v>37</v>
      </c>
      <c r="G9" s="5" t="s">
        <v>37</v>
      </c>
      <c r="H9" s="71" t="s">
        <v>37</v>
      </c>
      <c r="I9" s="40" t="s">
        <v>10</v>
      </c>
      <c r="J9" s="5" t="s">
        <v>37</v>
      </c>
      <c r="K9" s="5" t="s">
        <v>37</v>
      </c>
      <c r="L9" s="5" t="s">
        <v>37</v>
      </c>
      <c r="M9" s="5" t="s">
        <v>37</v>
      </c>
      <c r="N9" s="5" t="s">
        <v>37</v>
      </c>
    </row>
    <row r="10" spans="1:16" x14ac:dyDescent="0.35">
      <c r="A10" s="5">
        <v>4</v>
      </c>
      <c r="B10" s="5" t="str">
        <f>CONCATENATE($B$2, ".", A10)</f>
        <v>4a.4</v>
      </c>
      <c r="C10" s="74" t="s">
        <v>40</v>
      </c>
      <c r="D10" s="5" t="s">
        <v>279</v>
      </c>
      <c r="E10" s="5" t="s">
        <v>43</v>
      </c>
      <c r="F10" s="5" t="s">
        <v>37</v>
      </c>
      <c r="G10" s="5" t="s">
        <v>37</v>
      </c>
      <c r="H10" s="71" t="s">
        <v>37</v>
      </c>
      <c r="I10" s="40" t="s">
        <v>10</v>
      </c>
      <c r="J10" s="5" t="s">
        <v>37</v>
      </c>
      <c r="K10" s="5" t="s">
        <v>37</v>
      </c>
      <c r="L10" s="5" t="s">
        <v>37</v>
      </c>
      <c r="M10" s="5" t="s">
        <v>37</v>
      </c>
      <c r="N10" s="5" t="s">
        <v>37</v>
      </c>
      <c r="O10" s="40" t="s">
        <v>231</v>
      </c>
    </row>
    <row r="11" spans="1:16" ht="29" x14ac:dyDescent="0.35">
      <c r="A11" s="5">
        <v>5</v>
      </c>
      <c r="B11" s="5" t="str">
        <f t="shared" si="0"/>
        <v>4a.5</v>
      </c>
      <c r="C11" s="74" t="s">
        <v>38</v>
      </c>
      <c r="D11" s="5" t="s">
        <v>228</v>
      </c>
      <c r="E11" s="5" t="s">
        <v>43</v>
      </c>
      <c r="F11" s="5" t="s">
        <v>37</v>
      </c>
      <c r="G11" s="5" t="s">
        <v>37</v>
      </c>
      <c r="H11" s="71" t="s">
        <v>37</v>
      </c>
      <c r="I11" s="40" t="s">
        <v>10</v>
      </c>
      <c r="J11" s="5" t="s">
        <v>37</v>
      </c>
      <c r="K11" s="5" t="s">
        <v>37</v>
      </c>
      <c r="L11" s="5" t="s">
        <v>37</v>
      </c>
      <c r="M11" s="5" t="s">
        <v>37</v>
      </c>
      <c r="N11" s="5" t="s">
        <v>37</v>
      </c>
      <c r="O11" s="39" t="s">
        <v>391</v>
      </c>
    </row>
    <row r="12" spans="1:16" s="39" customFormat="1" ht="29" x14ac:dyDescent="0.35">
      <c r="A12" s="39">
        <v>6</v>
      </c>
      <c r="B12" s="39" t="str">
        <f t="shared" si="0"/>
        <v>4a.6</v>
      </c>
      <c r="C12" s="74" t="s">
        <v>38</v>
      </c>
      <c r="D12" s="39" t="s">
        <v>59</v>
      </c>
      <c r="E12" s="39" t="s">
        <v>43</v>
      </c>
      <c r="F12" s="39" t="s">
        <v>37</v>
      </c>
      <c r="G12" s="39" t="s">
        <v>37</v>
      </c>
      <c r="H12" s="47" t="s">
        <v>37</v>
      </c>
      <c r="I12" s="39" t="s">
        <v>10</v>
      </c>
      <c r="J12" s="39" t="s">
        <v>37</v>
      </c>
      <c r="K12" s="39" t="s">
        <v>37</v>
      </c>
      <c r="L12" s="39" t="s">
        <v>37</v>
      </c>
      <c r="M12" s="39" t="s">
        <v>37</v>
      </c>
      <c r="N12" s="39" t="s">
        <v>37</v>
      </c>
      <c r="O12" s="39" t="s">
        <v>392</v>
      </c>
    </row>
  </sheetData>
  <autoFilter ref="A6:P6"/>
  <conditionalFormatting sqref="C7:C1048576">
    <cfRule type="cellIs" dxfId="327" priority="21" operator="equal">
      <formula>"WIP (see comments)"</formula>
    </cfRule>
    <cfRule type="cellIs" dxfId="326" priority="22" operator="equal">
      <formula>"Removed"</formula>
    </cfRule>
    <cfRule type="cellIs" dxfId="325" priority="23" operator="equal">
      <formula>"Updated"</formula>
    </cfRule>
    <cfRule type="cellIs" dxfId="324" priority="24" operator="equal">
      <formula>"New"</formula>
    </cfRule>
  </conditionalFormatting>
  <conditionalFormatting sqref="A1:XFD6 A13:XFD1048576 C8:C12">
    <cfRule type="cellIs" dxfId="323" priority="20" operator="equal">
      <formula>"n/a"</formula>
    </cfRule>
  </conditionalFormatting>
  <conditionalFormatting sqref="D8:D9">
    <cfRule type="cellIs" dxfId="322" priority="19" operator="equal">
      <formula>"-"</formula>
    </cfRule>
  </conditionalFormatting>
  <conditionalFormatting sqref="A8:B9 D8:XFD9">
    <cfRule type="cellIs" dxfId="321" priority="18" operator="equal">
      <formula>"n/a"</formula>
    </cfRule>
  </conditionalFormatting>
  <conditionalFormatting sqref="A7:XFD7">
    <cfRule type="cellIs" dxfId="320" priority="13" operator="equal">
      <formula>"n/a"</formula>
    </cfRule>
  </conditionalFormatting>
  <conditionalFormatting sqref="A11:B11 D11:N11 P11:XFD11">
    <cfRule type="cellIs" dxfId="319" priority="12" operator="equal">
      <formula>"n/a"</formula>
    </cfRule>
  </conditionalFormatting>
  <conditionalFormatting sqref="A10:B10 D10:XFD10">
    <cfRule type="cellIs" dxfId="318" priority="11" operator="equal">
      <formula>"n/a"</formula>
    </cfRule>
  </conditionalFormatting>
  <conditionalFormatting sqref="A12:B12 D12:XFD12">
    <cfRule type="cellIs" dxfId="317" priority="2" operator="equal">
      <formula>"n/a"</formula>
    </cfRule>
  </conditionalFormatting>
  <conditionalFormatting sqref="O11">
    <cfRule type="cellIs" dxfId="316" priority="1" operator="equal">
      <formula>"n/a"</formula>
    </cfRule>
  </conditionalFormatting>
  <dataValidations count="3">
    <dataValidation type="list" allowBlank="1" showInputMessage="1" showErrorMessage="1" sqref="C13:C1048576">
      <formula1>$B$5:$B$12</formula1>
    </dataValidation>
    <dataValidation type="list" allowBlank="1" showInputMessage="1" showErrorMessage="1" sqref="E10 E12:E1048576">
      <formula1>$A$5:$A$26</formula1>
    </dataValidation>
    <dataValidation type="list" allowBlank="1" showInputMessage="1" showErrorMessage="1" sqref="E11">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Values'!$A$5:$A$27</xm:f>
          </x14:formula1>
          <xm:sqref>E7:E9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H7" activePane="bottomRight" state="frozen"/>
      <selection pane="topRight" activeCell="E1" sqref="E1"/>
      <selection pane="bottomLeft" activeCell="A7" sqref="A7"/>
      <selection pane="bottomRight" activeCell="I15" sqref="I15"/>
    </sheetView>
  </sheetViews>
  <sheetFormatPr defaultColWidth="9.1796875" defaultRowHeight="14.5" x14ac:dyDescent="0.35"/>
  <cols>
    <col min="1" max="1" width="14.7265625" style="39" customWidth="1"/>
    <col min="2" max="2" width="12.54296875" style="39" customWidth="1"/>
    <col min="3" max="3" width="13" style="47" customWidth="1"/>
    <col min="4" max="4" width="45.1796875" style="39" customWidth="1"/>
    <col min="5" max="5" width="28.7265625" style="39" customWidth="1"/>
    <col min="6" max="6" width="17" style="39" customWidth="1"/>
    <col min="7" max="7" width="29.26953125" style="39" customWidth="1"/>
    <col min="8" max="8" width="27.81640625" style="39" customWidth="1"/>
    <col min="9" max="9" width="34.81640625" style="39" customWidth="1"/>
    <col min="10" max="10" width="28.1796875" style="39" customWidth="1"/>
    <col min="11" max="11" width="10.7265625" style="39" bestFit="1" customWidth="1"/>
    <col min="12" max="12" width="23" style="39" customWidth="1"/>
    <col min="13" max="13" width="29" style="39" customWidth="1"/>
    <col min="14" max="14" width="18.7265625" style="39" bestFit="1" customWidth="1"/>
    <col min="15" max="15" width="48.453125" style="39" customWidth="1"/>
    <col min="16" max="16" width="41.81640625" style="39" customWidth="1"/>
    <col min="17" max="16384" width="9.1796875" style="39"/>
  </cols>
  <sheetData>
    <row r="1" spans="1:16" s="63" customFormat="1" ht="18.5" x14ac:dyDescent="0.35">
      <c r="A1" s="60" t="s">
        <v>6</v>
      </c>
      <c r="B1" s="61" t="s">
        <v>65</v>
      </c>
      <c r="C1" s="62"/>
      <c r="D1" s="29"/>
    </row>
    <row r="2" spans="1:16" s="63" customFormat="1" ht="18.5" x14ac:dyDescent="0.35">
      <c r="A2" s="60" t="s">
        <v>7</v>
      </c>
      <c r="B2" s="64">
        <v>5</v>
      </c>
      <c r="C2" s="65"/>
      <c r="D2" s="64"/>
    </row>
    <row r="3" spans="1:16" s="63" customFormat="1" ht="18.5" x14ac:dyDescent="0.35">
      <c r="A3" s="60" t="s">
        <v>44</v>
      </c>
      <c r="B3" s="64" t="s">
        <v>376</v>
      </c>
      <c r="C3" s="65"/>
      <c r="D3" s="64" t="s">
        <v>368</v>
      </c>
    </row>
    <row r="4" spans="1:16" s="63" customFormat="1" ht="18.5" x14ac:dyDescent="0.35">
      <c r="A4" s="60" t="s">
        <v>8</v>
      </c>
      <c r="B4" s="63" t="s">
        <v>47</v>
      </c>
      <c r="C4" s="65"/>
    </row>
    <row r="5" spans="1:16" s="66" customFormat="1" x14ac:dyDescent="0.35">
      <c r="C5" s="67"/>
    </row>
    <row r="6" spans="1:16" s="68" customFormat="1" ht="15" thickBot="1" x14ac:dyDescent="0.4">
      <c r="A6" s="68" t="s">
        <v>11</v>
      </c>
      <c r="B6" s="68" t="s">
        <v>12</v>
      </c>
      <c r="C6" s="69" t="s">
        <v>26</v>
      </c>
      <c r="D6" s="68" t="s">
        <v>25</v>
      </c>
      <c r="E6" s="68" t="s">
        <v>13</v>
      </c>
      <c r="F6" s="68" t="s">
        <v>14</v>
      </c>
      <c r="G6" s="68" t="s">
        <v>15</v>
      </c>
      <c r="H6" s="68" t="s">
        <v>16</v>
      </c>
      <c r="I6" s="68" t="s">
        <v>17</v>
      </c>
      <c r="J6" s="68" t="s">
        <v>18</v>
      </c>
      <c r="K6" s="68" t="s">
        <v>19</v>
      </c>
      <c r="L6" s="68" t="s">
        <v>20</v>
      </c>
      <c r="M6" s="68" t="s">
        <v>21</v>
      </c>
      <c r="N6" s="68" t="s">
        <v>22</v>
      </c>
      <c r="O6" s="68" t="s">
        <v>23</v>
      </c>
      <c r="P6" s="68" t="s">
        <v>24</v>
      </c>
    </row>
    <row r="7" spans="1:16" ht="29" x14ac:dyDescent="0.35">
      <c r="A7" s="39">
        <v>1</v>
      </c>
      <c r="B7" s="39" t="str">
        <f>CONCATENATE($B$2, ".", A7)</f>
        <v>5.1</v>
      </c>
      <c r="C7" s="47" t="s">
        <v>45</v>
      </c>
      <c r="D7" s="39" t="s">
        <v>301</v>
      </c>
      <c r="E7" s="39" t="s">
        <v>29</v>
      </c>
      <c r="F7" s="39" t="s">
        <v>37</v>
      </c>
      <c r="G7" s="39" t="s">
        <v>37</v>
      </c>
      <c r="H7" s="39" t="s">
        <v>37</v>
      </c>
      <c r="I7" s="39" t="s">
        <v>10</v>
      </c>
      <c r="J7" s="40" t="s">
        <v>37</v>
      </c>
      <c r="K7" s="40" t="s">
        <v>37</v>
      </c>
      <c r="L7" s="40" t="s">
        <v>37</v>
      </c>
      <c r="M7" s="40" t="s">
        <v>37</v>
      </c>
      <c r="N7" s="40" t="s">
        <v>37</v>
      </c>
      <c r="O7" s="40" t="s">
        <v>37</v>
      </c>
      <c r="P7" s="39" t="s">
        <v>324</v>
      </c>
    </row>
    <row r="8" spans="1:16" x14ac:dyDescent="0.35">
      <c r="A8" s="39">
        <v>2</v>
      </c>
      <c r="B8" s="39" t="str">
        <f t="shared" ref="B8:B17" si="0">CONCATENATE($B$2, ".", A8)</f>
        <v>5.2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ht="84.75" customHeight="1" x14ac:dyDescent="0.35">
      <c r="A9" s="39">
        <v>3</v>
      </c>
      <c r="B9" s="39" t="str">
        <f t="shared" si="0"/>
        <v>5.3</v>
      </c>
      <c r="C9" s="47" t="s">
        <v>45</v>
      </c>
      <c r="D9" s="39" t="s">
        <v>352</v>
      </c>
      <c r="E9" s="39" t="s">
        <v>34</v>
      </c>
      <c r="F9" s="39" t="s">
        <v>37</v>
      </c>
      <c r="G9" s="39" t="s">
        <v>37</v>
      </c>
      <c r="H9" s="39" t="s">
        <v>37</v>
      </c>
      <c r="I9" s="39" t="s">
        <v>10</v>
      </c>
      <c r="J9" s="40" t="s">
        <v>37</v>
      </c>
      <c r="K9" s="40" t="s">
        <v>37</v>
      </c>
      <c r="L9" s="40" t="s">
        <v>37</v>
      </c>
      <c r="M9" s="40" t="s">
        <v>37</v>
      </c>
      <c r="N9" s="40" t="s">
        <v>37</v>
      </c>
      <c r="O9" s="40" t="s">
        <v>37</v>
      </c>
      <c r="P9" s="39" t="s">
        <v>324</v>
      </c>
    </row>
    <row r="10" spans="1:16" ht="53.25" customHeight="1" x14ac:dyDescent="0.35">
      <c r="A10" s="39">
        <v>4</v>
      </c>
      <c r="B10" s="39" t="str">
        <f t="shared" si="0"/>
        <v>5.4</v>
      </c>
      <c r="C10" s="47" t="s">
        <v>40</v>
      </c>
      <c r="D10" s="46" t="s">
        <v>316</v>
      </c>
      <c r="E10" s="39" t="s">
        <v>34</v>
      </c>
      <c r="F10" s="39" t="s">
        <v>37</v>
      </c>
      <c r="G10" s="39" t="s">
        <v>147</v>
      </c>
      <c r="H10" s="39" t="s">
        <v>37</v>
      </c>
      <c r="I10" s="39" t="s">
        <v>10</v>
      </c>
      <c r="J10" s="40" t="s">
        <v>37</v>
      </c>
      <c r="K10" s="40" t="s">
        <v>37</v>
      </c>
      <c r="L10" s="40" t="s">
        <v>37</v>
      </c>
      <c r="M10" s="40" t="s">
        <v>37</v>
      </c>
      <c r="N10" s="40" t="s">
        <v>37</v>
      </c>
      <c r="O10" s="40" t="s">
        <v>37</v>
      </c>
    </row>
    <row r="11" spans="1:16" ht="43.5" x14ac:dyDescent="0.35">
      <c r="A11" s="39">
        <v>5</v>
      </c>
      <c r="B11" s="39" t="str">
        <f t="shared" si="0"/>
        <v>5.5</v>
      </c>
      <c r="C11" s="47" t="s">
        <v>38</v>
      </c>
      <c r="D11" s="46" t="s">
        <v>378</v>
      </c>
      <c r="E11" s="39" t="s">
        <v>34</v>
      </c>
      <c r="F11" s="39" t="s">
        <v>37</v>
      </c>
      <c r="G11" s="39" t="s">
        <v>377</v>
      </c>
      <c r="H11" s="39" t="s">
        <v>37</v>
      </c>
      <c r="I11" s="39" t="s">
        <v>10</v>
      </c>
      <c r="J11" s="40" t="s">
        <v>37</v>
      </c>
      <c r="K11" s="40" t="s">
        <v>37</v>
      </c>
      <c r="L11" s="40" t="s">
        <v>37</v>
      </c>
      <c r="M11" s="40" t="s">
        <v>37</v>
      </c>
      <c r="N11" s="40" t="s">
        <v>37</v>
      </c>
      <c r="O11" s="40" t="s">
        <v>37</v>
      </c>
      <c r="P11" s="39" t="s">
        <v>383</v>
      </c>
    </row>
    <row r="12" spans="1:16" ht="29" x14ac:dyDescent="0.35">
      <c r="A12" s="39">
        <v>6</v>
      </c>
      <c r="B12" s="39" t="str">
        <f t="shared" si="0"/>
        <v>5.6</v>
      </c>
      <c r="C12" s="47" t="s">
        <v>40</v>
      </c>
      <c r="D12" s="46" t="s">
        <v>317</v>
      </c>
      <c r="E12" s="39" t="s">
        <v>34</v>
      </c>
      <c r="F12" s="39" t="s">
        <v>37</v>
      </c>
      <c r="G12" s="39" t="s">
        <v>145</v>
      </c>
      <c r="H12" s="39" t="s">
        <v>37</v>
      </c>
      <c r="I12" s="39" t="s">
        <v>10</v>
      </c>
      <c r="J12" s="40" t="s">
        <v>37</v>
      </c>
      <c r="K12" s="40" t="s">
        <v>37</v>
      </c>
      <c r="L12" s="40" t="s">
        <v>37</v>
      </c>
      <c r="M12" s="40" t="s">
        <v>37</v>
      </c>
      <c r="N12" s="40" t="s">
        <v>37</v>
      </c>
      <c r="O12" s="40" t="s">
        <v>37</v>
      </c>
    </row>
    <row r="13" spans="1:16" ht="95.25" customHeight="1" x14ac:dyDescent="0.35">
      <c r="A13" s="39">
        <v>7</v>
      </c>
      <c r="B13" s="39" t="str">
        <f t="shared" si="0"/>
        <v>5.7</v>
      </c>
      <c r="C13" s="47" t="s">
        <v>41</v>
      </c>
      <c r="D13" s="46" t="s">
        <v>318</v>
      </c>
      <c r="E13" s="39" t="s">
        <v>34</v>
      </c>
      <c r="F13" s="39" t="s">
        <v>37</v>
      </c>
      <c r="G13" s="39" t="s">
        <v>146</v>
      </c>
      <c r="H13" s="39" t="s">
        <v>37</v>
      </c>
      <c r="I13" s="39" t="s">
        <v>10</v>
      </c>
      <c r="J13" s="40" t="s">
        <v>37</v>
      </c>
      <c r="K13" s="40" t="s">
        <v>37</v>
      </c>
      <c r="L13" s="40" t="s">
        <v>37</v>
      </c>
      <c r="M13" s="40" t="s">
        <v>37</v>
      </c>
      <c r="N13" s="40" t="s">
        <v>37</v>
      </c>
      <c r="O13" s="40" t="s">
        <v>37</v>
      </c>
      <c r="P13" s="39" t="s">
        <v>379</v>
      </c>
    </row>
    <row r="14" spans="1:16" ht="95.25" customHeight="1" x14ac:dyDescent="0.35">
      <c r="A14" s="39">
        <v>8</v>
      </c>
      <c r="B14" s="39" t="str">
        <f t="shared" si="0"/>
        <v>5.8</v>
      </c>
      <c r="C14" s="47" t="s">
        <v>40</v>
      </c>
      <c r="D14" s="46" t="s">
        <v>319</v>
      </c>
      <c r="E14" s="39" t="s">
        <v>34</v>
      </c>
      <c r="F14" s="39" t="s">
        <v>37</v>
      </c>
      <c r="G14" s="39" t="s">
        <v>353</v>
      </c>
      <c r="H14" s="41" t="s">
        <v>37</v>
      </c>
      <c r="I14" s="39" t="s">
        <v>10</v>
      </c>
      <c r="J14" s="39" t="s">
        <v>37</v>
      </c>
      <c r="K14" s="39" t="s">
        <v>37</v>
      </c>
      <c r="L14" s="39" t="s">
        <v>37</v>
      </c>
      <c r="M14" s="39" t="s">
        <v>37</v>
      </c>
      <c r="N14" s="39" t="s">
        <v>37</v>
      </c>
      <c r="O14" s="40" t="s">
        <v>37</v>
      </c>
    </row>
    <row r="15" spans="1:16" ht="142.5" customHeight="1" x14ac:dyDescent="0.35">
      <c r="A15" s="39">
        <v>9</v>
      </c>
      <c r="B15" s="39" t="str">
        <f t="shared" si="0"/>
        <v>5.9</v>
      </c>
      <c r="C15" s="47" t="s">
        <v>45</v>
      </c>
      <c r="D15" s="39" t="s">
        <v>144</v>
      </c>
      <c r="E15" s="39" t="s">
        <v>30</v>
      </c>
      <c r="F15" s="39" t="s">
        <v>64</v>
      </c>
      <c r="G15" s="39" t="s">
        <v>37</v>
      </c>
      <c r="H15" s="39" t="s">
        <v>37</v>
      </c>
      <c r="I15" s="39" t="s">
        <v>10</v>
      </c>
      <c r="J15" s="40" t="s">
        <v>110</v>
      </c>
      <c r="K15" s="40" t="s">
        <v>54</v>
      </c>
      <c r="L15" s="40" t="s">
        <v>394</v>
      </c>
      <c r="M15" s="40" t="s">
        <v>37</v>
      </c>
      <c r="N15" s="40" t="s">
        <v>37</v>
      </c>
      <c r="O15" s="40" t="s">
        <v>37</v>
      </c>
      <c r="P15" s="39" t="s">
        <v>380</v>
      </c>
    </row>
    <row r="16" spans="1:16" x14ac:dyDescent="0.35">
      <c r="A16" s="39">
        <v>10</v>
      </c>
      <c r="B16" s="39" t="str">
        <f>CONCATENATE($B$2, ".", A16)</f>
        <v>5.10</v>
      </c>
      <c r="C16" s="47" t="s">
        <v>38</v>
      </c>
      <c r="D16" s="39" t="s">
        <v>60</v>
      </c>
      <c r="E16" s="39" t="s">
        <v>43</v>
      </c>
      <c r="F16" s="39" t="s">
        <v>37</v>
      </c>
      <c r="G16" s="39" t="s">
        <v>37</v>
      </c>
      <c r="H16" s="39" t="s">
        <v>37</v>
      </c>
      <c r="I16" s="39" t="s">
        <v>10</v>
      </c>
      <c r="J16" s="39" t="s">
        <v>37</v>
      </c>
      <c r="K16" s="39" t="s">
        <v>37</v>
      </c>
      <c r="L16" s="39" t="s">
        <v>37</v>
      </c>
      <c r="M16" s="39" t="s">
        <v>37</v>
      </c>
      <c r="N16" s="39" t="s">
        <v>37</v>
      </c>
      <c r="O16" s="39" t="s">
        <v>381</v>
      </c>
    </row>
    <row r="17" spans="1:15" ht="29" x14ac:dyDescent="0.35">
      <c r="A17" s="39">
        <v>11</v>
      </c>
      <c r="B17" s="39" t="str">
        <f t="shared" si="0"/>
        <v>5.11</v>
      </c>
      <c r="C17" s="47" t="s">
        <v>38</v>
      </c>
      <c r="D17" s="39" t="s">
        <v>59</v>
      </c>
      <c r="E17" s="39" t="s">
        <v>43</v>
      </c>
      <c r="F17" s="39" t="s">
        <v>37</v>
      </c>
      <c r="G17" s="39" t="s">
        <v>37</v>
      </c>
      <c r="H17" s="39" t="s">
        <v>37</v>
      </c>
      <c r="I17" s="39" t="s">
        <v>10</v>
      </c>
      <c r="J17" s="39" t="s">
        <v>37</v>
      </c>
      <c r="K17" s="39" t="s">
        <v>37</v>
      </c>
      <c r="L17" s="39" t="s">
        <v>37</v>
      </c>
      <c r="M17" s="39" t="s">
        <v>37</v>
      </c>
      <c r="N17" s="39" t="s">
        <v>37</v>
      </c>
      <c r="O17" s="39" t="s">
        <v>393</v>
      </c>
    </row>
  </sheetData>
  <conditionalFormatting sqref="C18:C1048576 C7:C14">
    <cfRule type="cellIs" dxfId="315" priority="50" operator="equal">
      <formula>"WIP (see comments)"</formula>
    </cfRule>
    <cfRule type="cellIs" dxfId="314" priority="51" operator="equal">
      <formula>"Removed"</formula>
    </cfRule>
    <cfRule type="cellIs" dxfId="313" priority="52" operator="equal">
      <formula>"Updated"</formula>
    </cfRule>
    <cfRule type="cellIs" dxfId="312" priority="53" operator="equal">
      <formula>"New"</formula>
    </cfRule>
  </conditionalFormatting>
  <conditionalFormatting sqref="C7:C14">
    <cfRule type="cellIs" dxfId="311" priority="42" operator="equal">
      <formula>"WIP (see comments)"</formula>
    </cfRule>
    <cfRule type="cellIs" dxfId="310" priority="43" operator="equal">
      <formula>"Removed"</formula>
    </cfRule>
    <cfRule type="cellIs" dxfId="309" priority="44" operator="equal">
      <formula>"Updated"</formula>
    </cfRule>
    <cfRule type="cellIs" dxfId="308" priority="45" operator="equal">
      <formula>"New"</formula>
    </cfRule>
  </conditionalFormatting>
  <conditionalFormatting sqref="A18:XFD1048576 P14:XFD14 A15:B17 D15:XFD17 C14 A1:C1 E1:XFD1 A2:XFD2 A4:XFD13 A3:C3 E3:XFD3">
    <cfRule type="cellIs" dxfId="307" priority="37" operator="equal">
      <formula>"n/a"</formula>
    </cfRule>
  </conditionalFormatting>
  <conditionalFormatting sqref="A14:B14">
    <cfRule type="cellIs" dxfId="306" priority="36" operator="equal">
      <formula>"n/a"</formula>
    </cfRule>
  </conditionalFormatting>
  <conditionalFormatting sqref="C15:C17">
    <cfRule type="cellIs" dxfId="305" priority="14" operator="equal">
      <formula>"WIP (see comments)"</formula>
    </cfRule>
    <cfRule type="cellIs" dxfId="304" priority="15" operator="equal">
      <formula>"Removed"</formula>
    </cfRule>
    <cfRule type="cellIs" dxfId="303" priority="16" operator="equal">
      <formula>"Updated"</formula>
    </cfRule>
    <cfRule type="cellIs" dxfId="302" priority="17" operator="equal">
      <formula>"New"</formula>
    </cfRule>
  </conditionalFormatting>
  <conditionalFormatting sqref="D14:O14">
    <cfRule type="cellIs" dxfId="301" priority="31" operator="equal">
      <formula>"n/a"</formula>
    </cfRule>
  </conditionalFormatting>
  <conditionalFormatting sqref="C15:C17">
    <cfRule type="cellIs" dxfId="300" priority="18" operator="equal">
      <formula>"WIP (see comments)"</formula>
    </cfRule>
    <cfRule type="cellIs" dxfId="299" priority="19" operator="equal">
      <formula>"Removed"</formula>
    </cfRule>
    <cfRule type="cellIs" dxfId="298" priority="20" operator="equal">
      <formula>"Updated"</formula>
    </cfRule>
    <cfRule type="cellIs" dxfId="297" priority="21" operator="equal">
      <formula>"New"</formula>
    </cfRule>
  </conditionalFormatting>
  <conditionalFormatting sqref="C15:C17">
    <cfRule type="cellIs" dxfId="296" priority="13" operator="equal">
      <formula>"n/a"</formula>
    </cfRule>
  </conditionalFormatting>
  <conditionalFormatting sqref="D1">
    <cfRule type="cellIs" dxfId="295" priority="2" operator="equal">
      <formula>"n/a"</formula>
    </cfRule>
  </conditionalFormatting>
  <conditionalFormatting sqref="D3">
    <cfRule type="cellIs" dxfId="29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L7" activePane="bottomRight" state="frozen"/>
      <selection pane="topRight" activeCell="E1" sqref="E1"/>
      <selection pane="bottomLeft" activeCell="A7" sqref="A7"/>
      <selection pane="bottomRight" activeCell="O15" sqref="O1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67</v>
      </c>
      <c r="C1" s="32"/>
      <c r="D1" s="29"/>
    </row>
    <row r="2" spans="1:16" s="30" customFormat="1" ht="18.5" x14ac:dyDescent="0.35">
      <c r="A2" s="28" t="s">
        <v>7</v>
      </c>
      <c r="B2" s="36">
        <v>6</v>
      </c>
      <c r="C2" s="35"/>
      <c r="D2" s="36"/>
    </row>
    <row r="3" spans="1:16" s="30" customFormat="1" ht="18.5" x14ac:dyDescent="0.35">
      <c r="A3" s="28" t="s">
        <v>44</v>
      </c>
      <c r="B3" s="36" t="s">
        <v>373</v>
      </c>
      <c r="C3" s="35"/>
      <c r="D3" s="64" t="s">
        <v>375</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48" customFormat="1" x14ac:dyDescent="0.35">
      <c r="A7" s="48">
        <v>1</v>
      </c>
      <c r="B7" s="48" t="str">
        <f>CONCATENATE($B$2, ".", A7)</f>
        <v>6.1</v>
      </c>
      <c r="C7" s="49" t="s">
        <v>40</v>
      </c>
      <c r="D7" s="50" t="s">
        <v>302</v>
      </c>
      <c r="E7" s="48" t="s">
        <v>29</v>
      </c>
      <c r="F7" s="48" t="s">
        <v>37</v>
      </c>
      <c r="G7" s="48" t="s">
        <v>37</v>
      </c>
      <c r="H7" s="48" t="s">
        <v>37</v>
      </c>
      <c r="I7" s="50" t="s">
        <v>10</v>
      </c>
      <c r="J7" s="48" t="s">
        <v>37</v>
      </c>
      <c r="K7" s="48" t="s">
        <v>37</v>
      </c>
      <c r="L7" s="48" t="s">
        <v>37</v>
      </c>
      <c r="M7" s="48" t="s">
        <v>37</v>
      </c>
      <c r="N7" s="48" t="s">
        <v>37</v>
      </c>
      <c r="O7" s="48" t="s">
        <v>37</v>
      </c>
    </row>
    <row r="8" spans="1:16" s="48" customFormat="1" x14ac:dyDescent="0.35">
      <c r="A8" s="48">
        <v>2</v>
      </c>
      <c r="B8" s="48" t="str">
        <f t="shared" ref="B8:B13" si="0">CONCATENATE($B$2, ".", A8)</f>
        <v>6.2</v>
      </c>
      <c r="C8" s="52" t="s">
        <v>40</v>
      </c>
      <c r="D8" s="50" t="s">
        <v>37</v>
      </c>
      <c r="E8" s="50" t="s">
        <v>49</v>
      </c>
      <c r="F8" s="48" t="s">
        <v>37</v>
      </c>
      <c r="G8" s="48" t="s">
        <v>37</v>
      </c>
      <c r="H8" s="48" t="s">
        <v>37</v>
      </c>
      <c r="I8" s="50" t="s">
        <v>10</v>
      </c>
      <c r="J8" s="48" t="s">
        <v>37</v>
      </c>
      <c r="K8" s="48" t="s">
        <v>37</v>
      </c>
      <c r="L8" s="48" t="s">
        <v>37</v>
      </c>
      <c r="M8" s="48" t="s">
        <v>37</v>
      </c>
      <c r="N8" s="48" t="s">
        <v>37</v>
      </c>
      <c r="O8" s="48" t="s">
        <v>37</v>
      </c>
    </row>
    <row r="9" spans="1:16" s="48" customFormat="1" ht="84.75" customHeight="1" x14ac:dyDescent="0.35">
      <c r="A9" s="48">
        <v>3</v>
      </c>
      <c r="B9" s="48" t="str">
        <f t="shared" si="0"/>
        <v>6.3</v>
      </c>
      <c r="C9" s="52" t="s">
        <v>40</v>
      </c>
      <c r="D9" s="50" t="s">
        <v>281</v>
      </c>
      <c r="E9" s="50" t="s">
        <v>34</v>
      </c>
      <c r="F9" s="48" t="s">
        <v>37</v>
      </c>
      <c r="G9" s="48" t="s">
        <v>37</v>
      </c>
      <c r="H9" s="48" t="s">
        <v>37</v>
      </c>
      <c r="I9" s="50" t="s">
        <v>10</v>
      </c>
      <c r="J9" s="48" t="s">
        <v>37</v>
      </c>
      <c r="K9" s="48" t="s">
        <v>37</v>
      </c>
      <c r="L9" s="48" t="s">
        <v>37</v>
      </c>
      <c r="M9" s="48" t="s">
        <v>37</v>
      </c>
      <c r="N9" s="48" t="s">
        <v>37</v>
      </c>
      <c r="O9" s="48" t="s">
        <v>37</v>
      </c>
    </row>
    <row r="10" spans="1:16" ht="99" customHeight="1" x14ac:dyDescent="0.35">
      <c r="A10" s="6">
        <v>4</v>
      </c>
      <c r="B10" s="48" t="str">
        <f t="shared" si="0"/>
        <v>6.4</v>
      </c>
      <c r="C10" s="52" t="s">
        <v>40</v>
      </c>
      <c r="D10" s="6" t="s">
        <v>37</v>
      </c>
      <c r="E10" s="6" t="s">
        <v>202</v>
      </c>
      <c r="F10" s="48" t="s">
        <v>37</v>
      </c>
      <c r="G10" s="48" t="s">
        <v>37</v>
      </c>
      <c r="H10" s="48" t="s">
        <v>37</v>
      </c>
      <c r="I10" s="50" t="s">
        <v>10</v>
      </c>
      <c r="J10" s="48" t="s">
        <v>37</v>
      </c>
      <c r="K10" s="81" t="s">
        <v>205</v>
      </c>
      <c r="L10" s="82" t="s">
        <v>206</v>
      </c>
      <c r="M10" s="48" t="s">
        <v>37</v>
      </c>
      <c r="N10" s="48" t="s">
        <v>37</v>
      </c>
      <c r="O10" s="40" t="s">
        <v>207</v>
      </c>
    </row>
    <row r="11" spans="1:16" ht="57.75" customHeight="1" x14ac:dyDescent="0.35">
      <c r="A11" s="6">
        <v>5</v>
      </c>
      <c r="B11" s="6" t="str">
        <f t="shared" si="0"/>
        <v>6.5</v>
      </c>
      <c r="C11" s="52" t="s">
        <v>40</v>
      </c>
      <c r="D11" s="6" t="s">
        <v>203</v>
      </c>
      <c r="E11" s="6" t="s">
        <v>30</v>
      </c>
      <c r="F11" s="6" t="s">
        <v>64</v>
      </c>
      <c r="G11" s="48" t="s">
        <v>37</v>
      </c>
      <c r="H11" s="48" t="s">
        <v>37</v>
      </c>
      <c r="I11" s="50" t="s">
        <v>10</v>
      </c>
      <c r="J11" s="5" t="s">
        <v>204</v>
      </c>
      <c r="K11" s="81"/>
      <c r="L11" s="82"/>
      <c r="M11" s="48" t="s">
        <v>37</v>
      </c>
      <c r="N11" s="48" t="s">
        <v>37</v>
      </c>
      <c r="O11" s="40" t="s">
        <v>208</v>
      </c>
    </row>
    <row r="12" spans="1:16" ht="57.75" customHeight="1" x14ac:dyDescent="0.35">
      <c r="A12" s="6">
        <v>6</v>
      </c>
      <c r="B12" s="6" t="str">
        <f t="shared" si="0"/>
        <v>6.6</v>
      </c>
      <c r="C12" s="73" t="s">
        <v>40</v>
      </c>
      <c r="D12" s="6" t="s">
        <v>250</v>
      </c>
      <c r="E12" s="6" t="s">
        <v>34</v>
      </c>
      <c r="F12" s="6" t="s">
        <v>37</v>
      </c>
      <c r="G12" s="48" t="s">
        <v>37</v>
      </c>
      <c r="H12" s="48" t="s">
        <v>37</v>
      </c>
      <c r="I12" s="50" t="s">
        <v>10</v>
      </c>
      <c r="J12" s="5" t="s">
        <v>37</v>
      </c>
      <c r="K12" s="5" t="s">
        <v>37</v>
      </c>
      <c r="L12" s="5" t="s">
        <v>37</v>
      </c>
      <c r="M12" s="5" t="s">
        <v>37</v>
      </c>
      <c r="N12" s="5" t="s">
        <v>37</v>
      </c>
      <c r="O12" s="5" t="s">
        <v>37</v>
      </c>
    </row>
    <row r="13" spans="1:16" ht="57.75" customHeight="1" x14ac:dyDescent="0.35">
      <c r="A13" s="6">
        <v>7</v>
      </c>
      <c r="B13" s="6" t="str">
        <f t="shared" si="0"/>
        <v>6.7</v>
      </c>
      <c r="C13" s="73" t="s">
        <v>40</v>
      </c>
      <c r="D13" s="6" t="s">
        <v>280</v>
      </c>
      <c r="E13" s="6" t="s">
        <v>150</v>
      </c>
      <c r="F13" s="6" t="s">
        <v>37</v>
      </c>
      <c r="G13" s="48" t="s">
        <v>37</v>
      </c>
      <c r="H13" s="48" t="s">
        <v>37</v>
      </c>
      <c r="I13" s="50" t="s">
        <v>10</v>
      </c>
      <c r="J13" s="5" t="s">
        <v>37</v>
      </c>
      <c r="K13" s="5" t="s">
        <v>37</v>
      </c>
      <c r="L13" s="5" t="s">
        <v>37</v>
      </c>
      <c r="M13" s="5" t="s">
        <v>37</v>
      </c>
      <c r="N13" s="5" t="s">
        <v>37</v>
      </c>
      <c r="O13" s="5" t="s">
        <v>37</v>
      </c>
    </row>
    <row r="14" spans="1:16" ht="29" x14ac:dyDescent="0.35">
      <c r="A14" s="6">
        <v>8</v>
      </c>
      <c r="B14" s="6" t="str">
        <f>CONCATENATE($B$2, ".", A14)</f>
        <v>6.8</v>
      </c>
      <c r="C14" s="52" t="s">
        <v>38</v>
      </c>
      <c r="D14" s="6" t="s">
        <v>60</v>
      </c>
      <c r="E14" s="6" t="s">
        <v>43</v>
      </c>
      <c r="F14" s="6" t="s">
        <v>37</v>
      </c>
      <c r="G14" s="6" t="s">
        <v>37</v>
      </c>
      <c r="H14" s="6" t="s">
        <v>37</v>
      </c>
      <c r="I14" s="6" t="s">
        <v>10</v>
      </c>
      <c r="J14" s="6" t="s">
        <v>37</v>
      </c>
      <c r="K14" s="6" t="s">
        <v>37</v>
      </c>
      <c r="L14" s="6" t="s">
        <v>37</v>
      </c>
      <c r="M14" s="6" t="s">
        <v>37</v>
      </c>
      <c r="N14" s="6" t="s">
        <v>37</v>
      </c>
      <c r="O14" s="6" t="s">
        <v>404</v>
      </c>
    </row>
    <row r="15" spans="1:16" ht="29" x14ac:dyDescent="0.35">
      <c r="A15" s="6">
        <v>9</v>
      </c>
      <c r="B15" s="6" t="str">
        <f t="shared" ref="B15" si="1">CONCATENATE($B$2, ".", A15)</f>
        <v>6.9</v>
      </c>
      <c r="C15" s="52" t="s">
        <v>38</v>
      </c>
      <c r="D15" s="6" t="s">
        <v>59</v>
      </c>
      <c r="E15" s="6" t="s">
        <v>43</v>
      </c>
      <c r="F15" s="6" t="s">
        <v>37</v>
      </c>
      <c r="G15" s="6" t="s">
        <v>37</v>
      </c>
      <c r="H15" s="6" t="s">
        <v>37</v>
      </c>
      <c r="I15" s="6" t="s">
        <v>10</v>
      </c>
      <c r="J15" s="6" t="s">
        <v>37</v>
      </c>
      <c r="K15" s="6" t="s">
        <v>37</v>
      </c>
      <c r="L15" s="6" t="s">
        <v>37</v>
      </c>
      <c r="M15" s="6" t="s">
        <v>37</v>
      </c>
      <c r="N15" s="6" t="s">
        <v>37</v>
      </c>
      <c r="O15" s="6" t="s">
        <v>374</v>
      </c>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row r="22" spans="9:15" x14ac:dyDescent="0.35">
      <c r="I22" s="39"/>
      <c r="J22" s="5"/>
      <c r="K22" s="5"/>
      <c r="L22" s="40"/>
      <c r="M22" s="40"/>
      <c r="N22" s="40"/>
      <c r="O22" s="40"/>
    </row>
    <row r="23" spans="9:15" x14ac:dyDescent="0.35">
      <c r="I23" s="39"/>
      <c r="J23" s="5"/>
      <c r="K23" s="5"/>
      <c r="L23" s="40"/>
      <c r="M23" s="40"/>
      <c r="N23" s="40"/>
      <c r="O23" s="40"/>
    </row>
    <row r="24" spans="9:15" x14ac:dyDescent="0.35">
      <c r="I24" s="39"/>
      <c r="J24" s="5"/>
      <c r="K24" s="5"/>
      <c r="L24" s="40"/>
      <c r="M24" s="40"/>
      <c r="N24" s="40"/>
      <c r="O24" s="40"/>
    </row>
  </sheetData>
  <mergeCells count="2">
    <mergeCell ref="K10:K11"/>
    <mergeCell ref="L10:L11"/>
  </mergeCells>
  <conditionalFormatting sqref="C16:C1048576">
    <cfRule type="cellIs" dxfId="293" priority="50" operator="equal">
      <formula>"WIP (see comments)"</formula>
    </cfRule>
    <cfRule type="cellIs" dxfId="292" priority="51" operator="equal">
      <formula>"Removed"</formula>
    </cfRule>
    <cfRule type="cellIs" dxfId="291" priority="52" operator="equal">
      <formula>"Updated"</formula>
    </cfRule>
    <cfRule type="cellIs" dxfId="290" priority="53" operator="equal">
      <formula>"New"</formula>
    </cfRule>
  </conditionalFormatting>
  <conditionalFormatting sqref="C7:C15">
    <cfRule type="cellIs" dxfId="289" priority="34" operator="equal">
      <formula>"WIP (see comments)"</formula>
    </cfRule>
    <cfRule type="cellIs" dxfId="288" priority="35" operator="equal">
      <formula>"Removed"</formula>
    </cfRule>
    <cfRule type="cellIs" dxfId="287" priority="36" operator="equal">
      <formula>"Updated"</formula>
    </cfRule>
    <cfRule type="cellIs" dxfId="286" priority="37" operator="equal">
      <formula>"New"</formula>
    </cfRule>
  </conditionalFormatting>
  <conditionalFormatting sqref="A2:XFD2 A16:XFD1048576 M11:XFD11 D11:J11 A8:B13 D8:XFD10 P12:XFD13 C8:C15 A1:C1 E1:XFD1 A4:XFD7 A3:C3 E3:XFD3">
    <cfRule type="cellIs" dxfId="285" priority="32" operator="equal">
      <formula>"n/a"</formula>
    </cfRule>
  </conditionalFormatting>
  <conditionalFormatting sqref="A14:B15 D14:XFD15">
    <cfRule type="cellIs" dxfId="284" priority="18" operator="equal">
      <formula>"n/a"</formula>
    </cfRule>
  </conditionalFormatting>
  <conditionalFormatting sqref="J13:K13 J12 D12:I13">
    <cfRule type="cellIs" dxfId="283" priority="13" operator="equal">
      <formula>"n/a"</formula>
    </cfRule>
  </conditionalFormatting>
  <conditionalFormatting sqref="K12">
    <cfRule type="cellIs" dxfId="282" priority="12" operator="equal">
      <formula>"n/a"</formula>
    </cfRule>
  </conditionalFormatting>
  <conditionalFormatting sqref="L13">
    <cfRule type="cellIs" dxfId="281" priority="11" operator="equal">
      <formula>"n/a"</formula>
    </cfRule>
  </conditionalFormatting>
  <conditionalFormatting sqref="L12">
    <cfRule type="cellIs" dxfId="280" priority="10" operator="equal">
      <formula>"n/a"</formula>
    </cfRule>
  </conditionalFormatting>
  <conditionalFormatting sqref="M13">
    <cfRule type="cellIs" dxfId="279" priority="9" operator="equal">
      <formula>"n/a"</formula>
    </cfRule>
  </conditionalFormatting>
  <conditionalFormatting sqref="M12">
    <cfRule type="cellIs" dxfId="278" priority="8" operator="equal">
      <formula>"n/a"</formula>
    </cfRule>
  </conditionalFormatting>
  <conditionalFormatting sqref="N13">
    <cfRule type="cellIs" dxfId="277" priority="7" operator="equal">
      <formula>"n/a"</formula>
    </cfRule>
  </conditionalFormatting>
  <conditionalFormatting sqref="N12">
    <cfRule type="cellIs" dxfId="276" priority="6" operator="equal">
      <formula>"n/a"</formula>
    </cfRule>
  </conditionalFormatting>
  <conditionalFormatting sqref="O13">
    <cfRule type="cellIs" dxfId="275" priority="5" operator="equal">
      <formula>"n/a"</formula>
    </cfRule>
  </conditionalFormatting>
  <conditionalFormatting sqref="O12">
    <cfRule type="cellIs" dxfId="274" priority="4" operator="equal">
      <formula>"n/a"</formula>
    </cfRule>
  </conditionalFormatting>
  <conditionalFormatting sqref="D1">
    <cfRule type="cellIs" dxfId="273" priority="2" operator="equal">
      <formula>"n/a"</formula>
    </cfRule>
  </conditionalFormatting>
  <conditionalFormatting sqref="D3">
    <cfRule type="cellIs" dxfId="2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Values'!$A$5:$A$28</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41"/>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397</v>
      </c>
      <c r="C1" s="32"/>
      <c r="D1" s="29" t="s">
        <v>417</v>
      </c>
    </row>
    <row r="2" spans="1:16" s="30" customFormat="1" ht="18.5" x14ac:dyDescent="0.35">
      <c r="A2" s="28" t="s">
        <v>7</v>
      </c>
      <c r="B2" s="36">
        <v>7</v>
      </c>
      <c r="C2" s="35"/>
      <c r="D2" s="36"/>
    </row>
    <row r="3" spans="1:16" s="30" customFormat="1" ht="18.5" x14ac:dyDescent="0.35">
      <c r="A3" s="28" t="s">
        <v>44</v>
      </c>
      <c r="B3" s="36" t="s">
        <v>395</v>
      </c>
      <c r="C3" s="35"/>
      <c r="D3" s="64" t="s">
        <v>416</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0" si="0">CONCATENATE($B$2, ".", A7)</f>
        <v>7.1</v>
      </c>
      <c r="C7" s="47" t="s">
        <v>40</v>
      </c>
      <c r="D7" s="39" t="s">
        <v>303</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7.2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43.5" x14ac:dyDescent="0.35">
      <c r="A9" s="39">
        <v>3</v>
      </c>
      <c r="B9" s="39" t="str">
        <f t="shared" si="0"/>
        <v>7.3</v>
      </c>
      <c r="C9" s="47" t="s">
        <v>40</v>
      </c>
      <c r="D9" s="39" t="s">
        <v>128</v>
      </c>
      <c r="E9" s="39" t="s">
        <v>33</v>
      </c>
      <c r="F9" s="39" t="s">
        <v>52</v>
      </c>
      <c r="G9" s="39" t="s">
        <v>37</v>
      </c>
      <c r="H9" s="41">
        <v>50</v>
      </c>
      <c r="I9" s="39" t="s">
        <v>10</v>
      </c>
      <c r="J9" s="40" t="s">
        <v>68</v>
      </c>
      <c r="K9" s="40" t="s">
        <v>54</v>
      </c>
      <c r="L9" s="40" t="s">
        <v>70</v>
      </c>
      <c r="M9" s="40" t="s">
        <v>37</v>
      </c>
      <c r="N9" s="40" t="s">
        <v>37</v>
      </c>
      <c r="O9" s="40" t="s">
        <v>72</v>
      </c>
    </row>
    <row r="10" spans="1:16" s="39" customFormat="1" ht="43.5" x14ac:dyDescent="0.35">
      <c r="A10" s="39">
        <v>4</v>
      </c>
      <c r="B10" s="39" t="str">
        <f t="shared" si="0"/>
        <v>7.4</v>
      </c>
      <c r="C10" s="47" t="s">
        <v>40</v>
      </c>
      <c r="D10" s="39" t="s">
        <v>129</v>
      </c>
      <c r="E10" s="39" t="s">
        <v>33</v>
      </c>
      <c r="F10" s="39" t="s">
        <v>52</v>
      </c>
      <c r="G10" s="39" t="s">
        <v>37</v>
      </c>
      <c r="H10" s="41">
        <v>50</v>
      </c>
      <c r="I10" s="39" t="s">
        <v>10</v>
      </c>
      <c r="J10" s="40" t="s">
        <v>69</v>
      </c>
      <c r="K10" s="40" t="s">
        <v>54</v>
      </c>
      <c r="L10" s="40" t="s">
        <v>71</v>
      </c>
      <c r="M10" s="40" t="s">
        <v>37</v>
      </c>
      <c r="N10" s="40" t="s">
        <v>37</v>
      </c>
      <c r="O10" s="40" t="s">
        <v>72</v>
      </c>
    </row>
    <row r="11" spans="1:16" x14ac:dyDescent="0.35">
      <c r="A11" s="39">
        <v>5</v>
      </c>
      <c r="B11" s="39" t="str">
        <f t="shared" ref="B11" si="1">CONCATENATE($B$2, ".", A11)</f>
        <v>7.5</v>
      </c>
      <c r="C11" s="34" t="s">
        <v>40</v>
      </c>
      <c r="D11" s="39" t="s">
        <v>396</v>
      </c>
      <c r="E11" s="6" t="s">
        <v>29</v>
      </c>
      <c r="F11" s="6" t="s">
        <v>37</v>
      </c>
      <c r="G11" s="6" t="s">
        <v>37</v>
      </c>
      <c r="H11" s="6" t="s">
        <v>37</v>
      </c>
      <c r="I11" s="39" t="s">
        <v>10</v>
      </c>
      <c r="J11" s="5" t="s">
        <v>37</v>
      </c>
      <c r="K11" s="5" t="s">
        <v>37</v>
      </c>
      <c r="L11" s="5" t="s">
        <v>37</v>
      </c>
      <c r="M11" s="5" t="s">
        <v>37</v>
      </c>
      <c r="N11" s="5" t="s">
        <v>37</v>
      </c>
      <c r="O11" s="5" t="s">
        <v>37</v>
      </c>
    </row>
    <row r="12" spans="1:16" x14ac:dyDescent="0.35">
      <c r="A12" s="80"/>
      <c r="B12" s="80"/>
      <c r="C12" s="80"/>
      <c r="D12" s="80"/>
      <c r="E12" s="80"/>
      <c r="F12" s="76"/>
      <c r="G12" s="76"/>
      <c r="H12" s="76"/>
      <c r="I12" s="76"/>
      <c r="J12" s="76"/>
      <c r="K12" s="76"/>
      <c r="L12" s="76"/>
      <c r="M12" s="76"/>
      <c r="N12" s="76"/>
      <c r="O12" s="76"/>
      <c r="P12" s="76"/>
    </row>
    <row r="13" spans="1:16" ht="43.5" x14ac:dyDescent="0.35">
      <c r="A13" s="39">
        <v>6</v>
      </c>
      <c r="B13" s="39" t="str">
        <f t="shared" ref="B13:B19" si="2">CONCATENATE($B$2, ".", A13)</f>
        <v>7.6</v>
      </c>
      <c r="C13" s="47" t="s">
        <v>41</v>
      </c>
      <c r="D13" s="39" t="s">
        <v>314</v>
      </c>
      <c r="E13" s="39" t="s">
        <v>32</v>
      </c>
      <c r="F13" s="39" t="s">
        <v>62</v>
      </c>
      <c r="G13" s="39" t="s">
        <v>37</v>
      </c>
      <c r="H13" s="39" t="s">
        <v>37</v>
      </c>
      <c r="I13" s="39" t="s">
        <v>10</v>
      </c>
      <c r="J13" s="40" t="s">
        <v>66</v>
      </c>
      <c r="K13" s="40" t="s">
        <v>54</v>
      </c>
      <c r="L13" s="40" t="s">
        <v>311</v>
      </c>
      <c r="M13" s="40" t="s">
        <v>37</v>
      </c>
      <c r="N13" s="40" t="s">
        <v>37</v>
      </c>
      <c r="O13" s="40" t="s">
        <v>37</v>
      </c>
      <c r="P13" s="39" t="s">
        <v>398</v>
      </c>
    </row>
    <row r="14" spans="1:16" ht="130.5" x14ac:dyDescent="0.35">
      <c r="A14" s="39">
        <v>7</v>
      </c>
      <c r="B14" s="39" t="str">
        <f t="shared" si="2"/>
        <v>7.7</v>
      </c>
      <c r="C14" s="47" t="s">
        <v>40</v>
      </c>
      <c r="D14" s="39" t="s">
        <v>130</v>
      </c>
      <c r="E14" s="39" t="s">
        <v>80</v>
      </c>
      <c r="F14" s="39" t="s">
        <v>52</v>
      </c>
      <c r="G14" s="39" t="s">
        <v>37</v>
      </c>
      <c r="H14" s="41">
        <v>35</v>
      </c>
      <c r="I14" s="39" t="s">
        <v>10</v>
      </c>
      <c r="J14" s="40" t="s">
        <v>75</v>
      </c>
      <c r="K14" s="40" t="s">
        <v>84</v>
      </c>
      <c r="L14" s="40" t="s">
        <v>81</v>
      </c>
      <c r="M14" s="40" t="s">
        <v>37</v>
      </c>
      <c r="N14" s="40" t="s">
        <v>270</v>
      </c>
      <c r="O14" s="40" t="s">
        <v>257</v>
      </c>
      <c r="P14" s="39"/>
    </row>
    <row r="15" spans="1:16" ht="58" x14ac:dyDescent="0.35">
      <c r="A15" s="39">
        <v>8</v>
      </c>
      <c r="B15" s="39" t="str">
        <f t="shared" si="2"/>
        <v>7.8</v>
      </c>
      <c r="C15" s="47" t="s">
        <v>40</v>
      </c>
      <c r="D15" s="39" t="s">
        <v>82</v>
      </c>
      <c r="E15" s="39" t="s">
        <v>33</v>
      </c>
      <c r="F15" s="39" t="s">
        <v>52</v>
      </c>
      <c r="G15" s="39" t="s">
        <v>37</v>
      </c>
      <c r="H15" s="41">
        <v>10</v>
      </c>
      <c r="I15" s="39" t="s">
        <v>399</v>
      </c>
      <c r="J15" s="40" t="s">
        <v>133</v>
      </c>
      <c r="K15" s="40" t="s">
        <v>83</v>
      </c>
      <c r="L15" s="40" t="s">
        <v>137</v>
      </c>
      <c r="M15" s="40" t="s">
        <v>37</v>
      </c>
      <c r="N15" s="40" t="s">
        <v>37</v>
      </c>
      <c r="O15" s="40"/>
      <c r="P15" s="39"/>
    </row>
    <row r="16" spans="1:16" ht="58" x14ac:dyDescent="0.35">
      <c r="A16" s="39">
        <v>9</v>
      </c>
      <c r="B16" s="39" t="str">
        <f t="shared" si="2"/>
        <v>7.9</v>
      </c>
      <c r="C16" s="47" t="s">
        <v>40</v>
      </c>
      <c r="D16" s="39" t="s">
        <v>141</v>
      </c>
      <c r="E16" s="39" t="s">
        <v>33</v>
      </c>
      <c r="F16" s="39" t="s">
        <v>52</v>
      </c>
      <c r="G16" s="39" t="s">
        <v>37</v>
      </c>
      <c r="H16" s="41">
        <v>35</v>
      </c>
      <c r="I16" s="39" t="s">
        <v>399</v>
      </c>
      <c r="J16" s="40" t="s">
        <v>133</v>
      </c>
      <c r="K16" s="40" t="s">
        <v>83</v>
      </c>
      <c r="L16" s="40" t="s">
        <v>138</v>
      </c>
      <c r="M16" s="40" t="s">
        <v>37</v>
      </c>
      <c r="N16" s="40" t="s">
        <v>37</v>
      </c>
      <c r="O16" s="40"/>
      <c r="P16" s="39"/>
    </row>
    <row r="17" spans="1:16" ht="29" x14ac:dyDescent="0.35">
      <c r="A17" s="39">
        <v>10</v>
      </c>
      <c r="B17" s="39" t="str">
        <f t="shared" si="2"/>
        <v>7.10</v>
      </c>
      <c r="C17" s="47" t="s">
        <v>40</v>
      </c>
      <c r="D17" s="39" t="s">
        <v>76</v>
      </c>
      <c r="E17" s="39" t="s">
        <v>33</v>
      </c>
      <c r="F17" s="39" t="s">
        <v>52</v>
      </c>
      <c r="G17" s="39" t="s">
        <v>37</v>
      </c>
      <c r="H17" s="41">
        <v>10</v>
      </c>
      <c r="I17" s="39" t="s">
        <v>399</v>
      </c>
      <c r="J17" s="40" t="s">
        <v>133</v>
      </c>
      <c r="K17" s="40" t="s">
        <v>85</v>
      </c>
      <c r="L17" s="40" t="s">
        <v>37</v>
      </c>
      <c r="M17" s="40" t="s">
        <v>37</v>
      </c>
      <c r="N17" s="40" t="s">
        <v>37</v>
      </c>
      <c r="O17" s="40"/>
      <c r="P17" s="39"/>
    </row>
    <row r="18" spans="1:16" ht="58" x14ac:dyDescent="0.35">
      <c r="A18" s="39">
        <v>11</v>
      </c>
      <c r="B18" s="39" t="str">
        <f t="shared" si="2"/>
        <v>7.11</v>
      </c>
      <c r="C18" s="47" t="s">
        <v>40</v>
      </c>
      <c r="D18" s="39" t="s">
        <v>77</v>
      </c>
      <c r="E18" s="39" t="s">
        <v>33</v>
      </c>
      <c r="F18" s="39" t="s">
        <v>52</v>
      </c>
      <c r="G18" s="39" t="s">
        <v>37</v>
      </c>
      <c r="H18" s="41">
        <v>20</v>
      </c>
      <c r="I18" s="39" t="s">
        <v>399</v>
      </c>
      <c r="J18" s="40" t="s">
        <v>133</v>
      </c>
      <c r="K18" s="40" t="s">
        <v>83</v>
      </c>
      <c r="L18" s="40" t="s">
        <v>134</v>
      </c>
      <c r="M18" s="40" t="s">
        <v>37</v>
      </c>
      <c r="N18" s="40" t="s">
        <v>37</v>
      </c>
      <c r="O18" s="40"/>
      <c r="P18" s="39"/>
    </row>
    <row r="19" spans="1:16" ht="116" x14ac:dyDescent="0.35">
      <c r="A19" s="39">
        <v>12</v>
      </c>
      <c r="B19" s="39" t="str">
        <f t="shared" si="2"/>
        <v>7.12</v>
      </c>
      <c r="C19" s="47" t="s">
        <v>40</v>
      </c>
      <c r="D19" s="39" t="s">
        <v>78</v>
      </c>
      <c r="E19" s="39" t="s">
        <v>35</v>
      </c>
      <c r="F19" s="39" t="s">
        <v>52</v>
      </c>
      <c r="G19" s="39" t="s">
        <v>37</v>
      </c>
      <c r="H19" s="41">
        <v>15</v>
      </c>
      <c r="I19" s="39" t="s">
        <v>399</v>
      </c>
      <c r="J19" s="40" t="s">
        <v>133</v>
      </c>
      <c r="K19" s="40" t="s">
        <v>83</v>
      </c>
      <c r="L19" s="40" t="s">
        <v>139</v>
      </c>
      <c r="M19" s="40" t="s">
        <v>86</v>
      </c>
      <c r="N19" s="40" t="s">
        <v>142</v>
      </c>
      <c r="O19" s="40"/>
      <c r="P19" s="39"/>
    </row>
    <row r="20" spans="1:16" ht="58" x14ac:dyDescent="0.35">
      <c r="A20" s="39">
        <v>13</v>
      </c>
      <c r="B20" s="39" t="str">
        <f>CONCATENATE($B$2, ".", A20)</f>
        <v>7.13</v>
      </c>
      <c r="C20" s="47" t="s">
        <v>40</v>
      </c>
      <c r="D20" s="39" t="s">
        <v>79</v>
      </c>
      <c r="E20" s="39" t="s">
        <v>33</v>
      </c>
      <c r="F20" s="39" t="s">
        <v>52</v>
      </c>
      <c r="G20" s="39" t="s">
        <v>37</v>
      </c>
      <c r="H20" s="41">
        <v>7</v>
      </c>
      <c r="I20" s="39" t="s">
        <v>399</v>
      </c>
      <c r="J20" s="40" t="s">
        <v>133</v>
      </c>
      <c r="K20" s="40" t="s">
        <v>83</v>
      </c>
      <c r="L20" s="40" t="s">
        <v>140</v>
      </c>
      <c r="M20" s="40" t="s">
        <v>37</v>
      </c>
      <c r="N20" s="40" t="s">
        <v>37</v>
      </c>
      <c r="O20" s="40"/>
      <c r="P20" s="39"/>
    </row>
    <row r="21" spans="1:16" x14ac:dyDescent="0.35">
      <c r="A21" s="80"/>
      <c r="B21" s="80"/>
      <c r="C21" s="80"/>
      <c r="D21" s="80"/>
      <c r="E21" s="80"/>
      <c r="F21" s="76"/>
      <c r="G21" s="76"/>
      <c r="H21" s="76"/>
      <c r="I21" s="76"/>
      <c r="J21" s="76"/>
      <c r="K21" s="76"/>
      <c r="L21" s="76"/>
      <c r="M21" s="76"/>
      <c r="N21" s="76"/>
      <c r="O21" s="76"/>
      <c r="P21" s="76"/>
    </row>
    <row r="22" spans="1:16" ht="58" x14ac:dyDescent="0.35">
      <c r="A22" s="39">
        <v>14</v>
      </c>
      <c r="B22" s="39" t="str">
        <f t="shared" ref="B22:B28" si="3">CONCATENATE($B$2, ".", A22)</f>
        <v>7.14</v>
      </c>
      <c r="C22" s="47" t="s">
        <v>40</v>
      </c>
      <c r="D22" s="39" t="s">
        <v>87</v>
      </c>
      <c r="E22" s="39" t="s">
        <v>32</v>
      </c>
      <c r="F22" s="39" t="s">
        <v>62</v>
      </c>
      <c r="G22" s="39" t="s">
        <v>37</v>
      </c>
      <c r="H22" s="39" t="s">
        <v>37</v>
      </c>
      <c r="I22" s="39" t="s">
        <v>315</v>
      </c>
      <c r="J22" s="40" t="s">
        <v>66</v>
      </c>
      <c r="K22" s="40" t="s">
        <v>54</v>
      </c>
      <c r="L22" s="40" t="s">
        <v>88</v>
      </c>
      <c r="M22" s="40" t="s">
        <v>37</v>
      </c>
      <c r="N22" s="40" t="s">
        <v>37</v>
      </c>
      <c r="O22" s="40" t="s">
        <v>37</v>
      </c>
      <c r="P22" s="39"/>
    </row>
    <row r="23" spans="1:16" ht="101.5" x14ac:dyDescent="0.35">
      <c r="A23" s="39">
        <v>15</v>
      </c>
      <c r="B23" s="39" t="str">
        <f t="shared" si="3"/>
        <v>7.15</v>
      </c>
      <c r="C23" s="47" t="s">
        <v>40</v>
      </c>
      <c r="D23" s="39" t="s">
        <v>131</v>
      </c>
      <c r="E23" s="39" t="s">
        <v>80</v>
      </c>
      <c r="F23" s="39" t="s">
        <v>52</v>
      </c>
      <c r="G23" s="39" t="s">
        <v>37</v>
      </c>
      <c r="H23" s="41">
        <v>35</v>
      </c>
      <c r="I23" s="39" t="s">
        <v>400</v>
      </c>
      <c r="J23" s="40" t="s">
        <v>133</v>
      </c>
      <c r="K23" s="40" t="s">
        <v>312</v>
      </c>
      <c r="L23" s="40" t="s">
        <v>89</v>
      </c>
      <c r="M23" s="40" t="s">
        <v>37</v>
      </c>
      <c r="N23" s="40" t="s">
        <v>37</v>
      </c>
      <c r="O23" s="40" t="s">
        <v>258</v>
      </c>
      <c r="P23" s="39"/>
    </row>
    <row r="24" spans="1:16" ht="43.5" x14ac:dyDescent="0.35">
      <c r="A24" s="39">
        <v>16</v>
      </c>
      <c r="B24" s="39" t="str">
        <f t="shared" si="3"/>
        <v>7.16</v>
      </c>
      <c r="C24" s="47" t="s">
        <v>40</v>
      </c>
      <c r="D24" s="39" t="s">
        <v>82</v>
      </c>
      <c r="E24" s="39" t="s">
        <v>33</v>
      </c>
      <c r="F24" s="39" t="s">
        <v>52</v>
      </c>
      <c r="G24" s="39" t="s">
        <v>37</v>
      </c>
      <c r="H24" s="41">
        <v>10</v>
      </c>
      <c r="I24" s="39" t="s">
        <v>401</v>
      </c>
      <c r="J24" s="40" t="s">
        <v>133</v>
      </c>
      <c r="K24" s="40" t="s">
        <v>85</v>
      </c>
      <c r="L24" s="40" t="s">
        <v>37</v>
      </c>
      <c r="M24" s="40" t="s">
        <v>37</v>
      </c>
      <c r="N24" s="40" t="s">
        <v>37</v>
      </c>
      <c r="O24" s="40"/>
      <c r="P24" s="39"/>
    </row>
    <row r="25" spans="1:16" ht="58" x14ac:dyDescent="0.35">
      <c r="A25" s="39">
        <v>17</v>
      </c>
      <c r="B25" s="39" t="str">
        <f t="shared" si="3"/>
        <v>7.17</v>
      </c>
      <c r="C25" s="47" t="s">
        <v>40</v>
      </c>
      <c r="D25" s="39" t="s">
        <v>141</v>
      </c>
      <c r="E25" s="39" t="s">
        <v>33</v>
      </c>
      <c r="F25" s="39" t="s">
        <v>52</v>
      </c>
      <c r="G25" s="39" t="s">
        <v>37</v>
      </c>
      <c r="H25" s="41">
        <v>35</v>
      </c>
      <c r="I25" s="39" t="s">
        <v>401</v>
      </c>
      <c r="J25" s="40" t="s">
        <v>133</v>
      </c>
      <c r="K25" s="40" t="s">
        <v>83</v>
      </c>
      <c r="L25" s="40" t="s">
        <v>138</v>
      </c>
      <c r="M25" s="40" t="s">
        <v>37</v>
      </c>
      <c r="N25" s="40" t="s">
        <v>37</v>
      </c>
      <c r="O25" s="40"/>
      <c r="P25" s="39"/>
    </row>
    <row r="26" spans="1:16" ht="43.5" x14ac:dyDescent="0.35">
      <c r="A26" s="39">
        <v>18</v>
      </c>
      <c r="B26" s="39" t="str">
        <f t="shared" si="3"/>
        <v>7.18</v>
      </c>
      <c r="C26" s="47" t="s">
        <v>40</v>
      </c>
      <c r="D26" s="39" t="s">
        <v>76</v>
      </c>
      <c r="E26" s="39" t="s">
        <v>33</v>
      </c>
      <c r="F26" s="39" t="s">
        <v>52</v>
      </c>
      <c r="G26" s="39" t="s">
        <v>37</v>
      </c>
      <c r="H26" s="41">
        <v>10</v>
      </c>
      <c r="I26" s="39" t="s">
        <v>401</v>
      </c>
      <c r="J26" s="40" t="s">
        <v>133</v>
      </c>
      <c r="K26" s="40" t="s">
        <v>85</v>
      </c>
      <c r="L26" s="40" t="s">
        <v>37</v>
      </c>
      <c r="M26" s="40" t="s">
        <v>37</v>
      </c>
      <c r="N26" s="40" t="s">
        <v>37</v>
      </c>
      <c r="O26" s="40"/>
      <c r="P26" s="39"/>
    </row>
    <row r="27" spans="1:16" ht="58" x14ac:dyDescent="0.35">
      <c r="A27" s="39">
        <v>19</v>
      </c>
      <c r="B27" s="39" t="str">
        <f t="shared" si="3"/>
        <v>7.19</v>
      </c>
      <c r="C27" s="47" t="s">
        <v>40</v>
      </c>
      <c r="D27" s="39" t="s">
        <v>77</v>
      </c>
      <c r="E27" s="39" t="s">
        <v>33</v>
      </c>
      <c r="F27" s="39" t="s">
        <v>52</v>
      </c>
      <c r="G27" s="39" t="s">
        <v>37</v>
      </c>
      <c r="H27" s="41">
        <v>20</v>
      </c>
      <c r="I27" s="39" t="s">
        <v>401</v>
      </c>
      <c r="J27" s="40" t="s">
        <v>133</v>
      </c>
      <c r="K27" s="40" t="s">
        <v>83</v>
      </c>
      <c r="L27" s="40" t="s">
        <v>134</v>
      </c>
      <c r="M27" s="40" t="s">
        <v>37</v>
      </c>
      <c r="N27" s="40" t="s">
        <v>37</v>
      </c>
      <c r="O27" s="40"/>
      <c r="P27" s="39"/>
    </row>
    <row r="28" spans="1:16" ht="72.5" x14ac:dyDescent="0.35">
      <c r="A28" s="39">
        <v>20</v>
      </c>
      <c r="B28" s="39" t="str">
        <f t="shared" si="3"/>
        <v>7.20</v>
      </c>
      <c r="C28" s="47" t="s">
        <v>40</v>
      </c>
      <c r="D28" s="39" t="s">
        <v>78</v>
      </c>
      <c r="E28" s="39" t="s">
        <v>35</v>
      </c>
      <c r="F28" s="39" t="s">
        <v>52</v>
      </c>
      <c r="G28" s="39" t="s">
        <v>37</v>
      </c>
      <c r="H28" s="41">
        <v>15</v>
      </c>
      <c r="I28" s="39" t="s">
        <v>401</v>
      </c>
      <c r="J28" s="40" t="s">
        <v>133</v>
      </c>
      <c r="K28" s="40" t="s">
        <v>83</v>
      </c>
      <c r="L28" s="40" t="s">
        <v>139</v>
      </c>
      <c r="M28" s="40" t="s">
        <v>189</v>
      </c>
      <c r="N28" s="40"/>
      <c r="O28" s="40"/>
      <c r="P28" s="39"/>
    </row>
    <row r="29" spans="1:16" ht="58" x14ac:dyDescent="0.35">
      <c r="A29" s="39">
        <v>21</v>
      </c>
      <c r="B29" s="39" t="str">
        <f>CONCATENATE($B$2, ".", A29)</f>
        <v>7.21</v>
      </c>
      <c r="C29" s="47" t="s">
        <v>40</v>
      </c>
      <c r="D29" s="39" t="s">
        <v>79</v>
      </c>
      <c r="E29" s="39" t="s">
        <v>33</v>
      </c>
      <c r="F29" s="39" t="s">
        <v>52</v>
      </c>
      <c r="G29" s="39" t="s">
        <v>37</v>
      </c>
      <c r="H29" s="41">
        <v>7</v>
      </c>
      <c r="I29" s="39" t="s">
        <v>401</v>
      </c>
      <c r="J29" s="40" t="s">
        <v>133</v>
      </c>
      <c r="K29" s="40" t="s">
        <v>83</v>
      </c>
      <c r="L29" s="40" t="s">
        <v>140</v>
      </c>
      <c r="M29" s="40" t="s">
        <v>37</v>
      </c>
      <c r="N29" s="40" t="s">
        <v>37</v>
      </c>
      <c r="O29" s="40"/>
      <c r="P29" s="39"/>
    </row>
    <row r="30" spans="1:16" x14ac:dyDescent="0.35">
      <c r="A30" s="80"/>
      <c r="B30" s="80"/>
      <c r="C30" s="80"/>
      <c r="D30" s="80"/>
      <c r="E30" s="80"/>
      <c r="F30" s="76"/>
      <c r="G30" s="76"/>
      <c r="H30" s="76"/>
      <c r="I30" s="76"/>
      <c r="J30" s="76"/>
      <c r="K30" s="76"/>
      <c r="L30" s="76"/>
      <c r="M30" s="76"/>
      <c r="N30" s="76"/>
      <c r="O30" s="76"/>
      <c r="P30" s="76"/>
    </row>
    <row r="31" spans="1:16" ht="58" x14ac:dyDescent="0.35">
      <c r="A31" s="39">
        <v>22</v>
      </c>
      <c r="B31" s="39" t="str">
        <f t="shared" ref="B31:B37" si="4">CONCATENATE($B$2, ".", A31)</f>
        <v>7.22</v>
      </c>
      <c r="C31" s="47" t="s">
        <v>40</v>
      </c>
      <c r="D31" s="39" t="s">
        <v>233</v>
      </c>
      <c r="E31" s="39" t="s">
        <v>32</v>
      </c>
      <c r="F31" s="39" t="s">
        <v>62</v>
      </c>
      <c r="G31" s="39" t="s">
        <v>37</v>
      </c>
      <c r="H31" s="39" t="s">
        <v>37</v>
      </c>
      <c r="I31" s="39" t="s">
        <v>315</v>
      </c>
      <c r="J31" s="40" t="s">
        <v>66</v>
      </c>
      <c r="K31" s="40" t="s">
        <v>54</v>
      </c>
      <c r="L31" s="40" t="s">
        <v>132</v>
      </c>
      <c r="M31" s="40" t="s">
        <v>37</v>
      </c>
      <c r="N31" s="40" t="s">
        <v>37</v>
      </c>
      <c r="O31" s="40" t="s">
        <v>37</v>
      </c>
      <c r="P31" s="39"/>
    </row>
    <row r="32" spans="1:16" ht="101.5" x14ac:dyDescent="0.35">
      <c r="A32" s="39">
        <v>23</v>
      </c>
      <c r="B32" s="39" t="str">
        <f t="shared" si="4"/>
        <v>7.23</v>
      </c>
      <c r="C32" s="47" t="s">
        <v>40</v>
      </c>
      <c r="D32" s="39" t="s">
        <v>90</v>
      </c>
      <c r="E32" s="39" t="s">
        <v>80</v>
      </c>
      <c r="F32" s="39" t="s">
        <v>52</v>
      </c>
      <c r="G32" s="39" t="s">
        <v>37</v>
      </c>
      <c r="H32" s="41">
        <v>35</v>
      </c>
      <c r="I32" s="39" t="s">
        <v>402</v>
      </c>
      <c r="J32" s="40" t="s">
        <v>133</v>
      </c>
      <c r="K32" s="40" t="s">
        <v>313</v>
      </c>
      <c r="L32" s="40" t="s">
        <v>92</v>
      </c>
      <c r="M32" s="40" t="s">
        <v>37</v>
      </c>
      <c r="N32" s="40" t="s">
        <v>37</v>
      </c>
      <c r="O32" s="40" t="s">
        <v>259</v>
      </c>
      <c r="P32" s="39"/>
    </row>
    <row r="33" spans="1:16" ht="43.5" x14ac:dyDescent="0.35">
      <c r="A33" s="39">
        <v>24</v>
      </c>
      <c r="B33" s="39" t="str">
        <f t="shared" si="4"/>
        <v>7.24</v>
      </c>
      <c r="C33" s="47" t="s">
        <v>40</v>
      </c>
      <c r="D33" s="39" t="s">
        <v>82</v>
      </c>
      <c r="E33" s="39" t="s">
        <v>33</v>
      </c>
      <c r="F33" s="39" t="s">
        <v>52</v>
      </c>
      <c r="G33" s="39" t="s">
        <v>37</v>
      </c>
      <c r="H33" s="41">
        <v>10</v>
      </c>
      <c r="I33" s="39" t="s">
        <v>403</v>
      </c>
      <c r="J33" s="40" t="s">
        <v>133</v>
      </c>
      <c r="K33" s="41" t="s">
        <v>91</v>
      </c>
      <c r="L33" s="41" t="s">
        <v>37</v>
      </c>
      <c r="M33" s="40" t="s">
        <v>37</v>
      </c>
      <c r="N33" s="40" t="s">
        <v>37</v>
      </c>
      <c r="O33" s="40"/>
      <c r="P33" s="39"/>
    </row>
    <row r="34" spans="1:16" ht="58" x14ac:dyDescent="0.35">
      <c r="A34" s="39">
        <v>25</v>
      </c>
      <c r="B34" s="39" t="str">
        <f t="shared" si="4"/>
        <v>7.25</v>
      </c>
      <c r="C34" s="47" t="s">
        <v>40</v>
      </c>
      <c r="D34" s="39" t="s">
        <v>143</v>
      </c>
      <c r="E34" s="39" t="s">
        <v>33</v>
      </c>
      <c r="F34" s="39" t="s">
        <v>52</v>
      </c>
      <c r="G34" s="39" t="s">
        <v>37</v>
      </c>
      <c r="H34" s="41">
        <v>35</v>
      </c>
      <c r="I34" s="39" t="s">
        <v>403</v>
      </c>
      <c r="J34" s="40" t="s">
        <v>133</v>
      </c>
      <c r="K34" s="40" t="s">
        <v>83</v>
      </c>
      <c r="L34" s="40" t="s">
        <v>135</v>
      </c>
      <c r="M34" s="40" t="s">
        <v>37</v>
      </c>
      <c r="N34" s="40" t="s">
        <v>37</v>
      </c>
      <c r="O34" s="40"/>
      <c r="P34" s="39"/>
    </row>
    <row r="35" spans="1:16" ht="43.5" x14ac:dyDescent="0.35">
      <c r="A35" s="39">
        <v>26</v>
      </c>
      <c r="B35" s="39" t="str">
        <f t="shared" si="4"/>
        <v>7.26</v>
      </c>
      <c r="C35" s="47" t="s">
        <v>40</v>
      </c>
      <c r="D35" s="39" t="s">
        <v>76</v>
      </c>
      <c r="E35" s="39" t="s">
        <v>33</v>
      </c>
      <c r="F35" s="39" t="s">
        <v>52</v>
      </c>
      <c r="G35" s="39" t="s">
        <v>37</v>
      </c>
      <c r="H35" s="41">
        <v>10</v>
      </c>
      <c r="I35" s="39" t="s">
        <v>403</v>
      </c>
      <c r="J35" s="40" t="s">
        <v>133</v>
      </c>
      <c r="K35" s="40" t="s">
        <v>85</v>
      </c>
      <c r="L35" s="40" t="s">
        <v>37</v>
      </c>
      <c r="M35" s="40" t="s">
        <v>37</v>
      </c>
      <c r="N35" s="40" t="s">
        <v>37</v>
      </c>
      <c r="O35" s="40"/>
      <c r="P35" s="39"/>
    </row>
    <row r="36" spans="1:16" ht="58" x14ac:dyDescent="0.35">
      <c r="A36" s="39">
        <v>27</v>
      </c>
      <c r="B36" s="39" t="str">
        <f t="shared" si="4"/>
        <v>7.27</v>
      </c>
      <c r="C36" s="47" t="s">
        <v>40</v>
      </c>
      <c r="D36" s="39" t="s">
        <v>77</v>
      </c>
      <c r="E36" s="39" t="s">
        <v>33</v>
      </c>
      <c r="F36" s="39" t="s">
        <v>52</v>
      </c>
      <c r="G36" s="39" t="s">
        <v>37</v>
      </c>
      <c r="H36" s="41">
        <v>20</v>
      </c>
      <c r="I36" s="39" t="s">
        <v>403</v>
      </c>
      <c r="J36" s="40" t="s">
        <v>133</v>
      </c>
      <c r="K36" s="40" t="s">
        <v>83</v>
      </c>
      <c r="L36" s="40" t="s">
        <v>134</v>
      </c>
      <c r="M36" s="40" t="s">
        <v>37</v>
      </c>
      <c r="N36" s="40" t="s">
        <v>37</v>
      </c>
      <c r="O36" s="40"/>
      <c r="P36" s="39"/>
    </row>
    <row r="37" spans="1:16" ht="72.5" x14ac:dyDescent="0.35">
      <c r="A37" s="39">
        <v>28</v>
      </c>
      <c r="B37" s="39" t="str">
        <f t="shared" si="4"/>
        <v>7.28</v>
      </c>
      <c r="C37" s="47" t="s">
        <v>40</v>
      </c>
      <c r="D37" s="39" t="s">
        <v>78</v>
      </c>
      <c r="E37" s="39" t="s">
        <v>35</v>
      </c>
      <c r="F37" s="39" t="s">
        <v>52</v>
      </c>
      <c r="G37" s="39" t="s">
        <v>37</v>
      </c>
      <c r="H37" s="41">
        <v>15</v>
      </c>
      <c r="I37" s="39" t="s">
        <v>403</v>
      </c>
      <c r="J37" s="40" t="s">
        <v>133</v>
      </c>
      <c r="K37" s="40" t="s">
        <v>83</v>
      </c>
      <c r="L37" s="40" t="s">
        <v>136</v>
      </c>
      <c r="M37" s="40" t="s">
        <v>190</v>
      </c>
      <c r="N37" s="40" t="s">
        <v>37</v>
      </c>
      <c r="O37" s="40"/>
      <c r="P37" s="39"/>
    </row>
    <row r="38" spans="1:16" ht="58" x14ac:dyDescent="0.35">
      <c r="A38" s="39">
        <v>29</v>
      </c>
      <c r="B38" s="39" t="str">
        <f>CONCATENATE($B$2, ".", A38)</f>
        <v>7.29</v>
      </c>
      <c r="C38" s="47" t="s">
        <v>40</v>
      </c>
      <c r="D38" s="39" t="s">
        <v>79</v>
      </c>
      <c r="E38" s="39" t="s">
        <v>33</v>
      </c>
      <c r="F38" s="39" t="s">
        <v>52</v>
      </c>
      <c r="G38" s="39" t="s">
        <v>37</v>
      </c>
      <c r="H38" s="41">
        <v>7</v>
      </c>
      <c r="I38" s="39" t="s">
        <v>403</v>
      </c>
      <c r="J38" s="40" t="s">
        <v>133</v>
      </c>
      <c r="K38" s="40" t="s">
        <v>83</v>
      </c>
      <c r="L38" s="40" t="s">
        <v>140</v>
      </c>
      <c r="M38" s="40"/>
      <c r="N38" s="40"/>
      <c r="O38" s="40"/>
      <c r="P38" s="39"/>
    </row>
    <row r="39" spans="1:16" x14ac:dyDescent="0.35">
      <c r="A39" s="80"/>
      <c r="B39" s="80"/>
      <c r="C39" s="80"/>
      <c r="D39" s="80"/>
      <c r="E39" s="80"/>
      <c r="F39" s="76"/>
      <c r="G39" s="76"/>
      <c r="H39" s="76"/>
      <c r="I39" s="76"/>
      <c r="J39" s="76"/>
      <c r="K39" s="76"/>
      <c r="L39" s="76"/>
      <c r="M39" s="76"/>
      <c r="N39" s="76"/>
      <c r="O39" s="76"/>
      <c r="P39" s="76"/>
    </row>
    <row r="40" spans="1:16" ht="29" x14ac:dyDescent="0.35">
      <c r="A40" s="6">
        <v>30</v>
      </c>
      <c r="B40" s="6" t="str">
        <f>CONCATENATE($B$2, ".", A40)</f>
        <v>7.30</v>
      </c>
      <c r="C40" s="34" t="s">
        <v>38</v>
      </c>
      <c r="D40" s="6" t="s">
        <v>60</v>
      </c>
      <c r="E40" s="6" t="s">
        <v>43</v>
      </c>
      <c r="F40" s="6" t="s">
        <v>37</v>
      </c>
      <c r="G40" s="6" t="s">
        <v>37</v>
      </c>
      <c r="H40" s="6" t="s">
        <v>37</v>
      </c>
      <c r="I40" s="6" t="s">
        <v>10</v>
      </c>
      <c r="J40" s="6" t="s">
        <v>37</v>
      </c>
      <c r="K40" s="6" t="s">
        <v>37</v>
      </c>
      <c r="L40" s="6" t="s">
        <v>37</v>
      </c>
      <c r="M40" s="6" t="s">
        <v>37</v>
      </c>
      <c r="N40" s="6" t="s">
        <v>37</v>
      </c>
      <c r="O40" s="6" t="s">
        <v>414</v>
      </c>
    </row>
    <row r="41" spans="1:16" ht="29" x14ac:dyDescent="0.35">
      <c r="A41" s="6">
        <v>31</v>
      </c>
      <c r="B41" s="6" t="str">
        <f>CONCATENATE($B$2, ".", A41)</f>
        <v>7.31</v>
      </c>
      <c r="C41" s="34" t="s">
        <v>38</v>
      </c>
      <c r="D41" s="6" t="s">
        <v>59</v>
      </c>
      <c r="E41" s="6" t="s">
        <v>43</v>
      </c>
      <c r="F41" s="6" t="s">
        <v>37</v>
      </c>
      <c r="G41" s="6" t="s">
        <v>37</v>
      </c>
      <c r="H41" s="6" t="s">
        <v>37</v>
      </c>
      <c r="I41" s="6" t="s">
        <v>10</v>
      </c>
      <c r="J41" s="6" t="s">
        <v>37</v>
      </c>
      <c r="K41" s="6" t="s">
        <v>37</v>
      </c>
      <c r="L41" s="6" t="s">
        <v>37</v>
      </c>
      <c r="M41" s="6" t="s">
        <v>37</v>
      </c>
      <c r="N41" s="6" t="s">
        <v>37</v>
      </c>
      <c r="O41" s="6" t="s">
        <v>413</v>
      </c>
    </row>
  </sheetData>
  <mergeCells count="4">
    <mergeCell ref="A12:E12"/>
    <mergeCell ref="A21:E21"/>
    <mergeCell ref="A30:E30"/>
    <mergeCell ref="A39:E39"/>
  </mergeCells>
  <conditionalFormatting sqref="C42:C1048576">
    <cfRule type="cellIs" dxfId="271" priority="49" operator="equal">
      <formula>"WIP (see comments)"</formula>
    </cfRule>
    <cfRule type="cellIs" dxfId="270" priority="50" operator="equal">
      <formula>"Removed"</formula>
    </cfRule>
    <cfRule type="cellIs" dxfId="269" priority="51" operator="equal">
      <formula>"Updated"</formula>
    </cfRule>
    <cfRule type="cellIs" dxfId="268" priority="52" operator="equal">
      <formula>"New"</formula>
    </cfRule>
  </conditionalFormatting>
  <conditionalFormatting sqref="C7:C10">
    <cfRule type="cellIs" dxfId="267" priority="41" operator="equal">
      <formula>"WIP (see comments)"</formula>
    </cfRule>
    <cfRule type="cellIs" dxfId="266" priority="42" operator="equal">
      <formula>"Removed"</formula>
    </cfRule>
    <cfRule type="cellIs" dxfId="265" priority="43" operator="equal">
      <formula>"Updated"</formula>
    </cfRule>
    <cfRule type="cellIs" dxfId="264" priority="44" operator="equal">
      <formula>"New"</formula>
    </cfRule>
  </conditionalFormatting>
  <conditionalFormatting sqref="D1">
    <cfRule type="cellIs" dxfId="263" priority="36" operator="equal">
      <formula>"n/a"</formula>
    </cfRule>
  </conditionalFormatting>
  <conditionalFormatting sqref="D3">
    <cfRule type="cellIs" dxfId="262" priority="35" operator="equal">
      <formula>"n/a"</formula>
    </cfRule>
  </conditionalFormatting>
  <conditionalFormatting sqref="A13:P13 A14:A20">
    <cfRule type="cellIs" dxfId="261" priority="1" operator="equal">
      <formula>"n/a"</formula>
    </cfRule>
  </conditionalFormatting>
  <conditionalFormatting sqref="C40:C41 C32:C38 C23:C29 C14:C20">
    <cfRule type="cellIs" dxfId="260" priority="31" operator="equal">
      <formula>"WIP (see comments)"</formula>
    </cfRule>
    <cfRule type="cellIs" dxfId="259" priority="32" operator="equal">
      <formula>"Removed"</formula>
    </cfRule>
    <cfRule type="cellIs" dxfId="258" priority="33" operator="equal">
      <formula>"Updated"</formula>
    </cfRule>
    <cfRule type="cellIs" dxfId="257" priority="34" operator="equal">
      <formula>"New"</formula>
    </cfRule>
  </conditionalFormatting>
  <conditionalFormatting sqref="C11">
    <cfRule type="cellIs" dxfId="256" priority="27" operator="equal">
      <formula>"WIP (see comments)"</formula>
    </cfRule>
    <cfRule type="cellIs" dxfId="255" priority="28" operator="equal">
      <formula>"Removed"</formula>
    </cfRule>
    <cfRule type="cellIs" dxfId="254" priority="29" operator="equal">
      <formula>"Updated"</formula>
    </cfRule>
    <cfRule type="cellIs" dxfId="253" priority="30" operator="equal">
      <formula>"New"</formula>
    </cfRule>
  </conditionalFormatting>
  <conditionalFormatting sqref="C22:C28">
    <cfRule type="cellIs" dxfId="252" priority="23" operator="equal">
      <formula>"WIP (see comments)"</formula>
    </cfRule>
    <cfRule type="cellIs" dxfId="251" priority="24" operator="equal">
      <formula>"Removed"</formula>
    </cfRule>
    <cfRule type="cellIs" dxfId="250" priority="25" operator="equal">
      <formula>"Updated"</formula>
    </cfRule>
    <cfRule type="cellIs" dxfId="249" priority="26" operator="equal">
      <formula>"New"</formula>
    </cfRule>
  </conditionalFormatting>
  <conditionalFormatting sqref="C31:C37">
    <cfRule type="cellIs" dxfId="248" priority="19" operator="equal">
      <formula>"WIP (see comments)"</formula>
    </cfRule>
    <cfRule type="cellIs" dxfId="247" priority="20" operator="equal">
      <formula>"Removed"</formula>
    </cfRule>
    <cfRule type="cellIs" dxfId="246" priority="21" operator="equal">
      <formula>"Updated"</formula>
    </cfRule>
    <cfRule type="cellIs" dxfId="245" priority="22" operator="equal">
      <formula>"New"</formula>
    </cfRule>
  </conditionalFormatting>
  <conditionalFormatting sqref="C11:P11 A40:P41 B14:P20 A22:P29 A31:P38">
    <cfRule type="cellIs" dxfId="244" priority="18" operator="equal">
      <formula>"n/a"</formula>
    </cfRule>
  </conditionalFormatting>
  <conditionalFormatting sqref="C28">
    <cfRule type="cellIs" dxfId="243" priority="14" operator="equal">
      <formula>"WIP (see comments)"</formula>
    </cfRule>
    <cfRule type="cellIs" dxfId="242" priority="15" operator="equal">
      <formula>"Removed"</formula>
    </cfRule>
    <cfRule type="cellIs" dxfId="241" priority="16" operator="equal">
      <formula>"Updated"</formula>
    </cfRule>
    <cfRule type="cellIs" dxfId="240" priority="17" operator="equal">
      <formula>"New"</formula>
    </cfRule>
  </conditionalFormatting>
  <conditionalFormatting sqref="C29">
    <cfRule type="cellIs" dxfId="239" priority="10" operator="equal">
      <formula>"WIP (see comments)"</formula>
    </cfRule>
    <cfRule type="cellIs" dxfId="238" priority="11" operator="equal">
      <formula>"Removed"</formula>
    </cfRule>
    <cfRule type="cellIs" dxfId="237" priority="12" operator="equal">
      <formula>"Updated"</formula>
    </cfRule>
    <cfRule type="cellIs" dxfId="236" priority="13" operator="equal">
      <formula>"New"</formula>
    </cfRule>
  </conditionalFormatting>
  <conditionalFormatting sqref="F12:P12 A12">
    <cfRule type="cellIs" dxfId="235" priority="9" operator="equal">
      <formula>"n/a"</formula>
    </cfRule>
  </conditionalFormatting>
  <conditionalFormatting sqref="F21:P21 A21">
    <cfRule type="cellIs" dxfId="234" priority="8" operator="equal">
      <formula>"n/a"</formula>
    </cfRule>
  </conditionalFormatting>
  <conditionalFormatting sqref="F30:P30 A30">
    <cfRule type="cellIs" dxfId="233" priority="7" operator="equal">
      <formula>"n/a"</formula>
    </cfRule>
  </conditionalFormatting>
  <conditionalFormatting sqref="F39:P39 A39">
    <cfRule type="cellIs" dxfId="232" priority="6" operator="equal">
      <formula>"n/a"</formula>
    </cfRule>
  </conditionalFormatting>
  <conditionalFormatting sqref="C13">
    <cfRule type="cellIs" dxfId="231" priority="2" operator="equal">
      <formula>"WIP (see comments)"</formula>
    </cfRule>
    <cfRule type="cellIs" dxfId="230" priority="3" operator="equal">
      <formula>"Removed"</formula>
    </cfRule>
    <cfRule type="cellIs" dxfId="229" priority="4" operator="equal">
      <formula>"Updated"</formula>
    </cfRule>
    <cfRule type="cellIs" dxfId="228" priority="5" operator="equal">
      <formula>"New"</formula>
    </cfRule>
  </conditionalFormatting>
  <dataValidations count="2">
    <dataValidation type="list" allowBlank="1" showInputMessage="1" showErrorMessage="1" sqref="C42:C1048576">
      <formula1>$B$5:$B$10</formula1>
    </dataValidation>
    <dataValidation type="list" allowBlank="1" showInputMessage="1" showErrorMessage="1" sqref="E13:E20 E40:E41 E31:E38 E22:E29">
      <formula1>$A$5:$A$25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xm:sqref>
        </x14:dataValidation>
        <x14:dataValidation type="list" allowBlank="1" showInputMessage="1" showErrorMessage="1">
          <x14:formula1>
            <xm:f>'List Values'!$A$5:$A$27</xm:f>
          </x14:formula1>
          <xm:sqref>E42:E1048576 E7:E11</xm:sqref>
        </x14:dataValidation>
        <x14:dataValidation type="list" allowBlank="1" showInputMessage="1" showErrorMessage="1">
          <x14:formula1>
            <xm:f>'List Values'!$B$5:$B$11</xm:f>
          </x14:formula1>
          <xm:sqref>C11 C13:C20 C22:C29 C31:C38 C40:C41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0" customFormat="1" ht="18.5" x14ac:dyDescent="0.35">
      <c r="A1" s="28" t="s">
        <v>6</v>
      </c>
      <c r="B1" s="38" t="s">
        <v>73</v>
      </c>
      <c r="C1" s="32"/>
      <c r="D1" s="29" t="s">
        <v>418</v>
      </c>
    </row>
    <row r="2" spans="1:16" s="30" customFormat="1" ht="18.5" x14ac:dyDescent="0.35">
      <c r="A2" s="28" t="s">
        <v>7</v>
      </c>
      <c r="B2" s="36">
        <v>8</v>
      </c>
      <c r="C2" s="35"/>
      <c r="D2" s="36"/>
    </row>
    <row r="3" spans="1:16" s="30" customFormat="1" ht="18.5" x14ac:dyDescent="0.35">
      <c r="A3" s="28" t="s">
        <v>44</v>
      </c>
      <c r="B3" s="36" t="s">
        <v>406</v>
      </c>
      <c r="C3" s="35"/>
      <c r="D3" s="36"/>
    </row>
    <row r="4" spans="1:16" s="30" customFormat="1" ht="18.5" x14ac:dyDescent="0.35">
      <c r="A4" s="28" t="s">
        <v>8</v>
      </c>
      <c r="B4" s="30" t="s">
        <v>405</v>
      </c>
      <c r="C4" s="35"/>
    </row>
    <row r="5" spans="1:16" s="4" customFormat="1" x14ac:dyDescent="0.35">
      <c r="A5" s="66"/>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CONCATENATE($B$2, ".", A7)</f>
        <v>8.1</v>
      </c>
      <c r="C7" s="34" t="s">
        <v>41</v>
      </c>
      <c r="D7" s="39" t="s">
        <v>304</v>
      </c>
      <c r="I7" s="39"/>
      <c r="J7" s="5" t="s">
        <v>37</v>
      </c>
      <c r="K7" s="5"/>
      <c r="L7" s="5"/>
      <c r="M7" s="5"/>
      <c r="N7" s="5"/>
      <c r="O7" s="5"/>
    </row>
    <row r="8" spans="1:16" x14ac:dyDescent="0.35">
      <c r="A8" s="6">
        <v>2</v>
      </c>
      <c r="B8" s="6" t="str">
        <f>CONCATENATE($B$2, ".", A8)</f>
        <v>8.2</v>
      </c>
      <c r="C8" s="34" t="s">
        <v>41</v>
      </c>
      <c r="D8" s="39" t="s">
        <v>74</v>
      </c>
      <c r="E8" s="39"/>
      <c r="I8" s="39"/>
      <c r="J8" s="5" t="s">
        <v>37</v>
      </c>
      <c r="K8" s="5"/>
      <c r="L8" s="5"/>
      <c r="M8" s="5"/>
      <c r="N8" s="5"/>
      <c r="O8" s="5"/>
    </row>
    <row r="9" spans="1:16" s="76" customFormat="1" x14ac:dyDescent="0.35">
      <c r="A9" s="80"/>
      <c r="B9" s="80"/>
      <c r="C9" s="80"/>
      <c r="D9" s="80"/>
      <c r="E9" s="80"/>
    </row>
    <row r="10" spans="1:16" s="39" customFormat="1" ht="66" customHeight="1" x14ac:dyDescent="0.35">
      <c r="A10" s="39">
        <v>3</v>
      </c>
      <c r="B10" s="39" t="str">
        <f t="shared" ref="B10" si="0">CONCATENATE($B$2, ".", A10)</f>
        <v>8.3</v>
      </c>
      <c r="C10" s="47" t="s">
        <v>41</v>
      </c>
      <c r="D10" s="39" t="s">
        <v>314</v>
      </c>
      <c r="J10" s="40"/>
      <c r="K10" s="40"/>
      <c r="L10" s="40"/>
      <c r="M10" s="40"/>
      <c r="N10" s="40"/>
      <c r="O10" s="40"/>
    </row>
    <row r="11" spans="1:16" s="39" customFormat="1" ht="128.25" customHeight="1" x14ac:dyDescent="0.35">
      <c r="A11" s="39">
        <v>4</v>
      </c>
      <c r="B11" s="39" t="str">
        <f t="shared" ref="B11:B16" si="1">CONCATENATE($B$2, ".", A11)</f>
        <v>8.4</v>
      </c>
      <c r="C11" s="47" t="s">
        <v>41</v>
      </c>
      <c r="D11" s="39" t="s">
        <v>130</v>
      </c>
      <c r="H11" s="41"/>
      <c r="J11" s="40"/>
      <c r="K11" s="40"/>
      <c r="L11" s="40"/>
      <c r="M11" s="40"/>
      <c r="N11" s="40"/>
      <c r="O11" s="40"/>
    </row>
    <row r="12" spans="1:16" s="39" customFormat="1" x14ac:dyDescent="0.35">
      <c r="A12" s="39">
        <v>5</v>
      </c>
      <c r="B12" s="39" t="str">
        <f t="shared" si="1"/>
        <v>8.5</v>
      </c>
      <c r="C12" s="47" t="s">
        <v>41</v>
      </c>
      <c r="D12" s="39" t="s">
        <v>82</v>
      </c>
      <c r="H12" s="41"/>
      <c r="J12" s="40"/>
      <c r="K12" s="40"/>
      <c r="L12" s="40"/>
      <c r="M12" s="40"/>
      <c r="N12" s="40"/>
      <c r="O12" s="40"/>
    </row>
    <row r="13" spans="1:16" s="39" customFormat="1" x14ac:dyDescent="0.35">
      <c r="A13" s="39">
        <v>6</v>
      </c>
      <c r="B13" s="39" t="str">
        <f t="shared" si="1"/>
        <v>8.6</v>
      </c>
      <c r="C13" s="47" t="s">
        <v>41</v>
      </c>
      <c r="D13" s="39" t="s">
        <v>141</v>
      </c>
      <c r="H13" s="41"/>
      <c r="J13" s="40"/>
      <c r="K13" s="40"/>
      <c r="L13" s="40"/>
      <c r="M13" s="40"/>
      <c r="N13" s="40"/>
      <c r="O13" s="40"/>
    </row>
    <row r="14" spans="1:16" s="39" customFormat="1" x14ac:dyDescent="0.35">
      <c r="A14" s="39">
        <v>7</v>
      </c>
      <c r="B14" s="39" t="str">
        <f t="shared" si="1"/>
        <v>8.7</v>
      </c>
      <c r="C14" s="47" t="s">
        <v>41</v>
      </c>
      <c r="D14" s="39" t="s">
        <v>76</v>
      </c>
      <c r="H14" s="41"/>
      <c r="J14" s="40"/>
      <c r="K14" s="40"/>
      <c r="L14" s="40"/>
      <c r="M14" s="40"/>
      <c r="N14" s="40"/>
      <c r="O14" s="40"/>
    </row>
    <row r="15" spans="1:16" s="39" customFormat="1" x14ac:dyDescent="0.35">
      <c r="A15" s="39">
        <v>8</v>
      </c>
      <c r="B15" s="39" t="str">
        <f t="shared" si="1"/>
        <v>8.8</v>
      </c>
      <c r="C15" s="47" t="s">
        <v>41</v>
      </c>
      <c r="D15" s="39" t="s">
        <v>77</v>
      </c>
      <c r="H15" s="41"/>
      <c r="J15" s="40"/>
      <c r="K15" s="40"/>
      <c r="L15" s="40"/>
      <c r="M15" s="40"/>
      <c r="N15" s="40"/>
      <c r="O15" s="40"/>
    </row>
    <row r="16" spans="1:16" s="39" customFormat="1" ht="96.75" customHeight="1" x14ac:dyDescent="0.35">
      <c r="A16" s="39">
        <v>9</v>
      </c>
      <c r="B16" s="39" t="str">
        <f t="shared" si="1"/>
        <v>8.9</v>
      </c>
      <c r="C16" s="47" t="s">
        <v>41</v>
      </c>
      <c r="D16" s="39" t="s">
        <v>78</v>
      </c>
      <c r="H16" s="41"/>
      <c r="J16" s="40"/>
      <c r="K16" s="40"/>
      <c r="L16" s="40"/>
      <c r="M16" s="40"/>
      <c r="N16" s="40"/>
      <c r="O16" s="40"/>
    </row>
    <row r="17" spans="1:15" s="39" customFormat="1" x14ac:dyDescent="0.35">
      <c r="A17" s="39">
        <v>10</v>
      </c>
      <c r="B17" s="39" t="str">
        <f>CONCATENATE($B$2, ".", A17)</f>
        <v>8.10</v>
      </c>
      <c r="C17" s="47" t="s">
        <v>41</v>
      </c>
      <c r="D17" s="39" t="s">
        <v>79</v>
      </c>
      <c r="H17" s="41"/>
      <c r="J17" s="40"/>
      <c r="K17" s="40"/>
      <c r="L17" s="40"/>
      <c r="M17" s="40"/>
      <c r="N17" s="40"/>
      <c r="O17" s="40"/>
    </row>
    <row r="18" spans="1:15" s="76" customFormat="1" x14ac:dyDescent="0.35">
      <c r="A18" s="80"/>
      <c r="B18" s="80"/>
      <c r="C18" s="80"/>
      <c r="D18" s="80"/>
      <c r="E18" s="80"/>
    </row>
    <row r="19" spans="1:15" s="39" customFormat="1" ht="66" customHeight="1" x14ac:dyDescent="0.35">
      <c r="A19" s="39">
        <v>11</v>
      </c>
      <c r="B19" s="39" t="str">
        <f t="shared" ref="B19:B25" si="2">CONCATENATE($B$2, ".", A19)</f>
        <v>8.11</v>
      </c>
      <c r="C19" s="47" t="s">
        <v>41</v>
      </c>
      <c r="D19" s="39" t="s">
        <v>87</v>
      </c>
      <c r="J19" s="40"/>
      <c r="K19" s="40"/>
      <c r="L19" s="40"/>
      <c r="M19" s="40"/>
      <c r="N19" s="40"/>
      <c r="O19" s="40"/>
    </row>
    <row r="20" spans="1:15" s="39" customFormat="1" ht="81.75" customHeight="1" x14ac:dyDescent="0.35">
      <c r="A20" s="39">
        <v>12</v>
      </c>
      <c r="B20" s="39" t="str">
        <f t="shared" si="2"/>
        <v>8.12</v>
      </c>
      <c r="C20" s="47" t="s">
        <v>41</v>
      </c>
      <c r="D20" s="39" t="s">
        <v>131</v>
      </c>
      <c r="H20" s="41"/>
      <c r="J20" s="40"/>
      <c r="K20" s="40"/>
      <c r="L20" s="40"/>
      <c r="M20" s="40"/>
      <c r="N20" s="40"/>
      <c r="O20" s="40"/>
    </row>
    <row r="21" spans="1:15" s="39" customFormat="1" ht="49.5" customHeight="1" x14ac:dyDescent="0.35">
      <c r="A21" s="39">
        <v>13</v>
      </c>
      <c r="B21" s="39" t="str">
        <f t="shared" si="2"/>
        <v>8.13</v>
      </c>
      <c r="C21" s="47" t="s">
        <v>41</v>
      </c>
      <c r="D21" s="39" t="s">
        <v>82</v>
      </c>
      <c r="H21" s="41"/>
      <c r="J21" s="40"/>
      <c r="K21" s="40"/>
      <c r="L21" s="40"/>
      <c r="M21" s="40"/>
      <c r="N21" s="40"/>
      <c r="O21" s="40"/>
    </row>
    <row r="22" spans="1:15" s="39" customFormat="1" ht="54" customHeight="1" x14ac:dyDescent="0.35">
      <c r="A22" s="39">
        <v>14</v>
      </c>
      <c r="B22" s="39" t="str">
        <f t="shared" si="2"/>
        <v>8.14</v>
      </c>
      <c r="C22" s="47" t="s">
        <v>41</v>
      </c>
      <c r="D22" s="39" t="s">
        <v>141</v>
      </c>
      <c r="H22" s="41"/>
      <c r="J22" s="40"/>
      <c r="K22" s="40"/>
      <c r="L22" s="40"/>
      <c r="M22" s="40"/>
      <c r="N22" s="40"/>
      <c r="O22" s="40"/>
    </row>
    <row r="23" spans="1:15" s="39" customFormat="1" ht="54" customHeight="1" x14ac:dyDescent="0.35">
      <c r="A23" s="39">
        <v>15</v>
      </c>
      <c r="B23" s="39" t="str">
        <f t="shared" si="2"/>
        <v>8.15</v>
      </c>
      <c r="C23" s="47" t="s">
        <v>41</v>
      </c>
      <c r="D23" s="39" t="s">
        <v>76</v>
      </c>
      <c r="H23" s="41"/>
      <c r="J23" s="40"/>
      <c r="K23" s="40"/>
      <c r="L23" s="40"/>
      <c r="M23" s="40"/>
      <c r="N23" s="40"/>
      <c r="O23" s="40"/>
    </row>
    <row r="24" spans="1:15" s="39" customFormat="1" ht="50.25" customHeight="1" x14ac:dyDescent="0.35">
      <c r="A24" s="39">
        <v>16</v>
      </c>
      <c r="B24" s="39" t="str">
        <f t="shared" si="2"/>
        <v>8.16</v>
      </c>
      <c r="C24" s="47" t="s">
        <v>41</v>
      </c>
      <c r="D24" s="39" t="s">
        <v>77</v>
      </c>
      <c r="H24" s="41"/>
      <c r="J24" s="40"/>
      <c r="K24" s="40"/>
      <c r="L24" s="40"/>
      <c r="M24" s="40"/>
      <c r="N24" s="40"/>
      <c r="O24" s="40"/>
    </row>
    <row r="25" spans="1:15" s="39" customFormat="1" x14ac:dyDescent="0.35">
      <c r="A25" s="39">
        <v>17</v>
      </c>
      <c r="B25" s="39" t="str">
        <f t="shared" si="2"/>
        <v>8.17</v>
      </c>
      <c r="C25" s="47" t="s">
        <v>41</v>
      </c>
      <c r="D25" s="39" t="s">
        <v>78</v>
      </c>
      <c r="H25" s="41"/>
      <c r="J25" s="40"/>
      <c r="K25" s="40"/>
      <c r="L25" s="40"/>
      <c r="M25" s="40"/>
      <c r="N25" s="40"/>
      <c r="O25" s="40"/>
    </row>
    <row r="26" spans="1:15" s="39" customFormat="1" x14ac:dyDescent="0.35">
      <c r="A26" s="39">
        <v>18</v>
      </c>
      <c r="B26" s="39" t="str">
        <f>CONCATENATE($B$2, ".", A26)</f>
        <v>8.18</v>
      </c>
      <c r="C26" s="47" t="s">
        <v>41</v>
      </c>
      <c r="D26" s="39" t="s">
        <v>79</v>
      </c>
      <c r="H26" s="41"/>
      <c r="J26" s="40"/>
      <c r="K26" s="40"/>
      <c r="L26" s="40"/>
      <c r="M26" s="40"/>
      <c r="N26" s="40"/>
      <c r="O26" s="40"/>
    </row>
    <row r="27" spans="1:15" s="76" customFormat="1" x14ac:dyDescent="0.35">
      <c r="A27" s="80"/>
      <c r="B27" s="80"/>
      <c r="C27" s="80"/>
      <c r="D27" s="80"/>
      <c r="E27" s="80"/>
    </row>
    <row r="28" spans="1:15" s="39" customFormat="1" ht="29" x14ac:dyDescent="0.35">
      <c r="A28" s="39">
        <v>19</v>
      </c>
      <c r="B28" s="39" t="str">
        <f t="shared" ref="B28:B34" si="3">CONCATENATE($B$2, ".", A28)</f>
        <v>8.19</v>
      </c>
      <c r="C28" s="47" t="s">
        <v>41</v>
      </c>
      <c r="D28" s="39" t="s">
        <v>233</v>
      </c>
      <c r="J28" s="40"/>
      <c r="K28" s="40"/>
      <c r="L28" s="40"/>
      <c r="M28" s="40"/>
      <c r="N28" s="40"/>
      <c r="O28" s="40"/>
    </row>
    <row r="29" spans="1:15" s="39" customFormat="1" ht="81.75" customHeight="1" x14ac:dyDescent="0.35">
      <c r="A29" s="39">
        <v>20</v>
      </c>
      <c r="B29" s="39" t="str">
        <f t="shared" si="3"/>
        <v>8.20</v>
      </c>
      <c r="C29" s="47" t="s">
        <v>41</v>
      </c>
      <c r="D29" s="39" t="s">
        <v>90</v>
      </c>
      <c r="H29" s="41"/>
      <c r="J29" s="40"/>
      <c r="K29" s="40"/>
      <c r="L29" s="40"/>
      <c r="M29" s="40"/>
      <c r="N29" s="40"/>
      <c r="O29" s="40"/>
    </row>
    <row r="30" spans="1:15" s="39" customFormat="1" ht="49.5" customHeight="1" x14ac:dyDescent="0.35">
      <c r="A30" s="39">
        <v>21</v>
      </c>
      <c r="B30" s="39" t="str">
        <f t="shared" si="3"/>
        <v>8.21</v>
      </c>
      <c r="C30" s="47" t="s">
        <v>41</v>
      </c>
      <c r="D30" s="39" t="s">
        <v>82</v>
      </c>
      <c r="H30" s="41"/>
      <c r="J30" s="40"/>
      <c r="K30" s="41"/>
      <c r="L30" s="41"/>
      <c r="M30" s="40"/>
      <c r="N30" s="40"/>
      <c r="O30" s="40"/>
    </row>
    <row r="31" spans="1:15" s="39" customFormat="1" x14ac:dyDescent="0.35">
      <c r="A31" s="39">
        <v>22</v>
      </c>
      <c r="B31" s="39" t="str">
        <f t="shared" si="3"/>
        <v>8.22</v>
      </c>
      <c r="C31" s="47" t="s">
        <v>41</v>
      </c>
      <c r="D31" s="39" t="s">
        <v>143</v>
      </c>
      <c r="H31" s="41"/>
      <c r="J31" s="40"/>
      <c r="K31" s="40"/>
      <c r="L31" s="40"/>
      <c r="M31" s="40"/>
      <c r="N31" s="40"/>
      <c r="O31" s="40"/>
    </row>
    <row r="32" spans="1:15" s="39" customFormat="1" ht="54" customHeight="1" x14ac:dyDescent="0.35">
      <c r="A32" s="39">
        <v>23</v>
      </c>
      <c r="B32" s="39" t="str">
        <f t="shared" si="3"/>
        <v>8.23</v>
      </c>
      <c r="C32" s="47" t="s">
        <v>41</v>
      </c>
      <c r="D32" s="39" t="s">
        <v>76</v>
      </c>
      <c r="H32" s="41"/>
      <c r="J32" s="40"/>
      <c r="K32" s="40"/>
      <c r="L32" s="40"/>
      <c r="M32" s="40"/>
      <c r="N32" s="40"/>
      <c r="O32" s="40"/>
    </row>
    <row r="33" spans="1:15" s="39" customFormat="1" ht="50.25" customHeight="1" x14ac:dyDescent="0.35">
      <c r="A33" s="39">
        <v>24</v>
      </c>
      <c r="B33" s="39" t="str">
        <f t="shared" si="3"/>
        <v>8.24</v>
      </c>
      <c r="C33" s="47" t="s">
        <v>41</v>
      </c>
      <c r="D33" s="39" t="s">
        <v>77</v>
      </c>
      <c r="H33" s="41"/>
      <c r="J33" s="40"/>
      <c r="K33" s="40"/>
      <c r="L33" s="40"/>
      <c r="M33" s="40"/>
      <c r="N33" s="40"/>
      <c r="O33" s="40"/>
    </row>
    <row r="34" spans="1:15" s="39" customFormat="1" x14ac:dyDescent="0.35">
      <c r="A34" s="39">
        <v>25</v>
      </c>
      <c r="B34" s="39" t="str">
        <f t="shared" si="3"/>
        <v>8.25</v>
      </c>
      <c r="C34" s="47" t="s">
        <v>41</v>
      </c>
      <c r="D34" s="39" t="s">
        <v>78</v>
      </c>
      <c r="H34" s="41"/>
      <c r="J34" s="40"/>
      <c r="K34" s="40"/>
      <c r="L34" s="40"/>
      <c r="M34" s="40"/>
      <c r="N34" s="40"/>
      <c r="O34" s="40"/>
    </row>
    <row r="35" spans="1:15" s="39" customFormat="1" x14ac:dyDescent="0.35">
      <c r="A35" s="39">
        <v>26</v>
      </c>
      <c r="B35" s="39" t="str">
        <f>CONCATENATE($B$2, ".", A35)</f>
        <v>8.26</v>
      </c>
      <c r="C35" s="47" t="s">
        <v>41</v>
      </c>
      <c r="D35" s="39" t="s">
        <v>79</v>
      </c>
      <c r="H35" s="41"/>
      <c r="J35" s="40"/>
      <c r="K35" s="40"/>
      <c r="L35" s="40"/>
      <c r="M35" s="40"/>
      <c r="N35" s="40"/>
      <c r="O35" s="40"/>
    </row>
    <row r="36" spans="1:15" s="76" customFormat="1" x14ac:dyDescent="0.35">
      <c r="A36" s="80"/>
      <c r="B36" s="80"/>
      <c r="C36" s="80"/>
      <c r="D36" s="80"/>
      <c r="E36" s="80"/>
    </row>
    <row r="37" spans="1:15" x14ac:dyDescent="0.35">
      <c r="A37" s="6">
        <v>27</v>
      </c>
      <c r="B37" s="6" t="str">
        <f>CONCATENATE($B$2, ".", A37)</f>
        <v>8.27</v>
      </c>
      <c r="C37" s="34" t="s">
        <v>41</v>
      </c>
      <c r="D37" s="6" t="s">
        <v>60</v>
      </c>
    </row>
    <row r="38" spans="1:15" x14ac:dyDescent="0.35">
      <c r="A38" s="6">
        <v>28</v>
      </c>
      <c r="B38" s="6" t="str">
        <f>CONCATENATE($B$2, ".", A38)</f>
        <v>8.28</v>
      </c>
      <c r="C38" s="34" t="s">
        <v>41</v>
      </c>
      <c r="D38" s="6" t="s">
        <v>59</v>
      </c>
    </row>
    <row r="39" spans="1:15" x14ac:dyDescent="0.35">
      <c r="I39" s="39"/>
      <c r="J39" s="5"/>
      <c r="K39" s="5"/>
      <c r="L39" s="40"/>
      <c r="M39" s="40"/>
      <c r="N39" s="40"/>
      <c r="O39" s="40"/>
    </row>
    <row r="40" spans="1:15" x14ac:dyDescent="0.35">
      <c r="I40" s="39"/>
      <c r="J40" s="5"/>
      <c r="K40" s="5"/>
      <c r="L40" s="40"/>
      <c r="M40" s="40"/>
      <c r="N40" s="40"/>
      <c r="O40" s="40"/>
    </row>
    <row r="41" spans="1:15" x14ac:dyDescent="0.35">
      <c r="I41" s="39"/>
      <c r="J41" s="5"/>
      <c r="K41" s="5"/>
      <c r="L41" s="40"/>
      <c r="M41" s="40"/>
      <c r="N41" s="40"/>
      <c r="O41" s="40"/>
    </row>
    <row r="42" spans="1:15" x14ac:dyDescent="0.35">
      <c r="I42" s="39"/>
      <c r="J42" s="5"/>
      <c r="K42" s="5"/>
      <c r="L42" s="40"/>
      <c r="M42" s="40"/>
      <c r="N42" s="40"/>
      <c r="O42" s="40"/>
    </row>
    <row r="43" spans="1:15" x14ac:dyDescent="0.35">
      <c r="I43" s="39"/>
      <c r="J43" s="5"/>
      <c r="K43" s="5"/>
      <c r="L43" s="40"/>
      <c r="M43" s="40"/>
      <c r="N43" s="40"/>
      <c r="O43" s="40"/>
    </row>
    <row r="44" spans="1:15" x14ac:dyDescent="0.35">
      <c r="I44" s="39"/>
      <c r="J44" s="5"/>
      <c r="K44" s="5"/>
      <c r="L44" s="40"/>
      <c r="M44" s="40"/>
      <c r="N44" s="40"/>
      <c r="O44" s="40"/>
    </row>
    <row r="45" spans="1:15" x14ac:dyDescent="0.35">
      <c r="I45" s="39"/>
      <c r="J45" s="5"/>
      <c r="K45" s="5"/>
      <c r="L45" s="40"/>
      <c r="M45" s="40"/>
      <c r="N45" s="40"/>
      <c r="O45" s="40"/>
    </row>
    <row r="46" spans="1:15" x14ac:dyDescent="0.35">
      <c r="I46" s="39"/>
      <c r="J46" s="5"/>
      <c r="K46" s="5"/>
      <c r="L46" s="40"/>
      <c r="M46" s="40"/>
      <c r="N46" s="40"/>
      <c r="O46" s="40"/>
    </row>
  </sheetData>
  <mergeCells count="4">
    <mergeCell ref="A9:E9"/>
    <mergeCell ref="A18:E18"/>
    <mergeCell ref="A27:E27"/>
    <mergeCell ref="A36:E36"/>
  </mergeCells>
  <conditionalFormatting sqref="C37:C1048576 C29:C35 C20:C26 C8">
    <cfRule type="cellIs" dxfId="227" priority="52" operator="equal">
      <formula>"WIP (see comments)"</formula>
    </cfRule>
    <cfRule type="cellIs" dxfId="226" priority="53" operator="equal">
      <formula>"Removed"</formula>
    </cfRule>
    <cfRule type="cellIs" dxfId="225" priority="54" operator="equal">
      <formula>"Updated"</formula>
    </cfRule>
    <cfRule type="cellIs" dxfId="224" priority="55" operator="equal">
      <formula>"New"</formula>
    </cfRule>
  </conditionalFormatting>
  <conditionalFormatting sqref="C7:C8">
    <cfRule type="cellIs" dxfId="223" priority="44" operator="equal">
      <formula>"WIP (see comments)"</formula>
    </cfRule>
    <cfRule type="cellIs" dxfId="222" priority="45" operator="equal">
      <formula>"Removed"</formula>
    </cfRule>
    <cfRule type="cellIs" dxfId="221" priority="46" operator="equal">
      <formula>"Updated"</formula>
    </cfRule>
    <cfRule type="cellIs" dxfId="220" priority="47" operator="equal">
      <formula>"New"</formula>
    </cfRule>
  </conditionalFormatting>
  <conditionalFormatting sqref="C19:C26">
    <cfRule type="cellIs" dxfId="219" priority="36" operator="equal">
      <formula>"WIP (see comments)"</formula>
    </cfRule>
    <cfRule type="cellIs" dxfId="218" priority="37" operator="equal">
      <formula>"Removed"</formula>
    </cfRule>
    <cfRule type="cellIs" dxfId="217" priority="38" operator="equal">
      <formula>"Updated"</formula>
    </cfRule>
    <cfRule type="cellIs" dxfId="216" priority="39" operator="equal">
      <formula>"New"</formula>
    </cfRule>
  </conditionalFormatting>
  <conditionalFormatting sqref="C28:C35">
    <cfRule type="cellIs" dxfId="215" priority="28" operator="equal">
      <formula>"WIP (see comments)"</formula>
    </cfRule>
    <cfRule type="cellIs" dxfId="214" priority="29" operator="equal">
      <formula>"Removed"</formula>
    </cfRule>
    <cfRule type="cellIs" dxfId="213" priority="30" operator="equal">
      <formula>"Updated"</formula>
    </cfRule>
    <cfRule type="cellIs" dxfId="212" priority="31" operator="equal">
      <formula>"New"</formula>
    </cfRule>
  </conditionalFormatting>
  <conditionalFormatting sqref="A2:XFD8 A37:XFD1048576 A1:C1 E1:XFD1 A11:B17 D11:XFD17 A19:XFD26 A28:XFD35">
    <cfRule type="cellIs" dxfId="211" priority="19" operator="equal">
      <formula>"n/a"</formula>
    </cfRule>
  </conditionalFormatting>
  <conditionalFormatting sqref="C25">
    <cfRule type="cellIs" dxfId="210" priority="15" operator="equal">
      <formula>"WIP (see comments)"</formula>
    </cfRule>
    <cfRule type="cellIs" dxfId="209" priority="16" operator="equal">
      <formula>"Removed"</formula>
    </cfRule>
    <cfRule type="cellIs" dxfId="208" priority="17" operator="equal">
      <formula>"Updated"</formula>
    </cfRule>
    <cfRule type="cellIs" dxfId="207" priority="18" operator="equal">
      <formula>"New"</formula>
    </cfRule>
  </conditionalFormatting>
  <conditionalFormatting sqref="C26">
    <cfRule type="cellIs" dxfId="206" priority="11" operator="equal">
      <formula>"WIP (see comments)"</formula>
    </cfRule>
    <cfRule type="cellIs" dxfId="205" priority="12" operator="equal">
      <formula>"Removed"</formula>
    </cfRule>
    <cfRule type="cellIs" dxfId="204" priority="13" operator="equal">
      <formula>"Updated"</formula>
    </cfRule>
    <cfRule type="cellIs" dxfId="203" priority="14" operator="equal">
      <formula>"New"</formula>
    </cfRule>
  </conditionalFormatting>
  <conditionalFormatting sqref="F9:XFD9 A9">
    <cfRule type="cellIs" dxfId="202" priority="10" operator="equal">
      <formula>"n/a"</formula>
    </cfRule>
  </conditionalFormatting>
  <conditionalFormatting sqref="F18:XFD18 A18">
    <cfRule type="cellIs" dxfId="201" priority="9" operator="equal">
      <formula>"n/a"</formula>
    </cfRule>
  </conditionalFormatting>
  <conditionalFormatting sqref="F27:XFD27 A27">
    <cfRule type="cellIs" dxfId="200" priority="8" operator="equal">
      <formula>"n/a"</formula>
    </cfRule>
  </conditionalFormatting>
  <conditionalFormatting sqref="F36:XFD36 A36">
    <cfRule type="cellIs" dxfId="199" priority="7" operator="equal">
      <formula>"n/a"</formula>
    </cfRule>
  </conditionalFormatting>
  <conditionalFormatting sqref="C10:C17">
    <cfRule type="cellIs" dxfId="198" priority="3" operator="equal">
      <formula>"WIP (see comments)"</formula>
    </cfRule>
    <cfRule type="cellIs" dxfId="197" priority="4" operator="equal">
      <formula>"Removed"</formula>
    </cfRule>
    <cfRule type="cellIs" dxfId="196" priority="5" operator="equal">
      <formula>"Updated"</formula>
    </cfRule>
    <cfRule type="cellIs" dxfId="195" priority="6" operator="equal">
      <formula>"New"</formula>
    </cfRule>
  </conditionalFormatting>
  <conditionalFormatting sqref="A10:XFD10 C11:C17">
    <cfRule type="cellIs" dxfId="194" priority="2" operator="equal">
      <formula>"n/a"</formula>
    </cfRule>
  </conditionalFormatting>
  <conditionalFormatting sqref="D1">
    <cfRule type="cellIs" dxfId="193" priority="1" operator="equal">
      <formula>"n/a"</formula>
    </cfRule>
  </conditionalFormatting>
  <dataValidations count="1">
    <dataValidation type="list" allowBlank="1" showInputMessage="1" showErrorMessage="1" sqref="E10:E17 E37:E1048576 E28:E35 E19:E26">
      <formula1>$A$5:$A$28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E7:E8</xm:sqref>
        </x14:dataValidation>
        <x14:dataValidation type="list" allowBlank="1" showInputMessage="1" showErrorMessage="1">
          <x14:formula1>
            <xm:f>'List Values'!$B$5:$B$11</xm:f>
          </x14:formula1>
          <xm:sqref>C7:C8 C37:C1048576 C10:C17 C19:C26 C28:C35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93</v>
      </c>
      <c r="C1" s="32"/>
      <c r="D1" s="29"/>
    </row>
    <row r="2" spans="1:16" s="30" customFormat="1" ht="18.5" x14ac:dyDescent="0.35">
      <c r="A2" s="28" t="s">
        <v>7</v>
      </c>
      <c r="B2" s="36">
        <v>8</v>
      </c>
      <c r="C2" s="35"/>
      <c r="D2" s="36"/>
    </row>
    <row r="3" spans="1:16" s="30" customFormat="1" ht="18.5" x14ac:dyDescent="0.35">
      <c r="A3" s="28" t="s">
        <v>44</v>
      </c>
      <c r="B3" s="36" t="s">
        <v>386</v>
      </c>
      <c r="C3" s="35"/>
      <c r="D3" s="64" t="s">
        <v>387</v>
      </c>
      <c r="E3" s="30" t="s">
        <v>74</v>
      </c>
    </row>
    <row r="4" spans="1:16" s="30" customFormat="1" ht="18.5" x14ac:dyDescent="0.35">
      <c r="A4" s="28" t="s">
        <v>8</v>
      </c>
      <c r="B4" s="30" t="s">
        <v>47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s="39" customFormat="1" x14ac:dyDescent="0.35">
      <c r="A7" s="39">
        <v>1</v>
      </c>
      <c r="B7" s="39" t="str">
        <f t="shared" ref="B7:B13" si="0">CONCATENATE($B$2, ".", A7)</f>
        <v>8.1</v>
      </c>
      <c r="C7" s="47" t="s">
        <v>40</v>
      </c>
      <c r="D7" s="39" t="s">
        <v>305</v>
      </c>
      <c r="E7" s="39" t="s">
        <v>29</v>
      </c>
      <c r="F7" s="39" t="s">
        <v>37</v>
      </c>
      <c r="G7" s="39" t="s">
        <v>37</v>
      </c>
      <c r="H7" s="39" t="s">
        <v>37</v>
      </c>
      <c r="I7" s="39" t="s">
        <v>10</v>
      </c>
      <c r="J7" s="40" t="s">
        <v>37</v>
      </c>
      <c r="K7" s="40" t="s">
        <v>37</v>
      </c>
      <c r="L7" s="40" t="s">
        <v>37</v>
      </c>
      <c r="M7" s="40" t="s">
        <v>37</v>
      </c>
      <c r="N7" s="40" t="s">
        <v>37</v>
      </c>
      <c r="O7" s="40" t="s">
        <v>37</v>
      </c>
    </row>
    <row r="8" spans="1:16" s="39" customFormat="1" x14ac:dyDescent="0.35">
      <c r="A8" s="39">
        <v>2</v>
      </c>
      <c r="B8" s="39" t="str">
        <f t="shared" si="0"/>
        <v>8.2</v>
      </c>
      <c r="C8" s="47" t="s">
        <v>40</v>
      </c>
      <c r="D8" s="39" t="s">
        <v>37</v>
      </c>
      <c r="E8" s="39" t="s">
        <v>49</v>
      </c>
      <c r="F8" s="39" t="s">
        <v>37</v>
      </c>
      <c r="G8" s="39" t="s">
        <v>37</v>
      </c>
      <c r="H8" s="39" t="s">
        <v>37</v>
      </c>
      <c r="I8" s="39" t="s">
        <v>10</v>
      </c>
      <c r="J8" s="40" t="s">
        <v>37</v>
      </c>
      <c r="K8" s="40" t="s">
        <v>37</v>
      </c>
      <c r="L8" s="40" t="s">
        <v>37</v>
      </c>
      <c r="M8" s="40" t="s">
        <v>37</v>
      </c>
      <c r="N8" s="40" t="s">
        <v>37</v>
      </c>
      <c r="O8" s="40" t="s">
        <v>37</v>
      </c>
    </row>
    <row r="9" spans="1:16" s="39" customFormat="1" ht="80.25" customHeight="1" x14ac:dyDescent="0.35">
      <c r="A9" s="39">
        <v>3</v>
      </c>
      <c r="B9" s="39" t="str">
        <f t="shared" si="0"/>
        <v>8.3</v>
      </c>
      <c r="C9" s="47" t="s">
        <v>40</v>
      </c>
      <c r="D9" s="39" t="s">
        <v>198</v>
      </c>
      <c r="E9" s="39" t="s">
        <v>95</v>
      </c>
      <c r="F9" s="39" t="s">
        <v>96</v>
      </c>
      <c r="G9" s="39" t="s">
        <v>178</v>
      </c>
      <c r="H9" s="39" t="s">
        <v>37</v>
      </c>
      <c r="I9" s="39" t="s">
        <v>10</v>
      </c>
      <c r="J9" s="40" t="s">
        <v>98</v>
      </c>
      <c r="K9" s="40" t="s">
        <v>54</v>
      </c>
      <c r="L9" s="40" t="s">
        <v>171</v>
      </c>
      <c r="M9" s="40" t="s">
        <v>99</v>
      </c>
      <c r="N9" s="40" t="s">
        <v>100</v>
      </c>
      <c r="O9" s="40" t="s">
        <v>101</v>
      </c>
    </row>
    <row r="10" spans="1:16" s="39" customFormat="1" ht="102.75" customHeight="1" x14ac:dyDescent="0.35">
      <c r="A10" s="39">
        <v>4</v>
      </c>
      <c r="B10" s="39" t="str">
        <f t="shared" si="0"/>
        <v>8.4</v>
      </c>
      <c r="C10" s="47" t="s">
        <v>40</v>
      </c>
      <c r="D10" s="39" t="s">
        <v>94</v>
      </c>
      <c r="E10" s="39" t="s">
        <v>33</v>
      </c>
      <c r="F10" s="39" t="s">
        <v>97</v>
      </c>
      <c r="G10" s="39" t="s">
        <v>177</v>
      </c>
      <c r="H10" s="41">
        <v>9</v>
      </c>
      <c r="I10" s="39" t="s">
        <v>10</v>
      </c>
      <c r="J10" s="40" t="s">
        <v>37</v>
      </c>
      <c r="K10" s="40" t="s">
        <v>91</v>
      </c>
      <c r="L10" s="39" t="s">
        <v>37</v>
      </c>
      <c r="M10" s="40" t="s">
        <v>179</v>
      </c>
      <c r="N10" s="40" t="s">
        <v>251</v>
      </c>
      <c r="O10" s="40" t="s">
        <v>37</v>
      </c>
    </row>
    <row r="11" spans="1:16" s="39" customFormat="1" ht="114" customHeight="1" x14ac:dyDescent="0.35">
      <c r="A11" s="39">
        <v>5</v>
      </c>
      <c r="B11" s="39" t="str">
        <f t="shared" si="0"/>
        <v>8.5</v>
      </c>
      <c r="C11" s="47" t="s">
        <v>40</v>
      </c>
      <c r="D11" s="39" t="s">
        <v>105</v>
      </c>
      <c r="E11" s="39" t="s">
        <v>80</v>
      </c>
      <c r="F11" s="39" t="s">
        <v>52</v>
      </c>
      <c r="G11" s="39" t="s">
        <v>201</v>
      </c>
      <c r="H11" s="47">
        <v>200</v>
      </c>
      <c r="I11" s="39" t="s">
        <v>10</v>
      </c>
      <c r="J11" s="40" t="s">
        <v>103</v>
      </c>
      <c r="K11" s="40" t="s">
        <v>54</v>
      </c>
      <c r="L11" s="40" t="s">
        <v>106</v>
      </c>
      <c r="M11" s="40" t="s">
        <v>107</v>
      </c>
      <c r="N11" s="40" t="s">
        <v>37</v>
      </c>
      <c r="O11" s="40" t="s">
        <v>200</v>
      </c>
    </row>
    <row r="12" spans="1:16" s="39" customFormat="1" ht="29" x14ac:dyDescent="0.35">
      <c r="A12" s="39">
        <v>6</v>
      </c>
      <c r="B12" s="39" t="str">
        <f>CONCATENATE($B$2, ".", A12)</f>
        <v>8.6</v>
      </c>
      <c r="C12" s="47" t="s">
        <v>45</v>
      </c>
      <c r="D12" s="39" t="s">
        <v>60</v>
      </c>
      <c r="E12" s="39" t="s">
        <v>43</v>
      </c>
      <c r="F12" s="39" t="s">
        <v>37</v>
      </c>
      <c r="G12" s="39" t="s">
        <v>37</v>
      </c>
      <c r="H12" s="39" t="s">
        <v>37</v>
      </c>
      <c r="I12" s="39" t="s">
        <v>10</v>
      </c>
      <c r="J12" s="39" t="s">
        <v>37</v>
      </c>
      <c r="K12" s="39" t="s">
        <v>37</v>
      </c>
      <c r="L12" s="39" t="s">
        <v>37</v>
      </c>
      <c r="M12" s="39" t="s">
        <v>37</v>
      </c>
      <c r="N12" s="39" t="s">
        <v>37</v>
      </c>
      <c r="O12" s="39" t="s">
        <v>384</v>
      </c>
      <c r="P12" s="39" t="s">
        <v>382</v>
      </c>
    </row>
    <row r="13" spans="1:16" s="39" customFormat="1" ht="29" x14ac:dyDescent="0.35">
      <c r="A13" s="39">
        <v>7</v>
      </c>
      <c r="B13" s="39" t="str">
        <f t="shared" si="0"/>
        <v>8.7</v>
      </c>
      <c r="C13" s="47" t="s">
        <v>38</v>
      </c>
      <c r="D13" s="39" t="s">
        <v>59</v>
      </c>
      <c r="E13" s="39" t="s">
        <v>43</v>
      </c>
      <c r="F13" s="39" t="s">
        <v>37</v>
      </c>
      <c r="G13" s="39" t="s">
        <v>37</v>
      </c>
      <c r="H13" s="39" t="s">
        <v>37</v>
      </c>
      <c r="I13" s="39" t="s">
        <v>10</v>
      </c>
      <c r="J13" s="39" t="s">
        <v>37</v>
      </c>
      <c r="K13" s="39" t="s">
        <v>37</v>
      </c>
      <c r="L13" s="39" t="s">
        <v>37</v>
      </c>
      <c r="M13" s="39" t="s">
        <v>37</v>
      </c>
      <c r="N13" s="39" t="s">
        <v>37</v>
      </c>
      <c r="O13" s="39" t="s">
        <v>385</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14:C1048576">
    <cfRule type="cellIs" dxfId="192" priority="17" operator="equal">
      <formula>"WIP (see comments)"</formula>
    </cfRule>
    <cfRule type="cellIs" dxfId="191" priority="18" operator="equal">
      <formula>"Removed"</formula>
    </cfRule>
    <cfRule type="cellIs" dxfId="190" priority="19" operator="equal">
      <formula>"Updated"</formula>
    </cfRule>
    <cfRule type="cellIs" dxfId="189" priority="20" operator="equal">
      <formula>"New"</formula>
    </cfRule>
  </conditionalFormatting>
  <conditionalFormatting sqref="C7:C13">
    <cfRule type="cellIs" dxfId="188" priority="9" operator="equal">
      <formula>"WIP (see comments)"</formula>
    </cfRule>
    <cfRule type="cellIs" dxfId="187" priority="10" operator="equal">
      <formula>"Removed"</formula>
    </cfRule>
    <cfRule type="cellIs" dxfId="186" priority="11" operator="equal">
      <formula>"Updated"</formula>
    </cfRule>
    <cfRule type="cellIs" dxfId="185" priority="12" operator="equal">
      <formula>"New"</formula>
    </cfRule>
  </conditionalFormatting>
  <conditionalFormatting sqref="B4">
    <cfRule type="cellIs" dxfId="184" priority="4" operator="equal">
      <formula>"n/a"</formula>
    </cfRule>
  </conditionalFormatting>
  <conditionalFormatting sqref="D11:O11">
    <cfRule type="cellIs" dxfId="183" priority="3" operator="equal">
      <formula>"n/a"</formula>
    </cfRule>
  </conditionalFormatting>
  <conditionalFormatting sqref="D1">
    <cfRule type="cellIs" dxfId="182" priority="2" operator="equal">
      <formula>"n/a"</formula>
    </cfRule>
  </conditionalFormatting>
  <conditionalFormatting sqref="D3">
    <cfRule type="cellIs" dxfId="181"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Values'!$A$5:$A$27</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114</v>
      </c>
      <c r="C1" s="32"/>
      <c r="D1" s="29" t="s">
        <v>354</v>
      </c>
      <c r="H1" s="35"/>
    </row>
    <row r="2" spans="1:16" s="30" customFormat="1" ht="18.5" x14ac:dyDescent="0.35">
      <c r="A2" s="28" t="s">
        <v>7</v>
      </c>
      <c r="B2" s="36">
        <v>9</v>
      </c>
      <c r="C2" s="35"/>
      <c r="D2" s="36"/>
      <c r="H2" s="35"/>
    </row>
    <row r="3" spans="1:16" s="30" customFormat="1" ht="18.5" x14ac:dyDescent="0.35">
      <c r="A3" s="28" t="s">
        <v>44</v>
      </c>
      <c r="B3" s="36"/>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9.1</v>
      </c>
      <c r="C7" s="34" t="s">
        <v>40</v>
      </c>
      <c r="D7" s="39" t="s">
        <v>306</v>
      </c>
      <c r="E7" s="39" t="s">
        <v>29</v>
      </c>
      <c r="F7" s="39" t="s">
        <v>37</v>
      </c>
      <c r="G7" s="39" t="s">
        <v>37</v>
      </c>
      <c r="H7" s="34" t="s">
        <v>37</v>
      </c>
      <c r="I7" s="39" t="s">
        <v>10</v>
      </c>
      <c r="J7" s="5" t="s">
        <v>37</v>
      </c>
      <c r="K7" s="5" t="s">
        <v>37</v>
      </c>
      <c r="L7" s="5" t="s">
        <v>37</v>
      </c>
      <c r="M7" s="5" t="s">
        <v>37</v>
      </c>
      <c r="N7" s="5" t="s">
        <v>37</v>
      </c>
      <c r="O7" s="5" t="s">
        <v>37</v>
      </c>
      <c r="P7" s="6" t="s">
        <v>324</v>
      </c>
    </row>
    <row r="8" spans="1:16" x14ac:dyDescent="0.35">
      <c r="A8" s="6">
        <v>2</v>
      </c>
      <c r="B8" s="6" t="str">
        <f t="shared" si="0"/>
        <v>9.2</v>
      </c>
      <c r="C8" s="34" t="s">
        <v>40</v>
      </c>
      <c r="D8" s="39" t="s">
        <v>37</v>
      </c>
      <c r="E8" s="39" t="s">
        <v>49</v>
      </c>
      <c r="F8" s="39" t="s">
        <v>37</v>
      </c>
      <c r="G8" s="39" t="s">
        <v>37</v>
      </c>
      <c r="H8" s="34" t="s">
        <v>37</v>
      </c>
      <c r="I8" s="39" t="s">
        <v>10</v>
      </c>
      <c r="J8" s="5" t="s">
        <v>37</v>
      </c>
      <c r="K8" s="5" t="s">
        <v>37</v>
      </c>
      <c r="L8" s="5" t="s">
        <v>37</v>
      </c>
      <c r="M8" s="5" t="s">
        <v>37</v>
      </c>
      <c r="N8" s="5" t="s">
        <v>37</v>
      </c>
      <c r="O8" s="5" t="s">
        <v>37</v>
      </c>
    </row>
    <row r="9" spans="1:16" s="39" customFormat="1" ht="144.75" customHeight="1" x14ac:dyDescent="0.35">
      <c r="A9" s="39">
        <v>3</v>
      </c>
      <c r="B9" s="39" t="str">
        <f t="shared" si="0"/>
        <v>9.3</v>
      </c>
      <c r="C9" s="34" t="s">
        <v>40</v>
      </c>
      <c r="D9" s="39" t="s">
        <v>172</v>
      </c>
      <c r="E9" s="39" t="s">
        <v>35</v>
      </c>
      <c r="F9" s="39" t="s">
        <v>262</v>
      </c>
      <c r="G9" s="39" t="s">
        <v>263</v>
      </c>
      <c r="H9" s="47" t="s">
        <v>37</v>
      </c>
      <c r="I9" s="39" t="s">
        <v>10</v>
      </c>
      <c r="J9" s="40" t="s">
        <v>103</v>
      </c>
      <c r="K9" s="40" t="s">
        <v>54</v>
      </c>
      <c r="L9" s="40" t="s">
        <v>102</v>
      </c>
      <c r="M9" s="40" t="s">
        <v>37</v>
      </c>
      <c r="N9" s="40" t="s">
        <v>37</v>
      </c>
      <c r="O9" s="40" t="s">
        <v>37</v>
      </c>
    </row>
    <row r="10" spans="1:16" s="39" customFormat="1" ht="185.25" customHeight="1" x14ac:dyDescent="0.35">
      <c r="A10" s="39">
        <v>4</v>
      </c>
      <c r="B10" s="39" t="str">
        <f t="shared" si="0"/>
        <v>9.4</v>
      </c>
      <c r="C10" s="34" t="s">
        <v>40</v>
      </c>
      <c r="D10" s="39" t="s">
        <v>173</v>
      </c>
      <c r="E10" s="39" t="s">
        <v>33</v>
      </c>
      <c r="F10" s="39" t="s">
        <v>52</v>
      </c>
      <c r="G10" s="39" t="s">
        <v>37</v>
      </c>
      <c r="H10" s="47">
        <v>30</v>
      </c>
      <c r="I10" s="39" t="s">
        <v>199</v>
      </c>
      <c r="J10" s="40" t="s">
        <v>103</v>
      </c>
      <c r="K10" s="40" t="s">
        <v>54</v>
      </c>
      <c r="L10" s="40" t="s">
        <v>174</v>
      </c>
      <c r="M10" s="40" t="s">
        <v>37</v>
      </c>
      <c r="N10" s="40" t="s">
        <v>37</v>
      </c>
      <c r="O10" s="39" t="s">
        <v>104</v>
      </c>
    </row>
    <row r="11" spans="1:16" ht="119.25" customHeight="1" x14ac:dyDescent="0.35">
      <c r="A11" s="6">
        <v>5</v>
      </c>
      <c r="B11" s="6" t="str">
        <f t="shared" si="0"/>
        <v>9.5</v>
      </c>
      <c r="C11" s="34" t="s">
        <v>40</v>
      </c>
      <c r="D11" s="39" t="s">
        <v>175</v>
      </c>
      <c r="E11" s="39" t="s">
        <v>32</v>
      </c>
      <c r="F11" s="6" t="s">
        <v>62</v>
      </c>
      <c r="G11" s="6" t="s">
        <v>176</v>
      </c>
      <c r="H11" s="34" t="s">
        <v>37</v>
      </c>
      <c r="I11" s="39" t="s">
        <v>116</v>
      </c>
      <c r="J11" s="5" t="s">
        <v>117</v>
      </c>
      <c r="K11" s="5" t="s">
        <v>54</v>
      </c>
      <c r="L11" s="5" t="s">
        <v>37</v>
      </c>
      <c r="M11" s="5" t="s">
        <v>37</v>
      </c>
      <c r="N11" s="5" t="s">
        <v>37</v>
      </c>
      <c r="O11" s="5"/>
    </row>
    <row r="12" spans="1:16" x14ac:dyDescent="0.35">
      <c r="A12" s="6">
        <v>6</v>
      </c>
      <c r="B12" s="6" t="str">
        <f>CONCATENATE($B$2, ".", A12)</f>
        <v>9.6</v>
      </c>
      <c r="C12" s="34" t="s">
        <v>40</v>
      </c>
      <c r="D12" s="6" t="s">
        <v>60</v>
      </c>
      <c r="E12" s="6" t="s">
        <v>43</v>
      </c>
      <c r="F12" s="6" t="s">
        <v>37</v>
      </c>
      <c r="G12" s="6" t="s">
        <v>37</v>
      </c>
      <c r="H12" s="34" t="s">
        <v>37</v>
      </c>
      <c r="I12" s="6" t="s">
        <v>10</v>
      </c>
      <c r="J12" s="6" t="s">
        <v>37</v>
      </c>
      <c r="K12" s="6" t="s">
        <v>37</v>
      </c>
      <c r="L12" s="6" t="s">
        <v>37</v>
      </c>
      <c r="M12" s="6" t="s">
        <v>37</v>
      </c>
      <c r="N12" s="6" t="s">
        <v>37</v>
      </c>
      <c r="O12" s="6" t="s">
        <v>282</v>
      </c>
    </row>
    <row r="13" spans="1:16" x14ac:dyDescent="0.35">
      <c r="A13" s="6">
        <v>7</v>
      </c>
      <c r="B13" s="6" t="str">
        <f t="shared" ref="B13" si="1">CONCATENATE($B$2, ".", A13)</f>
        <v>9.7</v>
      </c>
      <c r="C13" s="34" t="s">
        <v>40</v>
      </c>
      <c r="D13" s="6" t="s">
        <v>59</v>
      </c>
      <c r="E13" s="6" t="s">
        <v>43</v>
      </c>
      <c r="F13" s="6" t="s">
        <v>37</v>
      </c>
      <c r="G13" s="6" t="s">
        <v>37</v>
      </c>
      <c r="H13" s="34" t="s">
        <v>37</v>
      </c>
      <c r="I13" s="6" t="s">
        <v>10</v>
      </c>
      <c r="J13" s="6" t="s">
        <v>37</v>
      </c>
      <c r="K13" s="6" t="s">
        <v>37</v>
      </c>
      <c r="L13" s="6" t="s">
        <v>37</v>
      </c>
      <c r="M13" s="6" t="s">
        <v>37</v>
      </c>
      <c r="N13" s="6" t="s">
        <v>37</v>
      </c>
      <c r="O13" s="78" t="s">
        <v>283</v>
      </c>
    </row>
    <row r="14" spans="1:16" x14ac:dyDescent="0.35">
      <c r="I14" s="39"/>
      <c r="J14" s="5"/>
      <c r="K14" s="5"/>
      <c r="L14" s="40"/>
      <c r="M14" s="40"/>
      <c r="N14" s="40"/>
      <c r="O14" s="40"/>
    </row>
    <row r="15" spans="1:16" x14ac:dyDescent="0.35">
      <c r="D15" s="6" t="s">
        <v>74</v>
      </c>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row r="21" spans="9:15" x14ac:dyDescent="0.35">
      <c r="I21" s="39"/>
      <c r="J21" s="5"/>
      <c r="K21" s="5"/>
      <c r="L21" s="40"/>
      <c r="M21" s="40"/>
      <c r="N21" s="40"/>
      <c r="O21" s="40"/>
    </row>
  </sheetData>
  <autoFilter ref="A6:P13"/>
  <conditionalFormatting sqref="C7:C1048576">
    <cfRule type="cellIs" dxfId="180" priority="19" operator="equal">
      <formula>"WIP (see comments)"</formula>
    </cfRule>
    <cfRule type="cellIs" dxfId="179" priority="20" operator="equal">
      <formula>"Removed"</formula>
    </cfRule>
    <cfRule type="cellIs" dxfId="178" priority="21" operator="equal">
      <formula>"Updated"</formula>
    </cfRule>
    <cfRule type="cellIs" dxfId="177" priority="22" operator="equal">
      <formula>"New"</formula>
    </cfRule>
  </conditionalFormatting>
  <conditionalFormatting sqref="A9:B10 D9:XFD10">
    <cfRule type="cellIs" dxfId="176" priority="2" operator="equal">
      <formula>"n/a"</formula>
    </cfRule>
  </conditionalFormatting>
  <conditionalFormatting sqref="D1">
    <cfRule type="cellIs" dxfId="17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pane xSplit="4" ySplit="6" topLeftCell="F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108</v>
      </c>
      <c r="C1" s="32"/>
      <c r="D1" s="29" t="s">
        <v>354</v>
      </c>
      <c r="H1" s="35"/>
    </row>
    <row r="2" spans="1:16" s="30" customFormat="1" ht="18.5" x14ac:dyDescent="0.35">
      <c r="A2" s="28" t="s">
        <v>7</v>
      </c>
      <c r="B2" s="36">
        <v>10</v>
      </c>
      <c r="C2" s="35"/>
      <c r="D2" s="36"/>
      <c r="H2" s="35"/>
    </row>
    <row r="3" spans="1:16" s="30" customFormat="1" ht="18.5" x14ac:dyDescent="0.35">
      <c r="A3" s="28" t="s">
        <v>44</v>
      </c>
      <c r="B3" s="36"/>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s="39" customFormat="1" x14ac:dyDescent="0.35">
      <c r="A7" s="39">
        <v>1</v>
      </c>
      <c r="B7" s="39" t="str">
        <f t="shared" ref="B7:B15" si="0">CONCATENATE($B$2, ".", A7)</f>
        <v>10.1</v>
      </c>
      <c r="C7" s="47" t="s">
        <v>40</v>
      </c>
      <c r="D7" s="39" t="s">
        <v>307</v>
      </c>
      <c r="E7" s="39" t="s">
        <v>29</v>
      </c>
      <c r="F7" s="39" t="s">
        <v>37</v>
      </c>
      <c r="G7" s="39" t="s">
        <v>37</v>
      </c>
      <c r="H7" s="47" t="s">
        <v>37</v>
      </c>
      <c r="I7" s="39" t="s">
        <v>10</v>
      </c>
      <c r="J7" s="40" t="s">
        <v>37</v>
      </c>
      <c r="K7" s="40" t="s">
        <v>37</v>
      </c>
      <c r="L7" s="40" t="s">
        <v>37</v>
      </c>
      <c r="M7" s="40" t="s">
        <v>37</v>
      </c>
      <c r="N7" s="40" t="s">
        <v>37</v>
      </c>
      <c r="O7" s="40" t="s">
        <v>37</v>
      </c>
    </row>
    <row r="8" spans="1:16" s="39" customFormat="1" x14ac:dyDescent="0.35">
      <c r="A8" s="39">
        <v>2</v>
      </c>
      <c r="B8" s="39" t="str">
        <f t="shared" si="0"/>
        <v>10.2</v>
      </c>
      <c r="C8" s="47" t="s">
        <v>40</v>
      </c>
      <c r="D8" s="39" t="s">
        <v>37</v>
      </c>
      <c r="E8" s="39" t="s">
        <v>49</v>
      </c>
      <c r="F8" s="39" t="s">
        <v>37</v>
      </c>
      <c r="G8" s="39" t="s">
        <v>37</v>
      </c>
      <c r="H8" s="47" t="s">
        <v>37</v>
      </c>
      <c r="I8" s="39" t="s">
        <v>10</v>
      </c>
      <c r="J8" s="40" t="s">
        <v>37</v>
      </c>
      <c r="K8" s="40" t="s">
        <v>37</v>
      </c>
      <c r="L8" s="40" t="s">
        <v>37</v>
      </c>
      <c r="M8" s="40" t="s">
        <v>37</v>
      </c>
      <c r="N8" s="40" t="s">
        <v>37</v>
      </c>
      <c r="O8" s="40" t="s">
        <v>37</v>
      </c>
    </row>
    <row r="9" spans="1:16" s="39" customFormat="1" ht="43.5" x14ac:dyDescent="0.35">
      <c r="A9" s="39">
        <v>3</v>
      </c>
      <c r="B9" s="39" t="str">
        <f>CONCATENATE($B$2, ".", A9)</f>
        <v>10.3</v>
      </c>
      <c r="C9" s="47" t="s">
        <v>40</v>
      </c>
      <c r="D9" s="39" t="s">
        <v>366</v>
      </c>
      <c r="E9" s="39" t="s">
        <v>30</v>
      </c>
      <c r="F9" s="39" t="s">
        <v>64</v>
      </c>
      <c r="G9" s="39" t="s">
        <v>37</v>
      </c>
      <c r="H9" s="47" t="s">
        <v>37</v>
      </c>
      <c r="I9" s="39" t="s">
        <v>10</v>
      </c>
      <c r="J9" s="40" t="s">
        <v>110</v>
      </c>
      <c r="K9" s="40" t="s">
        <v>54</v>
      </c>
      <c r="L9" s="40" t="s">
        <v>111</v>
      </c>
      <c r="M9" s="40" t="s">
        <v>37</v>
      </c>
      <c r="N9" s="40" t="s">
        <v>37</v>
      </c>
      <c r="O9" s="40" t="s">
        <v>112</v>
      </c>
    </row>
    <row r="10" spans="1:16" s="39" customFormat="1" ht="29" x14ac:dyDescent="0.35">
      <c r="A10" s="39">
        <v>4</v>
      </c>
      <c r="B10" s="39" t="str">
        <f t="shared" ref="B10:B12" si="1">CONCATENATE($B$2, ".", A10)</f>
        <v>10.4</v>
      </c>
      <c r="C10" s="47" t="s">
        <v>40</v>
      </c>
      <c r="D10" s="46" t="s">
        <v>191</v>
      </c>
      <c r="E10" s="39" t="s">
        <v>34</v>
      </c>
      <c r="F10" s="39" t="s">
        <v>37</v>
      </c>
      <c r="G10" s="39" t="s">
        <v>194</v>
      </c>
      <c r="H10" s="47" t="s">
        <v>37</v>
      </c>
      <c r="I10" s="39" t="s">
        <v>10</v>
      </c>
      <c r="J10" s="40" t="s">
        <v>37</v>
      </c>
      <c r="K10" s="40" t="s">
        <v>37</v>
      </c>
      <c r="L10" s="40" t="s">
        <v>37</v>
      </c>
      <c r="M10" s="40" t="s">
        <v>37</v>
      </c>
      <c r="N10" s="40" t="s">
        <v>37</v>
      </c>
      <c r="O10" s="40"/>
    </row>
    <row r="11" spans="1:16" s="39" customFormat="1" ht="43.5" x14ac:dyDescent="0.35">
      <c r="A11" s="39">
        <v>5</v>
      </c>
      <c r="B11" s="39" t="str">
        <f t="shared" si="1"/>
        <v>10.5</v>
      </c>
      <c r="C11" s="47" t="s">
        <v>40</v>
      </c>
      <c r="D11" s="46" t="s">
        <v>192</v>
      </c>
      <c r="E11" s="39" t="s">
        <v>34</v>
      </c>
      <c r="F11" s="39" t="s">
        <v>37</v>
      </c>
      <c r="G11" s="39" t="s">
        <v>195</v>
      </c>
      <c r="H11" s="47" t="s">
        <v>37</v>
      </c>
      <c r="I11" s="39" t="s">
        <v>10</v>
      </c>
      <c r="J11" s="40" t="s">
        <v>37</v>
      </c>
      <c r="K11" s="40" t="s">
        <v>37</v>
      </c>
      <c r="L11" s="40" t="s">
        <v>37</v>
      </c>
      <c r="M11" s="40" t="s">
        <v>37</v>
      </c>
      <c r="N11" s="40" t="s">
        <v>37</v>
      </c>
      <c r="O11" s="40"/>
    </row>
    <row r="12" spans="1:16" s="39" customFormat="1" ht="43.5" x14ac:dyDescent="0.35">
      <c r="A12" s="39">
        <v>6</v>
      </c>
      <c r="B12" s="39" t="str">
        <f t="shared" si="1"/>
        <v>10.6</v>
      </c>
      <c r="C12" s="47" t="s">
        <v>40</v>
      </c>
      <c r="D12" s="46" t="s">
        <v>193</v>
      </c>
      <c r="E12" s="39" t="s">
        <v>34</v>
      </c>
      <c r="F12" s="39" t="s">
        <v>37</v>
      </c>
      <c r="G12" s="39" t="s">
        <v>196</v>
      </c>
      <c r="H12" s="47" t="s">
        <v>37</v>
      </c>
      <c r="I12" s="39" t="s">
        <v>10</v>
      </c>
      <c r="J12" s="40" t="s">
        <v>37</v>
      </c>
      <c r="K12" s="40" t="s">
        <v>37</v>
      </c>
      <c r="L12" s="40" t="s">
        <v>37</v>
      </c>
      <c r="M12" s="40" t="s">
        <v>37</v>
      </c>
      <c r="N12" s="40" t="s">
        <v>37</v>
      </c>
      <c r="O12" s="40"/>
    </row>
    <row r="13" spans="1:16" s="39" customFormat="1" ht="54" customHeight="1" x14ac:dyDescent="0.35">
      <c r="A13" s="39">
        <v>7</v>
      </c>
      <c r="B13" s="39" t="str">
        <f t="shared" si="0"/>
        <v>10.7</v>
      </c>
      <c r="C13" s="47" t="s">
        <v>40</v>
      </c>
      <c r="D13" s="39" t="s">
        <v>261</v>
      </c>
      <c r="E13" s="39" t="s">
        <v>123</v>
      </c>
      <c r="F13" s="39" t="s">
        <v>37</v>
      </c>
      <c r="G13" s="39" t="s">
        <v>37</v>
      </c>
      <c r="H13" s="47" t="s">
        <v>37</v>
      </c>
      <c r="I13" s="39" t="s">
        <v>10</v>
      </c>
      <c r="J13" s="40" t="s">
        <v>37</v>
      </c>
      <c r="K13" s="40" t="s">
        <v>37</v>
      </c>
      <c r="L13" s="40" t="s">
        <v>37</v>
      </c>
      <c r="M13" s="40" t="s">
        <v>37</v>
      </c>
      <c r="N13" s="40" t="s">
        <v>37</v>
      </c>
      <c r="O13" s="40" t="s">
        <v>109</v>
      </c>
    </row>
    <row r="14" spans="1:16" s="39" customFormat="1" x14ac:dyDescent="0.35">
      <c r="A14" s="39">
        <v>8</v>
      </c>
      <c r="B14" s="39" t="str">
        <f>CONCATENATE($B$2, ".", A14)</f>
        <v>10.8</v>
      </c>
      <c r="C14" s="47" t="s">
        <v>40</v>
      </c>
      <c r="D14" s="39" t="s">
        <v>60</v>
      </c>
      <c r="E14" s="39" t="s">
        <v>43</v>
      </c>
      <c r="F14" s="39" t="s">
        <v>37</v>
      </c>
      <c r="G14" s="39" t="s">
        <v>37</v>
      </c>
      <c r="H14" s="47" t="s">
        <v>37</v>
      </c>
      <c r="I14" s="39" t="s">
        <v>10</v>
      </c>
      <c r="J14" s="39" t="s">
        <v>37</v>
      </c>
      <c r="K14" s="39" t="s">
        <v>37</v>
      </c>
      <c r="L14" s="39" t="s">
        <v>37</v>
      </c>
      <c r="M14" s="39" t="s">
        <v>37</v>
      </c>
      <c r="N14" s="39" t="s">
        <v>37</v>
      </c>
      <c r="O14" s="39" t="s">
        <v>197</v>
      </c>
    </row>
    <row r="15" spans="1:16" s="39" customFormat="1" x14ac:dyDescent="0.35">
      <c r="A15" s="39">
        <v>9</v>
      </c>
      <c r="B15" s="39" t="str">
        <f t="shared" si="0"/>
        <v>10.9</v>
      </c>
      <c r="C15" s="47" t="s">
        <v>40</v>
      </c>
      <c r="D15" s="39" t="s">
        <v>59</v>
      </c>
      <c r="E15" s="39" t="s">
        <v>43</v>
      </c>
      <c r="F15" s="39" t="s">
        <v>37</v>
      </c>
      <c r="G15" s="39" t="s">
        <v>37</v>
      </c>
      <c r="H15" s="47" t="s">
        <v>37</v>
      </c>
      <c r="I15" s="39" t="s">
        <v>10</v>
      </c>
      <c r="J15" s="39" t="s">
        <v>37</v>
      </c>
      <c r="K15" s="39" t="s">
        <v>37</v>
      </c>
      <c r="L15" s="39" t="s">
        <v>37</v>
      </c>
      <c r="M15" s="39" t="s">
        <v>37</v>
      </c>
      <c r="N15" s="39" t="s">
        <v>37</v>
      </c>
      <c r="O15" s="39" t="s">
        <v>284</v>
      </c>
    </row>
    <row r="16" spans="1:16" x14ac:dyDescent="0.35">
      <c r="I16" s="39"/>
      <c r="J16" s="5"/>
      <c r="K16" s="5"/>
      <c r="L16" s="40"/>
      <c r="M16" s="40"/>
      <c r="N16" s="40"/>
      <c r="O16" s="40"/>
    </row>
    <row r="17" spans="4:15" x14ac:dyDescent="0.35">
      <c r="D17" s="6" t="s">
        <v>74</v>
      </c>
      <c r="I17" s="39"/>
      <c r="J17" s="5"/>
      <c r="K17" s="5"/>
      <c r="L17" s="40"/>
      <c r="M17" s="40"/>
      <c r="N17" s="40"/>
      <c r="O17" s="40"/>
    </row>
    <row r="18" spans="4:15" x14ac:dyDescent="0.35">
      <c r="I18" s="39"/>
      <c r="J18" s="5"/>
      <c r="K18" s="5"/>
      <c r="L18" s="40"/>
      <c r="M18" s="40"/>
      <c r="N18" s="40"/>
      <c r="O18" s="40"/>
    </row>
    <row r="19" spans="4:15" x14ac:dyDescent="0.35">
      <c r="I19" s="39"/>
      <c r="J19" s="5"/>
      <c r="K19" s="5"/>
      <c r="L19" s="40"/>
      <c r="M19" s="40"/>
      <c r="N19" s="40"/>
      <c r="O19" s="40"/>
    </row>
    <row r="20" spans="4:15" x14ac:dyDescent="0.35">
      <c r="I20" s="39"/>
      <c r="J20" s="5"/>
      <c r="K20" s="5"/>
      <c r="L20" s="40"/>
      <c r="M20" s="40"/>
      <c r="N20" s="40"/>
      <c r="O20" s="40"/>
    </row>
    <row r="21" spans="4:15" x14ac:dyDescent="0.35">
      <c r="I21" s="39"/>
      <c r="J21" s="5"/>
      <c r="K21" s="5"/>
      <c r="L21" s="40"/>
      <c r="M21" s="40"/>
      <c r="N21" s="40"/>
      <c r="O21" s="40"/>
    </row>
    <row r="22" spans="4:15" x14ac:dyDescent="0.35">
      <c r="I22" s="39"/>
      <c r="J22" s="5"/>
      <c r="K22" s="5"/>
      <c r="L22" s="40"/>
      <c r="M22" s="40"/>
      <c r="N22" s="40"/>
      <c r="O22" s="40"/>
    </row>
    <row r="23" spans="4:15" x14ac:dyDescent="0.35">
      <c r="I23" s="39"/>
      <c r="J23" s="5"/>
      <c r="K23" s="5"/>
      <c r="L23" s="40"/>
      <c r="M23" s="40"/>
      <c r="N23" s="40"/>
      <c r="O23" s="40"/>
    </row>
  </sheetData>
  <autoFilter ref="A6:P15"/>
  <conditionalFormatting sqref="C8:C1048576">
    <cfRule type="cellIs" dxfId="174" priority="24" operator="equal">
      <formula>"WIP (see comments)"</formula>
    </cfRule>
    <cfRule type="cellIs" dxfId="173" priority="25" operator="equal">
      <formula>"Removed"</formula>
    </cfRule>
    <cfRule type="cellIs" dxfId="172" priority="26" operator="equal">
      <formula>"Updated"</formula>
    </cfRule>
    <cfRule type="cellIs" dxfId="171" priority="27" operator="equal">
      <formula>"New"</formula>
    </cfRule>
  </conditionalFormatting>
  <conditionalFormatting sqref="C7:C15">
    <cfRule type="cellIs" dxfId="170" priority="16" operator="equal">
      <formula>"WIP (see comments)"</formula>
    </cfRule>
    <cfRule type="cellIs" dxfId="169" priority="17" operator="equal">
      <formula>"Removed"</formula>
    </cfRule>
    <cfRule type="cellIs" dxfId="168" priority="18" operator="equal">
      <formula>"Updated"</formula>
    </cfRule>
    <cfRule type="cellIs" dxfId="167" priority="19" operator="equal">
      <formula>"New"</formula>
    </cfRule>
  </conditionalFormatting>
  <conditionalFormatting sqref="A2:XFD3 A4 C4:XFD4 A5:XFD1048576 A1:C1 E1:XFD1">
    <cfRule type="cellIs" dxfId="166" priority="7" operator="equal">
      <formula>"n/a"</formula>
    </cfRule>
  </conditionalFormatting>
  <conditionalFormatting sqref="B4">
    <cfRule type="cellIs" dxfId="165" priority="6" operator="equal">
      <formula>"n/a"</formula>
    </cfRule>
  </conditionalFormatting>
  <conditionalFormatting sqref="C7">
    <cfRule type="cellIs" dxfId="164" priority="2" operator="equal">
      <formula>"WIP (see comments)"</formula>
    </cfRule>
    <cfRule type="cellIs" dxfId="163" priority="3" operator="equal">
      <formula>"Removed"</formula>
    </cfRule>
    <cfRule type="cellIs" dxfId="162" priority="4" operator="equal">
      <formula>"Updated"</formula>
    </cfRule>
    <cfRule type="cellIs" dxfId="161" priority="5" operator="equal">
      <formula>"New"</formula>
    </cfRule>
  </conditionalFormatting>
  <conditionalFormatting sqref="D1">
    <cfRule type="cellIs" dxfId="160" priority="1" operator="equal">
      <formula>"n/a"</formula>
    </cfRule>
  </conditionalFormatting>
  <dataValidations count="1">
    <dataValidation type="list" allowBlank="1" showInputMessage="1" showErrorMessage="1" sqref="C16: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C7:C15</xm:sqref>
        </x14:dataValidation>
        <x14:dataValidation type="list" allowBlank="1" showInputMessage="1" showErrorMessage="1">
          <x14:formula1>
            <xm:f>'List Values'!$A$5:$A$27</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0"/>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209</v>
      </c>
      <c r="C1" s="32"/>
      <c r="D1" s="29" t="s">
        <v>354</v>
      </c>
    </row>
    <row r="2" spans="1:16" s="30" customFormat="1" ht="18.5" x14ac:dyDescent="0.35">
      <c r="A2" s="28" t="s">
        <v>7</v>
      </c>
      <c r="B2" s="36">
        <v>11</v>
      </c>
      <c r="C2" s="35"/>
      <c r="D2" s="36"/>
    </row>
    <row r="3" spans="1:16" s="30" customFormat="1" ht="18.5" x14ac:dyDescent="0.35">
      <c r="A3" s="28" t="s">
        <v>44</v>
      </c>
      <c r="B3" s="36"/>
      <c r="C3" s="35"/>
      <c r="D3" s="36"/>
    </row>
    <row r="4" spans="1:16" s="30" customFormat="1" ht="18.5" x14ac:dyDescent="0.35">
      <c r="A4" s="28" t="s">
        <v>8</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3" si="0">CONCATENATE($B$2, ".", A7)</f>
        <v>11.1</v>
      </c>
      <c r="C7" s="34" t="s">
        <v>40</v>
      </c>
      <c r="D7" s="39" t="s">
        <v>264</v>
      </c>
      <c r="E7" s="6" t="s">
        <v>29</v>
      </c>
      <c r="F7" s="6" t="s">
        <v>37</v>
      </c>
      <c r="G7" s="6" t="s">
        <v>37</v>
      </c>
      <c r="H7" s="34" t="s">
        <v>37</v>
      </c>
      <c r="I7" s="39" t="s">
        <v>10</v>
      </c>
      <c r="J7" s="5" t="s">
        <v>37</v>
      </c>
      <c r="K7" s="5" t="s">
        <v>37</v>
      </c>
      <c r="L7" s="5" t="s">
        <v>37</v>
      </c>
      <c r="M7" s="5" t="s">
        <v>37</v>
      </c>
      <c r="N7" s="5" t="s">
        <v>37</v>
      </c>
      <c r="O7" s="5" t="s">
        <v>37</v>
      </c>
    </row>
    <row r="8" spans="1:16" x14ac:dyDescent="0.35">
      <c r="A8" s="6">
        <v>2</v>
      </c>
      <c r="B8" s="6" t="str">
        <f t="shared" si="0"/>
        <v>11.2</v>
      </c>
      <c r="C8" s="34" t="s">
        <v>40</v>
      </c>
      <c r="D8" s="39" t="s">
        <v>37</v>
      </c>
      <c r="E8" s="39" t="s">
        <v>49</v>
      </c>
      <c r="F8" s="6" t="s">
        <v>37</v>
      </c>
      <c r="G8" s="6" t="s">
        <v>37</v>
      </c>
      <c r="H8" s="34" t="s">
        <v>37</v>
      </c>
      <c r="I8" s="39" t="s">
        <v>10</v>
      </c>
      <c r="J8" s="5" t="s">
        <v>37</v>
      </c>
      <c r="K8" s="5" t="s">
        <v>37</v>
      </c>
      <c r="L8" s="5" t="s">
        <v>37</v>
      </c>
      <c r="M8" s="5" t="s">
        <v>37</v>
      </c>
      <c r="N8" s="5" t="s">
        <v>37</v>
      </c>
      <c r="O8" s="5" t="s">
        <v>37</v>
      </c>
    </row>
    <row r="9" spans="1:16" ht="58" x14ac:dyDescent="0.35">
      <c r="A9" s="6">
        <v>3</v>
      </c>
      <c r="B9" s="6" t="str">
        <f t="shared" si="0"/>
        <v>11.3</v>
      </c>
      <c r="C9" s="34" t="s">
        <v>40</v>
      </c>
      <c r="D9" s="39" t="s">
        <v>265</v>
      </c>
      <c r="E9" s="39" t="s">
        <v>34</v>
      </c>
      <c r="F9" s="6" t="s">
        <v>37</v>
      </c>
      <c r="G9" s="6" t="s">
        <v>37</v>
      </c>
      <c r="H9" s="34" t="s">
        <v>37</v>
      </c>
      <c r="I9" s="39" t="s">
        <v>10</v>
      </c>
      <c r="J9" s="5" t="s">
        <v>37</v>
      </c>
      <c r="K9" s="5" t="s">
        <v>37</v>
      </c>
      <c r="L9" s="5" t="s">
        <v>37</v>
      </c>
      <c r="M9" s="5" t="s">
        <v>37</v>
      </c>
      <c r="N9" s="5" t="s">
        <v>37</v>
      </c>
      <c r="O9" s="5" t="s">
        <v>37</v>
      </c>
    </row>
    <row r="10" spans="1:16" ht="29" x14ac:dyDescent="0.35">
      <c r="A10" s="6">
        <v>4</v>
      </c>
      <c r="B10" s="6" t="str">
        <f t="shared" si="0"/>
        <v>11.4</v>
      </c>
      <c r="C10" s="34" t="s">
        <v>40</v>
      </c>
      <c r="D10" s="6" t="s">
        <v>252</v>
      </c>
      <c r="E10" s="84" t="s">
        <v>32</v>
      </c>
      <c r="F10" s="6" t="s">
        <v>64</v>
      </c>
      <c r="G10" s="6" t="s">
        <v>37</v>
      </c>
      <c r="H10" s="34" t="s">
        <v>37</v>
      </c>
      <c r="I10" s="39" t="s">
        <v>10</v>
      </c>
      <c r="J10" s="5" t="s">
        <v>204</v>
      </c>
      <c r="K10" s="81" t="s">
        <v>205</v>
      </c>
      <c r="L10" s="83" t="s">
        <v>253</v>
      </c>
      <c r="M10" s="5" t="s">
        <v>37</v>
      </c>
      <c r="N10" s="5" t="s">
        <v>37</v>
      </c>
      <c r="O10" s="85" t="s">
        <v>254</v>
      </c>
    </row>
    <row r="11" spans="1:16" ht="40.5" customHeight="1" x14ac:dyDescent="0.35">
      <c r="A11" s="6">
        <v>6</v>
      </c>
      <c r="B11" s="6" t="str">
        <f t="shared" si="0"/>
        <v>11.6</v>
      </c>
      <c r="C11" s="34" t="s">
        <v>40</v>
      </c>
      <c r="D11" s="6" t="s">
        <v>355</v>
      </c>
      <c r="E11" s="84"/>
      <c r="F11" s="6" t="s">
        <v>64</v>
      </c>
      <c r="G11" s="48" t="s">
        <v>37</v>
      </c>
      <c r="H11" s="73" t="s">
        <v>37</v>
      </c>
      <c r="I11" s="50" t="s">
        <v>10</v>
      </c>
      <c r="J11" s="5" t="s">
        <v>204</v>
      </c>
      <c r="K11" s="81"/>
      <c r="L11" s="83"/>
      <c r="M11" s="5" t="s">
        <v>37</v>
      </c>
      <c r="N11" s="5" t="s">
        <v>37</v>
      </c>
      <c r="O11" s="85"/>
    </row>
    <row r="12" spans="1:16" ht="231.75" customHeight="1" x14ac:dyDescent="0.35">
      <c r="A12" s="6">
        <v>7</v>
      </c>
      <c r="B12" s="6" t="str">
        <f t="shared" si="0"/>
        <v>11.7</v>
      </c>
      <c r="C12" s="34" t="s">
        <v>40</v>
      </c>
      <c r="D12" s="34" t="s">
        <v>356</v>
      </c>
      <c r="E12" s="39" t="s">
        <v>266</v>
      </c>
      <c r="F12" s="6" t="s">
        <v>37</v>
      </c>
      <c r="G12" s="6" t="s">
        <v>37</v>
      </c>
      <c r="H12" s="73" t="s">
        <v>37</v>
      </c>
      <c r="I12" s="50" t="s">
        <v>308</v>
      </c>
      <c r="J12" s="5" t="s">
        <v>37</v>
      </c>
      <c r="K12" s="5" t="s">
        <v>37</v>
      </c>
      <c r="L12" s="5" t="s">
        <v>37</v>
      </c>
      <c r="M12" s="5" t="s">
        <v>37</v>
      </c>
      <c r="N12" s="5" t="s">
        <v>37</v>
      </c>
      <c r="O12" s="5" t="s">
        <v>309</v>
      </c>
    </row>
    <row r="13" spans="1:16" ht="81.75" customHeight="1" x14ac:dyDescent="0.35">
      <c r="A13" s="6">
        <v>8</v>
      </c>
      <c r="B13" s="6" t="str">
        <f t="shared" si="0"/>
        <v>11.8</v>
      </c>
      <c r="C13" s="34" t="s">
        <v>40</v>
      </c>
      <c r="D13" s="39" t="s">
        <v>60</v>
      </c>
      <c r="E13" s="39" t="s">
        <v>43</v>
      </c>
      <c r="F13" s="39" t="s">
        <v>37</v>
      </c>
      <c r="G13" s="39" t="s">
        <v>37</v>
      </c>
      <c r="H13" s="47" t="s">
        <v>37</v>
      </c>
      <c r="I13" s="39" t="s">
        <v>10</v>
      </c>
      <c r="J13" s="39" t="s">
        <v>37</v>
      </c>
      <c r="K13" s="39" t="s">
        <v>37</v>
      </c>
      <c r="L13" s="39" t="s">
        <v>37</v>
      </c>
      <c r="M13" s="39" t="s">
        <v>37</v>
      </c>
      <c r="N13" s="39" t="s">
        <v>37</v>
      </c>
      <c r="O13" s="39" t="s">
        <v>286</v>
      </c>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row r="19" spans="9:15" x14ac:dyDescent="0.35">
      <c r="I19" s="39"/>
      <c r="J19" s="5"/>
      <c r="K19" s="5"/>
      <c r="L19" s="40"/>
      <c r="M19" s="40"/>
      <c r="N19" s="40"/>
      <c r="O19" s="40"/>
    </row>
    <row r="20" spans="9:15" x14ac:dyDescent="0.35">
      <c r="I20" s="39"/>
      <c r="J20" s="5"/>
      <c r="K20" s="5"/>
      <c r="L20" s="40"/>
      <c r="M20" s="40"/>
      <c r="N20" s="40"/>
      <c r="O20" s="40"/>
    </row>
  </sheetData>
  <mergeCells count="4">
    <mergeCell ref="K10:K11"/>
    <mergeCell ref="L10:L11"/>
    <mergeCell ref="E10:E11"/>
    <mergeCell ref="O10:O11"/>
  </mergeCells>
  <conditionalFormatting sqref="C7:C1048576">
    <cfRule type="cellIs" dxfId="159" priority="29" operator="equal">
      <formula>"WIP (see comments)"</formula>
    </cfRule>
    <cfRule type="cellIs" dxfId="158" priority="30" operator="equal">
      <formula>"Removed"</formula>
    </cfRule>
    <cfRule type="cellIs" dxfId="157" priority="31" operator="equal">
      <formula>"Updated"</formula>
    </cfRule>
    <cfRule type="cellIs" dxfId="156" priority="32" operator="equal">
      <formula>"New"</formula>
    </cfRule>
  </conditionalFormatting>
  <conditionalFormatting sqref="D10:E10 G10:I10 M10:O10 A10:C12 M11:N11 C11:C13 A7:O9">
    <cfRule type="cellIs" dxfId="155" priority="20" operator="equal">
      <formula>"n/a"</formula>
    </cfRule>
  </conditionalFormatting>
  <conditionalFormatting sqref="D11:D12 F11:J12">
    <cfRule type="cellIs" dxfId="154" priority="19" operator="equal">
      <formula>"n/a"</formula>
    </cfRule>
  </conditionalFormatting>
  <conditionalFormatting sqref="K10:L10">
    <cfRule type="cellIs" dxfId="153" priority="18" operator="equal">
      <formula>"n/a"</formula>
    </cfRule>
  </conditionalFormatting>
  <conditionalFormatting sqref="A13:B13">
    <cfRule type="cellIs" dxfId="152" priority="12" operator="equal">
      <formula>"n/a"</formula>
    </cfRule>
  </conditionalFormatting>
  <conditionalFormatting sqref="D13:N13">
    <cfRule type="cellIs" dxfId="151" priority="11" operator="equal">
      <formula>"n/a"</formula>
    </cfRule>
  </conditionalFormatting>
  <conditionalFormatting sqref="F10">
    <cfRule type="cellIs" dxfId="150" priority="9" operator="equal">
      <formula>"n/a"</formula>
    </cfRule>
  </conditionalFormatting>
  <conditionalFormatting sqref="J10">
    <cfRule type="cellIs" dxfId="149" priority="8" operator="equal">
      <formula>"n/a"</formula>
    </cfRule>
  </conditionalFormatting>
  <conditionalFormatting sqref="E12">
    <cfRule type="cellIs" dxfId="148" priority="7" operator="equal">
      <formula>"n/a"</formula>
    </cfRule>
  </conditionalFormatting>
  <conditionalFormatting sqref="K12">
    <cfRule type="cellIs" dxfId="147" priority="6" operator="equal">
      <formula>"n/a"</formula>
    </cfRule>
  </conditionalFormatting>
  <conditionalFormatting sqref="L12">
    <cfRule type="cellIs" dxfId="146" priority="5" operator="equal">
      <formula>"n/a"</formula>
    </cfRule>
  </conditionalFormatting>
  <conditionalFormatting sqref="M12">
    <cfRule type="cellIs" dxfId="145" priority="4" operator="equal">
      <formula>"n/a"</formula>
    </cfRule>
  </conditionalFormatting>
  <conditionalFormatting sqref="N12">
    <cfRule type="cellIs" dxfId="144" priority="3" operator="equal">
      <formula>"n/a"</formula>
    </cfRule>
  </conditionalFormatting>
  <conditionalFormatting sqref="O12">
    <cfRule type="cellIs" dxfId="143" priority="2" operator="equal">
      <formula>"n/a"</formula>
    </cfRule>
  </conditionalFormatting>
  <conditionalFormatting sqref="D1">
    <cfRule type="cellIs" dxfId="142" priority="1" operator="equal">
      <formula>"n/a"</formula>
    </cfRule>
  </conditionalFormatting>
  <dataValidations count="1">
    <dataValidation type="list" allowBlank="1" showInputMessage="1" showErrorMessage="1" sqref="E12: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Values'!$A$5:$A$27</xm:f>
          </x14:formula1>
          <xm:sqref>E7:E10</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8"/>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212</v>
      </c>
      <c r="C1" s="32"/>
      <c r="D1" s="29" t="s">
        <v>354</v>
      </c>
    </row>
    <row r="2" spans="1:16" s="30" customFormat="1" ht="18.5" x14ac:dyDescent="0.35">
      <c r="A2" s="28" t="s">
        <v>7</v>
      </c>
      <c r="B2" s="36">
        <v>12</v>
      </c>
      <c r="C2" s="35"/>
      <c r="D2" s="36"/>
    </row>
    <row r="3" spans="1:16" s="30" customFormat="1" ht="18.5" x14ac:dyDescent="0.35">
      <c r="A3" s="28" t="s">
        <v>44</v>
      </c>
      <c r="B3" s="36"/>
      <c r="C3" s="35"/>
      <c r="D3" s="36"/>
    </row>
    <row r="4" spans="1:16" s="30" customFormat="1" ht="18.5" x14ac:dyDescent="0.35">
      <c r="A4" s="28" t="s">
        <v>8</v>
      </c>
      <c r="B4" s="30" t="s">
        <v>211</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6">
        <v>1</v>
      </c>
      <c r="B7" s="6" t="str">
        <f t="shared" ref="B7:B11" si="0">CONCATENATE($B$2, ".", A7)</f>
        <v>12.1</v>
      </c>
      <c r="C7" s="34" t="s">
        <v>40</v>
      </c>
      <c r="D7" s="39" t="s">
        <v>164</v>
      </c>
      <c r="E7" s="6" t="s">
        <v>29</v>
      </c>
      <c r="F7" s="6" t="s">
        <v>37</v>
      </c>
      <c r="G7" s="6" t="s">
        <v>37</v>
      </c>
      <c r="H7" s="34" t="s">
        <v>37</v>
      </c>
      <c r="I7" s="39" t="s">
        <v>10</v>
      </c>
      <c r="J7" s="5" t="s">
        <v>37</v>
      </c>
      <c r="K7" s="5" t="s">
        <v>37</v>
      </c>
      <c r="L7" s="5" t="s">
        <v>37</v>
      </c>
      <c r="M7" s="5" t="s">
        <v>37</v>
      </c>
      <c r="N7" s="5" t="s">
        <v>37</v>
      </c>
      <c r="O7" s="5" t="s">
        <v>37</v>
      </c>
    </row>
    <row r="8" spans="1:16" x14ac:dyDescent="0.35">
      <c r="A8" s="6">
        <v>2</v>
      </c>
      <c r="B8" s="6" t="str">
        <f t="shared" si="0"/>
        <v>12.2</v>
      </c>
      <c r="C8" s="34" t="s">
        <v>40</v>
      </c>
      <c r="D8" s="39" t="s">
        <v>37</v>
      </c>
      <c r="E8" s="39" t="s">
        <v>49</v>
      </c>
      <c r="F8" s="6" t="s">
        <v>37</v>
      </c>
      <c r="G8" s="6" t="s">
        <v>37</v>
      </c>
      <c r="H8" s="34" t="s">
        <v>37</v>
      </c>
      <c r="I8" s="39" t="s">
        <v>10</v>
      </c>
      <c r="J8" s="5" t="s">
        <v>37</v>
      </c>
      <c r="K8" s="5" t="s">
        <v>37</v>
      </c>
      <c r="L8" s="5" t="s">
        <v>37</v>
      </c>
      <c r="M8" s="5" t="s">
        <v>37</v>
      </c>
      <c r="N8" s="5" t="s">
        <v>37</v>
      </c>
      <c r="O8" s="5" t="s">
        <v>37</v>
      </c>
    </row>
    <row r="9" spans="1:16" ht="105.75" customHeight="1" x14ac:dyDescent="0.35">
      <c r="A9" s="6">
        <v>3</v>
      </c>
      <c r="B9" s="6" t="str">
        <f t="shared" si="0"/>
        <v>12.3</v>
      </c>
      <c r="C9" s="34" t="s">
        <v>40</v>
      </c>
      <c r="D9" s="6" t="s">
        <v>37</v>
      </c>
      <c r="E9" s="6" t="s">
        <v>232</v>
      </c>
      <c r="F9" s="6" t="s">
        <v>37</v>
      </c>
      <c r="G9" s="6" t="s">
        <v>37</v>
      </c>
      <c r="H9" s="34" t="s">
        <v>37</v>
      </c>
      <c r="I9" s="39" t="s">
        <v>10</v>
      </c>
      <c r="J9" s="5" t="s">
        <v>37</v>
      </c>
      <c r="K9" s="5" t="s">
        <v>205</v>
      </c>
      <c r="L9" s="50" t="s">
        <v>37</v>
      </c>
      <c r="M9" s="5" t="s">
        <v>37</v>
      </c>
      <c r="N9" s="5" t="s">
        <v>37</v>
      </c>
      <c r="O9" s="40" t="s">
        <v>260</v>
      </c>
    </row>
    <row r="10" spans="1:16" ht="105.75" customHeight="1" x14ac:dyDescent="0.35">
      <c r="A10" s="6">
        <v>4</v>
      </c>
      <c r="B10" s="6" t="str">
        <f t="shared" si="0"/>
        <v>12.4</v>
      </c>
      <c r="C10" s="34" t="s">
        <v>40</v>
      </c>
      <c r="D10" s="6" t="s">
        <v>59</v>
      </c>
      <c r="E10" s="6" t="s">
        <v>43</v>
      </c>
      <c r="F10" s="6" t="s">
        <v>37</v>
      </c>
      <c r="G10" s="6" t="s">
        <v>37</v>
      </c>
      <c r="H10" s="34" t="s">
        <v>37</v>
      </c>
      <c r="I10" s="39" t="s">
        <v>287</v>
      </c>
      <c r="J10" s="5" t="s">
        <v>37</v>
      </c>
      <c r="K10" s="5" t="s">
        <v>37</v>
      </c>
      <c r="L10" s="50" t="s">
        <v>37</v>
      </c>
      <c r="M10" s="5" t="s">
        <v>37</v>
      </c>
      <c r="N10" s="5" t="s">
        <v>37</v>
      </c>
      <c r="O10" s="40" t="s">
        <v>288</v>
      </c>
    </row>
    <row r="11" spans="1:16" ht="29" x14ac:dyDescent="0.35">
      <c r="A11" s="6">
        <v>5</v>
      </c>
      <c r="B11" s="6" t="str">
        <f t="shared" si="0"/>
        <v>12.5</v>
      </c>
      <c r="C11" s="34" t="s">
        <v>40</v>
      </c>
      <c r="D11" s="39" t="s">
        <v>60</v>
      </c>
      <c r="E11" s="39" t="s">
        <v>43</v>
      </c>
      <c r="F11" s="39" t="s">
        <v>37</v>
      </c>
      <c r="G11" s="39" t="s">
        <v>37</v>
      </c>
      <c r="H11" s="47" t="s">
        <v>37</v>
      </c>
      <c r="I11" s="39" t="s">
        <v>10</v>
      </c>
      <c r="J11" s="39" t="s">
        <v>37</v>
      </c>
      <c r="K11" s="39" t="s">
        <v>37</v>
      </c>
      <c r="L11" s="39" t="s">
        <v>37</v>
      </c>
      <c r="M11" s="39" t="s">
        <v>37</v>
      </c>
      <c r="N11" s="39" t="s">
        <v>37</v>
      </c>
      <c r="O11" s="39" t="s">
        <v>115</v>
      </c>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row r="16" spans="1:16" x14ac:dyDescent="0.35">
      <c r="I16" s="39"/>
      <c r="J16" s="5"/>
      <c r="K16" s="5"/>
      <c r="L16" s="40"/>
      <c r="M16" s="40"/>
      <c r="N16" s="40"/>
      <c r="O16" s="40"/>
    </row>
    <row r="17" spans="9:15" x14ac:dyDescent="0.35">
      <c r="I17" s="39"/>
      <c r="J17" s="5"/>
      <c r="K17" s="5"/>
      <c r="L17" s="40"/>
      <c r="M17" s="40"/>
      <c r="N17" s="40"/>
      <c r="O17" s="40"/>
    </row>
    <row r="18" spans="9:15" x14ac:dyDescent="0.35">
      <c r="I18" s="39"/>
      <c r="J18" s="5"/>
      <c r="K18" s="5"/>
      <c r="L18" s="40"/>
      <c r="M18" s="40"/>
      <c r="N18" s="40"/>
      <c r="O18" s="40"/>
    </row>
  </sheetData>
  <conditionalFormatting sqref="C12:C1048576">
    <cfRule type="cellIs" dxfId="141" priority="16" operator="equal">
      <formula>"WIP (see comments)"</formula>
    </cfRule>
    <cfRule type="cellIs" dxfId="140" priority="17" operator="equal">
      <formula>"Removed"</formula>
    </cfRule>
    <cfRule type="cellIs" dxfId="139" priority="18" operator="equal">
      <formula>"Updated"</formula>
    </cfRule>
    <cfRule type="cellIs" dxfId="138" priority="19" operator="equal">
      <formula>"New"</formula>
    </cfRule>
  </conditionalFormatting>
  <conditionalFormatting sqref="C7:C10">
    <cfRule type="cellIs" dxfId="137" priority="12" operator="equal">
      <formula>"WIP (see comments)"</formula>
    </cfRule>
    <cfRule type="cellIs" dxfId="136" priority="13" operator="equal">
      <formula>"Removed"</formula>
    </cfRule>
    <cfRule type="cellIs" dxfId="135" priority="14" operator="equal">
      <formula>"Updated"</formula>
    </cfRule>
    <cfRule type="cellIs" dxfId="134" priority="15" operator="equal">
      <formula>"New"</formula>
    </cfRule>
  </conditionalFormatting>
  <conditionalFormatting sqref="A2:XFD8 A12:XFD1048576 P9:XFD10 M9:N10 A9:J9 C10:J10 A10:B11 A1:C1 E1:XFD1">
    <cfRule type="cellIs" dxfId="133" priority="11" operator="equal">
      <formula>"n/a"</formula>
    </cfRule>
  </conditionalFormatting>
  <conditionalFormatting sqref="K9:L10">
    <cfRule type="cellIs" dxfId="132" priority="9" operator="equal">
      <formula>"n/a"</formula>
    </cfRule>
  </conditionalFormatting>
  <conditionalFormatting sqref="O9:O10">
    <cfRule type="cellIs" dxfId="131" priority="8" operator="equal">
      <formula>"n/a"</formula>
    </cfRule>
  </conditionalFormatting>
  <conditionalFormatting sqref="C11">
    <cfRule type="cellIs" dxfId="130" priority="4" operator="equal">
      <formula>"WIP (see comments)"</formula>
    </cfRule>
    <cfRule type="cellIs" dxfId="129" priority="5" operator="equal">
      <formula>"Removed"</formula>
    </cfRule>
    <cfRule type="cellIs" dxfId="128" priority="6" operator="equal">
      <formula>"Updated"</formula>
    </cfRule>
    <cfRule type="cellIs" dxfId="127" priority="7" operator="equal">
      <formula>"New"</formula>
    </cfRule>
  </conditionalFormatting>
  <conditionalFormatting sqref="P11:XFD11 C11">
    <cfRule type="cellIs" dxfId="126" priority="3" operator="equal">
      <formula>"n/a"</formula>
    </cfRule>
  </conditionalFormatting>
  <conditionalFormatting sqref="D11:N11">
    <cfRule type="cellIs" dxfId="125" priority="2" operator="equal">
      <formula>"n/a"</formula>
    </cfRule>
  </conditionalFormatting>
  <conditionalFormatting sqref="D1">
    <cfRule type="cellIs" dxfId="124"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xSplit="4" ySplit="6" topLeftCell="E7" activePane="bottomRight" state="frozen"/>
      <selection pane="topRight" activeCell="E1" sqref="E1"/>
      <selection pane="bottomLeft" activeCell="A7" sqref="A7"/>
      <selection pane="bottomRight" activeCell="C2" sqref="C2"/>
    </sheetView>
  </sheetViews>
  <sheetFormatPr defaultColWidth="9.1796875" defaultRowHeight="14.5" x14ac:dyDescent="0.35"/>
  <cols>
    <col min="1" max="1" width="14.7265625" style="6" customWidth="1"/>
    <col min="2" max="2" width="12.54296875" style="6" customWidth="1"/>
    <col min="3" max="3" width="15.1796875" style="3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255</v>
      </c>
      <c r="C1" s="32"/>
      <c r="D1" s="29" t="s">
        <v>354</v>
      </c>
    </row>
    <row r="2" spans="1:16" s="30" customFormat="1" ht="18.5" x14ac:dyDescent="0.35">
      <c r="A2" s="28" t="s">
        <v>7</v>
      </c>
      <c r="B2" s="36">
        <v>13</v>
      </c>
      <c r="C2" s="35"/>
      <c r="D2" s="36"/>
    </row>
    <row r="3" spans="1:16" s="30" customFormat="1" ht="18.5" x14ac:dyDescent="0.35">
      <c r="A3" s="28" t="s">
        <v>44</v>
      </c>
      <c r="B3" s="36"/>
      <c r="C3" s="35"/>
      <c r="D3" s="36"/>
    </row>
    <row r="4" spans="1:16" s="30" customFormat="1" ht="18.5" x14ac:dyDescent="0.35">
      <c r="A4" s="28" t="s">
        <v>8</v>
      </c>
      <c r="B4" s="30" t="s">
        <v>357</v>
      </c>
      <c r="C4" s="35"/>
    </row>
    <row r="5" spans="1:16" s="4" customFormat="1" x14ac:dyDescent="0.35">
      <c r="C5" s="37"/>
    </row>
    <row r="6" spans="1:16" s="31" customFormat="1" ht="15" thickBot="1" x14ac:dyDescent="0.4">
      <c r="A6" s="31" t="s">
        <v>11</v>
      </c>
      <c r="B6" s="31" t="s">
        <v>12</v>
      </c>
      <c r="C6" s="33" t="s">
        <v>26</v>
      </c>
      <c r="D6" s="31" t="s">
        <v>25</v>
      </c>
      <c r="E6" s="31" t="s">
        <v>13</v>
      </c>
      <c r="F6" s="31" t="s">
        <v>14</v>
      </c>
      <c r="G6" s="31" t="s">
        <v>15</v>
      </c>
      <c r="H6" s="31" t="s">
        <v>16</v>
      </c>
      <c r="I6" s="31" t="s">
        <v>17</v>
      </c>
      <c r="J6" s="31" t="s">
        <v>18</v>
      </c>
      <c r="K6" s="31" t="s">
        <v>19</v>
      </c>
      <c r="L6" s="31" t="s">
        <v>20</v>
      </c>
      <c r="M6" s="31" t="s">
        <v>21</v>
      </c>
      <c r="N6" s="31" t="s">
        <v>22</v>
      </c>
      <c r="O6" s="31" t="s">
        <v>23</v>
      </c>
      <c r="P6" s="31" t="s">
        <v>24</v>
      </c>
    </row>
    <row r="7" spans="1:16" x14ac:dyDescent="0.35">
      <c r="A7" s="5">
        <v>1</v>
      </c>
      <c r="B7" s="5" t="str">
        <f>CONCATENATE($B$2, ".", A7)</f>
        <v>13.1</v>
      </c>
      <c r="C7" s="72" t="s">
        <v>271</v>
      </c>
      <c r="D7" s="5" t="s">
        <v>37</v>
      </c>
      <c r="E7" s="40" t="s">
        <v>150</v>
      </c>
      <c r="F7" s="5" t="s">
        <v>37</v>
      </c>
      <c r="G7" s="5" t="s">
        <v>37</v>
      </c>
      <c r="H7" s="72" t="s">
        <v>37</v>
      </c>
      <c r="I7" s="40" t="s">
        <v>10</v>
      </c>
      <c r="J7" s="5" t="s">
        <v>37</v>
      </c>
      <c r="K7" s="5" t="s">
        <v>37</v>
      </c>
      <c r="L7" s="5" t="s">
        <v>37</v>
      </c>
      <c r="M7" s="5" t="s">
        <v>37</v>
      </c>
      <c r="N7" s="5" t="s">
        <v>37</v>
      </c>
      <c r="O7" s="40" t="s">
        <v>269</v>
      </c>
      <c r="P7" s="5"/>
    </row>
    <row r="8" spans="1:16" x14ac:dyDescent="0.35">
      <c r="A8" s="5">
        <v>2</v>
      </c>
      <c r="B8" s="5" t="str">
        <f t="shared" ref="B8" si="0">CONCATENATE($B$2, ".", A8)</f>
        <v>13.2</v>
      </c>
      <c r="C8" s="74" t="s">
        <v>271</v>
      </c>
      <c r="D8" s="40" t="s">
        <v>267</v>
      </c>
      <c r="E8" s="40" t="s">
        <v>151</v>
      </c>
      <c r="F8" s="5" t="s">
        <v>37</v>
      </c>
      <c r="G8" s="5" t="s">
        <v>37</v>
      </c>
      <c r="H8" s="72" t="s">
        <v>37</v>
      </c>
      <c r="I8" s="40" t="s">
        <v>10</v>
      </c>
      <c r="J8" s="5" t="s">
        <v>37</v>
      </c>
      <c r="K8" s="5" t="s">
        <v>37</v>
      </c>
      <c r="L8" s="5" t="s">
        <v>37</v>
      </c>
      <c r="M8" s="5" t="s">
        <v>37</v>
      </c>
      <c r="N8" s="5" t="s">
        <v>37</v>
      </c>
      <c r="O8" s="5"/>
      <c r="P8" s="5"/>
    </row>
    <row r="9" spans="1:16" ht="231" customHeight="1" x14ac:dyDescent="0.35">
      <c r="A9" s="6">
        <v>3</v>
      </c>
      <c r="B9" s="6" t="str">
        <f t="shared" ref="B9" si="1">CONCATENATE($B$2, ".", A9)</f>
        <v>13.3</v>
      </c>
      <c r="C9" s="74" t="s">
        <v>45</v>
      </c>
      <c r="D9" s="39" t="s">
        <v>268</v>
      </c>
      <c r="E9" s="39" t="s">
        <v>123</v>
      </c>
      <c r="F9" s="6" t="s">
        <v>37</v>
      </c>
      <c r="G9" s="6" t="s">
        <v>37</v>
      </c>
      <c r="H9" s="34" t="s">
        <v>37</v>
      </c>
      <c r="I9" s="39" t="s">
        <v>10</v>
      </c>
      <c r="J9" s="5" t="s">
        <v>37</v>
      </c>
      <c r="K9" s="5" t="s">
        <v>37</v>
      </c>
      <c r="L9" s="5" t="s">
        <v>37</v>
      </c>
      <c r="M9" s="5" t="s">
        <v>37</v>
      </c>
      <c r="N9" s="5" t="s">
        <v>37</v>
      </c>
      <c r="O9" s="5" t="s">
        <v>186</v>
      </c>
      <c r="P9" s="6" t="s">
        <v>358</v>
      </c>
    </row>
    <row r="10" spans="1:16" x14ac:dyDescent="0.35">
      <c r="I10" s="39"/>
      <c r="J10" s="5"/>
      <c r="K10" s="5"/>
      <c r="L10" s="40"/>
      <c r="M10" s="40"/>
      <c r="N10" s="40"/>
      <c r="O10" s="40"/>
    </row>
    <row r="11" spans="1:16" x14ac:dyDescent="0.35">
      <c r="I11" s="39"/>
      <c r="J11" s="5"/>
      <c r="K11" s="5"/>
      <c r="L11" s="40"/>
      <c r="M11" s="40"/>
      <c r="N11" s="40"/>
      <c r="O11" s="40"/>
    </row>
    <row r="12" spans="1:16" x14ac:dyDescent="0.35">
      <c r="I12" s="39"/>
      <c r="J12" s="5"/>
      <c r="K12" s="5"/>
      <c r="L12" s="40"/>
      <c r="M12" s="40"/>
      <c r="N12" s="40"/>
      <c r="O12" s="40"/>
    </row>
    <row r="13" spans="1:16" x14ac:dyDescent="0.35">
      <c r="I13" s="39"/>
      <c r="J13" s="5"/>
      <c r="K13" s="5"/>
      <c r="L13" s="40"/>
      <c r="M13" s="40"/>
      <c r="N13" s="40"/>
      <c r="O13" s="40"/>
    </row>
    <row r="14" spans="1:16" x14ac:dyDescent="0.35">
      <c r="I14" s="39"/>
      <c r="J14" s="5"/>
      <c r="K14" s="5"/>
      <c r="L14" s="40"/>
      <c r="M14" s="40"/>
      <c r="N14" s="40"/>
      <c r="O14" s="40"/>
    </row>
    <row r="15" spans="1:16" x14ac:dyDescent="0.35">
      <c r="I15" s="39"/>
      <c r="J15" s="5"/>
      <c r="K15" s="5"/>
      <c r="L15" s="40"/>
      <c r="M15" s="40"/>
      <c r="N15" s="40"/>
      <c r="O15" s="40"/>
    </row>
  </sheetData>
  <conditionalFormatting sqref="C7:C1048576">
    <cfRule type="cellIs" dxfId="123" priority="22" operator="equal">
      <formula>"WIP (see comments)"</formula>
    </cfRule>
    <cfRule type="cellIs" dxfId="122" priority="23" operator="equal">
      <formula>"Removed"</formula>
    </cfRule>
    <cfRule type="cellIs" dxfId="121" priority="24" operator="equal">
      <formula>"Updated"</formula>
    </cfRule>
    <cfRule type="cellIs" dxfId="120" priority="25" operator="equal">
      <formula>"New"</formula>
    </cfRule>
  </conditionalFormatting>
  <conditionalFormatting sqref="A9:O9">
    <cfRule type="cellIs" dxfId="119" priority="21" operator="equal">
      <formula>"n/a"</formula>
    </cfRule>
  </conditionalFormatting>
  <conditionalFormatting sqref="A8:P8 E7:O7 A7:C7 C8:C9">
    <cfRule type="cellIs" dxfId="118" priority="5" operator="equal">
      <formula>"n/a"</formula>
    </cfRule>
  </conditionalFormatting>
  <conditionalFormatting sqref="P7">
    <cfRule type="cellIs" dxfId="117" priority="4" operator="equal">
      <formula>"n/a"</formula>
    </cfRule>
  </conditionalFormatting>
  <conditionalFormatting sqref="D7">
    <cfRule type="cellIs" dxfId="116" priority="3" operator="equal">
      <formula>"-"</formula>
    </cfRule>
  </conditionalFormatting>
  <conditionalFormatting sqref="D7">
    <cfRule type="cellIs" dxfId="115" priority="2" operator="equal">
      <formula>"n/a"</formula>
    </cfRule>
  </conditionalFormatting>
  <conditionalFormatting sqref="D1">
    <cfRule type="cellIs" dxfId="1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xSplit="4" ySplit="6" topLeftCell="E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4" customWidth="1"/>
    <col min="4" max="4" width="45.1796875" style="6" customWidth="1"/>
    <col min="5" max="5" width="28.7265625" style="6" customWidth="1"/>
    <col min="6" max="6" width="37" style="6" customWidth="1"/>
    <col min="7" max="7" width="29.26953125" style="6" customWidth="1"/>
    <col min="8" max="8" width="11.54296875" style="3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0" customFormat="1" ht="18.5" x14ac:dyDescent="0.35">
      <c r="A1" s="28" t="s">
        <v>6</v>
      </c>
      <c r="B1" s="38" t="s">
        <v>113</v>
      </c>
      <c r="C1" s="32"/>
      <c r="D1" s="29" t="s">
        <v>354</v>
      </c>
      <c r="H1" s="35"/>
    </row>
    <row r="2" spans="1:16" s="30" customFormat="1" ht="18.5" x14ac:dyDescent="0.35">
      <c r="A2" s="28" t="s">
        <v>7</v>
      </c>
      <c r="B2" s="36">
        <v>14</v>
      </c>
      <c r="C2" s="35"/>
      <c r="D2" s="36"/>
      <c r="H2" s="35"/>
    </row>
    <row r="3" spans="1:16" s="30" customFormat="1" ht="18.5" x14ac:dyDescent="0.35">
      <c r="A3" s="28" t="s">
        <v>44</v>
      </c>
      <c r="B3" s="36"/>
      <c r="C3" s="35"/>
      <c r="D3" s="36"/>
      <c r="H3" s="35"/>
    </row>
    <row r="4" spans="1:16" s="30" customFormat="1" ht="18.5" x14ac:dyDescent="0.35">
      <c r="A4" s="28" t="s">
        <v>8</v>
      </c>
      <c r="B4" s="30" t="s">
        <v>47</v>
      </c>
      <c r="C4" s="35"/>
      <c r="H4" s="35"/>
    </row>
    <row r="5" spans="1:16" s="4" customFormat="1" x14ac:dyDescent="0.35">
      <c r="C5" s="37"/>
      <c r="H5" s="37"/>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ht="29" x14ac:dyDescent="0.35">
      <c r="A7" s="6">
        <v>1</v>
      </c>
      <c r="B7" s="6" t="str">
        <f t="shared" ref="B7:B16" si="0">CONCATENATE($B$2, ".", A7)</f>
        <v>14.1</v>
      </c>
      <c r="C7" s="34" t="s">
        <v>45</v>
      </c>
      <c r="D7" s="39" t="s">
        <v>310</v>
      </c>
      <c r="E7" s="6" t="s">
        <v>29</v>
      </c>
      <c r="F7" s="6" t="s">
        <v>37</v>
      </c>
      <c r="G7" s="6" t="s">
        <v>37</v>
      </c>
      <c r="H7" s="34" t="s">
        <v>37</v>
      </c>
      <c r="I7" s="39" t="s">
        <v>10</v>
      </c>
      <c r="J7" s="5" t="s">
        <v>37</v>
      </c>
      <c r="K7" s="5" t="s">
        <v>37</v>
      </c>
      <c r="L7" s="5" t="s">
        <v>37</v>
      </c>
      <c r="M7" s="5" t="s">
        <v>37</v>
      </c>
      <c r="N7" s="5" t="s">
        <v>37</v>
      </c>
      <c r="O7" s="5" t="s">
        <v>37</v>
      </c>
      <c r="P7" s="6" t="s">
        <v>324</v>
      </c>
    </row>
    <row r="8" spans="1:16" x14ac:dyDescent="0.35">
      <c r="A8" s="6">
        <v>2</v>
      </c>
      <c r="B8" s="6" t="str">
        <f t="shared" si="0"/>
        <v>14.2</v>
      </c>
      <c r="C8" s="34" t="s">
        <v>40</v>
      </c>
      <c r="D8" s="39" t="s">
        <v>37</v>
      </c>
      <c r="E8" s="39" t="s">
        <v>49</v>
      </c>
      <c r="F8" s="6" t="s">
        <v>37</v>
      </c>
      <c r="G8" s="6" t="s">
        <v>37</v>
      </c>
      <c r="H8" s="34" t="s">
        <v>37</v>
      </c>
      <c r="I8" s="39" t="s">
        <v>10</v>
      </c>
      <c r="J8" s="5" t="s">
        <v>37</v>
      </c>
      <c r="K8" s="5" t="s">
        <v>37</v>
      </c>
      <c r="L8" s="5" t="s">
        <v>37</v>
      </c>
      <c r="M8" s="5" t="s">
        <v>37</v>
      </c>
      <c r="N8" s="5" t="s">
        <v>37</v>
      </c>
      <c r="O8" s="5" t="s">
        <v>37</v>
      </c>
    </row>
    <row r="9" spans="1:16" ht="43.5" x14ac:dyDescent="0.35">
      <c r="A9" s="6">
        <v>3</v>
      </c>
      <c r="B9" s="6" t="str">
        <f t="shared" si="0"/>
        <v>14.3</v>
      </c>
      <c r="C9" s="34" t="s">
        <v>40</v>
      </c>
      <c r="D9" s="39" t="s">
        <v>213</v>
      </c>
      <c r="E9" s="39" t="s">
        <v>30</v>
      </c>
      <c r="F9" s="6" t="s">
        <v>64</v>
      </c>
      <c r="G9" s="6" t="s">
        <v>37</v>
      </c>
      <c r="H9" s="34" t="s">
        <v>37</v>
      </c>
      <c r="I9" s="39" t="s">
        <v>10</v>
      </c>
      <c r="J9" s="5" t="s">
        <v>110</v>
      </c>
      <c r="K9" s="5" t="s">
        <v>54</v>
      </c>
      <c r="L9" s="40" t="s">
        <v>111</v>
      </c>
      <c r="M9" s="5" t="s">
        <v>37</v>
      </c>
      <c r="N9" s="5" t="s">
        <v>37</v>
      </c>
      <c r="O9" s="5" t="s">
        <v>37</v>
      </c>
    </row>
    <row r="10" spans="1:16" ht="43.5" x14ac:dyDescent="0.35">
      <c r="A10" s="6">
        <v>4</v>
      </c>
      <c r="B10" s="6" t="str">
        <f t="shared" si="0"/>
        <v>14.4</v>
      </c>
      <c r="C10" s="34" t="s">
        <v>45</v>
      </c>
      <c r="D10" s="53" t="s">
        <v>360</v>
      </c>
      <c r="E10" s="6" t="s">
        <v>123</v>
      </c>
      <c r="F10" s="6" t="s">
        <v>37</v>
      </c>
      <c r="G10" s="6" t="s">
        <v>37</v>
      </c>
      <c r="H10" s="34" t="s">
        <v>37</v>
      </c>
      <c r="I10" s="6" t="s">
        <v>10</v>
      </c>
      <c r="J10" s="6" t="s">
        <v>37</v>
      </c>
      <c r="K10" s="6" t="s">
        <v>37</v>
      </c>
      <c r="L10" s="6" t="s">
        <v>37</v>
      </c>
      <c r="M10" s="6" t="s">
        <v>37</v>
      </c>
      <c r="N10" s="6" t="s">
        <v>37</v>
      </c>
      <c r="O10" s="40" t="s">
        <v>214</v>
      </c>
      <c r="P10" s="6" t="s">
        <v>359</v>
      </c>
    </row>
    <row r="11" spans="1:16" ht="191.25" customHeight="1" x14ac:dyDescent="0.35">
      <c r="A11" s="6">
        <v>5</v>
      </c>
      <c r="B11" s="6" t="str">
        <f t="shared" si="0"/>
        <v>14.5</v>
      </c>
      <c r="C11" s="34" t="s">
        <v>40</v>
      </c>
      <c r="D11" s="53" t="s">
        <v>215</v>
      </c>
      <c r="E11" s="6" t="s">
        <v>34</v>
      </c>
      <c r="F11" s="6" t="s">
        <v>37</v>
      </c>
      <c r="G11" s="39" t="s">
        <v>216</v>
      </c>
      <c r="H11" s="34" t="s">
        <v>37</v>
      </c>
      <c r="I11" s="6" t="s">
        <v>10</v>
      </c>
      <c r="J11" s="6" t="s">
        <v>37</v>
      </c>
      <c r="K11" s="6" t="s">
        <v>37</v>
      </c>
      <c r="L11" s="6" t="s">
        <v>37</v>
      </c>
      <c r="M11" s="6" t="s">
        <v>37</v>
      </c>
      <c r="N11" s="6" t="s">
        <v>37</v>
      </c>
      <c r="O11" s="40" t="s">
        <v>37</v>
      </c>
    </row>
    <row r="12" spans="1:16" ht="214.5" customHeight="1" x14ac:dyDescent="0.35">
      <c r="A12" s="6">
        <v>6</v>
      </c>
      <c r="B12" s="6" t="str">
        <f t="shared" si="0"/>
        <v>14.6</v>
      </c>
      <c r="C12" s="34" t="s">
        <v>40</v>
      </c>
      <c r="D12" s="53" t="s">
        <v>217</v>
      </c>
      <c r="E12" s="6" t="s">
        <v>34</v>
      </c>
      <c r="F12" s="6" t="s">
        <v>37</v>
      </c>
      <c r="G12" s="39" t="s">
        <v>216</v>
      </c>
      <c r="H12" s="34" t="s">
        <v>37</v>
      </c>
      <c r="I12" s="6" t="s">
        <v>10</v>
      </c>
      <c r="J12" s="6" t="s">
        <v>37</v>
      </c>
      <c r="K12" s="6" t="s">
        <v>37</v>
      </c>
      <c r="L12" s="6" t="s">
        <v>37</v>
      </c>
      <c r="M12" s="6" t="s">
        <v>37</v>
      </c>
      <c r="N12" s="6" t="s">
        <v>37</v>
      </c>
      <c r="O12" s="40" t="s">
        <v>37</v>
      </c>
    </row>
    <row r="13" spans="1:16" ht="195.75" customHeight="1" x14ac:dyDescent="0.35">
      <c r="A13" s="6">
        <v>7</v>
      </c>
      <c r="B13" s="6" t="str">
        <f t="shared" si="0"/>
        <v>14.7</v>
      </c>
      <c r="C13" s="34" t="s">
        <v>40</v>
      </c>
      <c r="D13" s="53" t="s">
        <v>218</v>
      </c>
      <c r="E13" s="6" t="s">
        <v>34</v>
      </c>
      <c r="F13" s="6" t="s">
        <v>37</v>
      </c>
      <c r="G13" s="39" t="s">
        <v>216</v>
      </c>
      <c r="H13" s="34" t="s">
        <v>37</v>
      </c>
      <c r="I13" s="6" t="s">
        <v>10</v>
      </c>
      <c r="J13" s="6" t="s">
        <v>37</v>
      </c>
      <c r="K13" s="6" t="s">
        <v>37</v>
      </c>
      <c r="L13" s="6" t="s">
        <v>37</v>
      </c>
      <c r="M13" s="6" t="s">
        <v>37</v>
      </c>
      <c r="N13" s="6" t="s">
        <v>37</v>
      </c>
      <c r="O13" s="40" t="s">
        <v>37</v>
      </c>
    </row>
    <row r="14" spans="1:16" ht="87" customHeight="1" x14ac:dyDescent="0.35">
      <c r="A14" s="6">
        <v>8</v>
      </c>
      <c r="B14" s="6" t="str">
        <f t="shared" si="0"/>
        <v>14.8</v>
      </c>
      <c r="C14" s="34" t="s">
        <v>40</v>
      </c>
      <c r="D14" s="46" t="s">
        <v>219</v>
      </c>
      <c r="E14" s="6" t="s">
        <v>34</v>
      </c>
      <c r="F14" s="6" t="s">
        <v>37</v>
      </c>
      <c r="G14" s="6" t="s">
        <v>353</v>
      </c>
      <c r="H14" s="34" t="s">
        <v>37</v>
      </c>
      <c r="I14" s="6" t="s">
        <v>10</v>
      </c>
      <c r="J14" s="6" t="s">
        <v>37</v>
      </c>
      <c r="K14" s="6" t="s">
        <v>37</v>
      </c>
      <c r="L14" s="6" t="s">
        <v>37</v>
      </c>
      <c r="M14" s="6" t="s">
        <v>37</v>
      </c>
      <c r="N14" s="6" t="s">
        <v>37</v>
      </c>
      <c r="O14" s="40" t="s">
        <v>37</v>
      </c>
    </row>
    <row r="15" spans="1:16" ht="87" x14ac:dyDescent="0.35">
      <c r="A15" s="6">
        <v>9</v>
      </c>
      <c r="B15" s="6" t="str">
        <f t="shared" si="0"/>
        <v>14.9</v>
      </c>
      <c r="C15" s="34" t="s">
        <v>40</v>
      </c>
      <c r="D15" s="6" t="s">
        <v>361</v>
      </c>
      <c r="E15" s="6" t="s">
        <v>34</v>
      </c>
      <c r="F15" s="6" t="s">
        <v>37</v>
      </c>
      <c r="G15" s="6" t="s">
        <v>37</v>
      </c>
      <c r="H15" s="34" t="s">
        <v>37</v>
      </c>
      <c r="I15" s="6" t="s">
        <v>10</v>
      </c>
      <c r="J15" s="6" t="s">
        <v>37</v>
      </c>
      <c r="K15" s="6" t="s">
        <v>37</v>
      </c>
      <c r="L15" s="6" t="s">
        <v>37</v>
      </c>
      <c r="M15" s="6" t="s">
        <v>37</v>
      </c>
      <c r="N15" s="6" t="s">
        <v>37</v>
      </c>
      <c r="O15" s="40" t="s">
        <v>37</v>
      </c>
    </row>
    <row r="16" spans="1:16" x14ac:dyDescent="0.35">
      <c r="A16" s="6">
        <v>10</v>
      </c>
      <c r="B16" s="6" t="str">
        <f t="shared" si="0"/>
        <v>14.10</v>
      </c>
      <c r="C16" s="34" t="s">
        <v>40</v>
      </c>
      <c r="D16" s="39" t="s">
        <v>60</v>
      </c>
      <c r="E16" s="39" t="s">
        <v>43</v>
      </c>
      <c r="F16" s="39" t="s">
        <v>37</v>
      </c>
      <c r="G16" s="39" t="s">
        <v>37</v>
      </c>
      <c r="H16" s="47" t="s">
        <v>37</v>
      </c>
      <c r="I16" s="39" t="s">
        <v>10</v>
      </c>
      <c r="J16" s="39" t="s">
        <v>37</v>
      </c>
      <c r="K16" s="39" t="s">
        <v>37</v>
      </c>
      <c r="L16" s="39" t="s">
        <v>37</v>
      </c>
      <c r="M16" s="39" t="s">
        <v>37</v>
      </c>
      <c r="N16" s="39" t="s">
        <v>37</v>
      </c>
      <c r="O16" s="39" t="s">
        <v>285</v>
      </c>
    </row>
  </sheetData>
  <autoFilter ref="A6:P6"/>
  <conditionalFormatting sqref="C17:C1048576">
    <cfRule type="cellIs" dxfId="113" priority="25" operator="equal">
      <formula>"WIP (see comments)"</formula>
    </cfRule>
    <cfRule type="cellIs" dxfId="112" priority="26" operator="equal">
      <formula>"Removed"</formula>
    </cfRule>
    <cfRule type="cellIs" dxfId="111" priority="27" operator="equal">
      <formula>"Updated"</formula>
    </cfRule>
    <cfRule type="cellIs" dxfId="110" priority="28" operator="equal">
      <formula>"New"</formula>
    </cfRule>
  </conditionalFormatting>
  <conditionalFormatting sqref="C8:C16">
    <cfRule type="cellIs" dxfId="109" priority="9" operator="equal">
      <formula>"WIP (see comments)"</formula>
    </cfRule>
    <cfRule type="cellIs" dxfId="108" priority="10" operator="equal">
      <formula>"Removed"</formula>
    </cfRule>
    <cfRule type="cellIs" dxfId="107" priority="11" operator="equal">
      <formula>"Updated"</formula>
    </cfRule>
    <cfRule type="cellIs" dxfId="106" priority="12" operator="equal">
      <formula>"New"</formula>
    </cfRule>
  </conditionalFormatting>
  <conditionalFormatting sqref="C7">
    <cfRule type="cellIs" dxfId="105" priority="5" operator="equal">
      <formula>"WIP (see comments)"</formula>
    </cfRule>
    <cfRule type="cellIs" dxfId="104" priority="6" operator="equal">
      <formula>"Removed"</formula>
    </cfRule>
    <cfRule type="cellIs" dxfId="103" priority="7" operator="equal">
      <formula>"Updated"</formula>
    </cfRule>
    <cfRule type="cellIs" dxfId="102" priority="8" operator="equal">
      <formula>"New"</formula>
    </cfRule>
  </conditionalFormatting>
  <conditionalFormatting sqref="A16:C16 P16:XFD16 C9:C16 A7:XFD9 A11:XFD15 A10:O10 Q10:XFD10">
    <cfRule type="cellIs" dxfId="101" priority="4" operator="equal">
      <formula>"n/a"</formula>
    </cfRule>
  </conditionalFormatting>
  <conditionalFormatting sqref="D16:N16">
    <cfRule type="cellIs" dxfId="100" priority="3" operator="equal">
      <formula>"n/a"</formula>
    </cfRule>
  </conditionalFormatting>
  <conditionalFormatting sqref="D1">
    <cfRule type="cellIs" dxfId="99" priority="2" operator="equal">
      <formula>"n/a"</formula>
    </cfRule>
  </conditionalFormatting>
  <conditionalFormatting sqref="P10">
    <cfRule type="cellIs" dxfId="9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pane="topRight" activeCell="E1" sqref="E1"/>
      <selection pane="bottomLeft" activeCell="A7" sqref="A7"/>
      <selection pane="bottomRight" activeCell="A10" sqref="A10"/>
    </sheetView>
  </sheetViews>
  <sheetFormatPr defaultColWidth="9.1796875" defaultRowHeight="14.5" x14ac:dyDescent="0.35"/>
  <cols>
    <col min="1" max="1" width="14.7265625" style="5" customWidth="1"/>
    <col min="2" max="2" width="12.54296875" style="5" customWidth="1"/>
    <col min="3" max="3" width="14.269531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152</v>
      </c>
      <c r="C1" s="32"/>
      <c r="D1" s="29" t="s">
        <v>354</v>
      </c>
      <c r="H1" s="35"/>
    </row>
    <row r="2" spans="1:16" s="30" customFormat="1" ht="18.5" x14ac:dyDescent="0.35">
      <c r="A2" s="28" t="s">
        <v>7</v>
      </c>
      <c r="B2" s="36" t="s">
        <v>180</v>
      </c>
      <c r="C2" s="35"/>
      <c r="D2" s="36"/>
      <c r="H2" s="35"/>
    </row>
    <row r="3" spans="1:16" s="30" customFormat="1" ht="18.5" x14ac:dyDescent="0.35">
      <c r="A3" s="28" t="s">
        <v>44</v>
      </c>
      <c r="B3" s="36" t="s">
        <v>331</v>
      </c>
      <c r="C3" s="35"/>
      <c r="D3" s="36" t="s">
        <v>74</v>
      </c>
      <c r="H3" s="35"/>
    </row>
    <row r="4" spans="1:16" s="30" customFormat="1" ht="18.5" x14ac:dyDescent="0.35">
      <c r="A4" s="28" t="s">
        <v>8</v>
      </c>
      <c r="B4" s="30" t="s">
        <v>148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A.1</v>
      </c>
      <c r="C7" s="51" t="s">
        <v>40</v>
      </c>
      <c r="D7" s="5" t="s">
        <v>37</v>
      </c>
      <c r="E7" s="40" t="s">
        <v>150</v>
      </c>
      <c r="F7" s="5" t="s">
        <v>37</v>
      </c>
      <c r="G7" s="5" t="s">
        <v>37</v>
      </c>
      <c r="H7" s="42" t="s">
        <v>37</v>
      </c>
      <c r="I7" s="40" t="s">
        <v>10</v>
      </c>
      <c r="J7" s="5" t="s">
        <v>37</v>
      </c>
      <c r="K7" s="5" t="s">
        <v>37</v>
      </c>
      <c r="L7" s="5" t="s">
        <v>37</v>
      </c>
      <c r="M7" s="5" t="s">
        <v>37</v>
      </c>
      <c r="N7" s="5" t="s">
        <v>37</v>
      </c>
      <c r="O7" s="5" t="s">
        <v>220</v>
      </c>
    </row>
    <row r="8" spans="1:16" x14ac:dyDescent="0.35">
      <c r="A8" s="5">
        <v>2</v>
      </c>
      <c r="B8" s="5" t="str">
        <f t="shared" ref="B8:B10" si="0">CONCATENATE($B$2, ".", A8)</f>
        <v>A.2</v>
      </c>
      <c r="C8" s="42" t="s">
        <v>40</v>
      </c>
      <c r="D8" s="40" t="s">
        <v>149</v>
      </c>
      <c r="E8" s="40" t="s">
        <v>151</v>
      </c>
      <c r="F8" s="5" t="s">
        <v>37</v>
      </c>
      <c r="G8" s="5" t="s">
        <v>37</v>
      </c>
      <c r="H8" s="42" t="s">
        <v>37</v>
      </c>
      <c r="I8" s="40" t="s">
        <v>10</v>
      </c>
      <c r="J8" s="5" t="s">
        <v>37</v>
      </c>
      <c r="K8" s="5" t="s">
        <v>37</v>
      </c>
      <c r="L8" s="5" t="s">
        <v>37</v>
      </c>
      <c r="M8" s="5" t="s">
        <v>37</v>
      </c>
      <c r="N8" s="5" t="s">
        <v>37</v>
      </c>
    </row>
    <row r="9" spans="1:16" x14ac:dyDescent="0.35">
      <c r="A9" s="5">
        <v>3</v>
      </c>
      <c r="B9" s="5" t="str">
        <f t="shared" si="0"/>
        <v>A.3</v>
      </c>
      <c r="C9" s="51" t="s">
        <v>40</v>
      </c>
      <c r="D9" s="45" t="s">
        <v>165</v>
      </c>
      <c r="E9" s="40" t="s">
        <v>34</v>
      </c>
      <c r="F9" s="5" t="s">
        <v>37</v>
      </c>
      <c r="G9" s="5" t="s">
        <v>37</v>
      </c>
      <c r="H9" s="42" t="s">
        <v>37</v>
      </c>
      <c r="I9" s="40" t="s">
        <v>10</v>
      </c>
      <c r="J9" s="5" t="s">
        <v>37</v>
      </c>
      <c r="K9" s="5" t="s">
        <v>37</v>
      </c>
      <c r="L9" s="5" t="s">
        <v>37</v>
      </c>
      <c r="M9" s="5" t="s">
        <v>37</v>
      </c>
      <c r="N9" s="5" t="s">
        <v>37</v>
      </c>
    </row>
    <row r="10" spans="1:16" ht="81" customHeight="1" x14ac:dyDescent="0.35">
      <c r="A10" s="5">
        <v>4</v>
      </c>
      <c r="B10" s="5" t="str">
        <f t="shared" si="0"/>
        <v>A.4</v>
      </c>
      <c r="C10" s="51" t="s">
        <v>45</v>
      </c>
      <c r="D10" s="5" t="s">
        <v>187</v>
      </c>
      <c r="E10" s="40" t="s">
        <v>34</v>
      </c>
      <c r="F10" s="5" t="s">
        <v>37</v>
      </c>
      <c r="G10" s="5" t="s">
        <v>37</v>
      </c>
      <c r="H10" s="42" t="s">
        <v>37</v>
      </c>
      <c r="I10" s="40" t="s">
        <v>10</v>
      </c>
      <c r="J10" s="5" t="s">
        <v>37</v>
      </c>
      <c r="K10" s="5" t="s">
        <v>37</v>
      </c>
      <c r="L10" s="5" t="s">
        <v>37</v>
      </c>
      <c r="M10" s="5" t="s">
        <v>37</v>
      </c>
      <c r="N10" s="5" t="s">
        <v>37</v>
      </c>
      <c r="O10" s="5" t="s">
        <v>186</v>
      </c>
      <c r="P10" s="5" t="s">
        <v>358</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97" priority="6" operator="equal">
      <formula>"WIP (see comments)"</formula>
    </cfRule>
    <cfRule type="cellIs" dxfId="96" priority="7" operator="equal">
      <formula>"Removed"</formula>
    </cfRule>
    <cfRule type="cellIs" dxfId="95" priority="8" operator="equal">
      <formula>"Updated"</formula>
    </cfRule>
    <cfRule type="cellIs" dxfId="94" priority="9" operator="equal">
      <formula>"New"</formula>
    </cfRule>
  </conditionalFormatting>
  <conditionalFormatting sqref="D9">
    <cfRule type="cellIs" dxfId="93" priority="5" operator="equal">
      <formula>"-"</formula>
    </cfRule>
  </conditionalFormatting>
  <conditionalFormatting sqref="A2:XFD6 E7:XFD7 A8:XFD1048576 A7:C7 A1:C1 E1:XFD1">
    <cfRule type="cellIs" dxfId="92" priority="4" operator="equal">
      <formula>"n/a"</formula>
    </cfRule>
  </conditionalFormatting>
  <conditionalFormatting sqref="D7">
    <cfRule type="cellIs" dxfId="91" priority="3" operator="equal">
      <formula>"-"</formula>
    </cfRule>
  </conditionalFormatting>
  <conditionalFormatting sqref="D7">
    <cfRule type="cellIs" dxfId="90" priority="2" operator="equal">
      <formula>"n/a"</formula>
    </cfRule>
  </conditionalFormatting>
  <conditionalFormatting sqref="D1">
    <cfRule type="cellIs" dxfId="89"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L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5.81640625"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153</v>
      </c>
      <c r="C1" s="32"/>
      <c r="D1" s="29" t="s">
        <v>354</v>
      </c>
      <c r="H1" s="35"/>
    </row>
    <row r="2" spans="1:16" s="30" customFormat="1" ht="18.5" x14ac:dyDescent="0.35">
      <c r="A2" s="28" t="s">
        <v>7</v>
      </c>
      <c r="B2" s="36" t="s">
        <v>181</v>
      </c>
      <c r="C2" s="35"/>
      <c r="D2" s="36"/>
      <c r="H2" s="35"/>
    </row>
    <row r="3" spans="1:16" s="30" customFormat="1" ht="18.5" x14ac:dyDescent="0.35">
      <c r="A3" s="28" t="s">
        <v>44</v>
      </c>
      <c r="B3" s="36" t="s">
        <v>331</v>
      </c>
      <c r="C3" s="35"/>
      <c r="D3" s="36" t="s">
        <v>74</v>
      </c>
      <c r="H3" s="35"/>
    </row>
    <row r="4" spans="1:16" s="30" customFormat="1" ht="18.5" x14ac:dyDescent="0.35">
      <c r="A4" s="28" t="s">
        <v>8</v>
      </c>
      <c r="B4" s="30" t="s">
        <v>210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B.1</v>
      </c>
      <c r="C7" s="51" t="s">
        <v>40</v>
      </c>
      <c r="D7" s="5" t="s">
        <v>37</v>
      </c>
      <c r="E7" s="40" t="s">
        <v>150</v>
      </c>
      <c r="F7" s="5" t="s">
        <v>37</v>
      </c>
      <c r="G7" s="5" t="s">
        <v>37</v>
      </c>
      <c r="H7" s="42" t="s">
        <v>37</v>
      </c>
      <c r="I7" s="40" t="s">
        <v>10</v>
      </c>
      <c r="J7" s="5" t="s">
        <v>37</v>
      </c>
      <c r="K7" s="5" t="s">
        <v>37</v>
      </c>
      <c r="L7" s="5" t="s">
        <v>37</v>
      </c>
      <c r="M7" s="5" t="s">
        <v>37</v>
      </c>
      <c r="N7" s="5" t="s">
        <v>37</v>
      </c>
      <c r="O7" s="5" t="s">
        <v>221</v>
      </c>
    </row>
    <row r="8" spans="1:16" x14ac:dyDescent="0.35">
      <c r="A8" s="5">
        <v>2</v>
      </c>
      <c r="B8" s="5" t="str">
        <f t="shared" ref="B8:B9" si="0">CONCATENATE($B$2, ".", A8)</f>
        <v>B.2</v>
      </c>
      <c r="C8" s="42" t="s">
        <v>40</v>
      </c>
      <c r="D8" s="40" t="s">
        <v>166</v>
      </c>
      <c r="E8" s="40" t="s">
        <v>151</v>
      </c>
      <c r="F8" s="5" t="s">
        <v>37</v>
      </c>
      <c r="G8" s="5" t="s">
        <v>37</v>
      </c>
      <c r="H8" s="42" t="s">
        <v>37</v>
      </c>
      <c r="I8" s="40" t="s">
        <v>10</v>
      </c>
      <c r="J8" s="5" t="s">
        <v>37</v>
      </c>
      <c r="K8" s="5" t="s">
        <v>37</v>
      </c>
      <c r="L8" s="5" t="s">
        <v>37</v>
      </c>
      <c r="M8" s="5" t="s">
        <v>37</v>
      </c>
      <c r="N8" s="5" t="s">
        <v>37</v>
      </c>
    </row>
    <row r="9" spans="1:16" ht="71.25" customHeight="1" x14ac:dyDescent="0.35">
      <c r="A9" s="5">
        <v>3</v>
      </c>
      <c r="B9" s="5" t="str">
        <f t="shared" si="0"/>
        <v>B.3</v>
      </c>
      <c r="C9" s="51" t="s">
        <v>45</v>
      </c>
      <c r="D9" s="5" t="s">
        <v>188</v>
      </c>
      <c r="E9" s="40" t="s">
        <v>34</v>
      </c>
      <c r="F9" s="5" t="s">
        <v>37</v>
      </c>
      <c r="G9" s="5" t="s">
        <v>37</v>
      </c>
      <c r="H9" s="42" t="s">
        <v>37</v>
      </c>
      <c r="I9" s="40" t="s">
        <v>10</v>
      </c>
      <c r="J9" s="5" t="s">
        <v>37</v>
      </c>
      <c r="K9" s="5" t="s">
        <v>37</v>
      </c>
      <c r="L9" s="5" t="s">
        <v>37</v>
      </c>
      <c r="M9" s="5" t="s">
        <v>37</v>
      </c>
      <c r="N9" s="5" t="s">
        <v>37</v>
      </c>
      <c r="O9" s="5" t="s">
        <v>186</v>
      </c>
      <c r="P9" s="5" t="s">
        <v>358</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88" priority="8" operator="equal">
      <formula>"WIP (see comments)"</formula>
    </cfRule>
    <cfRule type="cellIs" dxfId="87" priority="9" operator="equal">
      <formula>"Removed"</formula>
    </cfRule>
    <cfRule type="cellIs" dxfId="86" priority="10" operator="equal">
      <formula>"Updated"</formula>
    </cfRule>
    <cfRule type="cellIs" dxfId="85" priority="11" operator="equal">
      <formula>"New"</formula>
    </cfRule>
  </conditionalFormatting>
  <conditionalFormatting sqref="A12:XFD1048576 A11:C11 E11:XFD11 P9:XFD9 A10:XFD10 A2:XFD6 Q7:XFD7 E7:O7 A8:XFD8 A9:N9 A7:C7 A1:C1 E1:XFD1">
    <cfRule type="cellIs" dxfId="84" priority="6" operator="equal">
      <formula>"n/a"</formula>
    </cfRule>
  </conditionalFormatting>
  <conditionalFormatting sqref="O9">
    <cfRule type="cellIs" dxfId="83" priority="5" operator="equal">
      <formula>"n/a"</formula>
    </cfRule>
  </conditionalFormatting>
  <conditionalFormatting sqref="P7">
    <cfRule type="cellIs" dxfId="82" priority="4" operator="equal">
      <formula>"n/a"</formula>
    </cfRule>
  </conditionalFormatting>
  <conditionalFormatting sqref="D7">
    <cfRule type="cellIs" dxfId="81" priority="3" operator="equal">
      <formula>"-"</formula>
    </cfRule>
  </conditionalFormatting>
  <conditionalFormatting sqref="D7">
    <cfRule type="cellIs" dxfId="80" priority="2" operator="equal">
      <formula>"n/a"</formula>
    </cfRule>
  </conditionalFormatting>
  <conditionalFormatting sqref="D1">
    <cfRule type="cellIs" dxfId="79" priority="1" operator="equal">
      <formula>"n/a"</formula>
    </cfRule>
  </conditionalFormatting>
  <dataValidations count="1">
    <dataValidation type="list" allowBlank="1" showInputMessage="1" showErrorMessage="1" sqref="E7:E8">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E9:E1048576</xm:sqref>
        </x14:dataValidation>
        <x14:dataValidation type="list" allowBlank="1" showInputMessage="1" showErrorMessage="1">
          <x14:formula1>
            <xm:f>'List Values'!$B$5:$B$13</xm:f>
          </x14:formula1>
          <xm:sqref>C7:C1048576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154</v>
      </c>
      <c r="C1" s="32"/>
      <c r="D1" s="29" t="s">
        <v>354</v>
      </c>
      <c r="H1" s="35"/>
    </row>
    <row r="2" spans="1:16" s="30" customFormat="1" ht="18.5" x14ac:dyDescent="0.35">
      <c r="A2" s="28" t="s">
        <v>7</v>
      </c>
      <c r="B2" s="36" t="s">
        <v>182</v>
      </c>
      <c r="C2" s="35"/>
      <c r="D2" s="36"/>
      <c r="H2" s="35"/>
    </row>
    <row r="3" spans="1:16" s="30" customFormat="1" ht="18.5" x14ac:dyDescent="0.35">
      <c r="A3" s="28" t="s">
        <v>44</v>
      </c>
      <c r="B3" s="36" t="s">
        <v>331</v>
      </c>
      <c r="C3" s="35"/>
      <c r="D3" s="36" t="s">
        <v>74</v>
      </c>
      <c r="H3" s="35"/>
    </row>
    <row r="4" spans="1:16" s="30" customFormat="1" ht="18.5" x14ac:dyDescent="0.35">
      <c r="A4" s="28" t="s">
        <v>8</v>
      </c>
      <c r="B4" s="30" t="s">
        <v>363</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C.1</v>
      </c>
      <c r="C7" s="51" t="s">
        <v>40</v>
      </c>
      <c r="D7" s="5" t="s">
        <v>37</v>
      </c>
      <c r="E7" s="40" t="s">
        <v>150</v>
      </c>
      <c r="F7" s="5" t="s">
        <v>37</v>
      </c>
      <c r="G7" s="5" t="s">
        <v>37</v>
      </c>
      <c r="H7" s="42" t="s">
        <v>37</v>
      </c>
      <c r="I7" s="40" t="s">
        <v>10</v>
      </c>
      <c r="J7" s="5" t="s">
        <v>37</v>
      </c>
      <c r="K7" s="5" t="s">
        <v>37</v>
      </c>
      <c r="L7" s="5" t="s">
        <v>37</v>
      </c>
      <c r="M7" s="5" t="s">
        <v>37</v>
      </c>
      <c r="N7" s="5" t="s">
        <v>37</v>
      </c>
      <c r="O7" s="5" t="s">
        <v>222</v>
      </c>
    </row>
    <row r="8" spans="1:16" x14ac:dyDescent="0.35">
      <c r="A8" s="5">
        <v>2</v>
      </c>
      <c r="B8" s="5" t="str">
        <f t="shared" ref="B8:B10" si="0">CONCATENATE($B$2, ".", A8)</f>
        <v>C.2</v>
      </c>
      <c r="C8" s="42" t="s">
        <v>40</v>
      </c>
      <c r="D8" s="40" t="s">
        <v>155</v>
      </c>
      <c r="E8" s="40" t="s">
        <v>151</v>
      </c>
      <c r="F8" s="5" t="s">
        <v>37</v>
      </c>
      <c r="G8" s="5" t="s">
        <v>37</v>
      </c>
      <c r="H8" s="42" t="s">
        <v>37</v>
      </c>
      <c r="I8" s="40" t="s">
        <v>10</v>
      </c>
      <c r="J8" s="5" t="s">
        <v>37</v>
      </c>
      <c r="K8" s="5" t="s">
        <v>37</v>
      </c>
      <c r="L8" s="5" t="s">
        <v>37</v>
      </c>
      <c r="M8" s="5" t="s">
        <v>37</v>
      </c>
      <c r="N8" s="5" t="s">
        <v>37</v>
      </c>
    </row>
    <row r="9" spans="1:16" ht="29" x14ac:dyDescent="0.35">
      <c r="A9" s="5">
        <v>3</v>
      </c>
      <c r="B9" s="5" t="str">
        <f t="shared" si="0"/>
        <v>C.3</v>
      </c>
      <c r="C9" s="51" t="s">
        <v>40</v>
      </c>
      <c r="D9" s="5" t="s">
        <v>167</v>
      </c>
      <c r="E9" s="40" t="s">
        <v>34</v>
      </c>
      <c r="F9" s="5" t="s">
        <v>37</v>
      </c>
      <c r="G9" s="5" t="s">
        <v>37</v>
      </c>
      <c r="H9" s="42" t="s">
        <v>37</v>
      </c>
      <c r="I9" s="40" t="s">
        <v>10</v>
      </c>
      <c r="J9" s="5" t="s">
        <v>37</v>
      </c>
      <c r="K9" s="5" t="s">
        <v>37</v>
      </c>
      <c r="L9" s="5" t="s">
        <v>37</v>
      </c>
      <c r="M9" s="5" t="s">
        <v>37</v>
      </c>
      <c r="N9" s="5" t="s">
        <v>37</v>
      </c>
    </row>
    <row r="10" spans="1:16" ht="54" customHeight="1" x14ac:dyDescent="0.35">
      <c r="A10" s="5">
        <v>4</v>
      </c>
      <c r="B10" s="5" t="str">
        <f t="shared" si="0"/>
        <v>C.4</v>
      </c>
      <c r="C10" s="51" t="s">
        <v>45</v>
      </c>
      <c r="D10" s="5" t="s">
        <v>362</v>
      </c>
      <c r="E10" s="40" t="s">
        <v>34</v>
      </c>
      <c r="F10" s="5" t="s">
        <v>37</v>
      </c>
      <c r="G10" s="5" t="s">
        <v>37</v>
      </c>
      <c r="H10" s="42" t="s">
        <v>37</v>
      </c>
      <c r="I10" s="40" t="s">
        <v>10</v>
      </c>
      <c r="J10" s="5" t="s">
        <v>37</v>
      </c>
      <c r="K10" s="5" t="s">
        <v>37</v>
      </c>
      <c r="L10" s="5" t="s">
        <v>37</v>
      </c>
      <c r="M10" s="5" t="s">
        <v>37</v>
      </c>
      <c r="N10" s="5" t="s">
        <v>37</v>
      </c>
      <c r="P10" s="5" t="s">
        <v>358</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78" priority="5" operator="equal">
      <formula>"WIP (see comments)"</formula>
    </cfRule>
    <cfRule type="cellIs" dxfId="77" priority="6" operator="equal">
      <formula>"Removed"</formula>
    </cfRule>
    <cfRule type="cellIs" dxfId="76" priority="7" operator="equal">
      <formula>"Updated"</formula>
    </cfRule>
    <cfRule type="cellIs" dxfId="75" priority="8" operator="equal">
      <formula>"New"</formula>
    </cfRule>
  </conditionalFormatting>
  <conditionalFormatting sqref="D9 D7">
    <cfRule type="cellIs" dxfId="74" priority="4" operator="equal">
      <formula>"-"</formula>
    </cfRule>
  </conditionalFormatting>
  <conditionalFormatting sqref="A2:XFD6 Q7:XFD7 A8:XFD1048576 A7:O7 A1:C1 E1:XFD1">
    <cfRule type="cellIs" dxfId="73" priority="3" operator="equal">
      <formula>"n/a"</formula>
    </cfRule>
  </conditionalFormatting>
  <conditionalFormatting sqref="P7">
    <cfRule type="cellIs" dxfId="72" priority="2" operator="equal">
      <formula>"n/a"</formula>
    </cfRule>
  </conditionalFormatting>
  <conditionalFormatting sqref="D1">
    <cfRule type="cellIs" dxfId="71"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156</v>
      </c>
      <c r="C1" s="32"/>
      <c r="D1" s="29" t="s">
        <v>354</v>
      </c>
      <c r="H1" s="35"/>
    </row>
    <row r="2" spans="1:16" s="30" customFormat="1" ht="18.5" x14ac:dyDescent="0.35">
      <c r="A2" s="28" t="s">
        <v>7</v>
      </c>
      <c r="B2" s="36" t="s">
        <v>183</v>
      </c>
      <c r="C2" s="35"/>
      <c r="D2" s="36"/>
      <c r="H2" s="35"/>
    </row>
    <row r="3" spans="1:16" s="30" customFormat="1" ht="18.5" x14ac:dyDescent="0.35">
      <c r="A3" s="28" t="s">
        <v>44</v>
      </c>
      <c r="B3" s="36" t="s">
        <v>331</v>
      </c>
      <c r="C3" s="35"/>
      <c r="D3" s="36" t="s">
        <v>74</v>
      </c>
      <c r="H3" s="35"/>
    </row>
    <row r="4" spans="1:16" s="30" customFormat="1" ht="18.5" x14ac:dyDescent="0.35">
      <c r="A4" s="28" t="s">
        <v>8</v>
      </c>
      <c r="B4" s="30" t="s">
        <v>157</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D.1</v>
      </c>
      <c r="C7" s="51" t="s">
        <v>40</v>
      </c>
      <c r="D7" s="5" t="s">
        <v>37</v>
      </c>
      <c r="E7" s="40" t="s">
        <v>150</v>
      </c>
      <c r="F7" s="5" t="s">
        <v>37</v>
      </c>
      <c r="G7" s="5" t="s">
        <v>37</v>
      </c>
      <c r="H7" s="42" t="s">
        <v>37</v>
      </c>
      <c r="I7" s="40" t="s">
        <v>10</v>
      </c>
      <c r="J7" s="5" t="s">
        <v>37</v>
      </c>
      <c r="K7" s="5" t="s">
        <v>37</v>
      </c>
      <c r="L7" s="5" t="s">
        <v>37</v>
      </c>
      <c r="M7" s="5" t="s">
        <v>37</v>
      </c>
      <c r="N7" s="5" t="s">
        <v>37</v>
      </c>
      <c r="O7" s="5" t="s">
        <v>223</v>
      </c>
    </row>
    <row r="8" spans="1:16" x14ac:dyDescent="0.35">
      <c r="A8" s="5">
        <v>2</v>
      </c>
      <c r="B8" s="5" t="str">
        <f t="shared" ref="B8:B9" si="0">CONCATENATE($B$2, ".", A8)</f>
        <v>D.2</v>
      </c>
      <c r="C8" s="42" t="s">
        <v>40</v>
      </c>
      <c r="D8" s="40" t="s">
        <v>158</v>
      </c>
      <c r="E8" s="40" t="s">
        <v>151</v>
      </c>
      <c r="F8" s="5" t="s">
        <v>37</v>
      </c>
      <c r="G8" s="5" t="s">
        <v>37</v>
      </c>
      <c r="H8" s="42" t="s">
        <v>37</v>
      </c>
      <c r="I8" s="40" t="s">
        <v>10</v>
      </c>
      <c r="J8" s="5" t="s">
        <v>37</v>
      </c>
      <c r="K8" s="5" t="s">
        <v>37</v>
      </c>
      <c r="L8" s="5" t="s">
        <v>37</v>
      </c>
      <c r="M8" s="5" t="s">
        <v>37</v>
      </c>
      <c r="N8" s="5" t="s">
        <v>37</v>
      </c>
    </row>
    <row r="9" spans="1:16" ht="43.5" x14ac:dyDescent="0.35">
      <c r="A9" s="5">
        <v>3</v>
      </c>
      <c r="B9" s="5" t="str">
        <f t="shared" si="0"/>
        <v>D.3</v>
      </c>
      <c r="C9" s="51" t="s">
        <v>45</v>
      </c>
      <c r="D9" s="45" t="s">
        <v>168</v>
      </c>
      <c r="E9" s="40" t="s">
        <v>34</v>
      </c>
      <c r="F9" s="5" t="s">
        <v>37</v>
      </c>
      <c r="G9" s="5" t="s">
        <v>37</v>
      </c>
      <c r="H9" s="42" t="s">
        <v>37</v>
      </c>
      <c r="I9" s="40" t="s">
        <v>10</v>
      </c>
      <c r="J9" s="5" t="s">
        <v>37</v>
      </c>
      <c r="K9" s="5" t="s">
        <v>37</v>
      </c>
      <c r="L9" s="5" t="s">
        <v>37</v>
      </c>
      <c r="M9" s="5" t="s">
        <v>37</v>
      </c>
      <c r="N9" s="5" t="s">
        <v>37</v>
      </c>
      <c r="P9" s="5" t="s">
        <v>358</v>
      </c>
    </row>
    <row r="10" spans="1:16" x14ac:dyDescent="0.35">
      <c r="I10" s="40"/>
      <c r="L10" s="40"/>
      <c r="M10" s="40"/>
      <c r="N10" s="40"/>
      <c r="O10" s="40"/>
    </row>
    <row r="11" spans="1:16" x14ac:dyDescent="0.35">
      <c r="I11" s="40"/>
      <c r="L11" s="40"/>
      <c r="M11" s="40"/>
      <c r="N11" s="40"/>
      <c r="O11" s="40"/>
    </row>
  </sheetData>
  <autoFilter ref="A6:P9"/>
  <conditionalFormatting sqref="C7:C1048576">
    <cfRule type="cellIs" dxfId="70" priority="5" operator="equal">
      <formula>"WIP (see comments)"</formula>
    </cfRule>
    <cfRule type="cellIs" dxfId="69" priority="6" operator="equal">
      <formula>"Removed"</formula>
    </cfRule>
    <cfRule type="cellIs" dxfId="68" priority="7" operator="equal">
      <formula>"Updated"</formula>
    </cfRule>
    <cfRule type="cellIs" dxfId="67" priority="8" operator="equal">
      <formula>"New"</formula>
    </cfRule>
  </conditionalFormatting>
  <conditionalFormatting sqref="D9 D7">
    <cfRule type="cellIs" dxfId="66" priority="4" operator="equal">
      <formula>"-"</formula>
    </cfRule>
  </conditionalFormatting>
  <conditionalFormatting sqref="A2:XFD6 Q7:XFD7 A8:XFD1048576 A7:O7 A1:C1 E1:XFD1">
    <cfRule type="cellIs" dxfId="65" priority="3" operator="equal">
      <formula>"n/a"</formula>
    </cfRule>
  </conditionalFormatting>
  <conditionalFormatting sqref="P7">
    <cfRule type="cellIs" dxfId="64" priority="2" operator="equal">
      <formula>"n/a"</formula>
    </cfRule>
  </conditionalFormatting>
  <conditionalFormatting sqref="D1">
    <cfRule type="cellIs" dxfId="63"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E10:E1048576</xm:sqref>
        </x14:dataValidation>
        <x14:dataValidation type="list" allowBlank="1" showInputMessage="1" showErrorMessage="1">
          <x14:formula1>
            <xm:f>'List Values'!$B$5:$B$13</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159</v>
      </c>
      <c r="C1" s="32"/>
      <c r="D1" s="29" t="s">
        <v>354</v>
      </c>
      <c r="H1" s="35"/>
    </row>
    <row r="2" spans="1:16" s="30" customFormat="1" ht="18.5" x14ac:dyDescent="0.35">
      <c r="A2" s="28" t="s">
        <v>7</v>
      </c>
      <c r="B2" s="36" t="s">
        <v>184</v>
      </c>
      <c r="C2" s="35"/>
      <c r="D2" s="36"/>
      <c r="H2" s="35"/>
    </row>
    <row r="3" spans="1:16" s="30" customFormat="1" ht="18.5" x14ac:dyDescent="0.35">
      <c r="A3" s="28" t="s">
        <v>44</v>
      </c>
      <c r="B3" s="36" t="s">
        <v>331</v>
      </c>
      <c r="C3" s="35"/>
      <c r="D3" s="36" t="s">
        <v>74</v>
      </c>
      <c r="H3" s="35"/>
    </row>
    <row r="4" spans="1:16" s="30" customFormat="1" ht="18.5" x14ac:dyDescent="0.35">
      <c r="A4" s="28" t="s">
        <v>8</v>
      </c>
      <c r="B4" s="30" t="s">
        <v>160</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CONCATENATE($B$2, ".", A7)</f>
        <v>E.1</v>
      </c>
      <c r="C7" s="51" t="s">
        <v>40</v>
      </c>
      <c r="D7" s="5" t="s">
        <v>37</v>
      </c>
      <c r="E7" s="40" t="s">
        <v>150</v>
      </c>
      <c r="F7" s="5" t="s">
        <v>37</v>
      </c>
      <c r="G7" s="5" t="s">
        <v>37</v>
      </c>
      <c r="H7" s="42" t="s">
        <v>37</v>
      </c>
      <c r="I7" s="40" t="s">
        <v>10</v>
      </c>
      <c r="J7" s="5" t="s">
        <v>37</v>
      </c>
      <c r="K7" s="5" t="s">
        <v>37</v>
      </c>
      <c r="L7" s="5" t="s">
        <v>37</v>
      </c>
      <c r="M7" s="5" t="s">
        <v>37</v>
      </c>
      <c r="N7" s="5" t="s">
        <v>37</v>
      </c>
      <c r="O7" s="5" t="s">
        <v>224</v>
      </c>
    </row>
    <row r="8" spans="1:16" x14ac:dyDescent="0.35">
      <c r="A8" s="5">
        <v>2</v>
      </c>
      <c r="B8" s="5" t="str">
        <f t="shared" ref="B8:B10" si="0">CONCATENATE($B$2, ".", A8)</f>
        <v>E.2</v>
      </c>
      <c r="C8" s="42" t="s">
        <v>40</v>
      </c>
      <c r="D8" s="40" t="s">
        <v>161</v>
      </c>
      <c r="E8" s="40" t="s">
        <v>151</v>
      </c>
      <c r="F8" s="5" t="s">
        <v>37</v>
      </c>
      <c r="G8" s="5" t="s">
        <v>37</v>
      </c>
      <c r="H8" s="42" t="s">
        <v>37</v>
      </c>
      <c r="I8" s="40" t="s">
        <v>10</v>
      </c>
      <c r="J8" s="5" t="s">
        <v>37</v>
      </c>
      <c r="K8" s="5" t="s">
        <v>37</v>
      </c>
      <c r="L8" s="5" t="s">
        <v>37</v>
      </c>
      <c r="M8" s="5" t="s">
        <v>37</v>
      </c>
      <c r="N8" s="5" t="s">
        <v>37</v>
      </c>
    </row>
    <row r="9" spans="1:16" ht="29" x14ac:dyDescent="0.35">
      <c r="A9" s="5">
        <v>3</v>
      </c>
      <c r="B9" s="5" t="str">
        <f t="shared" si="0"/>
        <v>E.3</v>
      </c>
      <c r="C9" s="51" t="s">
        <v>40</v>
      </c>
      <c r="D9" s="45" t="s">
        <v>169</v>
      </c>
      <c r="E9" s="40" t="s">
        <v>34</v>
      </c>
      <c r="F9" s="5" t="s">
        <v>37</v>
      </c>
      <c r="G9" s="5" t="s">
        <v>37</v>
      </c>
      <c r="H9" s="42" t="s">
        <v>37</v>
      </c>
      <c r="I9" s="40" t="s">
        <v>10</v>
      </c>
      <c r="J9" s="5" t="s">
        <v>37</v>
      </c>
      <c r="K9" s="5" t="s">
        <v>37</v>
      </c>
      <c r="L9" s="5" t="s">
        <v>37</v>
      </c>
      <c r="M9" s="5" t="s">
        <v>37</v>
      </c>
      <c r="N9" s="5" t="s">
        <v>37</v>
      </c>
    </row>
    <row r="10" spans="1:16" ht="79.5" customHeight="1" x14ac:dyDescent="0.35">
      <c r="A10" s="5">
        <v>4</v>
      </c>
      <c r="B10" s="5" t="str">
        <f t="shared" si="0"/>
        <v>E.4</v>
      </c>
      <c r="C10" s="51" t="s">
        <v>40</v>
      </c>
      <c r="D10" s="5" t="s">
        <v>170</v>
      </c>
      <c r="E10" s="40" t="s">
        <v>34</v>
      </c>
      <c r="F10" s="5" t="s">
        <v>37</v>
      </c>
      <c r="G10" s="5" t="s">
        <v>37</v>
      </c>
      <c r="H10" s="42" t="s">
        <v>37</v>
      </c>
      <c r="I10" s="40" t="s">
        <v>10</v>
      </c>
      <c r="J10" s="5" t="s">
        <v>37</v>
      </c>
      <c r="K10" s="5" t="s">
        <v>37</v>
      </c>
      <c r="L10" s="5" t="s">
        <v>37</v>
      </c>
      <c r="M10" s="5" t="s">
        <v>37</v>
      </c>
      <c r="N10" s="5" t="s">
        <v>37</v>
      </c>
    </row>
    <row r="11" spans="1:16" x14ac:dyDescent="0.35">
      <c r="I11" s="40"/>
      <c r="L11" s="40"/>
      <c r="M11" s="40"/>
      <c r="N11" s="40"/>
      <c r="O11" s="40"/>
    </row>
    <row r="12" spans="1:16" x14ac:dyDescent="0.35">
      <c r="I12" s="40"/>
      <c r="L12" s="40"/>
      <c r="M12" s="40"/>
      <c r="N12" s="40"/>
      <c r="O12" s="40"/>
    </row>
  </sheetData>
  <autoFilter ref="A6:P9"/>
  <conditionalFormatting sqref="C7:C1048576">
    <cfRule type="cellIs" dxfId="62" priority="5" operator="equal">
      <formula>"WIP (see comments)"</formula>
    </cfRule>
    <cfRule type="cellIs" dxfId="61" priority="6" operator="equal">
      <formula>"Removed"</formula>
    </cfRule>
    <cfRule type="cellIs" dxfId="60" priority="7" operator="equal">
      <formula>"Updated"</formula>
    </cfRule>
    <cfRule type="cellIs" dxfId="59" priority="8" operator="equal">
      <formula>"New"</formula>
    </cfRule>
  </conditionalFormatting>
  <conditionalFormatting sqref="D9 D7">
    <cfRule type="cellIs" dxfId="58" priority="4" operator="equal">
      <formula>"-"</formula>
    </cfRule>
  </conditionalFormatting>
  <conditionalFormatting sqref="A2:XFD6 Q7:XFD7 A8:XFD1048576 A7:O7 A1:C1 E1:XFD1">
    <cfRule type="cellIs" dxfId="57" priority="3" operator="equal">
      <formula>"n/a"</formula>
    </cfRule>
  </conditionalFormatting>
  <conditionalFormatting sqref="P7">
    <cfRule type="cellIs" dxfId="56" priority="2" operator="equal">
      <formula>"n/a"</formula>
    </cfRule>
  </conditionalFormatting>
  <conditionalFormatting sqref="D1">
    <cfRule type="cellIs" dxfId="55" priority="1" operator="equal">
      <formula>"n/a"</formula>
    </cfRule>
  </conditionalFormatting>
  <dataValidations count="1">
    <dataValidation type="list" allowBlank="1" showInputMessage="1" showErrorMessage="1" sqref="E7:E9">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Values'!$A$5:$A$27</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2" customWidth="1"/>
    <col min="4" max="4" width="45.1796875" style="5" customWidth="1"/>
    <col min="5" max="5" width="28.7265625" style="5" customWidth="1"/>
    <col min="6" max="6" width="37" style="5" customWidth="1"/>
    <col min="7" max="7" width="29.26953125" style="5" customWidth="1"/>
    <col min="8" max="8" width="11.54296875" style="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162</v>
      </c>
      <c r="C1" s="32"/>
      <c r="D1" s="29" t="s">
        <v>354</v>
      </c>
      <c r="H1" s="35"/>
    </row>
    <row r="2" spans="1:16" s="30" customFormat="1" ht="18.5" x14ac:dyDescent="0.35">
      <c r="A2" s="28" t="s">
        <v>7</v>
      </c>
      <c r="B2" s="36" t="s">
        <v>185</v>
      </c>
      <c r="C2" s="35"/>
      <c r="D2" s="36"/>
      <c r="H2" s="35"/>
    </row>
    <row r="3" spans="1:16" s="30" customFormat="1" ht="18.5" x14ac:dyDescent="0.35">
      <c r="A3" s="28" t="s">
        <v>44</v>
      </c>
      <c r="B3" s="36" t="s">
        <v>331</v>
      </c>
      <c r="C3" s="35"/>
      <c r="D3" s="36" t="s">
        <v>74</v>
      </c>
      <c r="H3" s="35"/>
    </row>
    <row r="4" spans="1:16" s="30" customFormat="1" ht="18.5" x14ac:dyDescent="0.35">
      <c r="A4" s="28" t="s">
        <v>8</v>
      </c>
      <c r="B4" s="30" t="s">
        <v>163</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1" si="0">CONCATENATE($B$2, ".", A7)</f>
        <v>F.1</v>
      </c>
      <c r="C7" s="51" t="s">
        <v>40</v>
      </c>
      <c r="D7" s="40" t="s">
        <v>225</v>
      </c>
      <c r="E7" s="40" t="s">
        <v>151</v>
      </c>
      <c r="F7" s="5" t="s">
        <v>37</v>
      </c>
      <c r="G7" s="5" t="s">
        <v>37</v>
      </c>
      <c r="H7" s="51" t="s">
        <v>37</v>
      </c>
      <c r="I7" s="40" t="s">
        <v>10</v>
      </c>
      <c r="J7" s="5" t="s">
        <v>37</v>
      </c>
      <c r="K7" s="5" t="s">
        <v>37</v>
      </c>
      <c r="L7" s="5" t="s">
        <v>37</v>
      </c>
      <c r="M7" s="5" t="s">
        <v>37</v>
      </c>
      <c r="N7" s="5" t="s">
        <v>37</v>
      </c>
    </row>
    <row r="8" spans="1:16" ht="43.5" x14ac:dyDescent="0.35">
      <c r="A8" s="5">
        <v>2</v>
      </c>
      <c r="B8" s="5" t="str">
        <f t="shared" si="0"/>
        <v>F.2</v>
      </c>
      <c r="C8" s="51" t="s">
        <v>40</v>
      </c>
      <c r="D8" s="45" t="s">
        <v>226</v>
      </c>
      <c r="E8" s="40" t="s">
        <v>34</v>
      </c>
      <c r="F8" s="5" t="s">
        <v>37</v>
      </c>
      <c r="G8" s="5" t="s">
        <v>37</v>
      </c>
      <c r="H8" s="51" t="s">
        <v>37</v>
      </c>
      <c r="I8" s="40" t="s">
        <v>10</v>
      </c>
      <c r="J8" s="5" t="s">
        <v>37</v>
      </c>
      <c r="K8" s="5" t="s">
        <v>37</v>
      </c>
      <c r="L8" s="5" t="s">
        <v>37</v>
      </c>
      <c r="M8" s="5" t="s">
        <v>37</v>
      </c>
      <c r="N8" s="5" t="s">
        <v>37</v>
      </c>
    </row>
    <row r="9" spans="1:16" x14ac:dyDescent="0.35">
      <c r="A9" s="5">
        <v>3</v>
      </c>
      <c r="B9" s="5" t="str">
        <f t="shared" si="0"/>
        <v>F.3</v>
      </c>
      <c r="C9" s="54" t="s">
        <v>40</v>
      </c>
      <c r="D9" s="45" t="s">
        <v>227</v>
      </c>
      <c r="E9" s="40" t="s">
        <v>33</v>
      </c>
      <c r="F9" s="5" t="s">
        <v>37</v>
      </c>
      <c r="G9" s="5" t="s">
        <v>37</v>
      </c>
      <c r="H9" s="51" t="s">
        <v>37</v>
      </c>
      <c r="I9" s="40" t="s">
        <v>10</v>
      </c>
      <c r="J9" s="5" t="s">
        <v>37</v>
      </c>
      <c r="K9" s="5" t="s">
        <v>37</v>
      </c>
      <c r="L9" s="5" t="s">
        <v>37</v>
      </c>
      <c r="M9" s="5" t="s">
        <v>37</v>
      </c>
      <c r="N9" s="5" t="s">
        <v>37</v>
      </c>
    </row>
    <row r="10" spans="1:16" x14ac:dyDescent="0.35">
      <c r="A10" s="5">
        <v>4</v>
      </c>
      <c r="B10" s="5" t="str">
        <f t="shared" si="0"/>
        <v>F.4</v>
      </c>
      <c r="C10" s="54" t="s">
        <v>40</v>
      </c>
      <c r="D10" s="5" t="s">
        <v>228</v>
      </c>
      <c r="E10" s="5" t="s">
        <v>43</v>
      </c>
      <c r="F10" s="5" t="s">
        <v>37</v>
      </c>
      <c r="G10" s="5" t="s">
        <v>37</v>
      </c>
      <c r="H10" s="51" t="s">
        <v>37</v>
      </c>
      <c r="I10" s="40" t="s">
        <v>10</v>
      </c>
      <c r="J10" s="5" t="s">
        <v>37</v>
      </c>
      <c r="K10" s="5" t="s">
        <v>37</v>
      </c>
      <c r="L10" s="5" t="s">
        <v>37</v>
      </c>
      <c r="M10" s="5" t="s">
        <v>37</v>
      </c>
      <c r="N10" s="5" t="s">
        <v>37</v>
      </c>
      <c r="O10" s="40" t="s">
        <v>229</v>
      </c>
    </row>
    <row r="11" spans="1:16" x14ac:dyDescent="0.35">
      <c r="A11" s="5">
        <v>5</v>
      </c>
      <c r="B11" s="5" t="str">
        <f t="shared" si="0"/>
        <v>F.5</v>
      </c>
      <c r="C11" s="54" t="s">
        <v>40</v>
      </c>
      <c r="D11" s="5" t="s">
        <v>230</v>
      </c>
      <c r="E11" s="5" t="s">
        <v>43</v>
      </c>
      <c r="F11" s="5" t="s">
        <v>37</v>
      </c>
      <c r="G11" s="5" t="s">
        <v>37</v>
      </c>
      <c r="H11" s="51" t="s">
        <v>37</v>
      </c>
      <c r="I11" s="40" t="s">
        <v>10</v>
      </c>
      <c r="J11" s="5" t="s">
        <v>37</v>
      </c>
      <c r="K11" s="5" t="s">
        <v>37</v>
      </c>
      <c r="L11" s="5" t="s">
        <v>37</v>
      </c>
      <c r="M11" s="5" t="s">
        <v>37</v>
      </c>
      <c r="N11" s="5" t="s">
        <v>37</v>
      </c>
      <c r="O11" s="40" t="s">
        <v>231</v>
      </c>
    </row>
  </sheetData>
  <autoFilter ref="A6:P6"/>
  <conditionalFormatting sqref="C12:C1048576">
    <cfRule type="cellIs" dxfId="54" priority="21" operator="equal">
      <formula>"WIP (see comments)"</formula>
    </cfRule>
    <cfRule type="cellIs" dxfId="53" priority="22" operator="equal">
      <formula>"Removed"</formula>
    </cfRule>
    <cfRule type="cellIs" dxfId="52" priority="23" operator="equal">
      <formula>"Updated"</formula>
    </cfRule>
    <cfRule type="cellIs" dxfId="51" priority="24" operator="equal">
      <formula>"New"</formula>
    </cfRule>
  </conditionalFormatting>
  <conditionalFormatting sqref="A2:XFD6 A12:XFD1048576 A1:C1 E1:XFD1">
    <cfRule type="cellIs" dxfId="50" priority="19" operator="equal">
      <formula>"n/a"</formula>
    </cfRule>
  </conditionalFormatting>
  <conditionalFormatting sqref="D8:D9">
    <cfRule type="cellIs" dxfId="49" priority="18" operator="equal">
      <formula>"-"</formula>
    </cfRule>
  </conditionalFormatting>
  <conditionalFormatting sqref="A8:B9 D8:XFD9">
    <cfRule type="cellIs" dxfId="48" priority="17" operator="equal">
      <formula>"n/a"</formula>
    </cfRule>
  </conditionalFormatting>
  <conditionalFormatting sqref="C7:C11">
    <cfRule type="cellIs" dxfId="47" priority="13" operator="equal">
      <formula>"WIP (see comments)"</formula>
    </cfRule>
    <cfRule type="cellIs" dxfId="46" priority="14" operator="equal">
      <formula>"Removed"</formula>
    </cfRule>
    <cfRule type="cellIs" dxfId="45" priority="15" operator="equal">
      <formula>"Updated"</formula>
    </cfRule>
    <cfRule type="cellIs" dxfId="44" priority="16" operator="equal">
      <formula>"New"</formula>
    </cfRule>
  </conditionalFormatting>
  <conditionalFormatting sqref="A7:XFD7 C8:C11">
    <cfRule type="cellIs" dxfId="43" priority="12" operator="equal">
      <formula>"n/a"</formula>
    </cfRule>
  </conditionalFormatting>
  <conditionalFormatting sqref="A10:B10 D10:XFD10">
    <cfRule type="cellIs" dxfId="42" priority="7" operator="equal">
      <formula>"n/a"</formula>
    </cfRule>
  </conditionalFormatting>
  <conditionalFormatting sqref="A11:B11 D11:XFD11">
    <cfRule type="cellIs" dxfId="41" priority="2" operator="equal">
      <formula>"n/a"</formula>
    </cfRule>
  </conditionalFormatting>
  <conditionalFormatting sqref="D1">
    <cfRule type="cellIs" dxfId="4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54" customWidth="1"/>
    <col min="4" max="4" width="45.1796875" style="5" customWidth="1"/>
    <col min="5" max="5" width="28.7265625" style="5" customWidth="1"/>
    <col min="6" max="6" width="37" style="5" customWidth="1"/>
    <col min="7" max="7" width="29.26953125" style="5" customWidth="1"/>
    <col min="8" max="8" width="11.54296875" style="5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236</v>
      </c>
      <c r="C1" s="32"/>
      <c r="D1" s="29" t="s">
        <v>354</v>
      </c>
      <c r="H1" s="35"/>
    </row>
    <row r="2" spans="1:16" s="30" customFormat="1" ht="18.5" x14ac:dyDescent="0.35">
      <c r="A2" s="28" t="s">
        <v>7</v>
      </c>
      <c r="B2" s="36" t="s">
        <v>234</v>
      </c>
      <c r="C2" s="35"/>
      <c r="D2" s="36"/>
      <c r="H2" s="35"/>
    </row>
    <row r="3" spans="1:16" s="30" customFormat="1" ht="18.5" x14ac:dyDescent="0.35">
      <c r="A3" s="28" t="s">
        <v>44</v>
      </c>
      <c r="B3" s="36" t="s">
        <v>331</v>
      </c>
      <c r="C3" s="35"/>
      <c r="D3" s="36" t="s">
        <v>74</v>
      </c>
      <c r="H3" s="35"/>
    </row>
    <row r="4" spans="1:16" s="30" customFormat="1" ht="18.5" x14ac:dyDescent="0.35">
      <c r="A4" s="28" t="s">
        <v>8</v>
      </c>
      <c r="B4" s="30" t="s">
        <v>235</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G.1</v>
      </c>
      <c r="C7" s="54" t="s">
        <v>271</v>
      </c>
      <c r="D7" s="40" t="s">
        <v>237</v>
      </c>
      <c r="E7" s="40" t="s">
        <v>151</v>
      </c>
      <c r="F7" s="5" t="s">
        <v>37</v>
      </c>
      <c r="G7" s="5" t="s">
        <v>37</v>
      </c>
      <c r="H7" s="54" t="s">
        <v>37</v>
      </c>
      <c r="I7" s="40" t="s">
        <v>10</v>
      </c>
      <c r="J7" s="5" t="s">
        <v>37</v>
      </c>
      <c r="K7" s="5" t="s">
        <v>37</v>
      </c>
      <c r="L7" s="5" t="s">
        <v>37</v>
      </c>
      <c r="M7" s="5" t="s">
        <v>37</v>
      </c>
      <c r="N7" s="5" t="s">
        <v>37</v>
      </c>
    </row>
    <row r="8" spans="1:16" ht="29" x14ac:dyDescent="0.35">
      <c r="A8" s="5">
        <v>3</v>
      </c>
      <c r="B8" s="5" t="str">
        <f>CONCATENATE($B$2, ".", A8)</f>
        <v>G.3</v>
      </c>
      <c r="C8" s="74" t="s">
        <v>271</v>
      </c>
      <c r="D8" s="45" t="s">
        <v>241</v>
      </c>
      <c r="E8" s="40" t="s">
        <v>240</v>
      </c>
      <c r="F8" s="5" t="s">
        <v>37</v>
      </c>
      <c r="G8" s="5" t="s">
        <v>37</v>
      </c>
      <c r="H8" s="54" t="s">
        <v>37</v>
      </c>
      <c r="I8" s="40" t="s">
        <v>10</v>
      </c>
      <c r="J8" s="5" t="s">
        <v>37</v>
      </c>
      <c r="K8" s="5" t="s">
        <v>37</v>
      </c>
      <c r="L8" s="5" t="s">
        <v>37</v>
      </c>
      <c r="M8" s="5" t="s">
        <v>37</v>
      </c>
      <c r="N8" s="5" t="s">
        <v>37</v>
      </c>
      <c r="O8" s="5" t="s">
        <v>242</v>
      </c>
    </row>
    <row r="9" spans="1:16" ht="29" x14ac:dyDescent="0.35">
      <c r="A9" s="5">
        <v>2</v>
      </c>
      <c r="B9" s="5" t="str">
        <f t="shared" si="0"/>
        <v>G.2</v>
      </c>
      <c r="C9" s="74" t="s">
        <v>271</v>
      </c>
      <c r="D9" s="45" t="s">
        <v>238</v>
      </c>
      <c r="E9" s="40" t="s">
        <v>34</v>
      </c>
      <c r="F9" s="5" t="s">
        <v>37</v>
      </c>
      <c r="G9" s="5" t="s">
        <v>37</v>
      </c>
      <c r="H9" s="54" t="s">
        <v>37</v>
      </c>
      <c r="I9" s="40" t="s">
        <v>10</v>
      </c>
      <c r="J9" s="5" t="s">
        <v>37</v>
      </c>
      <c r="K9" s="5" t="s">
        <v>37</v>
      </c>
      <c r="L9" s="5" t="s">
        <v>37</v>
      </c>
      <c r="M9" s="5" t="s">
        <v>37</v>
      </c>
      <c r="N9" s="5" t="s">
        <v>37</v>
      </c>
    </row>
    <row r="10" spans="1:16" ht="43.5" x14ac:dyDescent="0.35">
      <c r="A10" s="5">
        <v>4</v>
      </c>
      <c r="B10" s="5" t="str">
        <f t="shared" si="0"/>
        <v>G.4</v>
      </c>
      <c r="C10" s="74" t="s">
        <v>271</v>
      </c>
      <c r="D10" s="5" t="s">
        <v>228</v>
      </c>
      <c r="E10" s="5" t="s">
        <v>43</v>
      </c>
      <c r="F10" s="5" t="s">
        <v>37</v>
      </c>
      <c r="G10" s="5" t="s">
        <v>37</v>
      </c>
      <c r="H10" s="54" t="s">
        <v>37</v>
      </c>
      <c r="I10" s="40" t="s">
        <v>10</v>
      </c>
      <c r="J10" s="5" t="s">
        <v>37</v>
      </c>
      <c r="K10" s="5" t="s">
        <v>37</v>
      </c>
      <c r="L10" s="5" t="s">
        <v>37</v>
      </c>
      <c r="M10" s="5" t="s">
        <v>37</v>
      </c>
      <c r="N10" s="5" t="s">
        <v>37</v>
      </c>
      <c r="O10" s="40" t="s">
        <v>239</v>
      </c>
    </row>
  </sheetData>
  <autoFilter ref="A6:P6"/>
  <conditionalFormatting sqref="C11:C1048576">
    <cfRule type="cellIs" dxfId="39" priority="12" operator="equal">
      <formula>"WIP (see comments)"</formula>
    </cfRule>
    <cfRule type="cellIs" dxfId="38" priority="13" operator="equal">
      <formula>"Removed"</formula>
    </cfRule>
    <cfRule type="cellIs" dxfId="37" priority="14" operator="equal">
      <formula>"Updated"</formula>
    </cfRule>
    <cfRule type="cellIs" dxfId="36" priority="15" operator="equal">
      <formula>"New"</formula>
    </cfRule>
  </conditionalFormatting>
  <conditionalFormatting sqref="A2:XFD6 A11:XFD1048576 A8:B9 D8:XFD9 A1:C1 E1:XFD1">
    <cfRule type="cellIs" dxfId="35" priority="11" operator="equal">
      <formula>"n/a"</formula>
    </cfRule>
  </conditionalFormatting>
  <conditionalFormatting sqref="D8:D9">
    <cfRule type="cellIs" dxfId="34" priority="10" operator="equal">
      <formula>"-"</formula>
    </cfRule>
  </conditionalFormatting>
  <conditionalFormatting sqref="C7:C10">
    <cfRule type="cellIs" dxfId="33" priority="5" operator="equal">
      <formula>"WIP (see comments)"</formula>
    </cfRule>
    <cfRule type="cellIs" dxfId="32" priority="6" operator="equal">
      <formula>"Removed"</formula>
    </cfRule>
    <cfRule type="cellIs" dxfId="31" priority="7" operator="equal">
      <formula>"Updated"</formula>
    </cfRule>
    <cfRule type="cellIs" dxfId="30" priority="8" operator="equal">
      <formula>"New"</formula>
    </cfRule>
  </conditionalFormatting>
  <conditionalFormatting sqref="A7:XFD7 C8:C10">
    <cfRule type="cellIs" dxfId="29" priority="4" operator="equal">
      <formula>"n/a"</formula>
    </cfRule>
  </conditionalFormatting>
  <conditionalFormatting sqref="A10:B10 D10:XFD10">
    <cfRule type="cellIs" dxfId="28" priority="3" operator="equal">
      <formula>"n/a"</formula>
    </cfRule>
  </conditionalFormatting>
  <conditionalFormatting sqref="D1">
    <cfRule type="cellIs" dxfId="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Values'!$A$5:$A$27</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70" customWidth="1"/>
    <col min="4" max="4" width="45.1796875" style="5" customWidth="1"/>
    <col min="5" max="5" width="28.7265625" style="5" customWidth="1"/>
    <col min="6" max="6" width="37" style="5" customWidth="1"/>
    <col min="7" max="7" width="29.26953125" style="5" customWidth="1"/>
    <col min="8" max="8" width="11.54296875" style="7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243</v>
      </c>
      <c r="C1" s="32"/>
      <c r="D1" s="29" t="s">
        <v>354</v>
      </c>
      <c r="H1" s="35"/>
    </row>
    <row r="2" spans="1:16" s="30" customFormat="1" ht="18.5" x14ac:dyDescent="0.35">
      <c r="A2" s="28" t="s">
        <v>7</v>
      </c>
      <c r="B2" s="36" t="s">
        <v>245</v>
      </c>
      <c r="C2" s="35"/>
      <c r="D2" s="36"/>
      <c r="H2" s="35"/>
    </row>
    <row r="3" spans="1:16" s="30" customFormat="1" ht="18.5" x14ac:dyDescent="0.35">
      <c r="A3" s="28" t="s">
        <v>44</v>
      </c>
      <c r="B3" s="36" t="s">
        <v>331</v>
      </c>
      <c r="C3" s="35"/>
      <c r="D3" s="36" t="s">
        <v>74</v>
      </c>
      <c r="H3" s="35"/>
    </row>
    <row r="4" spans="1:16" s="30" customFormat="1" ht="18.5" x14ac:dyDescent="0.35">
      <c r="A4" s="28" t="s">
        <v>8</v>
      </c>
      <c r="B4" s="30" t="s">
        <v>244</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 si="0">CONCATENATE($B$2, ".", A7)</f>
        <v>H.1</v>
      </c>
      <c r="C7" s="70" t="s">
        <v>271</v>
      </c>
      <c r="D7" s="40" t="s">
        <v>37</v>
      </c>
      <c r="E7" s="40" t="s">
        <v>150</v>
      </c>
      <c r="F7" s="5" t="s">
        <v>37</v>
      </c>
      <c r="G7" s="5" t="s">
        <v>37</v>
      </c>
      <c r="H7" s="70" t="s">
        <v>37</v>
      </c>
      <c r="I7" s="40" t="s">
        <v>10</v>
      </c>
      <c r="J7" s="5" t="s">
        <v>37</v>
      </c>
      <c r="K7" s="5" t="s">
        <v>37</v>
      </c>
      <c r="L7" s="5" t="s">
        <v>37</v>
      </c>
      <c r="M7" s="5" t="s">
        <v>37</v>
      </c>
      <c r="N7" s="5" t="s">
        <v>37</v>
      </c>
      <c r="O7" s="5" t="s">
        <v>246</v>
      </c>
    </row>
  </sheetData>
  <autoFilter ref="A6:P6"/>
  <conditionalFormatting sqref="C8:C1048576">
    <cfRule type="cellIs" dxfId="26" priority="11" operator="equal">
      <formula>"WIP (see comments)"</formula>
    </cfRule>
    <cfRule type="cellIs" dxfId="25" priority="12" operator="equal">
      <formula>"Removed"</formula>
    </cfRule>
    <cfRule type="cellIs" dxfId="24" priority="13" operator="equal">
      <formula>"Updated"</formula>
    </cfRule>
    <cfRule type="cellIs" dxfId="23" priority="14" operator="equal">
      <formula>"New"</formula>
    </cfRule>
  </conditionalFormatting>
  <conditionalFormatting sqref="A2:XFD6 A8:XFD1048576 A1:C1 E1:XFD1">
    <cfRule type="cellIs" dxfId="22" priority="10" operator="equal">
      <formula>"n/a"</formula>
    </cfRule>
  </conditionalFormatting>
  <conditionalFormatting sqref="C7">
    <cfRule type="cellIs" dxfId="21" priority="5" operator="equal">
      <formula>"WIP (see comments)"</formula>
    </cfRule>
    <cfRule type="cellIs" dxfId="20" priority="6" operator="equal">
      <formula>"Removed"</formula>
    </cfRule>
    <cfRule type="cellIs" dxfId="19" priority="7" operator="equal">
      <formula>"Updated"</formula>
    </cfRule>
    <cfRule type="cellIs" dxfId="18" priority="8" operator="equal">
      <formula>"New"</formula>
    </cfRule>
  </conditionalFormatting>
  <conditionalFormatting sqref="A7:XFD7">
    <cfRule type="cellIs" dxfId="17" priority="4" operator="equal">
      <formula>"n/a"</formula>
    </cfRule>
  </conditionalFormatting>
  <conditionalFormatting sqref="D1">
    <cfRule type="cellIs" dxfId="1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5" customWidth="1"/>
    <col min="2" max="2" width="12.54296875" style="5" customWidth="1"/>
    <col min="3" max="3" width="19.2695312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0" customFormat="1" ht="18.5" x14ac:dyDescent="0.35">
      <c r="A1" s="28" t="s">
        <v>6</v>
      </c>
      <c r="B1" s="38" t="s">
        <v>273</v>
      </c>
      <c r="C1" s="32"/>
      <c r="D1" s="29" t="s">
        <v>354</v>
      </c>
      <c r="H1" s="35"/>
    </row>
    <row r="2" spans="1:16" s="30" customFormat="1" ht="18.5" x14ac:dyDescent="0.35">
      <c r="A2" s="28" t="s">
        <v>7</v>
      </c>
      <c r="B2" s="36" t="s">
        <v>272</v>
      </c>
      <c r="C2" s="35"/>
      <c r="D2" s="36"/>
      <c r="H2" s="35"/>
    </row>
    <row r="3" spans="1:16" s="30" customFormat="1" ht="18.5" x14ac:dyDescent="0.35">
      <c r="A3" s="28" t="s">
        <v>44</v>
      </c>
      <c r="B3" s="36"/>
      <c r="C3" s="35"/>
      <c r="D3" s="36" t="s">
        <v>74</v>
      </c>
      <c r="H3" s="35"/>
    </row>
    <row r="4" spans="1:16" s="30" customFormat="1" ht="18.5" x14ac:dyDescent="0.35">
      <c r="A4" s="28" t="s">
        <v>8</v>
      </c>
      <c r="B4" s="30" t="s">
        <v>278</v>
      </c>
      <c r="C4" s="35"/>
      <c r="H4" s="35"/>
    </row>
    <row r="5" spans="1:16" s="43" customFormat="1" x14ac:dyDescent="0.35">
      <c r="C5" s="44"/>
      <c r="H5" s="44"/>
    </row>
    <row r="6" spans="1:16" s="31" customFormat="1" ht="15" thickBot="1" x14ac:dyDescent="0.4">
      <c r="A6" s="31" t="s">
        <v>11</v>
      </c>
      <c r="B6" s="31" t="s">
        <v>12</v>
      </c>
      <c r="C6" s="33" t="s">
        <v>26</v>
      </c>
      <c r="D6" s="31" t="s">
        <v>25</v>
      </c>
      <c r="E6" s="31" t="s">
        <v>13</v>
      </c>
      <c r="F6" s="31" t="s">
        <v>14</v>
      </c>
      <c r="G6" s="31" t="s">
        <v>15</v>
      </c>
      <c r="H6" s="33" t="s">
        <v>16</v>
      </c>
      <c r="I6" s="31" t="s">
        <v>17</v>
      </c>
      <c r="J6" s="31" t="s">
        <v>18</v>
      </c>
      <c r="K6" s="31" t="s">
        <v>19</v>
      </c>
      <c r="L6" s="31" t="s">
        <v>20</v>
      </c>
      <c r="M6" s="31" t="s">
        <v>21</v>
      </c>
      <c r="N6" s="31" t="s">
        <v>22</v>
      </c>
      <c r="O6" s="31" t="s">
        <v>23</v>
      </c>
      <c r="P6" s="31" t="s">
        <v>24</v>
      </c>
    </row>
    <row r="7" spans="1:16" x14ac:dyDescent="0.35">
      <c r="A7" s="5">
        <v>1</v>
      </c>
      <c r="B7" s="5" t="str">
        <f t="shared" ref="B7:B10" si="0">CONCATENATE($B$2, ".", A7)</f>
        <v>I.1</v>
      </c>
      <c r="C7" s="74" t="s">
        <v>271</v>
      </c>
      <c r="D7" s="40" t="s">
        <v>277</v>
      </c>
      <c r="E7" s="40" t="s">
        <v>151</v>
      </c>
      <c r="F7" s="5" t="s">
        <v>37</v>
      </c>
      <c r="G7" s="5" t="s">
        <v>37</v>
      </c>
      <c r="H7" s="74" t="s">
        <v>37</v>
      </c>
      <c r="I7" s="40" t="s">
        <v>10</v>
      </c>
      <c r="J7" s="5" t="s">
        <v>37</v>
      </c>
      <c r="K7" s="5" t="s">
        <v>37</v>
      </c>
      <c r="L7" s="5" t="s">
        <v>37</v>
      </c>
      <c r="M7" s="5" t="s">
        <v>37</v>
      </c>
      <c r="N7" s="5" t="s">
        <v>37</v>
      </c>
    </row>
    <row r="8" spans="1:16" ht="114" customHeight="1" x14ac:dyDescent="0.35">
      <c r="A8" s="5">
        <v>2</v>
      </c>
      <c r="B8" s="5" t="str">
        <f t="shared" si="0"/>
        <v>I.2</v>
      </c>
      <c r="C8" s="75" t="s">
        <v>45</v>
      </c>
      <c r="D8" s="45" t="s">
        <v>276</v>
      </c>
      <c r="E8" s="40" t="s">
        <v>34</v>
      </c>
      <c r="F8" s="5" t="s">
        <v>37</v>
      </c>
      <c r="G8" s="5" t="s">
        <v>37</v>
      </c>
      <c r="H8" s="74" t="s">
        <v>37</v>
      </c>
      <c r="I8" s="40" t="s">
        <v>10</v>
      </c>
      <c r="J8" s="5" t="s">
        <v>37</v>
      </c>
      <c r="K8" s="5" t="s">
        <v>37</v>
      </c>
      <c r="L8" s="5" t="s">
        <v>37</v>
      </c>
      <c r="M8" s="5" t="s">
        <v>37</v>
      </c>
      <c r="N8" s="5" t="s">
        <v>37</v>
      </c>
      <c r="O8" s="5" t="s">
        <v>186</v>
      </c>
      <c r="P8" s="5" t="s">
        <v>358</v>
      </c>
    </row>
    <row r="9" spans="1:16" x14ac:dyDescent="0.35">
      <c r="A9" s="5">
        <v>3</v>
      </c>
      <c r="B9" s="5" t="str">
        <f t="shared" si="0"/>
        <v>I.3</v>
      </c>
      <c r="C9" s="75" t="s">
        <v>271</v>
      </c>
      <c r="D9" s="45" t="s">
        <v>274</v>
      </c>
      <c r="E9" s="40" t="s">
        <v>36</v>
      </c>
      <c r="F9" s="5" t="s">
        <v>37</v>
      </c>
      <c r="G9" s="5" t="s">
        <v>37</v>
      </c>
      <c r="H9" s="74" t="s">
        <v>37</v>
      </c>
      <c r="I9" s="40" t="s">
        <v>10</v>
      </c>
      <c r="J9" s="5" t="s">
        <v>37</v>
      </c>
      <c r="K9" s="5" t="s">
        <v>37</v>
      </c>
      <c r="L9" s="5" t="s">
        <v>37</v>
      </c>
      <c r="M9" s="5" t="s">
        <v>37</v>
      </c>
      <c r="N9" s="5" t="s">
        <v>37</v>
      </c>
    </row>
    <row r="10" spans="1:16" ht="29" x14ac:dyDescent="0.35">
      <c r="A10" s="5">
        <v>4</v>
      </c>
      <c r="B10" s="5" t="str">
        <f t="shared" si="0"/>
        <v>I.4</v>
      </c>
      <c r="C10" s="75" t="s">
        <v>271</v>
      </c>
      <c r="D10" s="5" t="s">
        <v>275</v>
      </c>
      <c r="E10" s="40" t="s">
        <v>34</v>
      </c>
      <c r="F10" s="5" t="s">
        <v>37</v>
      </c>
      <c r="G10" s="5" t="s">
        <v>37</v>
      </c>
      <c r="H10" s="74" t="s">
        <v>37</v>
      </c>
      <c r="I10" s="40" t="s">
        <v>10</v>
      </c>
      <c r="J10" s="5" t="s">
        <v>37</v>
      </c>
      <c r="K10" s="5" t="s">
        <v>37</v>
      </c>
      <c r="L10" s="5" t="s">
        <v>37</v>
      </c>
      <c r="M10" s="5" t="s">
        <v>37</v>
      </c>
      <c r="N10" s="5" t="s">
        <v>37</v>
      </c>
      <c r="O10" s="40"/>
    </row>
  </sheetData>
  <autoFilter ref="A6:P6"/>
  <conditionalFormatting sqref="C11:C1048576">
    <cfRule type="cellIs" dxfId="15" priority="14" operator="equal">
      <formula>"WIP (see comments)"</formula>
    </cfRule>
    <cfRule type="cellIs" dxfId="14" priority="15" operator="equal">
      <formula>"Removed"</formula>
    </cfRule>
    <cfRule type="cellIs" dxfId="13" priority="16" operator="equal">
      <formula>"Updated"</formula>
    </cfRule>
    <cfRule type="cellIs" dxfId="12" priority="17" operator="equal">
      <formula>"New"</formula>
    </cfRule>
  </conditionalFormatting>
  <conditionalFormatting sqref="A2:XFD6 A11:XFD1048576 A1:C1 E1:XFD1">
    <cfRule type="cellIs" dxfId="11" priority="13" operator="equal">
      <formula>"n/a"</formula>
    </cfRule>
  </conditionalFormatting>
  <conditionalFormatting sqref="D8:D9">
    <cfRule type="cellIs" dxfId="10" priority="12" operator="equal">
      <formula>"-"</formula>
    </cfRule>
  </conditionalFormatting>
  <conditionalFormatting sqref="A8:B9 D9:XFD9 D8:N8 P8:XFD8">
    <cfRule type="cellIs" dxfId="9" priority="11" operator="equal">
      <formula>"n/a"</formula>
    </cfRule>
  </conditionalFormatting>
  <conditionalFormatting sqref="C7:C10">
    <cfRule type="cellIs" dxfId="8" priority="7" operator="equal">
      <formula>"WIP (see comments)"</formula>
    </cfRule>
    <cfRule type="cellIs" dxfId="7" priority="8" operator="equal">
      <formula>"Removed"</formula>
    </cfRule>
    <cfRule type="cellIs" dxfId="6" priority="9" operator="equal">
      <formula>"Updated"</formula>
    </cfRule>
    <cfRule type="cellIs" dxfId="5" priority="10" operator="equal">
      <formula>"New"</formula>
    </cfRule>
  </conditionalFormatting>
  <conditionalFormatting sqref="A7:XFD7 C8:C10">
    <cfRule type="cellIs" dxfId="4" priority="6" operator="equal">
      <formula>"n/a"</formula>
    </cfRule>
  </conditionalFormatting>
  <conditionalFormatting sqref="A10:B10 D10 F10:XFD10">
    <cfRule type="cellIs" dxfId="3" priority="5" operator="equal">
      <formula>"n/a"</formula>
    </cfRule>
  </conditionalFormatting>
  <conditionalFormatting sqref="E10">
    <cfRule type="cellIs" dxfId="2" priority="3" operator="equal">
      <formula>"n/a"</formula>
    </cfRule>
  </conditionalFormatting>
  <conditionalFormatting sqref="O8">
    <cfRule type="cellIs" dxfId="1" priority="2" operator="equal">
      <formula>"n/a"</formula>
    </cfRule>
  </conditionalFormatting>
  <conditionalFormatting sqref="D1">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Values'!$A$5:$A$27</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73DF4-A2F2-46E7-AEB7-94876694B737}">
  <ds:schemaRefs>
    <ds:schemaRef ds:uri="http://purl.org/dc/elements/1.1/"/>
    <ds:schemaRef ds:uri="http://www.w3.org/XML/1998/namespace"/>
    <ds:schemaRef ds:uri="http://schemas.microsoft.com/office/2006/documentManagement/types"/>
    <ds:schemaRef ds:uri="http://purl.org/dc/terms/"/>
    <ds:schemaRef ds:uri="http://purl.org/dc/dcmitype/"/>
    <ds:schemaRef ds:uri="http://schemas.microsoft.com/sharepoint/v4"/>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8F213B0D-4DF1-4622-8584-F903A693AA3C}"/>
</file>

<file path=customXml/itemProps3.xml><?xml version="1.0" encoding="utf-8"?>
<ds:datastoreItem xmlns:ds="http://schemas.openxmlformats.org/officeDocument/2006/customXml" ds:itemID="{6FBFEE26-D9EA-4C5A-92F5-F1DF9C7FFD9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Revision Control</vt:lpstr>
      <vt:lpstr>List Values</vt:lpstr>
      <vt:lpstr>1. Entry Page</vt:lpstr>
      <vt:lpstr>2. Landing Page</vt:lpstr>
      <vt:lpstr>3. Existing Cust. Check</vt:lpstr>
      <vt:lpstr>4. Contact Info</vt:lpstr>
      <vt:lpstr>4a. Mobile Verify</vt:lpstr>
      <vt:lpstr>5. Qualifying Questions</vt:lpstr>
      <vt:lpstr>6. IDScan</vt:lpstr>
      <vt:lpstr>7. Name &amp; Address</vt:lpstr>
      <vt:lpstr>DEPRECATED Address</vt:lpstr>
      <vt:lpstr>8. Birthday &amp; SIN</vt:lpstr>
      <vt:lpstr>9. Account Options</vt:lpstr>
      <vt:lpstr>10. eConsent</vt:lpstr>
      <vt:lpstr>11. Alternate IDV</vt:lpstr>
      <vt:lpstr>12. Flinks</vt:lpstr>
      <vt:lpstr>13. Manual IDV</vt:lpstr>
      <vt:lpstr>14. Dynamic Disclosures</vt:lpstr>
      <vt:lpstr>A. Generic Error</vt:lpstr>
      <vt:lpstr>B. Manual Review</vt:lpstr>
      <vt:lpstr>C. Decline</vt:lpstr>
      <vt:lpstr>D. Cancel</vt:lpstr>
      <vt:lpstr>E. Save</vt:lpstr>
      <vt:lpstr>F. Resume</vt:lpstr>
      <vt:lpstr>G. Time Out</vt:lpstr>
      <vt:lpstr>H. Progress</vt:lpstr>
      <vt:lpstr>I. Previously Submitted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2020-08-13T17:41:22Z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