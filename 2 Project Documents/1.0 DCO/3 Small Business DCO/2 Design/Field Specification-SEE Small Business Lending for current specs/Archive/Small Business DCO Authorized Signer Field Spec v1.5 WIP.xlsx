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9200" windowHeight="11520" tabRatio="901"/>
  </bookViews>
  <sheets>
    <sheet name="Revision Control" sheetId="1" r:id="rId1"/>
    <sheet name="List Values" sheetId="3" r:id="rId2"/>
    <sheet name="1. Entry Page" sheetId="41" r:id="rId3"/>
    <sheet name="2. Landing Page" sheetId="2" r:id="rId4"/>
    <sheet name="3. Existing Cust. Check" sheetId="42" r:id="rId5"/>
    <sheet name="4. Contact Info" sheetId="5" r:id="rId6"/>
    <sheet name="4a. Mobile Verify" sheetId="35" r:id="rId7"/>
    <sheet name="5. Qualifying Questions" sheetId="9" r:id="rId8"/>
    <sheet name="6. IDScan" sheetId="11" r:id="rId9"/>
    <sheet name="7. Name &amp; Address" sheetId="12" r:id="rId10"/>
    <sheet name="DEPRECATED Address" sheetId="13" state="hidden" r:id="rId11"/>
    <sheet name="8. Birthday, SIN &amp; Occ." sheetId="14" r:id="rId12"/>
    <sheet name="9. Security Question" sheetId="43" r:id="rId13"/>
    <sheet name="10. eConsent" sheetId="16" r:id="rId14"/>
    <sheet name="11. Alternate IDV" sheetId="29" r:id="rId15"/>
    <sheet name="12. Flinks" sheetId="31" r:id="rId16"/>
    <sheet name="13. Manual IDV" sheetId="36" r:id="rId17"/>
    <sheet name="DEPRECATED Dynamic Disclosures" sheetId="17" r:id="rId18"/>
    <sheet name="DEPRECATED Account Options" sheetId="18" r:id="rId19"/>
    <sheet name="A. Generic Error" sheetId="22" r:id="rId20"/>
    <sheet name="B. Manual Review" sheetId="23" r:id="rId21"/>
    <sheet name="C. Decline" sheetId="24" r:id="rId22"/>
    <sheet name="D. Cancel" sheetId="26" r:id="rId23"/>
    <sheet name="E. Save" sheetId="27" r:id="rId24"/>
    <sheet name="F. Resume" sheetId="28" r:id="rId25"/>
    <sheet name="G. Time Out" sheetId="33" r:id="rId26"/>
    <sheet name="H. Progress" sheetId="34" r:id="rId27"/>
    <sheet name="I. Previously Submitted" sheetId="37" r:id="rId28"/>
    <sheet name="J. Submission Complete" sheetId="44" r:id="rId29"/>
  </sheets>
  <externalReferences>
    <externalReference r:id="rId30"/>
    <externalReference r:id="rId31"/>
  </externalReferences>
  <definedNames>
    <definedName name="_xlnm._FilterDatabase" localSheetId="2" hidden="1">'1. Entry Page'!$A$6:$P$6</definedName>
    <definedName name="_xlnm._FilterDatabase" localSheetId="13" hidden="1">'10. eConsent'!$A$6:$P$17</definedName>
    <definedName name="_xlnm._FilterDatabase" localSheetId="6" hidden="1">'4a. Mobile Verify'!$A$6:$P$6</definedName>
    <definedName name="_xlnm._FilterDatabase" localSheetId="11" hidden="1">'8. Birthday, SIN &amp; Occ.'!$A$6:$P$13</definedName>
    <definedName name="_xlnm._FilterDatabase" localSheetId="12" hidden="1">'9. Security Question'!$A$6:$P$6</definedName>
    <definedName name="_xlnm._FilterDatabase" localSheetId="19" hidden="1">'A. Generic Error'!$A$6:$P$9</definedName>
    <definedName name="_xlnm._FilterDatabase" localSheetId="20" hidden="1">'B. Manual Review'!$A$6:$P$9</definedName>
    <definedName name="_xlnm._FilterDatabase" localSheetId="21" hidden="1">'C. Decline'!$A$6:$P$9</definedName>
    <definedName name="_xlnm._FilterDatabase" localSheetId="22" hidden="1">'D. Cancel'!$A$6:$P$9</definedName>
    <definedName name="_xlnm._FilterDatabase" localSheetId="18" hidden="1">'DEPRECATED Account Options'!$A$6:$P$13</definedName>
    <definedName name="_xlnm._FilterDatabase" localSheetId="17" hidden="1">'DEPRECATED Dynamic Disclosures'!$A$6:$P$6</definedName>
    <definedName name="_xlnm._FilterDatabase" localSheetId="23" hidden="1">'E. Save'!$A$6:$P$9</definedName>
    <definedName name="_xlnm._FilterDatabase" localSheetId="24" hidden="1">'F. Resume'!$A$6:$P$6</definedName>
    <definedName name="_xlnm._FilterDatabase" localSheetId="25" hidden="1">'G. Time Out'!$A$6:$P$6</definedName>
    <definedName name="_xlnm._FilterDatabase" localSheetId="26" hidden="1">'H. Progress'!$A$6:$P$6</definedName>
    <definedName name="_xlnm._FilterDatabase" localSheetId="27" hidden="1">'I. Previously Submitted'!$A$6:$P$6</definedName>
    <definedName name="_xlnm._FilterDatabase" localSheetId="28" hidden="1">'J. Submission Complete'!$A$6:$P$6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 i="44" l="1"/>
  <c r="B8" i="44"/>
  <c r="B11" i="44"/>
  <c r="B10" i="44"/>
  <c r="B9" i="44"/>
  <c r="B9" i="16" l="1"/>
  <c r="B10" i="16"/>
  <c r="B13" i="43" l="1"/>
  <c r="B12" i="43"/>
  <c r="B11" i="43"/>
  <c r="B10" i="43"/>
  <c r="B9" i="43"/>
  <c r="B8" i="43"/>
  <c r="B7" i="43"/>
  <c r="B11" i="17" l="1"/>
  <c r="B10" i="17" l="1"/>
  <c r="B12" i="17"/>
  <c r="B14" i="2" l="1"/>
  <c r="B7" i="2"/>
  <c r="B7" i="22" l="1"/>
  <c r="B8" i="22"/>
  <c r="B9" i="22"/>
  <c r="B10" i="22"/>
  <c r="B12" i="2" l="1"/>
  <c r="B18" i="2" l="1"/>
  <c r="B19" i="2"/>
  <c r="B11" i="2"/>
  <c r="B22" i="2"/>
  <c r="B21" i="2"/>
  <c r="B15" i="9" l="1"/>
  <c r="B16" i="9"/>
  <c r="B17" i="9"/>
  <c r="B14" i="9"/>
  <c r="B11" i="12" l="1"/>
  <c r="B41" i="12"/>
  <c r="B40" i="12"/>
  <c r="B38" i="12"/>
  <c r="B37" i="12"/>
  <c r="B36" i="12"/>
  <c r="B35" i="12"/>
  <c r="B34" i="12"/>
  <c r="B33" i="12"/>
  <c r="B32" i="12"/>
  <c r="B31" i="12"/>
  <c r="B29" i="12"/>
  <c r="B28" i="12"/>
  <c r="B27" i="12"/>
  <c r="B26" i="12"/>
  <c r="B25" i="12"/>
  <c r="B24" i="12"/>
  <c r="B23" i="12"/>
  <c r="B22" i="12"/>
  <c r="B20" i="12"/>
  <c r="B19" i="12"/>
  <c r="B18" i="12"/>
  <c r="B17" i="12"/>
  <c r="B16" i="12"/>
  <c r="B15" i="12"/>
  <c r="B14" i="12"/>
  <c r="B13" i="12"/>
  <c r="B12" i="5" l="1"/>
  <c r="B13" i="5"/>
  <c r="B11" i="42" l="1"/>
  <c r="B10" i="42"/>
  <c r="B9" i="42"/>
  <c r="B8" i="42"/>
  <c r="B7" i="42"/>
  <c r="B10" i="13" l="1"/>
  <c r="B16" i="2"/>
  <c r="B15" i="2"/>
  <c r="B10" i="41"/>
  <c r="B11" i="41"/>
  <c r="B9" i="41"/>
  <c r="B8" i="41"/>
  <c r="B7" i="41"/>
  <c r="B10" i="31" l="1"/>
  <c r="B11" i="31"/>
  <c r="B10" i="37" l="1"/>
  <c r="B9" i="37"/>
  <c r="B8" i="37"/>
  <c r="B7" i="37"/>
  <c r="B7" i="36" l="1"/>
  <c r="B8" i="36"/>
  <c r="B10" i="18"/>
  <c r="B9" i="18"/>
  <c r="B11" i="14"/>
  <c r="B12" i="29" l="1"/>
  <c r="B9" i="36"/>
  <c r="B9" i="29"/>
  <c r="B13" i="29"/>
  <c r="B11" i="29"/>
  <c r="B10" i="29"/>
  <c r="B8" i="29"/>
  <c r="B7" i="29"/>
  <c r="B13" i="11" l="1"/>
  <c r="B12" i="11"/>
  <c r="B12" i="35" l="1"/>
  <c r="B10" i="35"/>
  <c r="B11" i="35"/>
  <c r="B9" i="35"/>
  <c r="B8" i="35"/>
  <c r="B7" i="35"/>
  <c r="B7" i="34" l="1"/>
  <c r="B10" i="33" l="1"/>
  <c r="B8" i="33"/>
  <c r="B9" i="33"/>
  <c r="B7" i="33"/>
  <c r="B9" i="31" l="1"/>
  <c r="B11" i="28"/>
  <c r="B10" i="28"/>
  <c r="B9" i="28"/>
  <c r="B8" i="28"/>
  <c r="B7" i="28"/>
  <c r="B9" i="17"/>
  <c r="B8" i="17"/>
  <c r="B7" i="17"/>
  <c r="B10" i="5"/>
  <c r="B8" i="31" l="1"/>
  <c r="B7" i="31"/>
  <c r="B15" i="11"/>
  <c r="B14" i="11"/>
  <c r="B11" i="11"/>
  <c r="B10" i="11"/>
  <c r="B9" i="11"/>
  <c r="B8" i="11"/>
  <c r="B7" i="11"/>
  <c r="B12" i="16" l="1"/>
  <c r="B13" i="16"/>
  <c r="B14" i="16"/>
  <c r="B26" i="13" l="1"/>
  <c r="B25" i="13"/>
  <c r="B10" i="27" l="1"/>
  <c r="B7" i="27"/>
  <c r="B9" i="27"/>
  <c r="B8" i="27"/>
  <c r="B7" i="26"/>
  <c r="B9" i="26"/>
  <c r="B8" i="26"/>
  <c r="B10" i="24"/>
  <c r="B7" i="24"/>
  <c r="B9" i="24"/>
  <c r="B8" i="24"/>
  <c r="B7" i="23"/>
  <c r="B9" i="23"/>
  <c r="B8" i="23"/>
  <c r="B12" i="9" l="1"/>
  <c r="B11" i="9"/>
  <c r="B10" i="9"/>
  <c r="B9" i="9" l="1"/>
  <c r="B11" i="18" l="1"/>
  <c r="B13" i="18"/>
  <c r="B12" i="18"/>
  <c r="B8" i="18"/>
  <c r="B7" i="18"/>
  <c r="B11" i="16" l="1"/>
  <c r="B15" i="16"/>
  <c r="B16" i="16" l="1"/>
  <c r="B17" i="16"/>
  <c r="B8" i="16"/>
  <c r="B7" i="16"/>
  <c r="B12" i="14" l="1"/>
  <c r="B13" i="14"/>
  <c r="B10" i="14"/>
  <c r="B9" i="14"/>
  <c r="B8" i="14"/>
  <c r="B7" i="14"/>
  <c r="B35" i="13"/>
  <c r="B34" i="13"/>
  <c r="B33" i="13"/>
  <c r="B32" i="13"/>
  <c r="B31" i="13"/>
  <c r="B30" i="13"/>
  <c r="B29" i="13"/>
  <c r="B28" i="13"/>
  <c r="B24" i="13" l="1"/>
  <c r="B23" i="13"/>
  <c r="B22" i="13"/>
  <c r="B21" i="13"/>
  <c r="B20" i="13"/>
  <c r="B19" i="13"/>
  <c r="B17" i="13" l="1"/>
  <c r="B16" i="13"/>
  <c r="B15" i="13"/>
  <c r="B14" i="13"/>
  <c r="B13" i="13"/>
  <c r="B12" i="13"/>
  <c r="B37" i="13"/>
  <c r="B38" i="13"/>
  <c r="B11" i="13"/>
  <c r="B8" i="13"/>
  <c r="B7" i="13"/>
  <c r="B10" i="12"/>
  <c r="B9" i="12"/>
  <c r="B8" i="12"/>
  <c r="B7" i="12"/>
  <c r="B7" i="9" l="1"/>
  <c r="B8" i="9" l="1"/>
  <c r="B11" i="5"/>
  <c r="B9" i="5"/>
  <c r="B8" i="5"/>
  <c r="B7" i="5"/>
  <c r="B26" i="2"/>
  <c r="B9" i="2" l="1"/>
  <c r="B24" i="2"/>
  <c r="B25" i="2"/>
  <c r="B8" i="2"/>
</calcChain>
</file>

<file path=xl/sharedStrings.xml><?xml version="1.0" encoding="utf-8"?>
<sst xmlns="http://schemas.openxmlformats.org/spreadsheetml/2006/main" count="3085" uniqueCount="501">
  <si>
    <t>Field Specification - Revision Control Form</t>
  </si>
  <si>
    <t>Document Version</t>
  </si>
  <si>
    <t>Revision Date</t>
  </si>
  <si>
    <t>Change Summary</t>
  </si>
  <si>
    <t>Updated by</t>
  </si>
  <si>
    <t>Approved by</t>
  </si>
  <si>
    <t>Page Name</t>
  </si>
  <si>
    <t>Page ID</t>
  </si>
  <si>
    <t>Visibility</t>
  </si>
  <si>
    <t>Landing Page</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</si>
  <si>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</si>
  <si>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</si>
  <si>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</si>
  <si>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</si>
  <si>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</si>
  <si>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</si>
  <si>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</si>
  <si>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</si>
  <si>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</si>
  <si>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</si>
  <si>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</si>
  <si>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</si>
  <si>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</si>
  <si>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</si>
  <si>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</si>
  <si>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</si>
  <si>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</si>
  <si>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</si>
  <si>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</si>
  <si>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</si>
  <si>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</si>
  <si>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</si>
  <si>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</si>
  <si>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</si>
  <si>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</si>
  <si>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</si>
  <si>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</si>
  <si>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</si>
  <si>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</si>
  <si>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</si>
  <si>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</si>
  <si>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</si>
  <si>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</si>
  <si>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</si>
  <si>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</si>
  <si>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</si>
  <si>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Contact Info</t>
  </si>
  <si>
    <t>Always Show</t>
  </si>
  <si>
    <t>Progress bar</t>
  </si>
  <si>
    <t>Progress Bar</t>
  </si>
  <si>
    <t>Email address:</t>
  </si>
  <si>
    <t>Numbers, spaces, dashes, parentheses</t>
  </si>
  <si>
    <t>Alphanumeric</t>
  </si>
  <si>
    <t>54 characters</t>
  </si>
  <si>
    <t>Yes</t>
  </si>
  <si>
    <t>A) 10 digits
B) 14 incl. spaces, dashes, parentheses</t>
  </si>
  <si>
    <t>North American Numbering Plan (NANP) format:
"NXX-NXX-XXXX" 
or "(NXX) NXX-XXXX", 
where N is 2 to 9, and X is 0 to 9.</t>
  </si>
  <si>
    <t>Please provide a valid email address</t>
  </si>
  <si>
    <t>Please provide a valid mobile phone number</t>
  </si>
  <si>
    <t>Back</t>
  </si>
  <si>
    <t>Next</t>
  </si>
  <si>
    <t>Existing Customer Check</t>
  </si>
  <si>
    <t>A) Yes
B) No</t>
  </si>
  <si>
    <t>Checkbox Group</t>
  </si>
  <si>
    <t>A) Checked
B) Unchecked</t>
  </si>
  <si>
    <t>Qualifying Questions</t>
  </si>
  <si>
    <t>No Selection</t>
  </si>
  <si>
    <t>ID Scan Form</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</si>
  <si>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</si>
  <si>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</si>
  <si>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</si>
  <si>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</si>
  <si>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</si>
  <si>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Address</t>
  </si>
  <si>
    <t xml:space="preserve"> </t>
  </si>
  <si>
    <t>If IDScan returned results, use the scanned address. Otherwise leave blank.</t>
  </si>
  <si>
    <t>Unit</t>
  </si>
  <si>
    <t>City</t>
  </si>
  <si>
    <t>Province</t>
  </si>
  <si>
    <t>Postal code</t>
  </si>
  <si>
    <t>Text field (with suggestions)</t>
  </si>
  <si>
    <t>Please tell us your physical address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</si>
  <si>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</si>
  <si>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</si>
  <si>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</si>
  <si>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</si>
  <si>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</si>
  <si>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</si>
  <si>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</si>
  <si>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Please tell us your previous physical address</t>
  </si>
  <si>
    <t>What is your mailing address?</t>
  </si>
  <si>
    <t>No</t>
  </si>
  <si>
    <t>Please tell us your mailing address</t>
  </si>
  <si>
    <t>What is your Social Insurance Number (SIN)?</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</si>
  <si>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</si>
  <si>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</si>
  <si>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</si>
  <si>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</si>
  <si>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</si>
  <si>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</si>
  <si>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</si>
  <si>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Please choose a security question.</t>
  </si>
  <si>
    <t>None</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</si>
  <si>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</si>
  <si>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What is your current occupation?</t>
  </si>
  <si>
    <t>Please tell us your current occupation</t>
  </si>
  <si>
    <t>Text must be a valid entry in the Canadian National Occupancy Classification (NOC) list.</t>
  </si>
  <si>
    <t>eConsent</t>
  </si>
  <si>
    <t>Hyperlink to the following URL:
https://www.cwb.com/about-us/privacy</t>
  </si>
  <si>
    <t>Unchecked</t>
  </si>
  <si>
    <t>Please check the box to agree to the terms and conditions provided.</t>
  </si>
  <si>
    <t>Users must check this box to proceed with their application.</t>
  </si>
  <si>
    <t>Dynamic Disclosures</t>
  </si>
  <si>
    <t>Account Options</t>
  </si>
  <si>
    <t>Only if the user's product selection includes a chequing and/or savings account.</t>
  </si>
  <si>
    <t>"Yes", if the user is applying for a chequing account.
"No", otherwise.</t>
  </si>
  <si>
    <t>Ready to get started? Here's what you'll need:</t>
  </si>
  <si>
    <t>Static text with hyperlink</t>
  </si>
  <si>
    <t>Email address format:
"local-part@DomainName"</t>
  </si>
  <si>
    <t>Mobile phone number:</t>
  </si>
  <si>
    <t>First name:</t>
  </si>
  <si>
    <t>Last name:</t>
  </si>
  <si>
    <t>What is your home address?</t>
  </si>
  <si>
    <t>What was your previous home address?</t>
  </si>
  <si>
    <t>Please tell us whether your mailing address matches your home address.</t>
  </si>
  <si>
    <t>Empty</t>
  </si>
  <si>
    <t>Please provide a city name</t>
  </si>
  <si>
    <t xml:space="preserve">Please provide a street name or P.O. box number </t>
  </si>
  <si>
    <t>Please provide a province/state name</t>
  </si>
  <si>
    <t>Please provide a street number</t>
  </si>
  <si>
    <t>Please provide a street name</t>
  </si>
  <si>
    <t>Please select a province</t>
  </si>
  <si>
    <t>Please provide a postal code</t>
  </si>
  <si>
    <t>Street name</t>
  </si>
  <si>
    <t>If value = "Quebec" then
"Sorry, but we are unable to offer banking services to residents of Quebec at this time."</t>
  </si>
  <si>
    <t>Street name or P.O. box</t>
  </si>
  <si>
    <t>We are unable to open accounts for residents of Quebec.</t>
  </si>
  <si>
    <t>This may include being a citizen of another country or having dual citizenship.</t>
  </si>
  <si>
    <t>As Required (in response to unexpected errors, or Fraud check failures)</t>
  </si>
  <si>
    <t>Image</t>
  </si>
  <si>
    <t>Section (heading)</t>
  </si>
  <si>
    <t>Generic Error Message</t>
  </si>
  <si>
    <t>Manual Review Message</t>
  </si>
  <si>
    <t>Decline Message</t>
  </si>
  <si>
    <t>Thank you for applying.</t>
  </si>
  <si>
    <t>Cancel Message</t>
  </si>
  <si>
    <t>As Required (in response to a user-initiated cancellation)</t>
  </si>
  <si>
    <t>We're sorry to see you go.</t>
  </si>
  <si>
    <t>Save Message</t>
  </si>
  <si>
    <t>As Required (in response to a user-initiated save)</t>
  </si>
  <si>
    <t>Resume Page</t>
  </si>
  <si>
    <t>As Required (in response to a user-initiated application resume)</t>
  </si>
  <si>
    <t>A little help from our friends</t>
  </si>
  <si>
    <t>We weren't able to process your application.</t>
  </si>
  <si>
    <t>We're reviewing your application.</t>
  </si>
  <si>
    <t>Please tell us your birthday</t>
  </si>
  <si>
    <t>Choose your security question:</t>
  </si>
  <si>
    <t>Answer your security question:</t>
  </si>
  <si>
    <t>Please provide an answer to your security question.</t>
  </si>
  <si>
    <t>Do you need a debit card?</t>
  </si>
  <si>
    <t>You won't need a debit card for online banking, but you will need one to use an ATM or make Interac purchases.
If you choose "yes", we'll mail your card via Canada Post.</t>
  </si>
  <si>
    <t>We use this information to verify your identity.</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</si>
  <si>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</si>
  <si>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</si>
  <si>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</si>
  <si>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</si>
  <si>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</si>
  <si>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</si>
  <si>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</si>
  <si>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</si>
  <si>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</si>
  <si>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t>Value must come from a drop down list of valid Canadian provinces. Note: "Quebec" is a valid selection for previous address.</t>
  </si>
  <si>
    <t>Value must come from a drop down list of valid Canadian provinces. Note: "Quebec" is a valid selection for mailing address.</t>
  </si>
  <si>
    <t>- Collect and maintain the information submitted in this application</t>
  </si>
  <si>
    <t>- Use my information to confirm my identity</t>
  </si>
  <si>
    <t>- Use my information to confirm my credit score</t>
  </si>
  <si>
    <t>We require this information to open your new account</t>
  </si>
  <si>
    <t>We will use 3rd party sources to validate and confirm the information you submitted</t>
  </si>
  <si>
    <t>We will utilize a deposit inquiry credit score for opening your account</t>
  </si>
  <si>
    <t>On click, start Fraud Check procedures.</t>
  </si>
  <si>
    <t>When is your birthday? (MM/DD/YYYY)</t>
  </si>
  <si>
    <t xml:space="preserve">Only if a value has been selected in the question selection drop-down (field 11.5). </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</si>
  <si>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</si>
  <si>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</si>
  <si>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</si>
  <si>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</si>
  <si>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</si>
  <si>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</si>
  <si>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</si>
  <si>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</si>
  <si>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</si>
  <si>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Alternate IDV Selection</t>
  </si>
  <si>
    <t>As Required (in response to events that trigger the manual review workflow)</t>
  </si>
  <si>
    <t>Only visible when primary IDV fails</t>
  </si>
  <si>
    <t>Flinks IDV</t>
  </si>
  <si>
    <t>&lt;&lt;no caption&gt;&gt;</t>
  </si>
  <si>
    <t>Continue</t>
  </si>
  <si>
    <t>On click, validate PIN, and resume application.</t>
  </si>
  <si>
    <t>On click, resend PIN to mobile number.</t>
  </si>
  <si>
    <t>Flinks IDV Widget</t>
  </si>
  <si>
    <t>Is your mailing address the same as your home address?</t>
  </si>
  <si>
    <t>G</t>
  </si>
  <si>
    <t>As Required (in response to a user inactivity)</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</si>
  <si>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</si>
  <si>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</si>
  <si>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</si>
  <si>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</si>
  <si>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</si>
  <si>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</si>
  <si>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</si>
  <si>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</si>
  <si>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</si>
  <si>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</si>
  <si>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Mobile Verification Page</t>
  </si>
  <si>
    <t>Please verify your mobile device</t>
  </si>
  <si>
    <t>Google reCAPTCHA</t>
  </si>
  <si>
    <t>[Sample barcode instruction text - decision pending]</t>
  </si>
  <si>
    <t>The SIN you provided is not valid. Please provide a valid SIN.</t>
  </si>
  <si>
    <t>I'd like to sign into my other bank or financial institution to verify my identity.</t>
  </si>
  <si>
    <t>Please select your preferred method of identity verification</t>
  </si>
  <si>
    <t>Mandatory field.
The user must select one of the radio buttons from this group.</t>
  </si>
  <si>
    <t>Manual IDV</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</si>
  <si>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</si>
  <si>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</si>
  <si>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</si>
  <si>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</si>
  <si>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t xml:space="preserve">A) What was your favorite restaurant in college or university?
B) What is your father's middle name?
C) In what city was your mother born? 
D) What is the first name of your oldest nephew?
E) What was the name of your first pet?
F) What was the color of your first car?
</t>
  </si>
  <si>
    <t>More about you</t>
  </si>
  <si>
    <t>We were unable to verify some of your personal information.  To protect your identity, we need a little help from you. Please choose one of the methods below to continue.</t>
  </si>
  <si>
    <t>Confirmation Message (modal)</t>
  </si>
  <si>
    <t>To complete your application</t>
  </si>
  <si>
    <t>Display "Email Envelope.svg"</t>
  </si>
  <si>
    <t>If specified address is a Quebec address then
"Sorry, but we are unable to offer banking services to residents of Quebec at this time."</t>
  </si>
  <si>
    <t>No change</t>
  </si>
  <si>
    <t>I</t>
  </si>
  <si>
    <t>Previously Submitted Page</t>
  </si>
  <si>
    <t>&lt;&lt;Application Number&gt;&gt;</t>
  </si>
  <si>
    <t>Please include this number in any inquiries about your application.</t>
  </si>
  <si>
    <t>Submission Complete</t>
  </si>
  <si>
    <t>As Required (in response to a user trying to access a previously submitted application)</t>
  </si>
  <si>
    <t>Resend Token</t>
  </si>
  <si>
    <t>[Sample barcode image]</t>
  </si>
  <si>
    <t>On click, navigate to the "eConsent" page.</t>
  </si>
  <si>
    <t>On click, navigate back to the "Birthday &amp; SIN" page</t>
  </si>
  <si>
    <t>On click, navigate back to "Account Options" page</t>
  </si>
  <si>
    <t>On click, start account provisioning</t>
  </si>
  <si>
    <t>Only when a response has not been received from the Flinks service.
Hide button when response arrives.</t>
  </si>
  <si>
    <t>Entry Page</t>
  </si>
  <si>
    <t>We just sent a 4-7 digit token to your mobile number. Please enter it below to continue with your application.</t>
  </si>
  <si>
    <t>Text field (masked input)</t>
  </si>
  <si>
    <t>On click, resend token to mobile number.</t>
  </si>
  <si>
    <t>Always show</t>
  </si>
  <si>
    <t>About your application</t>
  </si>
  <si>
    <t>&lt;&lt;Product Name&gt;&gt;</t>
  </si>
  <si>
    <t>&lt;&lt;Product Description&gt;&gt;</t>
  </si>
  <si>
    <t>4a</t>
  </si>
  <si>
    <t>Step 6: What's your address?</t>
  </si>
  <si>
    <t>Please tell us whether you live with your co-applicant</t>
  </si>
  <si>
    <t>Yes, if radio button 8.11 is "No", and not in manual address mode.</t>
  </si>
  <si>
    <t>Yes, if radio button 8.19 is "No", and not in manual address mode.</t>
  </si>
  <si>
    <t>Do you live at the same address as &lt;&lt;Primary applicant F.Name&gt;&gt; &lt;&lt;Primary applicant L.Name&gt;&gt;?
(&lt;&lt;Primary applicant address&gt;&gt;)</t>
  </si>
  <si>
    <t>Progressive reveal (after previous questions answered)</t>
  </si>
  <si>
    <t>- At least 18 years of age</t>
  </si>
  <si>
    <t>- Not a resident of Quebec</t>
  </si>
  <si>
    <t>- Not required to file taxes in any country other than Canada</t>
  </si>
  <si>
    <t xml:space="preserve">- Not opening the account(s) for use by, or benefit of a third party </t>
  </si>
  <si>
    <t>0.1</t>
  </si>
  <si>
    <t>Cloned for use with Small Business DCO</t>
  </si>
  <si>
    <t>Ian Hicks</t>
  </si>
  <si>
    <t>Review language</t>
  </si>
  <si>
    <t>May need to have a decline path, if the auth signer chooses not to accept</t>
  </si>
  <si>
    <t>Review for language</t>
  </si>
  <si>
    <t>We just sent a 4-7 digit token to your mobile number.  Please enter it below to continue with your application.
If you take a break from this application, we'll send a one-time password to your mobile phone, so that you may resume later.</t>
  </si>
  <si>
    <t>Before we continue, we need to confirm that you meet the following required conditions to open a CWB business account:
You are:</t>
  </si>
  <si>
    <t>CWB is unable to open an account that will be used by, or on behalf of, anyone other than the named account holder.</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</si>
  <si>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</si>
  <si>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</si>
  <si>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Only for users that select Manual IDV on the Alternate IDV page</t>
  </si>
  <si>
    <t>Review language and content</t>
  </si>
  <si>
    <t>As Required</t>
  </si>
  <si>
    <t>Small Business Digital Client Onboarding (DCO) - Authorized Signer Form</t>
  </si>
  <si>
    <t>Small Business Digital Client Onboarding (DCO)</t>
  </si>
  <si>
    <t>CWBSB-60</t>
  </si>
  <si>
    <t>Text/verbiage updates for SB CWBSB-96</t>
  </si>
  <si>
    <t>CWBSB-61</t>
  </si>
  <si>
    <t>CWBSB-62</t>
  </si>
  <si>
    <t>On click, navigate to "Qualifying Questions" page (CWBSB-63)</t>
  </si>
  <si>
    <t>Text/verbiage updates for SB CWBSB-97</t>
  </si>
  <si>
    <t>CWBSB-63</t>
  </si>
  <si>
    <t>We are only able to open accounts for residents of Canada.</t>
  </si>
  <si>
    <t>- A resident of Canada</t>
  </si>
  <si>
    <t>Removed for Small Business use: tax residency is not required for authorized signers on a business account.</t>
  </si>
  <si>
    <t>Contact info to be confirmed</t>
  </si>
  <si>
    <t>Changed to "resident of Canada" instead of "tax resident" (tax residency not required for auth signers).</t>
  </si>
  <si>
    <t>On click, navigate to "Auth Signer Address" page (CWBSB-65)</t>
  </si>
  <si>
    <t>CWBSB-71</t>
  </si>
  <si>
    <t>1.0 WIP</t>
  </si>
  <si>
    <t>CWBSB-166</t>
  </si>
  <si>
    <t>CWBSB-167</t>
  </si>
  <si>
    <t>On click, navigate to "Auth Signer Qualifying Questions" page (CWBSB-63)</t>
  </si>
  <si>
    <t>On click, navigate to "Auth Signer Contact Info" page (CWBSB-166)</t>
  </si>
  <si>
    <t>On click, navigate back to "Contact Info" page (CWBSB-166)</t>
  </si>
  <si>
    <t>CWBSB-64</t>
  </si>
  <si>
    <t>What's your address?</t>
  </si>
  <si>
    <t>Name &amp; Address</t>
  </si>
  <si>
    <t>Deprecated for Auth Signer</t>
  </si>
  <si>
    <t>Only if manual address mode is enabled on field 7.7 (current address).</t>
  </si>
  <si>
    <t>Only if radio button 7.14 is "No".</t>
  </si>
  <si>
    <t>Only if radio button 7.14 is "No", and manual address mode is enabled on field 7.15 (previous address).</t>
  </si>
  <si>
    <t>Only if radio button 7.22 is "No".</t>
  </si>
  <si>
    <t>Only if radio button 7.22 is "No", and manual address mode is enabled on field 7.23 (mailing address).</t>
  </si>
  <si>
    <t>On click, navigate to "Name &amp; Address" page (CWBSB-64)</t>
  </si>
  <si>
    <t>DEPRECATED</t>
  </si>
  <si>
    <t>N/A</t>
  </si>
  <si>
    <t>Show auth signer e-mail address as provided by primary applicant.</t>
  </si>
  <si>
    <t>Show auth signer mobile number as provided by primary applicant.</t>
  </si>
  <si>
    <t>On click, apply the following conditional logic:
A) If the mobile number has not been verified (user changed their number), navigate to Auth Signer "Mobile Verification" page CWBSB-167
B) If the mobile number has been verified or is the same one originally provided by the primary applicant, navigate to "Qualifying Questions" page CWBSB-63</t>
  </si>
  <si>
    <t>Text/verbiage updates CWBSB-172</t>
  </si>
  <si>
    <t>Subject to business rules in Auth Signer Contact Info CWBSB-166</t>
  </si>
  <si>
    <t>On click, navigate to "Auth Signer ID Scan" page (CWBSB-62)</t>
  </si>
  <si>
    <t>On click, navigate to "Auth Signer Birthday &amp; SIN" page (CWBSB-71)</t>
  </si>
  <si>
    <r>
      <t xml:space="preserve">If you would like to update your contact information, you may do so now.
We'll use this information to communicate with you about this application on an ongoing basis, in accordance with our </t>
    </r>
    <r>
      <rPr>
        <u/>
        <sz val="11"/>
        <color theme="1"/>
        <rFont val="Calibri"/>
        <family val="2"/>
        <scheme val="minor"/>
      </rPr>
      <t>privacy statement</t>
    </r>
    <r>
      <rPr>
        <sz val="11"/>
        <color theme="1"/>
        <rFont val="Calibri"/>
        <family val="2"/>
        <scheme val="minor"/>
      </rPr>
      <t>.</t>
    </r>
  </si>
  <si>
    <t>Combined page, based on personal/Motive Name and Address pages</t>
  </si>
  <si>
    <t>Combined with Name for Small Business - see CWBSB-64 previous tab</t>
  </si>
  <si>
    <t>1.1 WIP</t>
  </si>
  <si>
    <t>Initial review of reusable pages from personal (co-app):
1. Entry page
6. ID Scan
9. Birthday &amp; SIN</t>
  </si>
  <si>
    <t>Additional reusable pages identified from personal (co-app):
4. Contact Info
4a. Mobile Verify
7. Name &amp; Address (combined page, based on separate personal name and address pages)
Renumbered Birthday &amp; SIN page to (8) due to deprecated address page.</t>
  </si>
  <si>
    <t>Christina Mullin</t>
  </si>
  <si>
    <t>CWBSB-72</t>
  </si>
  <si>
    <t>We are unable to open accounts online for individuals under 18 years of age.</t>
  </si>
  <si>
    <r>
      <t xml:space="preserve">Please review the list above and confirm that you meet all of the conditions by checking this box. For more information, please contact CWB at </t>
    </r>
    <r>
      <rPr>
        <sz val="11"/>
        <rFont val="Calibri"/>
        <family val="2"/>
        <scheme val="minor"/>
      </rPr>
      <t>1 (866) 843-3917.</t>
    </r>
  </si>
  <si>
    <t>If box remains unchecked, if user clicks Next, display mandatory message and do not navigate to the next page.
If box is checked, allow navigation to next page as detailed below.</t>
  </si>
  <si>
    <t>On click, and check box 5.8 is unchecked, display mandatory message (described above) and remain on page.
On click, and check box 5.8 is checked, navigate to "ID Scan" page (CWBSB-62)</t>
  </si>
  <si>
    <t>Yes, I meet all of the above criteria</t>
  </si>
  <si>
    <t>Text/verbiage updates for SB CWBSB-222</t>
  </si>
  <si>
    <t>1.2 WIP</t>
  </si>
  <si>
    <t>Final language to be confirmed</t>
  </si>
  <si>
    <t>Text/verbiage updates - CWBSB-223</t>
  </si>
  <si>
    <t>CWBSB-228</t>
  </si>
  <si>
    <t>CWBSB-229</t>
  </si>
  <si>
    <t>On click, navigate to one of the following pages, based on the user's radio button selection:
A) "Flinks" page (CWBSB-229)
B) "Manual IDV" (CWBSB-230)</t>
  </si>
  <si>
    <t>If the user selects radio button 11.6 and clicks "Next" (11.8),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</si>
  <si>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After the user clicks "Next", if radio button 11.6 has been selected.</t>
  </si>
  <si>
    <t>On Click...
Navigate back to the Alternate IDV page (CWBSB-228)</t>
  </si>
  <si>
    <t>On click, navigate to "Dynamic Disclosures" page (CWBSB-73)</t>
  </si>
  <si>
    <t>CWBSB-230</t>
  </si>
  <si>
    <r>
      <t xml:space="preserve">Please send one of the following documents to </t>
    </r>
    <r>
      <rPr>
        <u/>
        <sz val="11"/>
        <color theme="1"/>
        <rFont val="Calibri"/>
        <family val="2"/>
        <scheme val="minor"/>
      </rPr>
      <t>Help@CWBank.com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 (866) 843-3917.</t>
    </r>
  </si>
  <si>
    <t>Image asset for this page is to be confirmed.</t>
  </si>
  <si>
    <t>Pending finalization of page template/navigation</t>
  </si>
  <si>
    <t>Additional reusable pages identified from personal (co-app):
5. Qualifying Questions
10. eConsent
11. Alternate IDV
12. Flinks
13. Manual IDV</t>
  </si>
  <si>
    <t>1. Your personal details
2. Optionally, your Social Insurance Number and drivers license
3. About 10 minutes of your time</t>
  </si>
  <si>
    <t>Display a separate instance of the following fields, for each complementary product on the primary application form</t>
  </si>
  <si>
    <t>Conditional</t>
  </si>
  <si>
    <t>&lt;&lt;Complementary Product Name&gt;&gt;</t>
  </si>
  <si>
    <t>&lt;&lt;Complementary Product Description&gt;&gt;</t>
  </si>
  <si>
    <t>Always (see Business Rules)</t>
  </si>
  <si>
    <t>Review language.</t>
  </si>
  <si>
    <t>Online and Mobile Banking</t>
  </si>
  <si>
    <t>Manage payments and receivables electronically via
- Interac e-Transfer (including Request Money)
- Bill payments
- Government (tax) payment and filing
- Deposit Anywhere (remote deposit capture).</t>
  </si>
  <si>
    <t>We need some more information about you, in connection with an application to open the business account(s) and complementary products listed below, on behalf of &lt;&lt;business name&gt;&gt;.</t>
  </si>
  <si>
    <t>You and these other individuals will have signing and transactional authority for the new account(s).</t>
  </si>
  <si>
    <t>&lt;&lt;applicant fname&gt;&gt; &lt;&lt;applicant lname&gt;&gt;
&lt;&lt;auth signer1 fname&gt;&gt; &lt;&lt;auth signer1 lname&gt;&gt;
&lt;&lt;auth signer2 fname&gt;&gt; &lt;&lt;auth signer2 lname&gt;&gt;
&lt;&lt;auth signer3 fname&gt;&gt; &lt;&lt;auth signer3 lname&gt;&gt;</t>
  </si>
  <si>
    <t>Always include name of business in &lt;&lt;business name&gt;&gt; field</t>
  </si>
  <si>
    <t>Review language and content.</t>
  </si>
  <si>
    <t>Display this section for all individuals with Authorized Signer role (see CWBSB-43).
Hide section only if individual does NOT have Authorized Signer role.</t>
  </si>
  <si>
    <t>Conditional (see Business Rules)</t>
  </si>
  <si>
    <t>Include section for all individuals with Authorized Signer role (omit for individuals without Authorized Signer role)</t>
  </si>
  <si>
    <t>Always include (assumed Online &amp; Mobile always added with a DCO business account)</t>
  </si>
  <si>
    <t>Review language and content.
Needs to include all complementary products selected</t>
  </si>
  <si>
    <t>Render product name and description lines for each Complementary Product selected (from the main SB DCO form).
Omit section if no Complementary Products selected.</t>
  </si>
  <si>
    <t>Welcome…</t>
  </si>
  <si>
    <t>All about you</t>
  </si>
  <si>
    <t>How may we reach you?</t>
  </si>
  <si>
    <t>First things first</t>
  </si>
  <si>
    <t>Help us help you</t>
  </si>
  <si>
    <t>Birthday, SIN &amp; Occupation</t>
  </si>
  <si>
    <t>CWBSB-73</t>
  </si>
  <si>
    <t>Our fine print</t>
  </si>
  <si>
    <t>Something went wrong…</t>
  </si>
  <si>
    <t>Review language and content; update phone &amp; email</t>
  </si>
  <si>
    <t>CWBSB-235</t>
  </si>
  <si>
    <t>The email address should be hyperlinked.</t>
  </si>
  <si>
    <t>CWBSB-236</t>
  </si>
  <si>
    <t>Unfortunately, we are unable to approve your application at this time.</t>
  </si>
  <si>
    <t xml:space="preserve">You are welcome to reapply to CWB in six months. </t>
  </si>
  <si>
    <t>CWBSB-237</t>
  </si>
  <si>
    <t>CWBSB-238</t>
  </si>
  <si>
    <t>CWBSB-239</t>
  </si>
  <si>
    <t>Your application is safe with us</t>
  </si>
  <si>
    <t>We have saved your information so you can resume where you left off.</t>
  </si>
  <si>
    <t>Please check your email for instructions for resuming your application.</t>
  </si>
  <si>
    <t>Note: generic wording required in heading and main paragraph as this resume page is also used for initial invitation to Auth Signers.</t>
  </si>
  <si>
    <t>On click, validate token and resume application.</t>
  </si>
  <si>
    <t>CWBSB-240</t>
  </si>
  <si>
    <t>CWBSB-241</t>
  </si>
  <si>
    <t>CWBSB-242</t>
  </si>
  <si>
    <t>CWBSB-244</t>
  </si>
  <si>
    <t>Please enter the token we sent to your mobile number.</t>
  </si>
  <si>
    <t>Wording reviewed/updated (Connie S.)</t>
  </si>
  <si>
    <t>Mandatory Message wording reviewed/updated (Connie S.)</t>
  </si>
  <si>
    <t>We'll send you status updates and important information about your application.</t>
  </si>
  <si>
    <t>Reviewed/updated verbiage (Connie S.)
- Inline Help</t>
  </si>
  <si>
    <t>Need to take a break? We'll save your application and send a one-time password to your mobile phone, so you can resume it later.</t>
  </si>
  <si>
    <t>CWBSB-245</t>
  </si>
  <si>
    <t>On click, navigate to "Existing Customer Check" page CWBSB-245</t>
  </si>
  <si>
    <t>We can scan the back of your driver's licence to quickly fill in your personal information. Upload an image or skip this step if you wish to fill in this information yourself.</t>
  </si>
  <si>
    <t>Reviewed/updated verbiage (Connie S.)
- Caption</t>
  </si>
  <si>
    <t>Your fine print</t>
  </si>
  <si>
    <t>CWBSB-246</t>
  </si>
  <si>
    <t>On click, navigate to "Account Options" page (CWBSB-246)</t>
  </si>
  <si>
    <t>Reviewed for verbiage (Connie S.) - no updates required (deprecated CWBSB-98)</t>
  </si>
  <si>
    <t>Reviewed for verbiage (Connie S.) - no updates required (deprecated CWBSB-173)</t>
  </si>
  <si>
    <t>1.3 WIP</t>
  </si>
  <si>
    <t>Additional reusable pages identified from personal (co-app):
A. Generic Error
B. Manual Review
C. Decline
D. Cancel
E. Save
F. Resume
G. Time Out
H. Progress
Pages reviewed/updated for verbiage by Connie S.
1. Entry Page
4. Contact Info
4a. Mobile Verify
6. IDScan
7. Name &amp; Address
8. Birthday, SIN &amp; Occupation</t>
  </si>
  <si>
    <t>Format email address as Mailto link.</t>
  </si>
  <si>
    <t>Hello &lt;&lt;Auth Signer first name&gt;&gt;</t>
  </si>
  <si>
    <t>Insert first name of Authorized Signer as indicated by &lt;&lt;&gt;&gt;tags</t>
  </si>
  <si>
    <t>Always include name of applicant (from main SB DCO form) in &lt;&lt;applicant fname&gt;&gt; &lt;&lt;applicant lname&gt;&gt; fields.
Include names of other Authorized Signers only if applicable
(&lt;&lt;auth signer1 fname&gt;&gt; &lt;&lt;auth signer1 lname&gt;&gt;
&lt;&lt;auth signer2 fname&gt;&gt; &lt;&lt;auth signer2 lname&gt;&gt;
&lt;&lt;auth signer3 fname&gt;&gt; &lt;&lt;auth signer3 lname&gt;&gt; fields)</t>
  </si>
  <si>
    <t>Display product card, for each account on the primary application form</t>
  </si>
  <si>
    <t>Insert product image at left of card</t>
  </si>
  <si>
    <t>Render account product name and description lines to right of image, for each account product selected (from the main SB DCO form)</t>
  </si>
  <si>
    <t>Needs to include all accounts selected</t>
  </si>
  <si>
    <t>Summary will need to include complementary products, applicant and other auth signers</t>
  </si>
  <si>
    <t>Text/verbiage updates CWBSB-279</t>
  </si>
  <si>
    <r>
      <t xml:space="preserve">For assistance, please email </t>
    </r>
    <r>
      <rPr>
        <u/>
        <sz val="11"/>
        <rFont val="Calibri"/>
        <family val="2"/>
        <scheme val="minor"/>
      </rPr>
      <t>Business-Onboarding@CWBank.com</t>
    </r>
    <r>
      <rPr>
        <sz val="11"/>
        <rFont val="Calibri"/>
        <family val="2"/>
        <scheme val="minor"/>
      </rPr>
      <t>, and we will be happy to help you complete your application.</t>
    </r>
  </si>
  <si>
    <r>
      <t xml:space="preserve">Please check your email for some next steps, or contact a CWB Business team member at </t>
    </r>
    <r>
      <rPr>
        <u/>
        <sz val="11"/>
        <rFont val="Calibri"/>
        <family val="2"/>
        <scheme val="minor"/>
      </rPr>
      <t>Business-Onboarding@CWBank.com</t>
    </r>
    <r>
      <rPr>
        <sz val="11"/>
        <rFont val="Calibri"/>
        <family val="2"/>
        <scheme val="minor"/>
      </rPr>
      <t>.</t>
    </r>
  </si>
  <si>
    <t>Note: generic wording required in heading and main paragraph as this page is also used for resume after save.</t>
  </si>
  <si>
    <r>
      <t xml:space="preserve">You have already submitted an application.
For assistance, please e-mail CWB at </t>
    </r>
    <r>
      <rPr>
        <u/>
        <sz val="11"/>
        <rFont val="Calibri"/>
        <family val="2"/>
        <scheme val="minor"/>
      </rPr>
      <t>Business-Onboarding@CWBank.com.</t>
    </r>
    <r>
      <rPr>
        <sz val="11"/>
        <rFont val="Calibri"/>
        <family val="2"/>
        <scheme val="minor"/>
      </rPr>
      <t xml:space="preserve">
Your reference number is:</t>
    </r>
  </si>
  <si>
    <t>CWB Business Account Agreement</t>
  </si>
  <si>
    <t>Hyperlink to URL: TBD
Open in new window</t>
  </si>
  <si>
    <t>URL to be confirmed</t>
  </si>
  <si>
    <t>Almost there</t>
  </si>
  <si>
    <t>Let's get started</t>
  </si>
  <si>
    <t>A) No
B) Yes</t>
  </si>
  <si>
    <t>A) No</t>
  </si>
  <si>
    <t>Review for language.
Destination page/URL for OKTA log in is to be confirmed.</t>
  </si>
  <si>
    <t>On click, navigate to the "Auth Signer Landing Page" (CWBSB-61)</t>
  </si>
  <si>
    <t>On click
IF radio button 2.3 = "No", navigate to the "Contact Info" page (CWBSB-166);
ELSE IF radio button 2.3 = "Yes" go to OKTA log in</t>
  </si>
  <si>
    <t>Review language.
Needs to include Applicant and other Auth Signers</t>
  </si>
  <si>
    <t>Review language.
Assumed: online/mobile will always be included with DCO-originated accounts.</t>
  </si>
  <si>
    <t xml:space="preserve">If you ever need to contact a CWB Business representative, we may use this question to help confirm your identity and secure your account. </t>
  </si>
  <si>
    <t>By submission of this application, I certify that I understand and agree to the agreements listed.</t>
  </si>
  <si>
    <t>1.4 WIP</t>
  </si>
  <si>
    <t>Are you already a CWB or Motive Financial banking customer?</t>
  </si>
  <si>
    <t>This leads to the "authenticated path" if individual is an existing client</t>
  </si>
  <si>
    <t>Updates for development in Sprint 6:
3. Existing Customer Check</t>
  </si>
  <si>
    <t>19.17</t>
  </si>
  <si>
    <t>On behalf of the business entity named above, I certify this information</t>
  </si>
  <si>
    <t>Please check the box to confirm your agreement.</t>
  </si>
  <si>
    <t>If box is unchecked and user clicks "Next", remain on page and display mandatory message</t>
  </si>
  <si>
    <r>
      <t xml:space="preserve">Display image </t>
    </r>
    <r>
      <rPr>
        <strike/>
        <sz val="11"/>
        <color theme="1"/>
        <rFont val="Calibri"/>
        <family val="2"/>
        <scheme val="minor"/>
      </rPr>
      <t>"CWB Loading Triangles.gif"</t>
    </r>
    <r>
      <rPr>
        <sz val="11"/>
        <color theme="1"/>
        <rFont val="Calibri"/>
        <family val="2"/>
        <scheme val="minor"/>
      </rPr>
      <t>.
Refer to the CWB Design System for image asset.
Pending new image creation</t>
    </r>
  </si>
  <si>
    <t>Awaiting new image from CWB Creative team.</t>
  </si>
  <si>
    <t>As an Authorized Signer for &lt;&lt;business legal name&gt;&gt;, I &lt;&lt;First Name&gt;&gt; &lt;&lt;Last Name&gt;&gt;, have read and agree to these terms and conditions:</t>
  </si>
  <si>
    <t>Security Question (Contact Log)</t>
  </si>
  <si>
    <t>Security question</t>
  </si>
  <si>
    <t>Pending final decision on progress/navigation</t>
  </si>
  <si>
    <t>If you ever need to contact a CWB representative about your business account(s), we may use this question to help confirm your identity and secure your account.</t>
  </si>
  <si>
    <t>Choose your security question</t>
  </si>
  <si>
    <t xml:space="preserve">If you ever need to contact a CWB representative, we may use this question to help confirm your identity and secure your account. </t>
  </si>
  <si>
    <t>Answer your security question</t>
  </si>
  <si>
    <t>On click, navigate to 'eConsent' page CWBSB-72</t>
  </si>
  <si>
    <t>On click, navigate back to 'Birthday, SIN and Occupation' page CWBSB-71</t>
  </si>
  <si>
    <t>Note: this is identical to the entry page after Save/Resume (tab F)</t>
  </si>
  <si>
    <t>CWBSB-481</t>
  </si>
  <si>
    <t>1.5 WIP</t>
  </si>
  <si>
    <t>Alphanumeric, spaces and special characters including ‘ ( ) + , - . / : ? &amp;</t>
  </si>
  <si>
    <t>Updated to include all allowable characters for consistency</t>
  </si>
  <si>
    <t>A) What was your favorite restaurant in college or university?
B) What is your father's middle name?
C) In what city was your mother born? 
D) What is the first name of your oldest nephew?
E) What was the name of your first pet?
F) What was the colour of your first car?</t>
  </si>
  <si>
    <t>With your permission…</t>
  </si>
  <si>
    <t>Addition of debit card question, move check box CWBSB-486</t>
  </si>
  <si>
    <t>Do you need a business debit card?</t>
  </si>
  <si>
    <t>If your new business account(s) will only require one person to authorize a transaction, you can request a debit card for in-person transactions and ATM access</t>
  </si>
  <si>
    <t>No selection</t>
  </si>
  <si>
    <t>Please confirm whether you require a business debit card.</t>
  </si>
  <si>
    <t>Link URL for Business Debit Card/PIN Agreement is to be confirmed.</t>
  </si>
  <si>
    <t>I, &lt;&lt;applicant first name&gt;&gt; &lt;&lt;applicant last name&gt;&gt;, agree to allow CWB to:</t>
  </si>
  <si>
    <t>Users must check this box to proceed with their application.
Hyperlink underlined text to the following URL:
https://www.cwb.com/about-us/privacy
(open in new browser tab)</t>
  </si>
  <si>
    <t>Reveal only if radio button 10.3 selection = "Yes"</t>
  </si>
  <si>
    <t>Reveal only if check box 10.3 selection = "Yes".
Hyperlink underlined text to this URL:
TBC
(open in new browser tab)</t>
  </si>
  <si>
    <t>Insert Authorized Signer first and last name in fields indicated by &lt;&lt;&gt;&gt; tags</t>
  </si>
  <si>
    <t>Final language to be confirmed.
UX recommendation to move the check box to the bottom of the page.</t>
  </si>
  <si>
    <r>
      <t xml:space="preserve">Please check the box to indicate your agreement. For more information about how we use and protect your information, please view our </t>
    </r>
    <r>
      <rPr>
        <u/>
        <sz val="11"/>
        <color theme="1"/>
        <rFont val="Calibri"/>
        <family val="2"/>
        <scheme val="minor"/>
      </rPr>
      <t>privacy statement</t>
    </r>
  </si>
  <si>
    <t>DEPRECATED - not required for Auth Signer</t>
  </si>
  <si>
    <t>Security question moved to its own page - see tab 9 (CWBSB-481)</t>
  </si>
  <si>
    <r>
      <t xml:space="preserve">We've cancelled your application, but if you change your mind, please email us at </t>
    </r>
    <r>
      <rPr>
        <u/>
        <sz val="11"/>
        <color theme="1"/>
        <rFont val="Calibri"/>
        <family val="2"/>
        <scheme val="minor"/>
      </rPr>
      <t>business-onboarding@cwbank.com</t>
    </r>
  </si>
  <si>
    <t>Display standard decline image</t>
  </si>
  <si>
    <t>Display standard cancel image</t>
  </si>
  <si>
    <r>
      <t xml:space="preserve">By checking the box at the bottom of this page, I acknowledge I have read and accept the conditions set out in the </t>
    </r>
    <r>
      <rPr>
        <u/>
        <sz val="11"/>
        <color theme="1"/>
        <rFont val="Calibri"/>
        <family val="2"/>
        <scheme val="minor"/>
      </rPr>
      <t>Business Debit Card and PIN Agreement</t>
    </r>
    <r>
      <rPr>
        <sz val="11"/>
        <color theme="1"/>
        <rFont val="Calibri"/>
        <family val="2"/>
        <scheme val="minor"/>
      </rPr>
      <t>.</t>
    </r>
  </si>
  <si>
    <t>Display standard generic error image</t>
  </si>
  <si>
    <t>See CWB design system for image assets.</t>
  </si>
  <si>
    <t>Display standard manual review image</t>
  </si>
  <si>
    <t>Display standard save image</t>
  </si>
  <si>
    <t>(no caption)</t>
  </si>
  <si>
    <t>Insert standard submission complete image</t>
  </si>
  <si>
    <t>Refer to CWB design system for image asset</t>
  </si>
  <si>
    <t>J</t>
  </si>
  <si>
    <t>Submission Complete Page</t>
  </si>
  <si>
    <t>CWBSB-522</t>
  </si>
  <si>
    <r>
      <t xml:space="preserve">Thank you, your application is complete. Please check your email for further information.
If you need further assistance, please e-mail CWB at </t>
    </r>
    <r>
      <rPr>
        <u/>
        <sz val="11"/>
        <rFont val="Calibri"/>
        <family val="2"/>
        <scheme val="minor"/>
      </rPr>
      <t>business-onboarding@cwbank.com</t>
    </r>
    <r>
      <rPr>
        <sz val="11"/>
        <rFont val="Calibri"/>
        <family val="2"/>
        <scheme val="minor"/>
      </rPr>
      <t>.
Your reference number is:</t>
    </r>
  </si>
  <si>
    <t>Updates for Sprint 8 and later:
- CWBSB-481 (tab 9) new page for Security Question (consistent with similar page in main SB DCO form).
- CWBSB-486 added debit card question to 10. eConsent page (CWBSB-72), consistent with main SB DCO form.
- Updated 7. Name &amp; Address (CWBSB-64) name fields to include all allowable characters for consistency.
- Reinstated C. Decline (CWBSB-237) and D. Cancel (CWBSB-238) pages as these (standard) pages will be required based on confirmed decision logic.
- Deprecated Dynamic Disclosures (confirmed with legal there are no T&amp;C/disclosures required for Auth Signers, other than debit card which is in the eConsent page).
- Added J. Submission Complete modal page (CWBSB-522) as termination page for end of Auth Signer flow</t>
  </si>
  <si>
    <t>Text/verbiage updates CWBSB-534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</si>
</sst>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3"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b/>
      <sz val="11"/>
      <color theme="0" tint="-4.9989318521683403E-2"/>
      <name val="Calibri"/>
      <family val="2"/>
      <scheme val="minor"/>
    </font>
    <font>
      <u/>
      <sz val="11"/>
      <name val="Calibri"/>
      <family val="2"/>
      <scheme val="minor"/>
    </font>
    <font>
      <strike/>
      <sz val="11"/>
      <color theme="1"/>
      <name val="Calibri"/>
      <family val="2"/>
      <scheme val="minor"/>
    </font>
    <font>
      <u/>
      <sz val="11"/>
      <color theme="10"/>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7" tint="0.39997558519241921"/>
        <bgColor indexed="64"/>
      </patternFill>
    </fill>
  </fills>
  <borders count="17">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s>
  <cellStyleXfs count="2">
    <xf numFmtId="0" fontId="0" fillId="0" borderId="0"/>
    <xf numFmtId="0" fontId="12" fillId="0" borderId="0" applyNumberFormat="0" applyFill="0" applyBorder="0" applyAlignment="0" applyProtection="0"/>
  </cellStyleXfs>
  <cellXfs count="93">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49" fontId="0" fillId="0" borderId="10" xfId="0" applyNumberFormat="1" applyBorder="1" applyAlignment="1">
      <alignment horizontal="center" vertical="center"/>
    </xf>
    <xf numFmtId="164" fontId="0" fillId="0" borderId="11" xfId="0" applyNumberFormat="1" applyBorder="1" applyAlignment="1">
      <alignment horizontal="center" vertical="center"/>
    </xf>
    <xf numFmtId="0" fontId="3" fillId="0" borderId="11" xfId="0" applyFont="1" applyBorder="1" applyAlignment="1">
      <alignment vertical="center" wrapText="1"/>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3" xfId="0" applyFont="1" applyFill="1" applyBorder="1" applyAlignment="1">
      <alignment vertical="center" wrapText="1"/>
    </xf>
    <xf numFmtId="0" fontId="6" fillId="0" borderId="0" xfId="0" applyFont="1" applyAlignment="1">
      <alignment horizontal="center" vertical="center"/>
    </xf>
    <xf numFmtId="0" fontId="1" fillId="4" borderId="13"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2" fillId="0" borderId="0" xfId="0" applyFont="1" applyFill="1" applyAlignment="1">
      <alignment vertical="center"/>
    </xf>
    <xf numFmtId="0" fontId="5" fillId="0" borderId="0" xfId="0" applyFont="1" applyFill="1" applyAlignment="1">
      <alignment vertical="center"/>
    </xf>
    <xf numFmtId="0" fontId="6" fillId="0" borderId="0" xfId="0" applyFont="1" applyFill="1" applyAlignment="1">
      <alignment horizontal="center"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3" xfId="0" applyFont="1" applyFill="1" applyBorder="1" applyAlignment="1">
      <alignment vertical="center" wrapText="1"/>
    </xf>
    <xf numFmtId="0" fontId="1" fillId="2" borderId="13"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9" fillId="5" borderId="0" xfId="0" applyFont="1" applyFill="1" applyAlignment="1">
      <alignment vertical="center" wrapText="1"/>
    </xf>
    <xf numFmtId="0" fontId="0" fillId="0" borderId="0" xfId="0" applyFont="1" applyAlignment="1">
      <alignment horizontal="center" vertical="center" wrapText="1"/>
    </xf>
    <xf numFmtId="0" fontId="0" fillId="6" borderId="0" xfId="0" applyFill="1" applyAlignment="1">
      <alignment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6" fillId="0" borderId="0" xfId="0" applyFont="1" applyAlignment="1">
      <alignment horizontal="left" vertical="center"/>
    </xf>
    <xf numFmtId="0" fontId="8" fillId="0" borderId="0" xfId="0" applyFont="1" applyAlignment="1">
      <alignment vertical="top"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12" fillId="0" borderId="0" xfId="1" applyFill="1" applyAlignment="1">
      <alignment vertical="center" wrapText="1"/>
    </xf>
    <xf numFmtId="0" fontId="0" fillId="0" borderId="0" xfId="0" applyFont="1" applyAlignment="1">
      <alignment horizontal="center" vertical="center" wrapText="1"/>
    </xf>
    <xf numFmtId="0" fontId="9" fillId="5" borderId="0" xfId="0" applyFont="1" applyFill="1" applyAlignment="1">
      <alignment horizontal="left"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Font="1" applyFill="1" applyAlignment="1">
      <alignment horizontal="left" vertical="center" wrapText="1"/>
    </xf>
  </cellXfs>
  <cellStyles count="2">
    <cellStyle name="Hyperlink" xfId="1" builtinId="8"/>
    <cellStyle name="Normal" xfId="0" builtinId="0"/>
  </cellStyles>
  <dxfs count="425">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all%20Business%20DCO%20Funding%20Form%20Field%20Spec%20v1.1%20WI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sheetName val="List Values"/>
      <sheetName val="1. Application Approval"/>
      <sheetName val="1a. PAN Confirmation"/>
      <sheetName val="2. Method Selection"/>
      <sheetName val="3. Me-to-Me Session Mgmt."/>
      <sheetName val="4. Funds Transfer"/>
      <sheetName val="4a. Transfer Error"/>
      <sheetName val="5. Dynamic Finish"/>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tabSelected="1" topLeftCell="A8" zoomScaleNormal="100" workbookViewId="0">
      <selection activeCell="A12" sqref="A12"/>
    </sheetView>
  </sheetViews>
  <sheetFormatPr defaultRowHeight="14.5" x14ac:dyDescent="0.35"/>
  <cols>
    <col min="1" max="1" width="19.81640625" customWidth="1"/>
    <col min="2" max="2" width="18.7265625" bestFit="1" customWidth="1"/>
    <col min="3" max="3" width="67.54296875" customWidth="1"/>
    <col min="4" max="5" width="21.54296875" customWidth="1"/>
    <col min="6" max="6" width="20.1796875" customWidth="1"/>
  </cols>
  <sheetData>
    <row r="1" spans="1:15" s="1" customFormat="1" ht="18.5" x14ac:dyDescent="0.35">
      <c r="A1" s="1" t="s">
        <v>280</v>
      </c>
      <c r="B1" s="2"/>
      <c r="C1" s="2"/>
      <c r="D1" s="2"/>
      <c r="E1" s="2"/>
      <c r="F1" s="3"/>
      <c r="G1" s="2"/>
      <c r="H1" s="3"/>
      <c r="I1" s="3"/>
      <c r="J1" s="3"/>
      <c r="K1" s="2"/>
      <c r="L1" s="2"/>
      <c r="M1" s="2"/>
      <c r="N1" s="2"/>
      <c r="O1" s="2"/>
    </row>
    <row r="2" spans="1:15" s="1" customFormat="1" ht="18.5" x14ac:dyDescent="0.35">
      <c r="A2" s="1" t="s">
        <v>0</v>
      </c>
      <c r="B2" s="2"/>
      <c r="C2" s="2"/>
      <c r="D2" s="2"/>
      <c r="E2" s="2"/>
      <c r="F2" s="3"/>
      <c r="G2" s="2"/>
      <c r="H2" s="3"/>
      <c r="I2" s="3"/>
      <c r="J2" s="3"/>
      <c r="K2" s="2"/>
      <c r="L2" s="2"/>
      <c r="M2" s="2"/>
      <c r="N2" s="2"/>
      <c r="O2" s="2"/>
    </row>
    <row r="3" spans="1:15" s="4" customFormat="1" x14ac:dyDescent="0.35">
      <c r="C3" s="6"/>
    </row>
    <row r="4" spans="1:15" ht="15" thickBot="1" x14ac:dyDescent="0.4"/>
    <row r="5" spans="1:15" s="11" customFormat="1" ht="15" thickBot="1" x14ac:dyDescent="0.4">
      <c r="A5" s="7" t="s">
        <v>1</v>
      </c>
      <c r="B5" s="8" t="s">
        <v>2</v>
      </c>
      <c r="C5" s="9" t="s">
        <v>3</v>
      </c>
      <c r="D5" s="8" t="s">
        <v>4</v>
      </c>
      <c r="E5" s="10" t="s">
        <v>5</v>
      </c>
    </row>
    <row r="6" spans="1:15" s="4" customFormat="1" ht="15" customHeight="1" x14ac:dyDescent="0.35">
      <c r="A6" s="12" t="s">
        <v>266</v>
      </c>
      <c r="B6" s="13">
        <v>44026</v>
      </c>
      <c r="C6" s="14" t="s">
        <v>267</v>
      </c>
      <c r="D6" s="23" t="s">
        <v>268</v>
      </c>
      <c r="E6" s="25"/>
    </row>
    <row r="7" spans="1:15" s="4" customFormat="1" ht="52" x14ac:dyDescent="0.35">
      <c r="A7" s="15" t="s">
        <v>296</v>
      </c>
      <c r="B7" s="16">
        <v>44036</v>
      </c>
      <c r="C7" s="17" t="s">
        <v>325</v>
      </c>
      <c r="D7" s="26" t="s">
        <v>268</v>
      </c>
      <c r="E7" s="18" t="s">
        <v>327</v>
      </c>
    </row>
    <row r="8" spans="1:15" s="4" customFormat="1" ht="91" x14ac:dyDescent="0.35">
      <c r="A8" s="15" t="s">
        <v>324</v>
      </c>
      <c r="B8" s="16">
        <v>44056</v>
      </c>
      <c r="C8" s="17" t="s">
        <v>326</v>
      </c>
      <c r="D8" s="26" t="s">
        <v>268</v>
      </c>
      <c r="E8" s="18" t="s">
        <v>327</v>
      </c>
    </row>
    <row r="9" spans="1:15" s="4" customFormat="1" ht="78" x14ac:dyDescent="0.35">
      <c r="A9" s="15" t="s">
        <v>335</v>
      </c>
      <c r="B9" s="16">
        <v>44085</v>
      </c>
      <c r="C9" s="17" t="s">
        <v>349</v>
      </c>
      <c r="D9" s="26" t="s">
        <v>268</v>
      </c>
      <c r="E9" s="18"/>
    </row>
    <row r="10" spans="1:15" s="4" customFormat="1" ht="208" x14ac:dyDescent="0.35">
      <c r="A10" s="15" t="s">
        <v>412</v>
      </c>
      <c r="B10" s="16">
        <v>44134</v>
      </c>
      <c r="C10" s="17" t="s">
        <v>413</v>
      </c>
      <c r="D10" s="26" t="s">
        <v>268</v>
      </c>
      <c r="E10" s="18"/>
    </row>
    <row r="11" spans="1:15" s="4" customFormat="1" ht="26" x14ac:dyDescent="0.35">
      <c r="A11" s="15" t="s">
        <v>442</v>
      </c>
      <c r="B11" s="16">
        <v>44218</v>
      </c>
      <c r="C11" s="17" t="s">
        <v>445</v>
      </c>
      <c r="D11" s="26" t="s">
        <v>268</v>
      </c>
      <c r="E11" s="18"/>
    </row>
    <row r="12" spans="1:15" s="4" customFormat="1" ht="169" x14ac:dyDescent="0.35">
      <c r="A12" s="15" t="s">
        <v>464</v>
      </c>
      <c r="B12" s="16">
        <v>44239</v>
      </c>
      <c r="C12" s="17" t="s">
        <v>499</v>
      </c>
      <c r="D12" s="26" t="s">
        <v>268</v>
      </c>
      <c r="E12" s="18"/>
    </row>
    <row r="13" spans="1:15" s="4" customFormat="1" x14ac:dyDescent="0.35">
      <c r="A13" s="15"/>
      <c r="B13" s="16"/>
      <c r="C13" s="17"/>
      <c r="D13" s="26"/>
      <c r="E13" s="18"/>
    </row>
    <row r="14" spans="1:15" s="4" customFormat="1" x14ac:dyDescent="0.35">
      <c r="A14" s="54"/>
      <c r="B14" s="55"/>
      <c r="C14" s="56"/>
      <c r="D14" s="57"/>
      <c r="E14" s="58"/>
    </row>
    <row r="15" spans="1:15" s="4" customFormat="1" ht="15" thickBot="1" x14ac:dyDescent="0.4">
      <c r="A15" s="19"/>
      <c r="B15" s="20"/>
      <c r="C15" s="21"/>
      <c r="D15" s="24"/>
      <c r="E15" s="22"/>
    </row>
  </sheetData>
  <conditionalFormatting sqref="H1:I2">
    <cfRule type="cellIs" dxfId="424" priority="10" operator="equal">
      <formula>"Not Applicable"</formula>
    </cfRule>
    <cfRule type="cellIs" dxfId="423" priority="11" operator="equal">
      <formula>"4 - Future Initiative (out of scope)"</formula>
    </cfRule>
    <cfRule type="cellIs" dxfId="422" priority="12" operator="equal">
      <formula>"3 - Desirable (Nice To Have)"</formula>
    </cfRule>
    <cfRule type="cellIs" dxfId="421" priority="13" operator="equal">
      <formula>"2 - Recommended (Best Practice)"</formula>
    </cfRule>
    <cfRule type="cellIs" dxfId="420" priority="14" operator="equal">
      <formula>"1 - Mandatory (Must Have)"</formula>
    </cfRule>
  </conditionalFormatting>
  <conditionalFormatting sqref="F1:F2">
    <cfRule type="cellIs" dxfId="419" priority="8" operator="equal">
      <formula>"Non-functional"</formula>
    </cfRule>
    <cfRule type="cellIs" dxfId="418"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workbookViewId="0">
      <selection activeCell="A2" sqref="A2"/>
    </sheetView>
  </sheetViews>
  <sheetFormatPr defaultRowHeight="14.5" x14ac:dyDescent="0.35"/>
  <cols>
    <col min="1" max="1" width="47.26953125" bestFit="1" customWidth="1"/>
    <col min="2" max="2" width="25.54296875" customWidth="1"/>
  </cols>
  <sheetData>
    <row r="1" spans="1:15" s="1" customFormat="1" ht="18.5" x14ac:dyDescent="0.35">
      <c r="A1" s="1" t="s">
        <v>281</v>
      </c>
      <c r="B1" s="2"/>
      <c r="C1" s="2"/>
      <c r="D1" s="2"/>
      <c r="E1" s="2"/>
      <c r="F1" s="3"/>
      <c r="G1" s="2"/>
      <c r="H1" s="3"/>
      <c r="I1" s="3"/>
      <c r="J1" s="3"/>
      <c r="K1" s="2"/>
      <c r="L1" s="2"/>
      <c r="M1" s="2"/>
      <c r="N1" s="2"/>
      <c r="O1" s="2"/>
    </row>
    <row r="2" spans="1:15" s="1" customFormat="1" ht="18.5" x14ac:dyDescent="0.35">
      <c r="A2" s="1" t="s">
        <v>27</v>
      </c>
      <c r="B2" s="2"/>
      <c r="C2" s="2"/>
      <c r="D2" s="2"/>
      <c r="E2" s="2"/>
      <c r="F2" s="3"/>
      <c r="G2" s="2"/>
      <c r="H2" s="3"/>
      <c r="I2" s="3"/>
      <c r="J2" s="3"/>
      <c r="K2" s="2"/>
      <c r="L2" s="2"/>
      <c r="M2" s="2"/>
      <c r="N2" s="2"/>
      <c r="O2" s="2"/>
    </row>
    <row r="4" spans="1:15" s="27" customFormat="1" x14ac:dyDescent="0.35">
      <c r="A4" s="27" t="s">
        <v>28</v>
      </c>
      <c r="B4" s="27" t="s">
        <v>39</v>
      </c>
    </row>
    <row r="5" spans="1:15" x14ac:dyDescent="0.35">
      <c r="A5" t="s">
        <v>43</v>
      </c>
      <c r="B5" t="s">
        <v>42</v>
      </c>
    </row>
    <row r="6" spans="1:15" x14ac:dyDescent="0.35">
      <c r="A6" t="s">
        <v>30</v>
      </c>
      <c r="B6" t="s">
        <v>40</v>
      </c>
    </row>
    <row r="7" spans="1:15" x14ac:dyDescent="0.35">
      <c r="A7" t="s">
        <v>63</v>
      </c>
      <c r="B7" t="s">
        <v>41</v>
      </c>
    </row>
    <row r="8" spans="1:15" x14ac:dyDescent="0.35">
      <c r="A8" t="s">
        <v>229</v>
      </c>
      <c r="B8" t="s">
        <v>38</v>
      </c>
    </row>
    <row r="9" spans="1:15" x14ac:dyDescent="0.35">
      <c r="A9" t="s">
        <v>94</v>
      </c>
      <c r="B9" t="s">
        <v>45</v>
      </c>
    </row>
    <row r="10" spans="1:15" x14ac:dyDescent="0.35">
      <c r="A10" t="s">
        <v>35</v>
      </c>
    </row>
    <row r="11" spans="1:15" x14ac:dyDescent="0.35">
      <c r="A11" t="s">
        <v>199</v>
      </c>
    </row>
    <row r="12" spans="1:15" x14ac:dyDescent="0.35">
      <c r="A12" t="s">
        <v>215</v>
      </c>
    </row>
    <row r="13" spans="1:15" x14ac:dyDescent="0.35">
      <c r="A13" t="s">
        <v>184</v>
      </c>
    </row>
    <row r="14" spans="1:15" x14ac:dyDescent="0.35">
      <c r="A14" t="s">
        <v>139</v>
      </c>
    </row>
    <row r="15" spans="1:15" x14ac:dyDescent="0.35">
      <c r="A15" t="s">
        <v>48</v>
      </c>
    </row>
    <row r="16" spans="1:15" x14ac:dyDescent="0.35">
      <c r="A16" t="s">
        <v>32</v>
      </c>
    </row>
    <row r="17" spans="1:1" x14ac:dyDescent="0.35">
      <c r="A17" t="s">
        <v>31</v>
      </c>
    </row>
    <row r="18" spans="1:1" x14ac:dyDescent="0.35">
      <c r="A18" t="s">
        <v>140</v>
      </c>
    </row>
    <row r="19" spans="1:1" x14ac:dyDescent="0.35">
      <c r="A19" t="s">
        <v>29</v>
      </c>
    </row>
    <row r="20" spans="1:1" x14ac:dyDescent="0.35">
      <c r="A20" t="s">
        <v>117</v>
      </c>
    </row>
    <row r="21" spans="1:1" x14ac:dyDescent="0.35">
      <c r="A21" t="s">
        <v>34</v>
      </c>
    </row>
    <row r="22" spans="1:1" x14ac:dyDescent="0.35">
      <c r="A22" t="s">
        <v>36</v>
      </c>
    </row>
    <row r="23" spans="1:1" x14ac:dyDescent="0.35">
      <c r="A23" t="s">
        <v>33</v>
      </c>
    </row>
    <row r="24" spans="1:1" x14ac:dyDescent="0.35">
      <c r="A24" t="s">
        <v>249</v>
      </c>
    </row>
    <row r="25" spans="1:1" x14ac:dyDescent="0.35">
      <c r="A25" t="s">
        <v>80</v>
      </c>
    </row>
    <row r="26" spans="1:1" x14ac:dyDescent="0.35">
      <c r="A26" t="s">
        <v>207</v>
      </c>
    </row>
  </sheetData>
  <sortState ref="A5:A15">
    <sortCondition ref="A16"/>
  </sortState>
  <conditionalFormatting sqref="H1:I2">
    <cfRule type="cellIs" dxfId="417" priority="3" operator="equal">
      <formula>"Not Applicable"</formula>
    </cfRule>
    <cfRule type="cellIs" dxfId="416" priority="4" operator="equal">
      <formula>"4 - Future Initiative (out of scope)"</formula>
    </cfRule>
    <cfRule type="cellIs" dxfId="415" priority="5" operator="equal">
      <formula>"3 - Desirable (Nice To Have)"</formula>
    </cfRule>
    <cfRule type="cellIs" dxfId="414" priority="6" operator="equal">
      <formula>"2 - Recommended (Best Practice)"</formula>
    </cfRule>
    <cfRule type="cellIs" dxfId="413" priority="7" operator="equal">
      <formula>"1 - Mandatory (Must Have)"</formula>
    </cfRule>
  </conditionalFormatting>
  <conditionalFormatting sqref="F1:F2">
    <cfRule type="cellIs" dxfId="412" priority="1" operator="equal">
      <formula>"Non-functional"</formula>
    </cfRule>
    <cfRule type="cellIs" dxfId="411"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1"/>
  <sheetViews>
    <sheetView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5" customWidth="1"/>
    <col min="2" max="2" width="12.54296875" style="5" customWidth="1"/>
    <col min="3" max="3" width="13" style="76" customWidth="1"/>
    <col min="4" max="4" width="45.1796875" style="5" customWidth="1"/>
    <col min="5" max="5" width="28.7265625" style="5" customWidth="1"/>
    <col min="6" max="6" width="37" style="5" customWidth="1"/>
    <col min="7" max="7" width="29.26953125" style="5" customWidth="1"/>
    <col min="8" max="8" width="11.54296875" style="76"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247</v>
      </c>
      <c r="C1" s="32"/>
      <c r="D1" s="29" t="s">
        <v>462</v>
      </c>
      <c r="H1" s="35"/>
    </row>
    <row r="2" spans="1:16" s="30" customFormat="1" ht="18.5" x14ac:dyDescent="0.35">
      <c r="A2" s="28" t="s">
        <v>7</v>
      </c>
      <c r="B2" s="36">
        <v>1</v>
      </c>
      <c r="C2" s="35"/>
      <c r="D2" s="36"/>
      <c r="H2" s="35"/>
    </row>
    <row r="3" spans="1:16" s="30" customFormat="1" ht="18.5" x14ac:dyDescent="0.35">
      <c r="A3" s="28" t="s">
        <v>44</v>
      </c>
      <c r="B3" s="36" t="s">
        <v>282</v>
      </c>
      <c r="C3" s="35"/>
      <c r="D3" s="63" t="s">
        <v>283</v>
      </c>
      <c r="H3" s="35"/>
    </row>
    <row r="4" spans="1:16" s="30" customFormat="1" ht="18.5" x14ac:dyDescent="0.35">
      <c r="A4" s="28" t="s">
        <v>8</v>
      </c>
      <c r="B4" s="30" t="s">
        <v>10</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1" si="0">CONCATENATE($B$2, ".", A7)</f>
        <v>1.1</v>
      </c>
      <c r="C7" s="76" t="s">
        <v>38</v>
      </c>
      <c r="D7" s="40" t="s">
        <v>370</v>
      </c>
      <c r="E7" s="40" t="s">
        <v>140</v>
      </c>
      <c r="F7" s="5" t="s">
        <v>37</v>
      </c>
      <c r="G7" s="5" t="s">
        <v>37</v>
      </c>
      <c r="H7" s="76" t="s">
        <v>37</v>
      </c>
      <c r="I7" s="40" t="s">
        <v>10</v>
      </c>
      <c r="J7" s="5" t="s">
        <v>37</v>
      </c>
      <c r="K7" s="5" t="s">
        <v>37</v>
      </c>
      <c r="L7" s="5" t="s">
        <v>37</v>
      </c>
      <c r="M7" s="5" t="s">
        <v>37</v>
      </c>
      <c r="N7" s="5" t="s">
        <v>37</v>
      </c>
      <c r="P7" s="5" t="s">
        <v>398</v>
      </c>
    </row>
    <row r="8" spans="1:16" ht="43.5" x14ac:dyDescent="0.35">
      <c r="A8" s="5">
        <v>2</v>
      </c>
      <c r="B8" s="5" t="str">
        <f t="shared" si="0"/>
        <v>1.2</v>
      </c>
      <c r="C8" s="78" t="s">
        <v>40</v>
      </c>
      <c r="D8" s="45" t="s">
        <v>248</v>
      </c>
      <c r="E8" s="40" t="s">
        <v>34</v>
      </c>
      <c r="F8" s="5" t="s">
        <v>37</v>
      </c>
      <c r="G8" s="5" t="s">
        <v>37</v>
      </c>
      <c r="H8" s="76" t="s">
        <v>37</v>
      </c>
      <c r="I8" s="40" t="s">
        <v>10</v>
      </c>
      <c r="J8" s="5" t="s">
        <v>37</v>
      </c>
      <c r="K8" s="5" t="s">
        <v>37</v>
      </c>
      <c r="L8" s="5" t="s">
        <v>37</v>
      </c>
      <c r="M8" s="5" t="s">
        <v>37</v>
      </c>
      <c r="N8" s="5" t="s">
        <v>37</v>
      </c>
      <c r="P8" s="5" t="s">
        <v>426</v>
      </c>
    </row>
    <row r="9" spans="1:16" ht="43.5" x14ac:dyDescent="0.35">
      <c r="A9" s="5">
        <v>3</v>
      </c>
      <c r="B9" s="5" t="str">
        <f t="shared" si="0"/>
        <v>1.3</v>
      </c>
      <c r="C9" s="78" t="s">
        <v>40</v>
      </c>
      <c r="D9" s="5" t="s">
        <v>37</v>
      </c>
      <c r="E9" s="40" t="s">
        <v>249</v>
      </c>
      <c r="F9" s="5" t="s">
        <v>52</v>
      </c>
      <c r="G9" s="5" t="s">
        <v>37</v>
      </c>
      <c r="H9" s="76" t="s">
        <v>37</v>
      </c>
      <c r="I9" s="40" t="s">
        <v>10</v>
      </c>
      <c r="J9" s="5" t="s">
        <v>37</v>
      </c>
      <c r="K9" s="5" t="s">
        <v>54</v>
      </c>
      <c r="L9" s="5" t="s">
        <v>397</v>
      </c>
      <c r="M9" s="5" t="s">
        <v>37</v>
      </c>
      <c r="N9" s="5" t="s">
        <v>37</v>
      </c>
      <c r="P9" s="5" t="s">
        <v>399</v>
      </c>
    </row>
    <row r="10" spans="1:16" x14ac:dyDescent="0.35">
      <c r="A10" s="5">
        <v>4</v>
      </c>
      <c r="B10" s="5" t="str">
        <f>CONCATENATE($B$2, ".", A10)</f>
        <v>1.4</v>
      </c>
      <c r="C10" s="78" t="s">
        <v>40</v>
      </c>
      <c r="D10" s="5" t="s">
        <v>240</v>
      </c>
      <c r="E10" s="5" t="s">
        <v>43</v>
      </c>
      <c r="F10" s="5" t="s">
        <v>37</v>
      </c>
      <c r="G10" s="5" t="s">
        <v>37</v>
      </c>
      <c r="H10" s="76" t="s">
        <v>37</v>
      </c>
      <c r="I10" s="40" t="s">
        <v>10</v>
      </c>
      <c r="J10" s="5" t="s">
        <v>37</v>
      </c>
      <c r="K10" s="5" t="s">
        <v>37</v>
      </c>
      <c r="L10" s="5" t="s">
        <v>37</v>
      </c>
      <c r="M10" s="5" t="s">
        <v>37</v>
      </c>
      <c r="N10" s="5" t="s">
        <v>37</v>
      </c>
      <c r="O10" s="40" t="s">
        <v>250</v>
      </c>
    </row>
    <row r="11" spans="1:16" x14ac:dyDescent="0.35">
      <c r="A11" s="5">
        <v>5</v>
      </c>
      <c r="B11" s="5" t="str">
        <f t="shared" si="0"/>
        <v>1.5</v>
      </c>
      <c r="C11" s="78" t="s">
        <v>40</v>
      </c>
      <c r="D11" s="5" t="s">
        <v>196</v>
      </c>
      <c r="E11" s="5" t="s">
        <v>43</v>
      </c>
      <c r="F11" s="5" t="s">
        <v>37</v>
      </c>
      <c r="G11" s="5" t="s">
        <v>37</v>
      </c>
      <c r="H11" s="76" t="s">
        <v>37</v>
      </c>
      <c r="I11" s="40" t="s">
        <v>10</v>
      </c>
      <c r="J11" s="5" t="s">
        <v>37</v>
      </c>
      <c r="K11" s="5" t="s">
        <v>37</v>
      </c>
      <c r="L11" s="5" t="s">
        <v>37</v>
      </c>
      <c r="M11" s="5" t="s">
        <v>37</v>
      </c>
      <c r="N11" s="5" t="s">
        <v>37</v>
      </c>
      <c r="O11" s="40" t="s">
        <v>197</v>
      </c>
    </row>
  </sheetData>
  <autoFilter ref="A6:P6"/>
  <conditionalFormatting sqref="C7:C1048576">
    <cfRule type="cellIs" dxfId="410" priority="18" operator="equal">
      <formula>"WIP (see comments)"</formula>
    </cfRule>
    <cfRule type="cellIs" dxfId="409" priority="19" operator="equal">
      <formula>"Removed"</formula>
    </cfRule>
    <cfRule type="cellIs" dxfId="408" priority="20" operator="equal">
      <formula>"Updated"</formula>
    </cfRule>
    <cfRule type="cellIs" dxfId="407" priority="21" operator="equal">
      <formula>"New"</formula>
    </cfRule>
  </conditionalFormatting>
  <conditionalFormatting sqref="A1:XFD2 A12:XFD1048576 A4:XFD6 A3:C3 E3:XFD3 C8:C11">
    <cfRule type="cellIs" dxfId="406" priority="17" operator="equal">
      <formula>"n/a"</formula>
    </cfRule>
  </conditionalFormatting>
  <conditionalFormatting sqref="D8:D9">
    <cfRule type="cellIs" dxfId="405" priority="16" operator="equal">
      <formula>"-"</formula>
    </cfRule>
  </conditionalFormatting>
  <conditionalFormatting sqref="A8:B9 D9:XFD9 D8:O8 Q8:XFD8">
    <cfRule type="cellIs" dxfId="404" priority="15" operator="equal">
      <formula>"n/a"</formula>
    </cfRule>
  </conditionalFormatting>
  <conditionalFormatting sqref="A7:XFD7">
    <cfRule type="cellIs" dxfId="403" priority="10" operator="equal">
      <formula>"n/a"</formula>
    </cfRule>
  </conditionalFormatting>
  <conditionalFormatting sqref="A11:B11 D11:XFD11">
    <cfRule type="cellIs" dxfId="402" priority="9" operator="equal">
      <formula>"n/a"</formula>
    </cfRule>
  </conditionalFormatting>
  <conditionalFormatting sqref="A10:B10 D10:XFD10">
    <cfRule type="cellIs" dxfId="401" priority="8" operator="equal">
      <formula>"n/a"</formula>
    </cfRule>
  </conditionalFormatting>
  <conditionalFormatting sqref="D3">
    <cfRule type="cellIs" dxfId="400" priority="2" operator="equal">
      <formula>"n/a"</formula>
    </cfRule>
  </conditionalFormatting>
  <conditionalFormatting sqref="P8">
    <cfRule type="cellIs" dxfId="39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Values'!$A$5:$A$28</xm:f>
          </x14:formula1>
          <xm:sqref>E7 E8:E1048576</xm:sqref>
        </x14:dataValidation>
        <x14:dataValidation type="list" allowBlank="1" showInputMessage="1" showErrorMessage="1">
          <x14:formula1>
            <xm:f>'List Values'!$B$5:$B$12</xm:f>
          </x14:formula1>
          <xm:sqref>C7:C1048576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6"/>
  <sheetViews>
    <sheetView zoomScaleNormal="100" workbookViewId="0">
      <pane xSplit="4" ySplit="6" topLeftCell="E7" activePane="bottomRight" state="frozen"/>
      <selection pane="topRight" activeCell="E1" sqref="E1"/>
      <selection pane="bottomLeft" activeCell="A7" sqref="A7"/>
      <selection pane="bottomRight" activeCell="P26" sqref="P26"/>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4.54296875" style="6" bestFit="1" customWidth="1"/>
    <col min="7" max="7" width="17.7265625" style="6" customWidth="1"/>
    <col min="8" max="8" width="9.1796875" style="6"/>
    <col min="9" max="9" width="34.81640625" style="6" customWidth="1"/>
    <col min="10" max="10" width="13.26953125" style="6" bestFit="1" customWidth="1"/>
    <col min="11" max="11" width="10.7265625" style="6" bestFit="1" customWidth="1"/>
    <col min="12" max="12" width="19.26953125" style="6" bestFit="1" customWidth="1"/>
    <col min="13" max="13" width="21.1796875" style="6" bestFit="1"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9</v>
      </c>
      <c r="C1" s="32"/>
      <c r="D1" s="29"/>
    </row>
    <row r="2" spans="1:16" s="30" customFormat="1" ht="18.5" x14ac:dyDescent="0.35">
      <c r="A2" s="28" t="s">
        <v>7</v>
      </c>
      <c r="B2" s="36">
        <v>2</v>
      </c>
      <c r="C2" s="35"/>
      <c r="D2" s="36" t="s">
        <v>422</v>
      </c>
    </row>
    <row r="3" spans="1:16" s="30" customFormat="1" ht="18.5" x14ac:dyDescent="0.35">
      <c r="A3" s="28" t="s">
        <v>44</v>
      </c>
      <c r="B3" s="36" t="s">
        <v>284</v>
      </c>
      <c r="C3" s="35"/>
      <c r="D3" s="63" t="s">
        <v>423</v>
      </c>
    </row>
    <row r="4" spans="1:16" s="30" customFormat="1" ht="18.5" x14ac:dyDescent="0.35">
      <c r="A4" s="28" t="s">
        <v>8</v>
      </c>
      <c r="B4" s="30" t="s">
        <v>251</v>
      </c>
      <c r="C4" s="35"/>
      <c r="D4" s="36" t="s">
        <v>270</v>
      </c>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ht="29" x14ac:dyDescent="0.35">
      <c r="A7" s="6">
        <v>1</v>
      </c>
      <c r="B7" s="6" t="str">
        <f>CONCATENATE($B$2, ".", A7)</f>
        <v>2.1</v>
      </c>
      <c r="C7" s="34" t="s">
        <v>45</v>
      </c>
      <c r="D7" s="39" t="s">
        <v>415</v>
      </c>
      <c r="E7" s="6" t="s">
        <v>36</v>
      </c>
      <c r="F7" s="6" t="s">
        <v>37</v>
      </c>
      <c r="G7" s="6" t="s">
        <v>37</v>
      </c>
      <c r="H7" s="6" t="s">
        <v>37</v>
      </c>
      <c r="I7" s="39" t="s">
        <v>10</v>
      </c>
      <c r="J7" s="5" t="s">
        <v>37</v>
      </c>
      <c r="K7" s="5" t="s">
        <v>37</v>
      </c>
      <c r="L7" s="5" t="s">
        <v>37</v>
      </c>
      <c r="M7" s="5" t="s">
        <v>37</v>
      </c>
      <c r="N7" s="5" t="s">
        <v>37</v>
      </c>
      <c r="O7" s="5" t="s">
        <v>416</v>
      </c>
      <c r="P7" s="6" t="s">
        <v>356</v>
      </c>
    </row>
    <row r="8" spans="1:16" ht="29" x14ac:dyDescent="0.35">
      <c r="A8" s="6">
        <v>2</v>
      </c>
      <c r="B8" s="6" t="str">
        <f>CONCATENATE($B$2, ".", A8)</f>
        <v>2.2</v>
      </c>
      <c r="C8" s="34" t="s">
        <v>45</v>
      </c>
      <c r="D8" s="39" t="s">
        <v>252</v>
      </c>
      <c r="E8" s="6" t="s">
        <v>140</v>
      </c>
      <c r="F8" s="6" t="s">
        <v>37</v>
      </c>
      <c r="G8" s="6" t="s">
        <v>37</v>
      </c>
      <c r="H8" s="6" t="s">
        <v>37</v>
      </c>
      <c r="I8" s="39" t="s">
        <v>10</v>
      </c>
      <c r="J8" s="5" t="s">
        <v>37</v>
      </c>
      <c r="K8" s="5" t="s">
        <v>37</v>
      </c>
      <c r="L8" s="5" t="s">
        <v>37</v>
      </c>
      <c r="M8" s="5" t="s">
        <v>37</v>
      </c>
      <c r="N8" s="5" t="s">
        <v>37</v>
      </c>
      <c r="O8" s="5"/>
      <c r="P8" s="6" t="s">
        <v>356</v>
      </c>
    </row>
    <row r="9" spans="1:16" ht="128.25" customHeight="1" x14ac:dyDescent="0.35">
      <c r="A9" s="6">
        <v>3</v>
      </c>
      <c r="B9" s="6" t="str">
        <f>CONCATENATE($B$2, ".", A9)</f>
        <v>2.3</v>
      </c>
      <c r="C9" s="34" t="s">
        <v>45</v>
      </c>
      <c r="D9" s="39" t="s">
        <v>359</v>
      </c>
      <c r="E9" s="6" t="s">
        <v>36</v>
      </c>
      <c r="F9" s="6" t="s">
        <v>37</v>
      </c>
      <c r="G9" s="6" t="s">
        <v>37</v>
      </c>
      <c r="H9" s="6" t="s">
        <v>37</v>
      </c>
      <c r="I9" s="39" t="s">
        <v>10</v>
      </c>
      <c r="J9" s="5" t="s">
        <v>37</v>
      </c>
      <c r="K9" s="5" t="s">
        <v>37</v>
      </c>
      <c r="L9" s="5" t="s">
        <v>37</v>
      </c>
      <c r="M9" s="5" t="s">
        <v>37</v>
      </c>
      <c r="N9" s="5" t="s">
        <v>37</v>
      </c>
      <c r="O9" s="5" t="s">
        <v>362</v>
      </c>
      <c r="P9" s="6" t="s">
        <v>363</v>
      </c>
    </row>
    <row r="10" spans="1:16" s="75" customFormat="1" x14ac:dyDescent="0.35">
      <c r="A10" s="87" t="s">
        <v>366</v>
      </c>
      <c r="B10" s="87"/>
      <c r="C10" s="87"/>
      <c r="D10" s="87"/>
      <c r="E10" s="87"/>
    </row>
    <row r="11" spans="1:16" ht="60" customHeight="1" x14ac:dyDescent="0.35">
      <c r="A11" s="6">
        <v>4</v>
      </c>
      <c r="B11" s="6" t="str">
        <f>CONCATENATE($B$2, ".", A11)</f>
        <v>2.4</v>
      </c>
      <c r="C11" s="34" t="s">
        <v>45</v>
      </c>
      <c r="D11" s="39" t="s">
        <v>360</v>
      </c>
      <c r="E11" s="6" t="s">
        <v>29</v>
      </c>
      <c r="F11" s="6" t="s">
        <v>37</v>
      </c>
      <c r="G11" s="6" t="s">
        <v>37</v>
      </c>
      <c r="H11" s="6" t="s">
        <v>37</v>
      </c>
      <c r="I11" s="6" t="s">
        <v>365</v>
      </c>
      <c r="J11" s="5" t="s">
        <v>37</v>
      </c>
      <c r="K11" s="5" t="s">
        <v>37</v>
      </c>
      <c r="L11" s="5" t="s">
        <v>37</v>
      </c>
      <c r="M11" s="5" t="s">
        <v>37</v>
      </c>
      <c r="N11" s="5" t="s">
        <v>37</v>
      </c>
      <c r="O11" s="6" t="s">
        <v>364</v>
      </c>
      <c r="P11" s="6" t="s">
        <v>356</v>
      </c>
    </row>
    <row r="12" spans="1:16" ht="128.25" customHeight="1" x14ac:dyDescent="0.35">
      <c r="A12" s="6">
        <v>5</v>
      </c>
      <c r="B12" s="6" t="str">
        <f>CONCATENATE($B$2, ".", A12)</f>
        <v>2.5</v>
      </c>
      <c r="C12" s="34" t="s">
        <v>45</v>
      </c>
      <c r="D12" s="39" t="s">
        <v>361</v>
      </c>
      <c r="E12" s="6" t="s">
        <v>33</v>
      </c>
      <c r="F12" s="6" t="s">
        <v>37</v>
      </c>
      <c r="G12" s="6" t="s">
        <v>37</v>
      </c>
      <c r="H12" s="6" t="s">
        <v>37</v>
      </c>
      <c r="I12" s="39" t="s">
        <v>365</v>
      </c>
      <c r="J12" s="5" t="s">
        <v>37</v>
      </c>
      <c r="K12" s="5" t="s">
        <v>37</v>
      </c>
      <c r="L12" s="5" t="s">
        <v>37</v>
      </c>
      <c r="M12" s="5" t="s">
        <v>37</v>
      </c>
      <c r="N12" s="5" t="s">
        <v>37</v>
      </c>
      <c r="O12" s="5" t="s">
        <v>417</v>
      </c>
      <c r="P12" s="6" t="s">
        <v>438</v>
      </c>
    </row>
    <row r="13" spans="1:16" s="75" customFormat="1" x14ac:dyDescent="0.35">
      <c r="A13" s="87" t="s">
        <v>418</v>
      </c>
      <c r="B13" s="87"/>
      <c r="C13" s="87"/>
      <c r="D13" s="87"/>
      <c r="E13" s="87"/>
    </row>
    <row r="14" spans="1:16" ht="29" x14ac:dyDescent="0.35">
      <c r="A14" s="6">
        <v>6</v>
      </c>
      <c r="B14" s="6" t="str">
        <f>CONCATENATE($B$2, ".", A14)</f>
        <v>2.6</v>
      </c>
      <c r="C14" s="34" t="s">
        <v>45</v>
      </c>
      <c r="D14" s="39" t="s">
        <v>37</v>
      </c>
      <c r="E14" s="6" t="s">
        <v>139</v>
      </c>
      <c r="F14" s="6" t="s">
        <v>37</v>
      </c>
      <c r="G14" s="6" t="s">
        <v>37</v>
      </c>
      <c r="H14" s="6" t="s">
        <v>37</v>
      </c>
      <c r="I14" s="39" t="s">
        <v>355</v>
      </c>
      <c r="J14" s="6" t="s">
        <v>37</v>
      </c>
      <c r="K14" s="6" t="s">
        <v>37</v>
      </c>
      <c r="L14" s="6" t="s">
        <v>37</v>
      </c>
      <c r="M14" s="6" t="s">
        <v>37</v>
      </c>
      <c r="N14" s="6" t="s">
        <v>37</v>
      </c>
      <c r="O14" s="5" t="s">
        <v>419</v>
      </c>
    </row>
    <row r="15" spans="1:16" ht="43.5" x14ac:dyDescent="0.35">
      <c r="A15" s="6">
        <v>7</v>
      </c>
      <c r="B15" s="6" t="str">
        <f>CONCATENATE($B$2, ".", A15)</f>
        <v>2.7</v>
      </c>
      <c r="C15" s="34" t="s">
        <v>45</v>
      </c>
      <c r="D15" s="39" t="s">
        <v>253</v>
      </c>
      <c r="E15" s="6" t="s">
        <v>33</v>
      </c>
      <c r="F15" s="6" t="s">
        <v>37</v>
      </c>
      <c r="G15" s="6" t="s">
        <v>37</v>
      </c>
      <c r="H15" s="6" t="s">
        <v>37</v>
      </c>
      <c r="I15" s="39" t="s">
        <v>355</v>
      </c>
      <c r="J15" s="6" t="s">
        <v>37</v>
      </c>
      <c r="K15" s="6" t="s">
        <v>37</v>
      </c>
      <c r="L15" s="6" t="s">
        <v>37</v>
      </c>
      <c r="M15" s="6" t="s">
        <v>37</v>
      </c>
      <c r="N15" s="6" t="s">
        <v>37</v>
      </c>
      <c r="O15" s="5" t="s">
        <v>420</v>
      </c>
      <c r="P15" s="6" t="s">
        <v>421</v>
      </c>
    </row>
    <row r="16" spans="1:16" ht="43.5" x14ac:dyDescent="0.35">
      <c r="A16" s="6">
        <v>8</v>
      </c>
      <c r="B16" s="6" t="str">
        <f>CONCATENATE($B$2, ".", A16)</f>
        <v>2.8</v>
      </c>
      <c r="C16" s="34" t="s">
        <v>45</v>
      </c>
      <c r="D16" s="39" t="s">
        <v>254</v>
      </c>
      <c r="E16" s="6" t="s">
        <v>33</v>
      </c>
      <c r="F16" s="6" t="s">
        <v>37</v>
      </c>
      <c r="G16" s="6" t="s">
        <v>37</v>
      </c>
      <c r="H16" s="6" t="s">
        <v>37</v>
      </c>
      <c r="I16" s="39" t="s">
        <v>355</v>
      </c>
      <c r="J16" s="6" t="s">
        <v>37</v>
      </c>
      <c r="K16" s="6" t="s">
        <v>37</v>
      </c>
      <c r="L16" s="6" t="s">
        <v>37</v>
      </c>
      <c r="M16" s="6" t="s">
        <v>37</v>
      </c>
      <c r="N16" s="6" t="s">
        <v>37</v>
      </c>
      <c r="O16" s="5" t="s">
        <v>420</v>
      </c>
    </row>
    <row r="17" spans="1:16" s="75" customFormat="1" x14ac:dyDescent="0.35">
      <c r="A17" s="87" t="s">
        <v>367</v>
      </c>
      <c r="B17" s="87"/>
      <c r="C17" s="87"/>
      <c r="D17" s="87"/>
      <c r="E17" s="87"/>
    </row>
    <row r="18" spans="1:16" ht="43.5" x14ac:dyDescent="0.35">
      <c r="A18" s="6">
        <v>8</v>
      </c>
      <c r="B18" s="6" t="str">
        <f>CONCATENATE($B$2, ".", A18)</f>
        <v>2.8</v>
      </c>
      <c r="C18" s="34" t="s">
        <v>45</v>
      </c>
      <c r="D18" s="39" t="s">
        <v>357</v>
      </c>
      <c r="E18" s="6" t="s">
        <v>34</v>
      </c>
      <c r="F18" s="6" t="s">
        <v>37</v>
      </c>
      <c r="G18" s="6" t="s">
        <v>37</v>
      </c>
      <c r="H18" s="6" t="s">
        <v>37</v>
      </c>
      <c r="I18" s="39" t="s">
        <v>10</v>
      </c>
      <c r="J18" s="6" t="s">
        <v>37</v>
      </c>
      <c r="K18" s="6" t="s">
        <v>37</v>
      </c>
      <c r="L18" s="6" t="s">
        <v>37</v>
      </c>
      <c r="M18" s="6" t="s">
        <v>37</v>
      </c>
      <c r="N18" s="6" t="s">
        <v>37</v>
      </c>
      <c r="O18" s="5"/>
      <c r="P18" s="6" t="s">
        <v>439</v>
      </c>
    </row>
    <row r="19" spans="1:16" ht="72.5" x14ac:dyDescent="0.35">
      <c r="A19" s="6">
        <v>9</v>
      </c>
      <c r="B19" s="6" t="str">
        <f>CONCATENATE($B$2, ".", A19)</f>
        <v>2.9</v>
      </c>
      <c r="C19" s="34" t="s">
        <v>45</v>
      </c>
      <c r="D19" s="39" t="s">
        <v>358</v>
      </c>
      <c r="E19" s="6" t="s">
        <v>34</v>
      </c>
      <c r="F19" s="6" t="s">
        <v>37</v>
      </c>
      <c r="G19" s="6" t="s">
        <v>37</v>
      </c>
      <c r="H19" s="6" t="s">
        <v>37</v>
      </c>
      <c r="I19" s="39" t="s">
        <v>10</v>
      </c>
      <c r="J19" s="6" t="s">
        <v>37</v>
      </c>
      <c r="K19" s="6" t="s">
        <v>37</v>
      </c>
      <c r="L19" s="6" t="s">
        <v>37</v>
      </c>
      <c r="M19" s="6" t="s">
        <v>37</v>
      </c>
      <c r="N19" s="6" t="s">
        <v>37</v>
      </c>
      <c r="O19" s="5"/>
      <c r="P19" s="6" t="s">
        <v>439</v>
      </c>
    </row>
    <row r="20" spans="1:16" s="75" customFormat="1" x14ac:dyDescent="0.35">
      <c r="A20" s="87" t="s">
        <v>351</v>
      </c>
      <c r="B20" s="87"/>
      <c r="C20" s="87"/>
      <c r="D20" s="87"/>
      <c r="E20" s="87"/>
    </row>
    <row r="21" spans="1:16" ht="58" x14ac:dyDescent="0.35">
      <c r="A21" s="6">
        <v>10</v>
      </c>
      <c r="B21" s="6" t="str">
        <f>CONCATENATE($B$2, ".", A21)</f>
        <v>2.10</v>
      </c>
      <c r="C21" s="34" t="s">
        <v>45</v>
      </c>
      <c r="D21" s="39" t="s">
        <v>353</v>
      </c>
      <c r="E21" s="6" t="s">
        <v>33</v>
      </c>
      <c r="F21" s="6" t="s">
        <v>37</v>
      </c>
      <c r="G21" s="6" t="s">
        <v>37</v>
      </c>
      <c r="H21" s="6" t="s">
        <v>37</v>
      </c>
      <c r="I21" s="39" t="s">
        <v>352</v>
      </c>
      <c r="J21" s="6" t="s">
        <v>37</v>
      </c>
      <c r="K21" s="6" t="s">
        <v>37</v>
      </c>
      <c r="L21" s="6" t="s">
        <v>37</v>
      </c>
      <c r="M21" s="6" t="s">
        <v>37</v>
      </c>
      <c r="N21" s="6" t="s">
        <v>37</v>
      </c>
      <c r="O21" s="5" t="s">
        <v>369</v>
      </c>
      <c r="P21" s="6" t="s">
        <v>368</v>
      </c>
    </row>
    <row r="22" spans="1:16" ht="58" x14ac:dyDescent="0.35">
      <c r="A22" s="6">
        <v>11</v>
      </c>
      <c r="B22" s="6" t="str">
        <f>CONCATENATE($B$2, ".", A22)</f>
        <v>2.11</v>
      </c>
      <c r="C22" s="34" t="s">
        <v>45</v>
      </c>
      <c r="D22" s="39" t="s">
        <v>354</v>
      </c>
      <c r="E22" s="6" t="s">
        <v>33</v>
      </c>
      <c r="F22" s="6" t="s">
        <v>37</v>
      </c>
      <c r="G22" s="6" t="s">
        <v>37</v>
      </c>
      <c r="H22" s="6" t="s">
        <v>37</v>
      </c>
      <c r="I22" s="39" t="s">
        <v>352</v>
      </c>
      <c r="J22" s="6" t="s">
        <v>37</v>
      </c>
      <c r="K22" s="6" t="s">
        <v>37</v>
      </c>
      <c r="L22" s="6" t="s">
        <v>37</v>
      </c>
      <c r="M22" s="6" t="s">
        <v>37</v>
      </c>
      <c r="N22" s="6" t="s">
        <v>37</v>
      </c>
      <c r="O22" s="5" t="s">
        <v>369</v>
      </c>
    </row>
    <row r="23" spans="1:16" s="75" customFormat="1" x14ac:dyDescent="0.35">
      <c r="A23" s="87"/>
      <c r="B23" s="87"/>
      <c r="C23" s="87"/>
      <c r="D23" s="87"/>
      <c r="E23" s="87"/>
    </row>
    <row r="24" spans="1:16" ht="27" customHeight="1" x14ac:dyDescent="0.35">
      <c r="A24" s="6">
        <v>12</v>
      </c>
      <c r="B24" s="6" t="str">
        <f>CONCATENATE($B$2, ".", A24)</f>
        <v>2.12</v>
      </c>
      <c r="C24" s="34" t="s">
        <v>45</v>
      </c>
      <c r="D24" s="39" t="s">
        <v>116</v>
      </c>
      <c r="E24" s="6" t="s">
        <v>29</v>
      </c>
      <c r="F24" s="6" t="s">
        <v>37</v>
      </c>
      <c r="G24" s="6" t="s">
        <v>37</v>
      </c>
      <c r="H24" s="6" t="s">
        <v>37</v>
      </c>
      <c r="I24" s="6" t="s">
        <v>10</v>
      </c>
      <c r="J24" s="5" t="s">
        <v>37</v>
      </c>
      <c r="K24" s="5" t="s">
        <v>37</v>
      </c>
      <c r="L24" s="5" t="s">
        <v>37</v>
      </c>
      <c r="M24" s="5" t="s">
        <v>37</v>
      </c>
      <c r="N24" s="5" t="s">
        <v>37</v>
      </c>
      <c r="O24" s="6" t="s">
        <v>37</v>
      </c>
      <c r="P24" s="6" t="s">
        <v>269</v>
      </c>
    </row>
    <row r="25" spans="1:16" ht="66.75" customHeight="1" x14ac:dyDescent="0.35">
      <c r="A25" s="6">
        <v>13</v>
      </c>
      <c r="B25" s="6" t="str">
        <f>CONCATENATE($B$2, ".", A25)</f>
        <v>2.13</v>
      </c>
      <c r="C25" s="34" t="s">
        <v>45</v>
      </c>
      <c r="D25" s="39" t="s">
        <v>350</v>
      </c>
      <c r="E25" s="39" t="s">
        <v>34</v>
      </c>
      <c r="F25" s="6" t="s">
        <v>37</v>
      </c>
      <c r="G25" s="6" t="s">
        <v>37</v>
      </c>
      <c r="H25" s="6" t="s">
        <v>37</v>
      </c>
      <c r="I25" s="6" t="s">
        <v>10</v>
      </c>
      <c r="J25" s="5" t="s">
        <v>37</v>
      </c>
      <c r="K25" s="5" t="s">
        <v>37</v>
      </c>
      <c r="L25" s="5" t="s">
        <v>37</v>
      </c>
      <c r="M25" s="5" t="s">
        <v>37</v>
      </c>
      <c r="N25" s="5" t="s">
        <v>37</v>
      </c>
      <c r="O25" s="6" t="s">
        <v>37</v>
      </c>
      <c r="P25" s="6" t="s">
        <v>269</v>
      </c>
    </row>
    <row r="26" spans="1:16" ht="29" x14ac:dyDescent="0.35">
      <c r="A26" s="6">
        <v>14</v>
      </c>
      <c r="B26" s="6" t="str">
        <f>CONCATENATE($B$2, ".", A26)</f>
        <v>2.14</v>
      </c>
      <c r="C26" s="34" t="s">
        <v>45</v>
      </c>
      <c r="D26" s="6" t="s">
        <v>60</v>
      </c>
      <c r="E26" s="6" t="s">
        <v>43</v>
      </c>
      <c r="F26" s="6" t="s">
        <v>37</v>
      </c>
      <c r="G26" s="6" t="s">
        <v>37</v>
      </c>
      <c r="H26" s="6" t="s">
        <v>37</v>
      </c>
      <c r="I26" s="6" t="s">
        <v>10</v>
      </c>
      <c r="J26" s="5" t="s">
        <v>37</v>
      </c>
      <c r="K26" s="5" t="s">
        <v>37</v>
      </c>
      <c r="L26" s="5" t="s">
        <v>37</v>
      </c>
      <c r="M26" s="5" t="s">
        <v>37</v>
      </c>
      <c r="N26" s="5" t="s">
        <v>37</v>
      </c>
      <c r="O26" s="6" t="s">
        <v>404</v>
      </c>
    </row>
  </sheetData>
  <mergeCells count="5">
    <mergeCell ref="A13:E13"/>
    <mergeCell ref="A10:E10"/>
    <mergeCell ref="A20:E20"/>
    <mergeCell ref="A17:E17"/>
    <mergeCell ref="A23:E23"/>
  </mergeCells>
  <conditionalFormatting sqref="C7:C9 C11:C12 C14:C16 C24:C1048576">
    <cfRule type="cellIs" dxfId="398" priority="17" operator="equal">
      <formula>"WIP (see comments)"</formula>
    </cfRule>
    <cfRule type="cellIs" dxfId="397" priority="18" operator="equal">
      <formula>"Removed"</formula>
    </cfRule>
    <cfRule type="cellIs" dxfId="396" priority="19" operator="equal">
      <formula>"Updated"</formula>
    </cfRule>
    <cfRule type="cellIs" dxfId="395" priority="20" operator="equal">
      <formula>"New"</formula>
    </cfRule>
  </conditionalFormatting>
  <conditionalFormatting sqref="A1:C1 E1:XFD1 A2:XFD2 A3:C3 E3:XFD3 P14:XFD16 A11:XFD12 A14:N16 A4:XFD9 A24:XFD1048576">
    <cfRule type="cellIs" dxfId="394" priority="16" operator="equal">
      <formula>"n/a"</formula>
    </cfRule>
  </conditionalFormatting>
  <conditionalFormatting sqref="F13:XFD13 A13">
    <cfRule type="cellIs" dxfId="393" priority="15" operator="equal">
      <formula>"n/a"</formula>
    </cfRule>
  </conditionalFormatting>
  <conditionalFormatting sqref="F10:XFD10 A10">
    <cfRule type="cellIs" dxfId="392" priority="14" operator="equal">
      <formula>"n/a"</formula>
    </cfRule>
  </conditionalFormatting>
  <conditionalFormatting sqref="D1">
    <cfRule type="cellIs" dxfId="391" priority="12" operator="equal">
      <formula>"n/a"</formula>
    </cfRule>
  </conditionalFormatting>
  <conditionalFormatting sqref="D3">
    <cfRule type="cellIs" dxfId="390" priority="11" operator="equal">
      <formula>"n/a"</formula>
    </cfRule>
  </conditionalFormatting>
  <conditionalFormatting sqref="C18:C19 C21:C22">
    <cfRule type="cellIs" dxfId="389" priority="7" operator="equal">
      <formula>"WIP (see comments)"</formula>
    </cfRule>
    <cfRule type="cellIs" dxfId="388" priority="8" operator="equal">
      <formula>"Removed"</formula>
    </cfRule>
    <cfRule type="cellIs" dxfId="387" priority="9" operator="equal">
      <formula>"Updated"</formula>
    </cfRule>
    <cfRule type="cellIs" dxfId="386" priority="10" operator="equal">
      <formula>"New"</formula>
    </cfRule>
  </conditionalFormatting>
  <conditionalFormatting sqref="A18:E19 A21:XFD22 O18:XFD19">
    <cfRule type="cellIs" dxfId="385" priority="6" operator="equal">
      <formula>"n/a"</formula>
    </cfRule>
  </conditionalFormatting>
  <conditionalFormatting sqref="F20:XFD20 A20">
    <cfRule type="cellIs" dxfId="384" priority="5" operator="equal">
      <formula>"n/a"</formula>
    </cfRule>
  </conditionalFormatting>
  <conditionalFormatting sqref="F17:XFD17 A17">
    <cfRule type="cellIs" dxfId="383" priority="4" operator="equal">
      <formula>"n/a"</formula>
    </cfRule>
  </conditionalFormatting>
  <conditionalFormatting sqref="O14:O16">
    <cfRule type="cellIs" dxfId="382" priority="2" operator="equal">
      <formula>"n/a"</formula>
    </cfRule>
  </conditionalFormatting>
  <conditionalFormatting sqref="F18:N19">
    <cfRule type="cellIs" dxfId="381" priority="3" operator="equal">
      <formula>"n/a"</formula>
    </cfRule>
  </conditionalFormatting>
  <conditionalFormatting sqref="F23:XFD23 A23">
    <cfRule type="cellIs" dxfId="380"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C7:C9 C11:C12 C18:C19 C21:C22 C14:C16 C24:C1048576</xm:sqref>
        </x14:dataValidation>
        <x14:dataValidation type="list" allowBlank="1" showInputMessage="1" showErrorMessage="1">
          <x14:formula1>
            <xm:f>'List Values'!$A$5:$A$27</xm:f>
          </x14:formula1>
          <xm:sqref>E18:E19 E24:E1048576 E7:E9 E11:E12 E14:E16 E21:E22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1"/>
  <sheetViews>
    <sheetView zoomScaleNormal="100" workbookViewId="0">
      <pane xSplit="4" ySplit="6" topLeftCell="E7" activePane="bottomRight" state="frozen"/>
      <selection pane="topRight" activeCell="E1" sqref="E1"/>
      <selection pane="bottomLeft" activeCell="A7" sqref="A7"/>
      <selection pane="bottomRight" activeCell="A11" sqref="A11"/>
    </sheetView>
  </sheetViews>
  <sheetFormatPr defaultColWidth="9.1796875" defaultRowHeight="14.5" x14ac:dyDescent="0.35"/>
  <cols>
    <col min="1" max="1" width="14.7265625" style="6" customWidth="1"/>
    <col min="2" max="2" width="12.54296875" style="6" customWidth="1"/>
    <col min="3" max="3" width="16.1796875" style="34"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61</v>
      </c>
      <c r="C1" s="32"/>
      <c r="D1" s="29"/>
    </row>
    <row r="2" spans="1:16" s="30" customFormat="1" ht="18.5" x14ac:dyDescent="0.35">
      <c r="A2" s="28" t="s">
        <v>7</v>
      </c>
      <c r="B2" s="36">
        <v>2</v>
      </c>
      <c r="C2" s="35"/>
      <c r="D2" s="36" t="s">
        <v>444</v>
      </c>
    </row>
    <row r="3" spans="1:16" s="30" customFormat="1" ht="18.5" x14ac:dyDescent="0.35">
      <c r="A3" s="28" t="s">
        <v>44</v>
      </c>
      <c r="B3" s="36" t="s">
        <v>403</v>
      </c>
      <c r="C3" s="35"/>
      <c r="D3" s="36"/>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 t="shared" ref="B7:B11" si="0">CONCATENATE($B$2, ".", A7)</f>
        <v>2.1</v>
      </c>
      <c r="C7" s="34" t="s">
        <v>40</v>
      </c>
      <c r="D7" s="39" t="s">
        <v>432</v>
      </c>
      <c r="E7" s="6" t="s">
        <v>29</v>
      </c>
      <c r="F7" s="6" t="s">
        <v>37</v>
      </c>
      <c r="G7" s="6" t="s">
        <v>37</v>
      </c>
      <c r="H7" s="6" t="s">
        <v>37</v>
      </c>
      <c r="I7" s="39" t="s">
        <v>10</v>
      </c>
      <c r="J7" s="5" t="s">
        <v>37</v>
      </c>
      <c r="K7" s="5" t="s">
        <v>37</v>
      </c>
      <c r="L7" s="5" t="s">
        <v>37</v>
      </c>
      <c r="M7" s="5" t="s">
        <v>37</v>
      </c>
      <c r="N7" s="5" t="s">
        <v>37</v>
      </c>
      <c r="O7" s="5" t="s">
        <v>37</v>
      </c>
      <c r="P7" s="6" t="s">
        <v>271</v>
      </c>
    </row>
    <row r="8" spans="1:16" x14ac:dyDescent="0.35">
      <c r="A8" s="6">
        <v>2</v>
      </c>
      <c r="B8" s="6" t="str">
        <f t="shared" si="0"/>
        <v>2.2</v>
      </c>
      <c r="C8" s="34" t="s">
        <v>40</v>
      </c>
      <c r="D8" s="39" t="s">
        <v>37</v>
      </c>
      <c r="E8" s="39" t="s">
        <v>49</v>
      </c>
      <c r="F8" s="6" t="s">
        <v>37</v>
      </c>
      <c r="G8" s="6" t="s">
        <v>37</v>
      </c>
      <c r="H8" s="6" t="s">
        <v>37</v>
      </c>
      <c r="I8" s="39" t="s">
        <v>10</v>
      </c>
      <c r="J8" s="5" t="s">
        <v>37</v>
      </c>
      <c r="K8" s="5" t="s">
        <v>37</v>
      </c>
      <c r="L8" s="5" t="s">
        <v>37</v>
      </c>
      <c r="M8" s="5" t="s">
        <v>37</v>
      </c>
      <c r="N8" s="5" t="s">
        <v>37</v>
      </c>
      <c r="O8" s="5" t="s">
        <v>37</v>
      </c>
    </row>
    <row r="9" spans="1:16" ht="29" x14ac:dyDescent="0.35">
      <c r="A9" s="6">
        <v>3</v>
      </c>
      <c r="B9" s="6" t="str">
        <f t="shared" si="0"/>
        <v>2.3</v>
      </c>
      <c r="C9" s="34" t="s">
        <v>42</v>
      </c>
      <c r="D9" s="39" t="s">
        <v>443</v>
      </c>
      <c r="E9" s="39" t="s">
        <v>32</v>
      </c>
      <c r="F9" s="6" t="s">
        <v>433</v>
      </c>
      <c r="G9" s="6" t="s">
        <v>37</v>
      </c>
      <c r="H9" s="6" t="s">
        <v>37</v>
      </c>
      <c r="I9" s="39" t="s">
        <v>10</v>
      </c>
      <c r="J9" s="5" t="s">
        <v>434</v>
      </c>
      <c r="K9" s="5" t="s">
        <v>54</v>
      </c>
      <c r="L9" s="5" t="s">
        <v>37</v>
      </c>
      <c r="M9" s="5" t="s">
        <v>37</v>
      </c>
      <c r="N9" s="5" t="s">
        <v>37</v>
      </c>
      <c r="O9" s="5" t="s">
        <v>37</v>
      </c>
      <c r="P9" s="6" t="s">
        <v>271</v>
      </c>
    </row>
    <row r="10" spans="1:16" ht="58" x14ac:dyDescent="0.35">
      <c r="A10" s="6">
        <v>4</v>
      </c>
      <c r="B10" s="6" t="str">
        <f>CONCATENATE($B$2, ".", A10)</f>
        <v>2.4</v>
      </c>
      <c r="C10" s="34" t="s">
        <v>40</v>
      </c>
      <c r="D10" s="39" t="s">
        <v>60</v>
      </c>
      <c r="E10" s="6" t="s">
        <v>43</v>
      </c>
      <c r="F10" s="6" t="s">
        <v>37</v>
      </c>
      <c r="G10" s="6" t="s">
        <v>37</v>
      </c>
      <c r="H10" s="6" t="s">
        <v>37</v>
      </c>
      <c r="I10" s="6" t="s">
        <v>10</v>
      </c>
      <c r="J10" s="6" t="s">
        <v>37</v>
      </c>
      <c r="K10" s="6" t="s">
        <v>37</v>
      </c>
      <c r="L10" s="6" t="s">
        <v>37</v>
      </c>
      <c r="M10" s="6" t="s">
        <v>37</v>
      </c>
      <c r="N10" s="6" t="s">
        <v>37</v>
      </c>
      <c r="O10" s="6" t="s">
        <v>437</v>
      </c>
      <c r="P10" s="6" t="s">
        <v>435</v>
      </c>
    </row>
    <row r="11" spans="1:16" ht="29" x14ac:dyDescent="0.35">
      <c r="A11" s="6">
        <v>5</v>
      </c>
      <c r="B11" s="6" t="str">
        <f t="shared" si="0"/>
        <v>2.5</v>
      </c>
      <c r="C11" s="34" t="s">
        <v>40</v>
      </c>
      <c r="D11" s="39" t="s">
        <v>59</v>
      </c>
      <c r="E11" s="6" t="s">
        <v>43</v>
      </c>
      <c r="F11" s="6" t="s">
        <v>37</v>
      </c>
      <c r="G11" s="6" t="s">
        <v>37</v>
      </c>
      <c r="H11" s="6" t="s">
        <v>37</v>
      </c>
      <c r="I11" s="6" t="s">
        <v>10</v>
      </c>
      <c r="J11" s="6" t="s">
        <v>37</v>
      </c>
      <c r="K11" s="6" t="s">
        <v>37</v>
      </c>
      <c r="L11" s="6" t="s">
        <v>37</v>
      </c>
      <c r="M11" s="6" t="s">
        <v>37</v>
      </c>
      <c r="N11" s="6" t="s">
        <v>37</v>
      </c>
      <c r="O11" s="6" t="s">
        <v>436</v>
      </c>
    </row>
  </sheetData>
  <conditionalFormatting sqref="C7:C1048576">
    <cfRule type="cellIs" dxfId="379" priority="4" operator="equal">
      <formula>"WIP (see comments)"</formula>
    </cfRule>
    <cfRule type="cellIs" dxfId="378" priority="5" operator="equal">
      <formula>"Removed"</formula>
    </cfRule>
    <cfRule type="cellIs" dxfId="377" priority="6" operator="equal">
      <formula>"Updated"</formula>
    </cfRule>
    <cfRule type="cellIs" dxfId="376" priority="7" operator="equal">
      <formula>"New"</formula>
    </cfRule>
  </conditionalFormatting>
  <conditionalFormatting sqref="A1:C1 E1:XFD1 A2:XFD1048576">
    <cfRule type="cellIs" dxfId="375" priority="3" operator="equal">
      <formula>"n/a"</formula>
    </cfRule>
  </conditionalFormatting>
  <conditionalFormatting sqref="D1">
    <cfRule type="cellIs" dxfId="374" priority="1" operator="equal">
      <formula>"n/a"</formula>
    </cfRule>
  </conditionalFormatting>
  <dataValidations count="1">
    <dataValidation type="list" allowBlank="1" showInputMessage="1" showErrorMessage="1" sqref="C12:C1048576">
      <formula1>$B$5:$B$10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'C:\Users\hicksi\Documents\Small Business DCO\Field Specs\[Small Business DCO Small Business Form Field Spec v0.1 WIP.xlsx]List Values'!#REF!</xm:f>
          </x14:formula1>
          <xm:sqref>E7:E1048576</xm:sqref>
        </x14:dataValidation>
        <x14:dataValidation type="list" allowBlank="1" showInputMessage="1" showErrorMessage="1">
          <x14:formula1>
            <xm:f>'List Values'!$B$5:$B$9</xm:f>
          </x14:formula1>
          <xm:sqref>C7:C11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3"/>
  <sheetViews>
    <sheetView workbookViewId="0">
      <pane xSplit="4" ySplit="6" topLeftCell="E7" activePane="bottomRight" state="frozen"/>
      <selection pane="topRight" activeCell="E1" sqref="E1"/>
      <selection pane="bottomLeft" activeCell="A7" sqref="A7"/>
      <selection pane="bottomRight" activeCell="A11" sqref="A11"/>
    </sheetView>
  </sheetViews>
  <sheetFormatPr defaultColWidth="9.1796875" defaultRowHeight="14.5" x14ac:dyDescent="0.35"/>
  <cols>
    <col min="1" max="1" width="14.7265625" style="39" customWidth="1"/>
    <col min="2" max="2" width="12.54296875" style="39" customWidth="1"/>
    <col min="3" max="3" width="13" style="47" customWidth="1"/>
    <col min="4" max="4" width="45.1796875" style="39" customWidth="1"/>
    <col min="5" max="5" width="28.7265625" style="39" customWidth="1"/>
    <col min="6" max="6" width="17" style="39" customWidth="1"/>
    <col min="7" max="7" width="17.7265625" style="39" customWidth="1"/>
    <col min="8" max="8" width="27.81640625" style="39" customWidth="1"/>
    <col min="9" max="9" width="34.81640625" style="39" customWidth="1"/>
    <col min="10" max="10" width="23.453125" style="39" customWidth="1"/>
    <col min="11" max="11" width="10.7265625" style="39" bestFit="1" customWidth="1"/>
    <col min="12" max="12" width="19.26953125" style="39" bestFit="1" customWidth="1"/>
    <col min="13" max="13" width="29" style="39" customWidth="1"/>
    <col min="14" max="14" width="18.7265625" style="39" bestFit="1" customWidth="1"/>
    <col min="15" max="15" width="48.453125" style="39" customWidth="1"/>
    <col min="16" max="16" width="41.81640625" style="39" customWidth="1"/>
    <col min="17" max="16384" width="9.1796875" style="39"/>
  </cols>
  <sheetData>
    <row r="1" spans="1:16" s="62" customFormat="1" ht="18.5" x14ac:dyDescent="0.35">
      <c r="A1" s="59" t="s">
        <v>6</v>
      </c>
      <c r="B1" s="60" t="s">
        <v>46</v>
      </c>
      <c r="C1" s="61"/>
      <c r="D1" s="29"/>
    </row>
    <row r="2" spans="1:16" s="62" customFormat="1" ht="18.5" x14ac:dyDescent="0.35">
      <c r="A2" s="59" t="s">
        <v>7</v>
      </c>
      <c r="B2" s="63">
        <v>4</v>
      </c>
      <c r="C2" s="64"/>
      <c r="D2" s="63"/>
    </row>
    <row r="3" spans="1:16" s="62" customFormat="1" ht="18.5" x14ac:dyDescent="0.35">
      <c r="A3" s="59" t="s">
        <v>44</v>
      </c>
      <c r="B3" s="63" t="s">
        <v>297</v>
      </c>
      <c r="C3" s="64"/>
      <c r="D3" s="63" t="s">
        <v>317</v>
      </c>
    </row>
    <row r="4" spans="1:16" s="62" customFormat="1" ht="18.5" x14ac:dyDescent="0.35">
      <c r="A4" s="59" t="s">
        <v>8</v>
      </c>
      <c r="B4" s="62" t="s">
        <v>47</v>
      </c>
      <c r="C4" s="64"/>
    </row>
    <row r="5" spans="1:16" s="65" customFormat="1" x14ac:dyDescent="0.35">
      <c r="C5" s="66"/>
    </row>
    <row r="6" spans="1:16" s="67" customFormat="1" ht="15" thickBot="1" x14ac:dyDescent="0.4">
      <c r="A6" s="67" t="s">
        <v>11</v>
      </c>
      <c r="B6" s="67" t="s">
        <v>12</v>
      </c>
      <c r="C6" s="68" t="s">
        <v>26</v>
      </c>
      <c r="D6" s="67" t="s">
        <v>25</v>
      </c>
      <c r="E6" s="67" t="s">
        <v>13</v>
      </c>
      <c r="F6" s="67" t="s">
        <v>14</v>
      </c>
      <c r="G6" s="67" t="s">
        <v>15</v>
      </c>
      <c r="H6" s="67" t="s">
        <v>16</v>
      </c>
      <c r="I6" s="67" t="s">
        <v>17</v>
      </c>
      <c r="J6" s="67" t="s">
        <v>18</v>
      </c>
      <c r="K6" s="67" t="s">
        <v>19</v>
      </c>
      <c r="L6" s="67" t="s">
        <v>20</v>
      </c>
      <c r="M6" s="67" t="s">
        <v>21</v>
      </c>
      <c r="N6" s="67" t="s">
        <v>22</v>
      </c>
      <c r="O6" s="67" t="s">
        <v>23</v>
      </c>
      <c r="P6" s="67" t="s">
        <v>24</v>
      </c>
    </row>
    <row r="7" spans="1:16" x14ac:dyDescent="0.35">
      <c r="A7" s="39">
        <v>1</v>
      </c>
      <c r="B7" s="39" t="str">
        <f t="shared" ref="B7:B11" si="0">CONCATENATE($B$2, ".", A7)</f>
        <v>4.1</v>
      </c>
      <c r="C7" s="47" t="s">
        <v>40</v>
      </c>
      <c r="D7" s="39" t="s">
        <v>372</v>
      </c>
      <c r="E7" s="39" t="s">
        <v>29</v>
      </c>
      <c r="F7" s="39" t="s">
        <v>37</v>
      </c>
      <c r="G7" s="39" t="s">
        <v>37</v>
      </c>
      <c r="H7" s="39" t="s">
        <v>37</v>
      </c>
      <c r="I7" s="39" t="s">
        <v>10</v>
      </c>
      <c r="J7" s="40" t="s">
        <v>37</v>
      </c>
      <c r="K7" s="40" t="s">
        <v>37</v>
      </c>
      <c r="L7" s="40" t="s">
        <v>37</v>
      </c>
      <c r="M7" s="40" t="s">
        <v>37</v>
      </c>
      <c r="N7" s="40" t="s">
        <v>37</v>
      </c>
      <c r="O7" s="40" t="s">
        <v>37</v>
      </c>
    </row>
    <row r="8" spans="1:16" x14ac:dyDescent="0.35">
      <c r="A8" s="39">
        <v>2</v>
      </c>
      <c r="B8" s="39" t="str">
        <f t="shared" si="0"/>
        <v>4.2</v>
      </c>
      <c r="C8" s="47" t="s">
        <v>40</v>
      </c>
      <c r="D8" s="39" t="s">
        <v>37</v>
      </c>
      <c r="E8" s="39" t="s">
        <v>49</v>
      </c>
      <c r="F8" s="39" t="s">
        <v>37</v>
      </c>
      <c r="G8" s="39" t="s">
        <v>37</v>
      </c>
      <c r="H8" s="39" t="s">
        <v>37</v>
      </c>
      <c r="I8" s="39" t="s">
        <v>10</v>
      </c>
      <c r="J8" s="40" t="s">
        <v>37</v>
      </c>
      <c r="K8" s="40" t="s">
        <v>37</v>
      </c>
      <c r="L8" s="40" t="s">
        <v>37</v>
      </c>
      <c r="M8" s="40" t="s">
        <v>37</v>
      </c>
      <c r="N8" s="40" t="s">
        <v>37</v>
      </c>
      <c r="O8" s="40" t="s">
        <v>37</v>
      </c>
    </row>
    <row r="9" spans="1:16" ht="100.5" customHeight="1" x14ac:dyDescent="0.35">
      <c r="A9" s="39">
        <v>3</v>
      </c>
      <c r="B9" s="39" t="str">
        <f t="shared" si="0"/>
        <v>4.3</v>
      </c>
      <c r="C9" s="47" t="s">
        <v>40</v>
      </c>
      <c r="D9" s="39" t="s">
        <v>321</v>
      </c>
      <c r="E9" s="39" t="s">
        <v>117</v>
      </c>
      <c r="F9" s="39" t="s">
        <v>37</v>
      </c>
      <c r="G9" s="39" t="s">
        <v>37</v>
      </c>
      <c r="H9" s="39" t="s">
        <v>37</v>
      </c>
      <c r="I9" s="39" t="s">
        <v>10</v>
      </c>
      <c r="J9" s="40" t="s">
        <v>37</v>
      </c>
      <c r="K9" s="40" t="s">
        <v>37</v>
      </c>
      <c r="L9" s="40" t="s">
        <v>37</v>
      </c>
      <c r="M9" s="40" t="s">
        <v>37</v>
      </c>
      <c r="N9" s="40" t="s">
        <v>37</v>
      </c>
      <c r="O9" s="40" t="s">
        <v>108</v>
      </c>
    </row>
    <row r="10" spans="1:16" ht="120.75" customHeight="1" x14ac:dyDescent="0.35">
      <c r="A10" s="39">
        <v>4</v>
      </c>
      <c r="B10" s="39" t="str">
        <f t="shared" si="0"/>
        <v>4.4</v>
      </c>
      <c r="C10" s="47" t="s">
        <v>38</v>
      </c>
      <c r="D10" s="39" t="s">
        <v>50</v>
      </c>
      <c r="E10" s="39" t="s">
        <v>33</v>
      </c>
      <c r="F10" s="39" t="s">
        <v>52</v>
      </c>
      <c r="G10" s="39" t="s">
        <v>400</v>
      </c>
      <c r="H10" s="39" t="s">
        <v>53</v>
      </c>
      <c r="I10" s="39" t="s">
        <v>10</v>
      </c>
      <c r="J10" s="40" t="s">
        <v>314</v>
      </c>
      <c r="K10" s="40" t="s">
        <v>54</v>
      </c>
      <c r="L10" s="40" t="s">
        <v>57</v>
      </c>
      <c r="M10" s="40" t="s">
        <v>118</v>
      </c>
      <c r="N10" s="40" t="s">
        <v>57</v>
      </c>
      <c r="O10" s="40" t="s">
        <v>37</v>
      </c>
      <c r="P10" s="39" t="s">
        <v>401</v>
      </c>
    </row>
    <row r="11" spans="1:16" ht="149.25" customHeight="1" x14ac:dyDescent="0.35">
      <c r="A11" s="39">
        <v>5</v>
      </c>
      <c r="B11" s="39" t="str">
        <f t="shared" si="0"/>
        <v>4.5</v>
      </c>
      <c r="C11" s="47" t="s">
        <v>38</v>
      </c>
      <c r="D11" s="39" t="s">
        <v>119</v>
      </c>
      <c r="E11" s="39" t="s">
        <v>33</v>
      </c>
      <c r="F11" s="39" t="s">
        <v>51</v>
      </c>
      <c r="G11" s="39" t="s">
        <v>402</v>
      </c>
      <c r="H11" s="39" t="s">
        <v>55</v>
      </c>
      <c r="I11" s="39" t="s">
        <v>10</v>
      </c>
      <c r="J11" s="40" t="s">
        <v>315</v>
      </c>
      <c r="K11" s="39" t="s">
        <v>54</v>
      </c>
      <c r="L11" s="39" t="s">
        <v>58</v>
      </c>
      <c r="M11" s="39" t="s">
        <v>56</v>
      </c>
      <c r="N11" s="39" t="s">
        <v>58</v>
      </c>
      <c r="O11" s="40" t="s">
        <v>37</v>
      </c>
      <c r="P11" s="39" t="s">
        <v>401</v>
      </c>
    </row>
    <row r="12" spans="1:16" ht="156.75" customHeight="1" x14ac:dyDescent="0.35">
      <c r="A12" s="39">
        <v>6</v>
      </c>
      <c r="B12" s="39" t="str">
        <f t="shared" ref="B12:B13" si="1">CONCATENATE($B$2, ".", A12)</f>
        <v>4.6</v>
      </c>
      <c r="C12" s="47" t="s">
        <v>40</v>
      </c>
      <c r="D12" s="39" t="s">
        <v>60</v>
      </c>
      <c r="E12" s="39" t="s">
        <v>43</v>
      </c>
      <c r="F12" s="39" t="s">
        <v>37</v>
      </c>
      <c r="G12" s="39" t="s">
        <v>37</v>
      </c>
      <c r="H12" s="39" t="s">
        <v>37</v>
      </c>
      <c r="I12" s="39" t="s">
        <v>10</v>
      </c>
      <c r="J12" s="39" t="s">
        <v>37</v>
      </c>
      <c r="K12" s="39" t="s">
        <v>37</v>
      </c>
      <c r="L12" s="39" t="s">
        <v>37</v>
      </c>
      <c r="M12" s="39" t="s">
        <v>37</v>
      </c>
      <c r="N12" s="39" t="s">
        <v>37</v>
      </c>
      <c r="O12" s="39" t="s">
        <v>316</v>
      </c>
    </row>
    <row r="13" spans="1:16" ht="30.5" customHeight="1" x14ac:dyDescent="0.35">
      <c r="A13" s="39">
        <v>7</v>
      </c>
      <c r="B13" s="39" t="str">
        <f t="shared" si="1"/>
        <v>4.7</v>
      </c>
      <c r="C13" s="47" t="s">
        <v>40</v>
      </c>
      <c r="D13" s="39" t="s">
        <v>59</v>
      </c>
      <c r="E13" s="39" t="s">
        <v>43</v>
      </c>
      <c r="F13" s="39" t="s">
        <v>37</v>
      </c>
      <c r="G13" s="39" t="s">
        <v>37</v>
      </c>
      <c r="H13" s="39" t="s">
        <v>37</v>
      </c>
      <c r="I13" s="39" t="s">
        <v>10</v>
      </c>
      <c r="J13" s="39" t="s">
        <v>37</v>
      </c>
      <c r="K13" s="39" t="s">
        <v>37</v>
      </c>
      <c r="L13" s="39" t="s">
        <v>37</v>
      </c>
      <c r="M13" s="39" t="s">
        <v>37</v>
      </c>
      <c r="N13" s="39" t="s">
        <v>37</v>
      </c>
      <c r="O13" s="39" t="s">
        <v>404</v>
      </c>
    </row>
  </sheetData>
  <conditionalFormatting sqref="C7:C1048576">
    <cfRule type="cellIs" dxfId="373" priority="18" operator="equal">
      <formula>"WIP (see comments)"</formula>
    </cfRule>
    <cfRule type="cellIs" dxfId="372" priority="19" operator="equal">
      <formula>"Removed"</formula>
    </cfRule>
    <cfRule type="cellIs" dxfId="371" priority="20" operator="equal">
      <formula>"Updated"</formula>
    </cfRule>
    <cfRule type="cellIs" dxfId="370" priority="21" operator="equal">
      <formula>"New"</formula>
    </cfRule>
  </conditionalFormatting>
  <conditionalFormatting sqref="A2:XFD9 A11:N11 Q10:XFD11 A1:C1 E1:XFD1 C9:C12 A12:XFD1048576">
    <cfRule type="cellIs" dxfId="369" priority="9" operator="equal">
      <formula>"n/a"</formula>
    </cfRule>
  </conditionalFormatting>
  <conditionalFormatting sqref="A10:B10 D10:P10 P11">
    <cfRule type="cellIs" dxfId="368" priority="4" operator="equal">
      <formula>"n/a"</formula>
    </cfRule>
  </conditionalFormatting>
  <conditionalFormatting sqref="O11">
    <cfRule type="cellIs" dxfId="367" priority="3" operator="equal">
      <formula>"n/a"</formula>
    </cfRule>
  </conditionalFormatting>
  <conditionalFormatting sqref="D1">
    <cfRule type="cellIs" dxfId="366"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2"/>
  <sheetViews>
    <sheetView workbookViewId="0">
      <pane xSplit="4" ySplit="6" topLeftCell="E7" activePane="bottomRight" state="frozen"/>
      <selection pane="topRight" activeCell="E1" sqref="E1"/>
      <selection pane="bottomLeft" activeCell="A7" sqref="A7"/>
      <selection pane="bottomRight" activeCell="A12" sqref="A12"/>
    </sheetView>
  </sheetViews>
  <sheetFormatPr defaultColWidth="9.1796875" defaultRowHeight="14.5" x14ac:dyDescent="0.35"/>
  <cols>
    <col min="1" max="1" width="14.7265625" style="5" customWidth="1"/>
    <col min="2" max="2" width="12.54296875" style="5" customWidth="1"/>
    <col min="3" max="3" width="18.54296875" style="70" customWidth="1"/>
    <col min="4" max="4" width="45.1796875" style="5" customWidth="1"/>
    <col min="5" max="5" width="28.7265625" style="5" customWidth="1"/>
    <col min="6" max="6" width="37" style="5" customWidth="1"/>
    <col min="7" max="7" width="29.26953125" style="5" customWidth="1"/>
    <col min="8" max="8" width="11.54296875" style="70"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213</v>
      </c>
      <c r="C1" s="32"/>
      <c r="D1" s="29"/>
      <c r="H1" s="35"/>
    </row>
    <row r="2" spans="1:16" s="30" customFormat="1" ht="18.5" x14ac:dyDescent="0.35">
      <c r="A2" s="28" t="s">
        <v>7</v>
      </c>
      <c r="B2" s="36" t="s">
        <v>255</v>
      </c>
      <c r="C2" s="35"/>
      <c r="D2" s="36"/>
      <c r="H2" s="35"/>
    </row>
    <row r="3" spans="1:16" s="30" customFormat="1" ht="18.5" x14ac:dyDescent="0.35">
      <c r="A3" s="28" t="s">
        <v>44</v>
      </c>
      <c r="B3" s="36" t="s">
        <v>298</v>
      </c>
      <c r="C3" s="35"/>
      <c r="D3" s="36" t="s">
        <v>74</v>
      </c>
      <c r="H3" s="35"/>
    </row>
    <row r="4" spans="1:16" s="30" customFormat="1" ht="18.5" x14ac:dyDescent="0.35">
      <c r="A4" s="28" t="s">
        <v>8</v>
      </c>
      <c r="B4" s="30" t="s">
        <v>318</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2" si="0">CONCATENATE($B$2, ".", A7)</f>
        <v>4a.1</v>
      </c>
      <c r="C7" s="70" t="s">
        <v>40</v>
      </c>
      <c r="D7" s="40" t="s">
        <v>214</v>
      </c>
      <c r="E7" s="40" t="s">
        <v>140</v>
      </c>
      <c r="F7" s="5" t="s">
        <v>37</v>
      </c>
      <c r="G7" s="5" t="s">
        <v>37</v>
      </c>
      <c r="H7" s="70" t="s">
        <v>37</v>
      </c>
      <c r="I7" s="40" t="s">
        <v>10</v>
      </c>
      <c r="J7" s="5" t="s">
        <v>37</v>
      </c>
      <c r="K7" s="5" t="s">
        <v>37</v>
      </c>
      <c r="L7" s="5" t="s">
        <v>37</v>
      </c>
      <c r="M7" s="5" t="s">
        <v>37</v>
      </c>
      <c r="N7" s="5" t="s">
        <v>37</v>
      </c>
    </row>
    <row r="8" spans="1:16" ht="105.75" customHeight="1" x14ac:dyDescent="0.35">
      <c r="A8" s="5">
        <v>2</v>
      </c>
      <c r="B8" s="5" t="str">
        <f t="shared" si="0"/>
        <v>4a.2</v>
      </c>
      <c r="C8" s="70" t="s">
        <v>40</v>
      </c>
      <c r="D8" s="45" t="s">
        <v>272</v>
      </c>
      <c r="E8" s="40" t="s">
        <v>34</v>
      </c>
      <c r="F8" s="5" t="s">
        <v>37</v>
      </c>
      <c r="G8" s="5" t="s">
        <v>37</v>
      </c>
      <c r="H8" s="70" t="s">
        <v>37</v>
      </c>
      <c r="I8" s="40" t="s">
        <v>10</v>
      </c>
      <c r="J8" s="5" t="s">
        <v>37</v>
      </c>
      <c r="K8" s="5" t="s">
        <v>37</v>
      </c>
      <c r="L8" s="5" t="s">
        <v>37</v>
      </c>
      <c r="M8" s="5" t="s">
        <v>37</v>
      </c>
      <c r="N8" s="5" t="s">
        <v>37</v>
      </c>
    </row>
    <row r="9" spans="1:16" x14ac:dyDescent="0.35">
      <c r="A9" s="5">
        <v>3</v>
      </c>
      <c r="B9" s="5" t="str">
        <f t="shared" si="0"/>
        <v>4a.3</v>
      </c>
      <c r="C9" s="73" t="s">
        <v>40</v>
      </c>
      <c r="D9" s="45" t="s">
        <v>195</v>
      </c>
      <c r="E9" s="40" t="s">
        <v>33</v>
      </c>
      <c r="F9" s="5" t="s">
        <v>37</v>
      </c>
      <c r="G9" s="5" t="s">
        <v>37</v>
      </c>
      <c r="H9" s="70" t="s">
        <v>37</v>
      </c>
      <c r="I9" s="40" t="s">
        <v>10</v>
      </c>
      <c r="J9" s="5" t="s">
        <v>37</v>
      </c>
      <c r="K9" s="5" t="s">
        <v>37</v>
      </c>
      <c r="L9" s="5" t="s">
        <v>37</v>
      </c>
      <c r="M9" s="5" t="s">
        <v>37</v>
      </c>
      <c r="N9" s="5" t="s">
        <v>37</v>
      </c>
    </row>
    <row r="10" spans="1:16" x14ac:dyDescent="0.35">
      <c r="A10" s="5">
        <v>4</v>
      </c>
      <c r="B10" s="5" t="str">
        <f>CONCATENATE($B$2, ".", A10)</f>
        <v>4a.4</v>
      </c>
      <c r="C10" s="73" t="s">
        <v>40</v>
      </c>
      <c r="D10" s="5" t="s">
        <v>240</v>
      </c>
      <c r="E10" s="5" t="s">
        <v>43</v>
      </c>
      <c r="F10" s="5" t="s">
        <v>37</v>
      </c>
      <c r="G10" s="5" t="s">
        <v>37</v>
      </c>
      <c r="H10" s="70" t="s">
        <v>37</v>
      </c>
      <c r="I10" s="40" t="s">
        <v>10</v>
      </c>
      <c r="J10" s="5" t="s">
        <v>37</v>
      </c>
      <c r="K10" s="5" t="s">
        <v>37</v>
      </c>
      <c r="L10" s="5" t="s">
        <v>37</v>
      </c>
      <c r="M10" s="5" t="s">
        <v>37</v>
      </c>
      <c r="N10" s="5" t="s">
        <v>37</v>
      </c>
      <c r="O10" s="40" t="s">
        <v>198</v>
      </c>
    </row>
    <row r="11" spans="1:16" ht="29" x14ac:dyDescent="0.35">
      <c r="A11" s="5">
        <v>5</v>
      </c>
      <c r="B11" s="5" t="str">
        <f t="shared" si="0"/>
        <v>4a.5</v>
      </c>
      <c r="C11" s="73" t="s">
        <v>40</v>
      </c>
      <c r="D11" s="5" t="s">
        <v>196</v>
      </c>
      <c r="E11" s="5" t="s">
        <v>43</v>
      </c>
      <c r="F11" s="5" t="s">
        <v>37</v>
      </c>
      <c r="G11" s="5" t="s">
        <v>37</v>
      </c>
      <c r="H11" s="70" t="s">
        <v>37</v>
      </c>
      <c r="I11" s="40" t="s">
        <v>10</v>
      </c>
      <c r="J11" s="5" t="s">
        <v>37</v>
      </c>
      <c r="K11" s="5" t="s">
        <v>37</v>
      </c>
      <c r="L11" s="5" t="s">
        <v>37</v>
      </c>
      <c r="M11" s="5" t="s">
        <v>37</v>
      </c>
      <c r="N11" s="5" t="s">
        <v>37</v>
      </c>
      <c r="O11" s="39" t="s">
        <v>299</v>
      </c>
    </row>
    <row r="12" spans="1:16" s="39" customFormat="1" ht="29" x14ac:dyDescent="0.35">
      <c r="A12" s="39">
        <v>6</v>
      </c>
      <c r="B12" s="39" t="str">
        <f t="shared" si="0"/>
        <v>4a.6</v>
      </c>
      <c r="C12" s="73" t="s">
        <v>40</v>
      </c>
      <c r="D12" s="39" t="s">
        <v>59</v>
      </c>
      <c r="E12" s="39" t="s">
        <v>43</v>
      </c>
      <c r="F12" s="39" t="s">
        <v>37</v>
      </c>
      <c r="G12" s="39" t="s">
        <v>37</v>
      </c>
      <c r="H12" s="47" t="s">
        <v>37</v>
      </c>
      <c r="I12" s="39" t="s">
        <v>10</v>
      </c>
      <c r="J12" s="39" t="s">
        <v>37</v>
      </c>
      <c r="K12" s="39" t="s">
        <v>37</v>
      </c>
      <c r="L12" s="39" t="s">
        <v>37</v>
      </c>
      <c r="M12" s="39" t="s">
        <v>37</v>
      </c>
      <c r="N12" s="39" t="s">
        <v>37</v>
      </c>
      <c r="O12" s="39" t="s">
        <v>300</v>
      </c>
    </row>
  </sheetData>
  <autoFilter ref="A6:P6"/>
  <conditionalFormatting sqref="C7:C1048576">
    <cfRule type="cellIs" dxfId="365" priority="21" operator="equal">
      <formula>"WIP (see comments)"</formula>
    </cfRule>
    <cfRule type="cellIs" dxfId="364" priority="22" operator="equal">
      <formula>"Removed"</formula>
    </cfRule>
    <cfRule type="cellIs" dxfId="363" priority="23" operator="equal">
      <formula>"Updated"</formula>
    </cfRule>
    <cfRule type="cellIs" dxfId="362" priority="24" operator="equal">
      <formula>"New"</formula>
    </cfRule>
  </conditionalFormatting>
  <conditionalFormatting sqref="A1:XFD6 A13:XFD1048576 C8:C12">
    <cfRule type="cellIs" dxfId="361" priority="20" operator="equal">
      <formula>"n/a"</formula>
    </cfRule>
  </conditionalFormatting>
  <conditionalFormatting sqref="D8:D9">
    <cfRule type="cellIs" dxfId="360" priority="19" operator="equal">
      <formula>"-"</formula>
    </cfRule>
  </conditionalFormatting>
  <conditionalFormatting sqref="A8:B9 D8:XFD9">
    <cfRule type="cellIs" dxfId="359" priority="18" operator="equal">
      <formula>"n/a"</formula>
    </cfRule>
  </conditionalFormatting>
  <conditionalFormatting sqref="A7:XFD7">
    <cfRule type="cellIs" dxfId="358" priority="13" operator="equal">
      <formula>"n/a"</formula>
    </cfRule>
  </conditionalFormatting>
  <conditionalFormatting sqref="A11:B11 D11:N11 P11:XFD11">
    <cfRule type="cellIs" dxfId="357" priority="12" operator="equal">
      <formula>"n/a"</formula>
    </cfRule>
  </conditionalFormatting>
  <conditionalFormatting sqref="A10:B10 D10:XFD10">
    <cfRule type="cellIs" dxfId="356" priority="11" operator="equal">
      <formula>"n/a"</formula>
    </cfRule>
  </conditionalFormatting>
  <conditionalFormatting sqref="A12:B12 D12:XFD12">
    <cfRule type="cellIs" dxfId="355" priority="2" operator="equal">
      <formula>"n/a"</formula>
    </cfRule>
  </conditionalFormatting>
  <conditionalFormatting sqref="O11">
    <cfRule type="cellIs" dxfId="354" priority="1" operator="equal">
      <formula>"n/a"</formula>
    </cfRule>
  </conditionalFormatting>
  <dataValidations count="3">
    <dataValidation type="list" allowBlank="1" showInputMessage="1" showErrorMessage="1" sqref="C13:C1048576">
      <formula1>$B$5:$B$12</formula1>
    </dataValidation>
    <dataValidation type="list" allowBlank="1" showInputMessage="1" showErrorMessage="1" sqref="E10 E12:E1048576">
      <formula1>$A$5:$A$26</formula1>
    </dataValidation>
    <dataValidation type="list" allowBlank="1" showInputMessage="1" showErrorMessage="1" sqref="E11">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C7:C12</xm:sqref>
        </x14:dataValidation>
        <x14:dataValidation type="list" allowBlank="1" showInputMessage="1" showErrorMessage="1">
          <x14:formula1>
            <xm:f>'List Values'!$A$5:$A$27</xm:f>
          </x14:formula1>
          <xm:sqref>E7:E9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7"/>
  <sheetViews>
    <sheetView workbookViewId="0">
      <pane xSplit="4" ySplit="6" topLeftCell="E7" activePane="bottomRight" state="frozen"/>
      <selection pane="topRight" activeCell="E1" sqref="E1"/>
      <selection pane="bottomLeft" activeCell="A7" sqref="A7"/>
      <selection pane="bottomRight" activeCell="D8" sqref="D8"/>
    </sheetView>
  </sheetViews>
  <sheetFormatPr defaultColWidth="9.1796875" defaultRowHeight="14.5" x14ac:dyDescent="0.35"/>
  <cols>
    <col min="1" max="1" width="14.7265625" style="39" customWidth="1"/>
    <col min="2" max="2" width="12.54296875" style="39" customWidth="1"/>
    <col min="3" max="3" width="13" style="47" customWidth="1"/>
    <col min="4" max="4" width="45.1796875" style="39" customWidth="1"/>
    <col min="5" max="5" width="28.7265625" style="39" customWidth="1"/>
    <col min="6" max="6" width="17" style="39" customWidth="1"/>
    <col min="7" max="7" width="29.26953125" style="39" customWidth="1"/>
    <col min="8" max="8" width="27.81640625" style="39" customWidth="1"/>
    <col min="9" max="9" width="34.81640625" style="39" customWidth="1"/>
    <col min="10" max="10" width="28.1796875" style="39" customWidth="1"/>
    <col min="11" max="11" width="10.7265625" style="39" bestFit="1" customWidth="1"/>
    <col min="12" max="12" width="23" style="39" customWidth="1"/>
    <col min="13" max="13" width="29" style="39" customWidth="1"/>
    <col min="14" max="14" width="18.7265625" style="39" bestFit="1" customWidth="1"/>
    <col min="15" max="15" width="48.453125" style="39" customWidth="1"/>
    <col min="16" max="16" width="41.81640625" style="39" customWidth="1"/>
    <col min="17" max="16384" width="9.1796875" style="39"/>
  </cols>
  <sheetData>
    <row r="1" spans="1:16" s="62" customFormat="1" ht="18.5" x14ac:dyDescent="0.35">
      <c r="A1" s="59" t="s">
        <v>6</v>
      </c>
      <c r="B1" s="60" t="s">
        <v>65</v>
      </c>
      <c r="C1" s="61"/>
      <c r="D1" s="29"/>
    </row>
    <row r="2" spans="1:16" s="62" customFormat="1" ht="18.5" x14ac:dyDescent="0.35">
      <c r="A2" s="59" t="s">
        <v>7</v>
      </c>
      <c r="B2" s="63">
        <v>5</v>
      </c>
      <c r="C2" s="64"/>
      <c r="D2" s="63"/>
    </row>
    <row r="3" spans="1:16" s="62" customFormat="1" ht="18.5" x14ac:dyDescent="0.35">
      <c r="A3" s="59" t="s">
        <v>44</v>
      </c>
      <c r="B3" s="63" t="s">
        <v>288</v>
      </c>
      <c r="C3" s="64"/>
      <c r="D3" s="63" t="s">
        <v>334</v>
      </c>
    </row>
    <row r="4" spans="1:16" s="62" customFormat="1" ht="18.5" x14ac:dyDescent="0.35">
      <c r="A4" s="59" t="s">
        <v>8</v>
      </c>
      <c r="B4" s="62" t="s">
        <v>47</v>
      </c>
      <c r="C4" s="64"/>
    </row>
    <row r="5" spans="1:16" s="65" customFormat="1" x14ac:dyDescent="0.35">
      <c r="C5" s="66"/>
    </row>
    <row r="6" spans="1:16" s="67" customFormat="1" ht="15" thickBot="1" x14ac:dyDescent="0.4">
      <c r="A6" s="67" t="s">
        <v>11</v>
      </c>
      <c r="B6" s="67" t="s">
        <v>12</v>
      </c>
      <c r="C6" s="68" t="s">
        <v>26</v>
      </c>
      <c r="D6" s="67" t="s">
        <v>25</v>
      </c>
      <c r="E6" s="67" t="s">
        <v>13</v>
      </c>
      <c r="F6" s="67" t="s">
        <v>14</v>
      </c>
      <c r="G6" s="67" t="s">
        <v>15</v>
      </c>
      <c r="H6" s="67" t="s">
        <v>16</v>
      </c>
      <c r="I6" s="67" t="s">
        <v>17</v>
      </c>
      <c r="J6" s="67" t="s">
        <v>18</v>
      </c>
      <c r="K6" s="67" t="s">
        <v>19</v>
      </c>
      <c r="L6" s="67" t="s">
        <v>20</v>
      </c>
      <c r="M6" s="67" t="s">
        <v>21</v>
      </c>
      <c r="N6" s="67" t="s">
        <v>22</v>
      </c>
      <c r="O6" s="67" t="s">
        <v>23</v>
      </c>
      <c r="P6" s="67" t="s">
        <v>24</v>
      </c>
    </row>
    <row r="7" spans="1:16" x14ac:dyDescent="0.35">
      <c r="A7" s="39">
        <v>1</v>
      </c>
      <c r="B7" s="39" t="str">
        <f>CONCATENATE($B$2, ".", A7)</f>
        <v>5.1</v>
      </c>
      <c r="C7" s="47" t="s">
        <v>38</v>
      </c>
      <c r="D7" s="39" t="s">
        <v>373</v>
      </c>
      <c r="E7" s="39" t="s">
        <v>29</v>
      </c>
      <c r="F7" s="39" t="s">
        <v>37</v>
      </c>
      <c r="G7" s="39" t="s">
        <v>37</v>
      </c>
      <c r="H7" s="39" t="s">
        <v>37</v>
      </c>
      <c r="I7" s="39" t="s">
        <v>10</v>
      </c>
      <c r="J7" s="40" t="s">
        <v>37</v>
      </c>
      <c r="K7" s="40" t="s">
        <v>37</v>
      </c>
      <c r="L7" s="40" t="s">
        <v>37</v>
      </c>
      <c r="M7" s="40" t="s">
        <v>37</v>
      </c>
      <c r="N7" s="40" t="s">
        <v>37</v>
      </c>
      <c r="O7" s="40" t="s">
        <v>37</v>
      </c>
      <c r="P7" s="39" t="s">
        <v>269</v>
      </c>
    </row>
    <row r="8" spans="1:16" x14ac:dyDescent="0.35">
      <c r="A8" s="39">
        <v>2</v>
      </c>
      <c r="B8" s="39" t="str">
        <f t="shared" ref="B8:B12" si="0">CONCATENATE($B$2, ".", A8)</f>
        <v>5.2</v>
      </c>
      <c r="C8" s="47" t="s">
        <v>40</v>
      </c>
      <c r="D8" s="39" t="s">
        <v>37</v>
      </c>
      <c r="E8" s="39" t="s">
        <v>49</v>
      </c>
      <c r="F8" s="39" t="s">
        <v>37</v>
      </c>
      <c r="G8" s="39" t="s">
        <v>37</v>
      </c>
      <c r="H8" s="39" t="s">
        <v>37</v>
      </c>
      <c r="I8" s="39" t="s">
        <v>10</v>
      </c>
      <c r="J8" s="40" t="s">
        <v>37</v>
      </c>
      <c r="K8" s="40" t="s">
        <v>37</v>
      </c>
      <c r="L8" s="40" t="s">
        <v>37</v>
      </c>
      <c r="M8" s="40" t="s">
        <v>37</v>
      </c>
      <c r="N8" s="40" t="s">
        <v>37</v>
      </c>
      <c r="O8" s="40" t="s">
        <v>37</v>
      </c>
    </row>
    <row r="9" spans="1:16" ht="84.75" customHeight="1" x14ac:dyDescent="0.35">
      <c r="A9" s="39">
        <v>3</v>
      </c>
      <c r="B9" s="39" t="str">
        <f t="shared" si="0"/>
        <v>5.3</v>
      </c>
      <c r="C9" s="47" t="s">
        <v>45</v>
      </c>
      <c r="D9" s="39" t="s">
        <v>273</v>
      </c>
      <c r="E9" s="39" t="s">
        <v>34</v>
      </c>
      <c r="F9" s="39" t="s">
        <v>37</v>
      </c>
      <c r="G9" s="39" t="s">
        <v>37</v>
      </c>
      <c r="H9" s="39" t="s">
        <v>37</v>
      </c>
      <c r="I9" s="39" t="s">
        <v>10</v>
      </c>
      <c r="J9" s="40" t="s">
        <v>37</v>
      </c>
      <c r="K9" s="40" t="s">
        <v>37</v>
      </c>
      <c r="L9" s="40" t="s">
        <v>37</v>
      </c>
      <c r="M9" s="40" t="s">
        <v>37</v>
      </c>
      <c r="N9" s="40" t="s">
        <v>37</v>
      </c>
      <c r="O9" s="40" t="s">
        <v>37</v>
      </c>
      <c r="P9" s="39" t="s">
        <v>269</v>
      </c>
    </row>
    <row r="10" spans="1:16" ht="53.25" customHeight="1" x14ac:dyDescent="0.35">
      <c r="A10" s="39">
        <v>4</v>
      </c>
      <c r="B10" s="39" t="str">
        <f t="shared" si="0"/>
        <v>5.4</v>
      </c>
      <c r="C10" s="47" t="s">
        <v>40</v>
      </c>
      <c r="D10" s="46" t="s">
        <v>262</v>
      </c>
      <c r="E10" s="39" t="s">
        <v>34</v>
      </c>
      <c r="F10" s="39" t="s">
        <v>37</v>
      </c>
      <c r="G10" s="39" t="s">
        <v>329</v>
      </c>
      <c r="H10" s="39" t="s">
        <v>37</v>
      </c>
      <c r="I10" s="39" t="s">
        <v>10</v>
      </c>
      <c r="J10" s="40" t="s">
        <v>37</v>
      </c>
      <c r="K10" s="40" t="s">
        <v>37</v>
      </c>
      <c r="L10" s="40" t="s">
        <v>37</v>
      </c>
      <c r="M10" s="40" t="s">
        <v>37</v>
      </c>
      <c r="N10" s="40" t="s">
        <v>37</v>
      </c>
      <c r="O10" s="40" t="s">
        <v>37</v>
      </c>
    </row>
    <row r="11" spans="1:16" ht="43.5" x14ac:dyDescent="0.35">
      <c r="A11" s="39">
        <v>5</v>
      </c>
      <c r="B11" s="39" t="str">
        <f t="shared" si="0"/>
        <v>5.5</v>
      </c>
      <c r="C11" s="47" t="s">
        <v>38</v>
      </c>
      <c r="D11" s="46" t="s">
        <v>290</v>
      </c>
      <c r="E11" s="39" t="s">
        <v>34</v>
      </c>
      <c r="F11" s="39" t="s">
        <v>37</v>
      </c>
      <c r="G11" s="39" t="s">
        <v>289</v>
      </c>
      <c r="H11" s="39" t="s">
        <v>37</v>
      </c>
      <c r="I11" s="39" t="s">
        <v>10</v>
      </c>
      <c r="J11" s="40" t="s">
        <v>37</v>
      </c>
      <c r="K11" s="40" t="s">
        <v>37</v>
      </c>
      <c r="L11" s="40" t="s">
        <v>37</v>
      </c>
      <c r="M11" s="40" t="s">
        <v>37</v>
      </c>
      <c r="N11" s="40" t="s">
        <v>37</v>
      </c>
      <c r="O11" s="40" t="s">
        <v>37</v>
      </c>
      <c r="P11" s="39" t="s">
        <v>293</v>
      </c>
    </row>
    <row r="12" spans="1:16" ht="29" x14ac:dyDescent="0.35">
      <c r="A12" s="39">
        <v>6</v>
      </c>
      <c r="B12" s="39" t="str">
        <f t="shared" si="0"/>
        <v>5.6</v>
      </c>
      <c r="C12" s="47" t="s">
        <v>40</v>
      </c>
      <c r="D12" s="46" t="s">
        <v>263</v>
      </c>
      <c r="E12" s="39" t="s">
        <v>34</v>
      </c>
      <c r="F12" s="39" t="s">
        <v>37</v>
      </c>
      <c r="G12" s="39" t="s">
        <v>136</v>
      </c>
      <c r="H12" s="39" t="s">
        <v>37</v>
      </c>
      <c r="I12" s="39" t="s">
        <v>10</v>
      </c>
      <c r="J12" s="40" t="s">
        <v>37</v>
      </c>
      <c r="K12" s="40" t="s">
        <v>37</v>
      </c>
      <c r="L12" s="40" t="s">
        <v>37</v>
      </c>
      <c r="M12" s="40" t="s">
        <v>37</v>
      </c>
      <c r="N12" s="40" t="s">
        <v>37</v>
      </c>
      <c r="O12" s="40" t="s">
        <v>37</v>
      </c>
    </row>
    <row r="13" spans="1:16" ht="95.25" customHeight="1" x14ac:dyDescent="0.35">
      <c r="C13" s="47" t="s">
        <v>41</v>
      </c>
      <c r="D13" s="46" t="s">
        <v>264</v>
      </c>
      <c r="E13" s="39" t="s">
        <v>34</v>
      </c>
      <c r="F13" s="39" t="s">
        <v>37</v>
      </c>
      <c r="G13" s="39" t="s">
        <v>137</v>
      </c>
      <c r="H13" s="39" t="s">
        <v>37</v>
      </c>
      <c r="I13" s="39" t="s">
        <v>10</v>
      </c>
      <c r="J13" s="40" t="s">
        <v>37</v>
      </c>
      <c r="K13" s="40" t="s">
        <v>37</v>
      </c>
      <c r="L13" s="40" t="s">
        <v>37</v>
      </c>
      <c r="M13" s="40" t="s">
        <v>37</v>
      </c>
      <c r="N13" s="40" t="s">
        <v>37</v>
      </c>
      <c r="O13" s="40" t="s">
        <v>37</v>
      </c>
      <c r="P13" s="39" t="s">
        <v>291</v>
      </c>
    </row>
    <row r="14" spans="1:16" ht="95.25" customHeight="1" x14ac:dyDescent="0.35">
      <c r="A14" s="39">
        <v>7</v>
      </c>
      <c r="B14" s="39" t="str">
        <f t="shared" ref="B14" si="1">CONCATENATE($B$2, ".", A14)</f>
        <v>5.7</v>
      </c>
      <c r="C14" s="47" t="s">
        <v>40</v>
      </c>
      <c r="D14" s="46" t="s">
        <v>265</v>
      </c>
      <c r="E14" s="39" t="s">
        <v>34</v>
      </c>
      <c r="F14" s="39" t="s">
        <v>37</v>
      </c>
      <c r="G14" s="39" t="s">
        <v>274</v>
      </c>
      <c r="H14" s="41" t="s">
        <v>37</v>
      </c>
      <c r="I14" s="39" t="s">
        <v>10</v>
      </c>
      <c r="J14" s="39" t="s">
        <v>37</v>
      </c>
      <c r="K14" s="39" t="s">
        <v>37</v>
      </c>
      <c r="L14" s="39" t="s">
        <v>37</v>
      </c>
      <c r="M14" s="39" t="s">
        <v>37</v>
      </c>
      <c r="N14" s="39" t="s">
        <v>37</v>
      </c>
      <c r="O14" s="40" t="s">
        <v>37</v>
      </c>
    </row>
    <row r="15" spans="1:16" ht="142.5" customHeight="1" x14ac:dyDescent="0.35">
      <c r="A15" s="39">
        <v>8</v>
      </c>
      <c r="B15" s="39" t="str">
        <f t="shared" ref="B15:B17" si="2">CONCATENATE($B$2, ".", A15)</f>
        <v>5.8</v>
      </c>
      <c r="C15" s="47" t="s">
        <v>45</v>
      </c>
      <c r="D15" s="39" t="s">
        <v>333</v>
      </c>
      <c r="E15" s="39" t="s">
        <v>30</v>
      </c>
      <c r="F15" s="39" t="s">
        <v>64</v>
      </c>
      <c r="G15" s="39" t="s">
        <v>37</v>
      </c>
      <c r="H15" s="39" t="s">
        <v>37</v>
      </c>
      <c r="I15" s="39" t="s">
        <v>10</v>
      </c>
      <c r="J15" s="40" t="s">
        <v>109</v>
      </c>
      <c r="K15" s="40" t="s">
        <v>54</v>
      </c>
      <c r="L15" s="40" t="s">
        <v>330</v>
      </c>
      <c r="M15" s="40" t="s">
        <v>37</v>
      </c>
      <c r="N15" s="40" t="s">
        <v>37</v>
      </c>
      <c r="O15" s="40" t="s">
        <v>331</v>
      </c>
      <c r="P15" s="39" t="s">
        <v>292</v>
      </c>
    </row>
    <row r="16" spans="1:16" ht="72.5" x14ac:dyDescent="0.35">
      <c r="A16" s="39">
        <v>9</v>
      </c>
      <c r="B16" s="39" t="str">
        <f t="shared" si="2"/>
        <v>5.9</v>
      </c>
      <c r="C16" s="47" t="s">
        <v>38</v>
      </c>
      <c r="D16" s="39" t="s">
        <v>60</v>
      </c>
      <c r="E16" s="39" t="s">
        <v>43</v>
      </c>
      <c r="F16" s="39" t="s">
        <v>37</v>
      </c>
      <c r="G16" s="39" t="s">
        <v>37</v>
      </c>
      <c r="H16" s="39" t="s">
        <v>37</v>
      </c>
      <c r="I16" s="39" t="s">
        <v>10</v>
      </c>
      <c r="J16" s="39" t="s">
        <v>37</v>
      </c>
      <c r="K16" s="39" t="s">
        <v>37</v>
      </c>
      <c r="L16" s="39" t="s">
        <v>37</v>
      </c>
      <c r="M16" s="39" t="s">
        <v>37</v>
      </c>
      <c r="N16" s="39" t="s">
        <v>37</v>
      </c>
      <c r="O16" s="39" t="s">
        <v>332</v>
      </c>
    </row>
    <row r="17" spans="1:15" ht="29" x14ac:dyDescent="0.35">
      <c r="A17" s="39">
        <v>10</v>
      </c>
      <c r="B17" s="39" t="str">
        <f t="shared" si="2"/>
        <v>5.10</v>
      </c>
      <c r="C17" s="47" t="s">
        <v>38</v>
      </c>
      <c r="D17" s="39" t="s">
        <v>59</v>
      </c>
      <c r="E17" s="39" t="s">
        <v>43</v>
      </c>
      <c r="F17" s="39" t="s">
        <v>37</v>
      </c>
      <c r="G17" s="39" t="s">
        <v>37</v>
      </c>
      <c r="H17" s="39" t="s">
        <v>37</v>
      </c>
      <c r="I17" s="39" t="s">
        <v>10</v>
      </c>
      <c r="J17" s="39" t="s">
        <v>37</v>
      </c>
      <c r="K17" s="39" t="s">
        <v>37</v>
      </c>
      <c r="L17" s="39" t="s">
        <v>37</v>
      </c>
      <c r="M17" s="39" t="s">
        <v>37</v>
      </c>
      <c r="N17" s="39" t="s">
        <v>37</v>
      </c>
      <c r="O17" s="39" t="s">
        <v>301</v>
      </c>
    </row>
  </sheetData>
  <conditionalFormatting sqref="C18:C1048576 C7:C14">
    <cfRule type="cellIs" dxfId="353" priority="51" operator="equal">
      <formula>"WIP (see comments)"</formula>
    </cfRule>
    <cfRule type="cellIs" dxfId="352" priority="52" operator="equal">
      <formula>"Removed"</formula>
    </cfRule>
    <cfRule type="cellIs" dxfId="351" priority="53" operator="equal">
      <formula>"Updated"</formula>
    </cfRule>
    <cfRule type="cellIs" dxfId="350" priority="54" operator="equal">
      <formula>"New"</formula>
    </cfRule>
  </conditionalFormatting>
  <conditionalFormatting sqref="C7:C14">
    <cfRule type="cellIs" dxfId="349" priority="43" operator="equal">
      <formula>"WIP (see comments)"</formula>
    </cfRule>
    <cfRule type="cellIs" dxfId="348" priority="44" operator="equal">
      <formula>"Removed"</formula>
    </cfRule>
    <cfRule type="cellIs" dxfId="347" priority="45" operator="equal">
      <formula>"Updated"</formula>
    </cfRule>
    <cfRule type="cellIs" dxfId="346" priority="46" operator="equal">
      <formula>"New"</formula>
    </cfRule>
  </conditionalFormatting>
  <conditionalFormatting sqref="A18:XFD1048576 P14:XFD14 D15:XFD17 C14 A1:C1 E1:XFD1 A2:XFD2 A4:XFD13 A3:C3 E3:XFD3">
    <cfRule type="cellIs" dxfId="345" priority="38" operator="equal">
      <formula>"n/a"</formula>
    </cfRule>
  </conditionalFormatting>
  <conditionalFormatting sqref="C15:C17">
    <cfRule type="cellIs" dxfId="344" priority="15" operator="equal">
      <formula>"WIP (see comments)"</formula>
    </cfRule>
    <cfRule type="cellIs" dxfId="343" priority="16" operator="equal">
      <formula>"Removed"</formula>
    </cfRule>
    <cfRule type="cellIs" dxfId="342" priority="17" operator="equal">
      <formula>"Updated"</formula>
    </cfRule>
    <cfRule type="cellIs" dxfId="341" priority="18" operator="equal">
      <formula>"New"</formula>
    </cfRule>
  </conditionalFormatting>
  <conditionalFormatting sqref="D14:O14">
    <cfRule type="cellIs" dxfId="340" priority="32" operator="equal">
      <formula>"n/a"</formula>
    </cfRule>
  </conditionalFormatting>
  <conditionalFormatting sqref="C15:C17">
    <cfRule type="cellIs" dxfId="339" priority="19" operator="equal">
      <formula>"WIP (see comments)"</formula>
    </cfRule>
    <cfRule type="cellIs" dxfId="338" priority="20" operator="equal">
      <formula>"Removed"</formula>
    </cfRule>
    <cfRule type="cellIs" dxfId="337" priority="21" operator="equal">
      <formula>"Updated"</formula>
    </cfRule>
    <cfRule type="cellIs" dxfId="336" priority="22" operator="equal">
      <formula>"New"</formula>
    </cfRule>
  </conditionalFormatting>
  <conditionalFormatting sqref="C15:C17">
    <cfRule type="cellIs" dxfId="335" priority="14" operator="equal">
      <formula>"n/a"</formula>
    </cfRule>
  </conditionalFormatting>
  <conditionalFormatting sqref="D1">
    <cfRule type="cellIs" dxfId="334" priority="3" operator="equal">
      <formula>"n/a"</formula>
    </cfRule>
  </conditionalFormatting>
  <conditionalFormatting sqref="D3">
    <cfRule type="cellIs" dxfId="333" priority="2" operator="equal">
      <formula>"n/a"</formula>
    </cfRule>
  </conditionalFormatting>
  <conditionalFormatting sqref="A14:B17">
    <cfRule type="cellIs" dxfId="33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4"/>
  <sheetViews>
    <sheetView workbookViewId="0">
      <pane xSplit="4" ySplit="6" topLeftCell="E7" activePane="bottomRight" state="frozen"/>
      <selection pane="topRight" activeCell="E1" sqref="E1"/>
      <selection pane="bottomLeft" activeCell="A7" sqref="A7"/>
      <selection pane="bottomRight" activeCell="A15" sqref="A15"/>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67</v>
      </c>
      <c r="C1" s="32"/>
      <c r="D1" s="29"/>
    </row>
    <row r="2" spans="1:16" s="30" customFormat="1" ht="18.5" x14ac:dyDescent="0.35">
      <c r="A2" s="28" t="s">
        <v>7</v>
      </c>
      <c r="B2" s="36">
        <v>6</v>
      </c>
      <c r="C2" s="35"/>
      <c r="D2" s="36"/>
    </row>
    <row r="3" spans="1:16" s="30" customFormat="1" ht="18.5" x14ac:dyDescent="0.35">
      <c r="A3" s="28" t="s">
        <v>44</v>
      </c>
      <c r="B3" s="36" t="s">
        <v>285</v>
      </c>
      <c r="C3" s="35"/>
      <c r="D3" s="63" t="s">
        <v>287</v>
      </c>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s="48" customFormat="1" x14ac:dyDescent="0.35">
      <c r="A7" s="48">
        <v>1</v>
      </c>
      <c r="B7" s="48" t="str">
        <f>CONCATENATE($B$2, ".", A7)</f>
        <v>6.1</v>
      </c>
      <c r="C7" s="49" t="s">
        <v>40</v>
      </c>
      <c r="D7" s="50" t="s">
        <v>374</v>
      </c>
      <c r="E7" s="48" t="s">
        <v>29</v>
      </c>
      <c r="F7" s="48" t="s">
        <v>37</v>
      </c>
      <c r="G7" s="48" t="s">
        <v>37</v>
      </c>
      <c r="H7" s="48" t="s">
        <v>37</v>
      </c>
      <c r="I7" s="50" t="s">
        <v>10</v>
      </c>
      <c r="J7" s="48" t="s">
        <v>37</v>
      </c>
      <c r="K7" s="48" t="s">
        <v>37</v>
      </c>
      <c r="L7" s="48" t="s">
        <v>37</v>
      </c>
      <c r="M7" s="48" t="s">
        <v>37</v>
      </c>
      <c r="N7" s="48" t="s">
        <v>37</v>
      </c>
      <c r="O7" s="48" t="s">
        <v>37</v>
      </c>
    </row>
    <row r="8" spans="1:16" s="48" customFormat="1" x14ac:dyDescent="0.35">
      <c r="A8" s="48">
        <v>2</v>
      </c>
      <c r="B8" s="48" t="str">
        <f t="shared" ref="B8:B13" si="0">CONCATENATE($B$2, ".", A8)</f>
        <v>6.2</v>
      </c>
      <c r="C8" s="52" t="s">
        <v>40</v>
      </c>
      <c r="D8" s="50" t="s">
        <v>37</v>
      </c>
      <c r="E8" s="50" t="s">
        <v>49</v>
      </c>
      <c r="F8" s="48" t="s">
        <v>37</v>
      </c>
      <c r="G8" s="48" t="s">
        <v>37</v>
      </c>
      <c r="H8" s="48" t="s">
        <v>37</v>
      </c>
      <c r="I8" s="50" t="s">
        <v>10</v>
      </c>
      <c r="J8" s="48" t="s">
        <v>37</v>
      </c>
      <c r="K8" s="48" t="s">
        <v>37</v>
      </c>
      <c r="L8" s="48" t="s">
        <v>37</v>
      </c>
      <c r="M8" s="48" t="s">
        <v>37</v>
      </c>
      <c r="N8" s="48" t="s">
        <v>37</v>
      </c>
      <c r="O8" s="48" t="s">
        <v>37</v>
      </c>
    </row>
    <row r="9" spans="1:16" s="48" customFormat="1" ht="84.75" customHeight="1" x14ac:dyDescent="0.35">
      <c r="A9" s="48">
        <v>3</v>
      </c>
      <c r="B9" s="48" t="str">
        <f t="shared" si="0"/>
        <v>6.3</v>
      </c>
      <c r="C9" s="52" t="s">
        <v>38</v>
      </c>
      <c r="D9" s="50" t="s">
        <v>405</v>
      </c>
      <c r="E9" s="50" t="s">
        <v>34</v>
      </c>
      <c r="F9" s="48" t="s">
        <v>37</v>
      </c>
      <c r="G9" s="48" t="s">
        <v>37</v>
      </c>
      <c r="H9" s="48" t="s">
        <v>37</v>
      </c>
      <c r="I9" s="50" t="s">
        <v>10</v>
      </c>
      <c r="J9" s="48" t="s">
        <v>37</v>
      </c>
      <c r="K9" s="48" t="s">
        <v>37</v>
      </c>
      <c r="L9" s="48" t="s">
        <v>37</v>
      </c>
      <c r="M9" s="48" t="s">
        <v>37</v>
      </c>
      <c r="N9" s="48" t="s">
        <v>37</v>
      </c>
      <c r="O9" s="48" t="s">
        <v>37</v>
      </c>
      <c r="P9" s="48" t="s">
        <v>406</v>
      </c>
    </row>
    <row r="10" spans="1:16" ht="99" customHeight="1" x14ac:dyDescent="0.35">
      <c r="A10" s="6">
        <v>4</v>
      </c>
      <c r="B10" s="48" t="str">
        <f t="shared" si="0"/>
        <v>6.4</v>
      </c>
      <c r="C10" s="52" t="s">
        <v>40</v>
      </c>
      <c r="D10" s="6" t="s">
        <v>37</v>
      </c>
      <c r="E10" s="6" t="s">
        <v>184</v>
      </c>
      <c r="F10" s="48" t="s">
        <v>37</v>
      </c>
      <c r="G10" s="48" t="s">
        <v>37</v>
      </c>
      <c r="H10" s="48" t="s">
        <v>37</v>
      </c>
      <c r="I10" s="50" t="s">
        <v>10</v>
      </c>
      <c r="J10" s="48" t="s">
        <v>37</v>
      </c>
      <c r="K10" s="88" t="s">
        <v>187</v>
      </c>
      <c r="L10" s="89" t="s">
        <v>188</v>
      </c>
      <c r="M10" s="48" t="s">
        <v>37</v>
      </c>
      <c r="N10" s="48" t="s">
        <v>37</v>
      </c>
      <c r="O10" s="40" t="s">
        <v>189</v>
      </c>
    </row>
    <row r="11" spans="1:16" ht="57.75" customHeight="1" x14ac:dyDescent="0.35">
      <c r="A11" s="6">
        <v>5</v>
      </c>
      <c r="B11" s="6" t="str">
        <f t="shared" si="0"/>
        <v>6.5</v>
      </c>
      <c r="C11" s="52" t="s">
        <v>40</v>
      </c>
      <c r="D11" s="6" t="s">
        <v>185</v>
      </c>
      <c r="E11" s="6" t="s">
        <v>30</v>
      </c>
      <c r="F11" s="6" t="s">
        <v>64</v>
      </c>
      <c r="G11" s="48" t="s">
        <v>37</v>
      </c>
      <c r="H11" s="48" t="s">
        <v>37</v>
      </c>
      <c r="I11" s="50" t="s">
        <v>10</v>
      </c>
      <c r="J11" s="5" t="s">
        <v>186</v>
      </c>
      <c r="K11" s="88"/>
      <c r="L11" s="89"/>
      <c r="M11" s="48" t="s">
        <v>37</v>
      </c>
      <c r="N11" s="48" t="s">
        <v>37</v>
      </c>
      <c r="O11" s="40" t="s">
        <v>190</v>
      </c>
    </row>
    <row r="12" spans="1:16" ht="57.75" customHeight="1" x14ac:dyDescent="0.35">
      <c r="A12" s="6">
        <v>6</v>
      </c>
      <c r="B12" s="6" t="str">
        <f t="shared" si="0"/>
        <v>6.6</v>
      </c>
      <c r="C12" s="72" t="s">
        <v>40</v>
      </c>
      <c r="D12" s="6" t="s">
        <v>216</v>
      </c>
      <c r="E12" s="6" t="s">
        <v>34</v>
      </c>
      <c r="F12" s="6" t="s">
        <v>37</v>
      </c>
      <c r="G12" s="48" t="s">
        <v>37</v>
      </c>
      <c r="H12" s="48" t="s">
        <v>37</v>
      </c>
      <c r="I12" s="50" t="s">
        <v>10</v>
      </c>
      <c r="J12" s="5" t="s">
        <v>37</v>
      </c>
      <c r="K12" s="5" t="s">
        <v>37</v>
      </c>
      <c r="L12" s="5" t="s">
        <v>37</v>
      </c>
      <c r="M12" s="5" t="s">
        <v>37</v>
      </c>
      <c r="N12" s="5" t="s">
        <v>37</v>
      </c>
      <c r="O12" s="5" t="s">
        <v>37</v>
      </c>
    </row>
    <row r="13" spans="1:16" ht="57.75" customHeight="1" x14ac:dyDescent="0.35">
      <c r="A13" s="6">
        <v>7</v>
      </c>
      <c r="B13" s="6" t="str">
        <f t="shared" si="0"/>
        <v>6.7</v>
      </c>
      <c r="C13" s="72" t="s">
        <v>40</v>
      </c>
      <c r="D13" s="6" t="s">
        <v>241</v>
      </c>
      <c r="E13" s="6" t="s">
        <v>139</v>
      </c>
      <c r="F13" s="6" t="s">
        <v>37</v>
      </c>
      <c r="G13" s="48" t="s">
        <v>37</v>
      </c>
      <c r="H13" s="48" t="s">
        <v>37</v>
      </c>
      <c r="I13" s="50" t="s">
        <v>10</v>
      </c>
      <c r="J13" s="5" t="s">
        <v>37</v>
      </c>
      <c r="K13" s="5" t="s">
        <v>37</v>
      </c>
      <c r="L13" s="5" t="s">
        <v>37</v>
      </c>
      <c r="M13" s="5" t="s">
        <v>37</v>
      </c>
      <c r="N13" s="5" t="s">
        <v>37</v>
      </c>
      <c r="O13" s="5" t="s">
        <v>37</v>
      </c>
    </row>
    <row r="14" spans="1:16" ht="29" x14ac:dyDescent="0.35">
      <c r="A14" s="6">
        <v>8</v>
      </c>
      <c r="B14" s="6" t="str">
        <f>CONCATENATE($B$2, ".", A14)</f>
        <v>6.8</v>
      </c>
      <c r="C14" s="52" t="s">
        <v>40</v>
      </c>
      <c r="D14" s="6" t="s">
        <v>60</v>
      </c>
      <c r="E14" s="6" t="s">
        <v>43</v>
      </c>
      <c r="F14" s="6" t="s">
        <v>37</v>
      </c>
      <c r="G14" s="6" t="s">
        <v>37</v>
      </c>
      <c r="H14" s="6" t="s">
        <v>37</v>
      </c>
      <c r="I14" s="6" t="s">
        <v>10</v>
      </c>
      <c r="J14" s="6" t="s">
        <v>37</v>
      </c>
      <c r="K14" s="6" t="s">
        <v>37</v>
      </c>
      <c r="L14" s="6" t="s">
        <v>37</v>
      </c>
      <c r="M14" s="6" t="s">
        <v>37</v>
      </c>
      <c r="N14" s="6" t="s">
        <v>37</v>
      </c>
      <c r="O14" s="6" t="s">
        <v>311</v>
      </c>
    </row>
    <row r="15" spans="1:16" ht="29" x14ac:dyDescent="0.35">
      <c r="A15" s="6">
        <v>9</v>
      </c>
      <c r="B15" s="6" t="str">
        <f t="shared" ref="B15" si="1">CONCATENATE($B$2, ".", A15)</f>
        <v>6.9</v>
      </c>
      <c r="C15" s="52" t="s">
        <v>40</v>
      </c>
      <c r="D15" s="6" t="s">
        <v>59</v>
      </c>
      <c r="E15" s="6" t="s">
        <v>43</v>
      </c>
      <c r="F15" s="6" t="s">
        <v>37</v>
      </c>
      <c r="G15" s="6" t="s">
        <v>37</v>
      </c>
      <c r="H15" s="6" t="s">
        <v>37</v>
      </c>
      <c r="I15" s="6" t="s">
        <v>10</v>
      </c>
      <c r="J15" s="6" t="s">
        <v>37</v>
      </c>
      <c r="K15" s="6" t="s">
        <v>37</v>
      </c>
      <c r="L15" s="6" t="s">
        <v>37</v>
      </c>
      <c r="M15" s="6" t="s">
        <v>37</v>
      </c>
      <c r="N15" s="6" t="s">
        <v>37</v>
      </c>
      <c r="O15" s="6" t="s">
        <v>286</v>
      </c>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row r="21" spans="9:15" x14ac:dyDescent="0.35">
      <c r="I21" s="39"/>
      <c r="J21" s="5"/>
      <c r="K21" s="5"/>
      <c r="L21" s="40"/>
      <c r="M21" s="40"/>
      <c r="N21" s="40"/>
      <c r="O21" s="40"/>
    </row>
    <row r="22" spans="9:15" x14ac:dyDescent="0.35">
      <c r="I22" s="39"/>
      <c r="J22" s="5"/>
      <c r="K22" s="5"/>
      <c r="L22" s="40"/>
      <c r="M22" s="40"/>
      <c r="N22" s="40"/>
      <c r="O22" s="40"/>
    </row>
    <row r="23" spans="9:15" x14ac:dyDescent="0.35">
      <c r="I23" s="39"/>
      <c r="J23" s="5"/>
      <c r="K23" s="5"/>
      <c r="L23" s="40"/>
      <c r="M23" s="40"/>
      <c r="N23" s="40"/>
      <c r="O23" s="40"/>
    </row>
    <row r="24" spans="9:15" x14ac:dyDescent="0.35">
      <c r="I24" s="39"/>
      <c r="J24" s="5"/>
      <c r="K24" s="5"/>
      <c r="L24" s="40"/>
      <c r="M24" s="40"/>
      <c r="N24" s="40"/>
      <c r="O24" s="40"/>
    </row>
  </sheetData>
  <mergeCells count="2">
    <mergeCell ref="K10:K11"/>
    <mergeCell ref="L10:L11"/>
  </mergeCells>
  <conditionalFormatting sqref="C16:C1048576">
    <cfRule type="cellIs" dxfId="331" priority="50" operator="equal">
      <formula>"WIP (see comments)"</formula>
    </cfRule>
    <cfRule type="cellIs" dxfId="330" priority="51" operator="equal">
      <formula>"Removed"</formula>
    </cfRule>
    <cfRule type="cellIs" dxfId="329" priority="52" operator="equal">
      <formula>"Updated"</formula>
    </cfRule>
    <cfRule type="cellIs" dxfId="328" priority="53" operator="equal">
      <formula>"New"</formula>
    </cfRule>
  </conditionalFormatting>
  <conditionalFormatting sqref="C7:C15">
    <cfRule type="cellIs" dxfId="327" priority="34" operator="equal">
      <formula>"WIP (see comments)"</formula>
    </cfRule>
    <cfRule type="cellIs" dxfId="326" priority="35" operator="equal">
      <formula>"Removed"</formula>
    </cfRule>
    <cfRule type="cellIs" dxfId="325" priority="36" operator="equal">
      <formula>"Updated"</formula>
    </cfRule>
    <cfRule type="cellIs" dxfId="324" priority="37" operator="equal">
      <formula>"New"</formula>
    </cfRule>
  </conditionalFormatting>
  <conditionalFormatting sqref="A2:XFD2 A16:XFD1048576 M11:XFD11 D11:J11 A8:B13 D8:XFD10 P12:XFD13 C8:C15 A1:C1 E1:XFD1 A4:XFD7 A3:C3 E3:XFD3">
    <cfRule type="cellIs" dxfId="323" priority="32" operator="equal">
      <formula>"n/a"</formula>
    </cfRule>
  </conditionalFormatting>
  <conditionalFormatting sqref="A14:B15 D14:XFD15">
    <cfRule type="cellIs" dxfId="322" priority="18" operator="equal">
      <formula>"n/a"</formula>
    </cfRule>
  </conditionalFormatting>
  <conditionalFormatting sqref="J13:K13 J12 D12:I13">
    <cfRule type="cellIs" dxfId="321" priority="13" operator="equal">
      <formula>"n/a"</formula>
    </cfRule>
  </conditionalFormatting>
  <conditionalFormatting sqref="K12">
    <cfRule type="cellIs" dxfId="320" priority="12" operator="equal">
      <formula>"n/a"</formula>
    </cfRule>
  </conditionalFormatting>
  <conditionalFormatting sqref="L13">
    <cfRule type="cellIs" dxfId="319" priority="11" operator="equal">
      <formula>"n/a"</formula>
    </cfRule>
  </conditionalFormatting>
  <conditionalFormatting sqref="L12">
    <cfRule type="cellIs" dxfId="318" priority="10" operator="equal">
      <formula>"n/a"</formula>
    </cfRule>
  </conditionalFormatting>
  <conditionalFormatting sqref="M13">
    <cfRule type="cellIs" dxfId="317" priority="9" operator="equal">
      <formula>"n/a"</formula>
    </cfRule>
  </conditionalFormatting>
  <conditionalFormatting sqref="M12">
    <cfRule type="cellIs" dxfId="316" priority="8" operator="equal">
      <formula>"n/a"</formula>
    </cfRule>
  </conditionalFormatting>
  <conditionalFormatting sqref="N13">
    <cfRule type="cellIs" dxfId="315" priority="7" operator="equal">
      <formula>"n/a"</formula>
    </cfRule>
  </conditionalFormatting>
  <conditionalFormatting sqref="N12">
    <cfRule type="cellIs" dxfId="314" priority="6" operator="equal">
      <formula>"n/a"</formula>
    </cfRule>
  </conditionalFormatting>
  <conditionalFormatting sqref="O13">
    <cfRule type="cellIs" dxfId="313" priority="5" operator="equal">
      <formula>"n/a"</formula>
    </cfRule>
  </conditionalFormatting>
  <conditionalFormatting sqref="O12">
    <cfRule type="cellIs" dxfId="312" priority="4" operator="equal">
      <formula>"n/a"</formula>
    </cfRule>
  </conditionalFormatting>
  <conditionalFormatting sqref="D1">
    <cfRule type="cellIs" dxfId="311" priority="2" operator="equal">
      <formula>"n/a"</formula>
    </cfRule>
  </conditionalFormatting>
  <conditionalFormatting sqref="D3">
    <cfRule type="cellIs" dxfId="31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41"/>
  <sheetViews>
    <sheetView workbookViewId="0">
      <pane xSplit="4" ySplit="6" topLeftCell="E7" activePane="bottomRight" state="frozen"/>
      <selection pane="topRight" activeCell="E1" sqref="E1"/>
      <selection pane="bottomLeft" activeCell="A7" sqref="A7"/>
      <selection pane="bottomRight" activeCell="A9" sqref="A9"/>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304</v>
      </c>
      <c r="C1" s="32"/>
      <c r="D1" s="38" t="s">
        <v>322</v>
      </c>
    </row>
    <row r="2" spans="1:16" s="30" customFormat="1" ht="18.5" x14ac:dyDescent="0.35">
      <c r="A2" s="28" t="s">
        <v>7</v>
      </c>
      <c r="B2" s="36">
        <v>7</v>
      </c>
      <c r="C2" s="35"/>
      <c r="D2" s="36"/>
    </row>
    <row r="3" spans="1:16" s="30" customFormat="1" ht="18.5" x14ac:dyDescent="0.35">
      <c r="A3" s="28" t="s">
        <v>44</v>
      </c>
      <c r="B3" s="36" t="s">
        <v>302</v>
      </c>
      <c r="C3" s="35"/>
      <c r="D3" s="63" t="s">
        <v>411</v>
      </c>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s="39" customFormat="1" x14ac:dyDescent="0.35">
      <c r="A7" s="39">
        <v>1</v>
      </c>
      <c r="B7" s="39" t="str">
        <f t="shared" ref="B7:B10" si="0">CONCATENATE($B$2, ".", A7)</f>
        <v>7.1</v>
      </c>
      <c r="C7" s="47" t="s">
        <v>40</v>
      </c>
      <c r="D7" s="39" t="s">
        <v>371</v>
      </c>
      <c r="E7" s="39" t="s">
        <v>29</v>
      </c>
      <c r="F7" s="39" t="s">
        <v>37</v>
      </c>
      <c r="G7" s="39" t="s">
        <v>37</v>
      </c>
      <c r="H7" s="39" t="s">
        <v>37</v>
      </c>
      <c r="I7" s="39" t="s">
        <v>10</v>
      </c>
      <c r="J7" s="40" t="s">
        <v>37</v>
      </c>
      <c r="K7" s="40" t="s">
        <v>37</v>
      </c>
      <c r="L7" s="40" t="s">
        <v>37</v>
      </c>
      <c r="M7" s="40" t="s">
        <v>37</v>
      </c>
      <c r="N7" s="40" t="s">
        <v>37</v>
      </c>
      <c r="O7" s="40" t="s">
        <v>37</v>
      </c>
    </row>
    <row r="8" spans="1:16" s="39" customFormat="1" x14ac:dyDescent="0.35">
      <c r="A8" s="39">
        <v>2</v>
      </c>
      <c r="B8" s="39" t="str">
        <f t="shared" si="0"/>
        <v>7.2</v>
      </c>
      <c r="C8" s="47" t="s">
        <v>40</v>
      </c>
      <c r="D8" s="39" t="s">
        <v>37</v>
      </c>
      <c r="E8" s="39" t="s">
        <v>49</v>
      </c>
      <c r="F8" s="39" t="s">
        <v>37</v>
      </c>
      <c r="G8" s="39" t="s">
        <v>37</v>
      </c>
      <c r="H8" s="39" t="s">
        <v>37</v>
      </c>
      <c r="I8" s="39" t="s">
        <v>10</v>
      </c>
      <c r="J8" s="40" t="s">
        <v>37</v>
      </c>
      <c r="K8" s="40" t="s">
        <v>37</v>
      </c>
      <c r="L8" s="40" t="s">
        <v>37</v>
      </c>
      <c r="M8" s="40" t="s">
        <v>37</v>
      </c>
      <c r="N8" s="40" t="s">
        <v>37</v>
      </c>
      <c r="O8" s="40" t="s">
        <v>37</v>
      </c>
    </row>
    <row r="9" spans="1:16" s="39" customFormat="1" ht="72.5" x14ac:dyDescent="0.35">
      <c r="A9" s="39">
        <v>3</v>
      </c>
      <c r="B9" s="39" t="str">
        <f t="shared" si="0"/>
        <v>7.3</v>
      </c>
      <c r="C9" s="47" t="s">
        <v>38</v>
      </c>
      <c r="D9" s="39" t="s">
        <v>120</v>
      </c>
      <c r="E9" s="39" t="s">
        <v>33</v>
      </c>
      <c r="F9" s="39" t="s">
        <v>465</v>
      </c>
      <c r="G9" s="39" t="s">
        <v>37</v>
      </c>
      <c r="H9" s="41">
        <v>50</v>
      </c>
      <c r="I9" s="39" t="s">
        <v>10</v>
      </c>
      <c r="J9" s="40" t="s">
        <v>68</v>
      </c>
      <c r="K9" s="40" t="s">
        <v>54</v>
      </c>
      <c r="L9" s="40" t="s">
        <v>70</v>
      </c>
      <c r="M9" s="40" t="s">
        <v>37</v>
      </c>
      <c r="N9" s="40" t="s">
        <v>37</v>
      </c>
      <c r="O9" s="40" t="s">
        <v>72</v>
      </c>
      <c r="P9" s="39" t="s">
        <v>466</v>
      </c>
    </row>
    <row r="10" spans="1:16" s="39" customFormat="1" ht="72.5" x14ac:dyDescent="0.35">
      <c r="A10" s="39">
        <v>4</v>
      </c>
      <c r="B10" s="39" t="str">
        <f t="shared" si="0"/>
        <v>7.4</v>
      </c>
      <c r="C10" s="47" t="s">
        <v>38</v>
      </c>
      <c r="D10" s="39" t="s">
        <v>121</v>
      </c>
      <c r="E10" s="39" t="s">
        <v>33</v>
      </c>
      <c r="F10" s="39" t="s">
        <v>465</v>
      </c>
      <c r="G10" s="39" t="s">
        <v>37</v>
      </c>
      <c r="H10" s="41">
        <v>50</v>
      </c>
      <c r="I10" s="39" t="s">
        <v>10</v>
      </c>
      <c r="J10" s="40" t="s">
        <v>69</v>
      </c>
      <c r="K10" s="40" t="s">
        <v>54</v>
      </c>
      <c r="L10" s="40" t="s">
        <v>71</v>
      </c>
      <c r="M10" s="40" t="s">
        <v>37</v>
      </c>
      <c r="N10" s="40" t="s">
        <v>37</v>
      </c>
      <c r="O10" s="40" t="s">
        <v>72</v>
      </c>
      <c r="P10" s="39" t="s">
        <v>466</v>
      </c>
    </row>
    <row r="11" spans="1:16" x14ac:dyDescent="0.35">
      <c r="A11" s="39">
        <v>5</v>
      </c>
      <c r="B11" s="39" t="str">
        <f t="shared" ref="B11" si="1">CONCATENATE($B$2, ".", A11)</f>
        <v>7.5</v>
      </c>
      <c r="C11" s="34" t="s">
        <v>40</v>
      </c>
      <c r="D11" s="39" t="s">
        <v>303</v>
      </c>
      <c r="E11" s="6" t="s">
        <v>29</v>
      </c>
      <c r="F11" s="6" t="s">
        <v>37</v>
      </c>
      <c r="G11" s="6" t="s">
        <v>37</v>
      </c>
      <c r="H11" s="6" t="s">
        <v>37</v>
      </c>
      <c r="I11" s="39" t="s">
        <v>10</v>
      </c>
      <c r="J11" s="5" t="s">
        <v>37</v>
      </c>
      <c r="K11" s="5" t="s">
        <v>37</v>
      </c>
      <c r="L11" s="5" t="s">
        <v>37</v>
      </c>
      <c r="M11" s="5" t="s">
        <v>37</v>
      </c>
      <c r="N11" s="5" t="s">
        <v>37</v>
      </c>
      <c r="O11" s="5" t="s">
        <v>37</v>
      </c>
    </row>
    <row r="12" spans="1:16" x14ac:dyDescent="0.35">
      <c r="A12" s="87"/>
      <c r="B12" s="87"/>
      <c r="C12" s="87"/>
      <c r="D12" s="87"/>
      <c r="E12" s="87"/>
      <c r="F12" s="75"/>
      <c r="G12" s="75"/>
      <c r="H12" s="75"/>
      <c r="I12" s="75"/>
      <c r="J12" s="75"/>
      <c r="K12" s="75"/>
      <c r="L12" s="75"/>
      <c r="M12" s="75"/>
      <c r="N12" s="75"/>
      <c r="O12" s="75"/>
      <c r="P12" s="75"/>
    </row>
    <row r="13" spans="1:16" ht="43.5" x14ac:dyDescent="0.35">
      <c r="A13" s="39">
        <v>6</v>
      </c>
      <c r="B13" s="39" t="str">
        <f t="shared" ref="B13:B19" si="2">CONCATENATE($B$2, ".", A13)</f>
        <v>7.6</v>
      </c>
      <c r="C13" s="47" t="s">
        <v>41</v>
      </c>
      <c r="D13" s="39" t="s">
        <v>260</v>
      </c>
      <c r="E13" s="39" t="s">
        <v>32</v>
      </c>
      <c r="F13" s="39" t="s">
        <v>62</v>
      </c>
      <c r="G13" s="39" t="s">
        <v>37</v>
      </c>
      <c r="H13" s="39" t="s">
        <v>37</v>
      </c>
      <c r="I13" s="39" t="s">
        <v>10</v>
      </c>
      <c r="J13" s="40" t="s">
        <v>66</v>
      </c>
      <c r="K13" s="40" t="s">
        <v>54</v>
      </c>
      <c r="L13" s="40" t="s">
        <v>257</v>
      </c>
      <c r="M13" s="40" t="s">
        <v>37</v>
      </c>
      <c r="N13" s="40" t="s">
        <v>37</v>
      </c>
      <c r="O13" s="40" t="s">
        <v>37</v>
      </c>
      <c r="P13" s="39" t="s">
        <v>305</v>
      </c>
    </row>
    <row r="14" spans="1:16" ht="130.5" x14ac:dyDescent="0.35">
      <c r="A14" s="39">
        <v>7</v>
      </c>
      <c r="B14" s="39" t="str">
        <f t="shared" si="2"/>
        <v>7.7</v>
      </c>
      <c r="C14" s="47" t="s">
        <v>40</v>
      </c>
      <c r="D14" s="39" t="s">
        <v>122</v>
      </c>
      <c r="E14" s="39" t="s">
        <v>80</v>
      </c>
      <c r="F14" s="39" t="s">
        <v>52</v>
      </c>
      <c r="G14" s="39" t="s">
        <v>37</v>
      </c>
      <c r="H14" s="41">
        <v>35</v>
      </c>
      <c r="I14" s="39" t="s">
        <v>10</v>
      </c>
      <c r="J14" s="40" t="s">
        <v>75</v>
      </c>
      <c r="K14" s="40" t="s">
        <v>84</v>
      </c>
      <c r="L14" s="40" t="s">
        <v>81</v>
      </c>
      <c r="M14" s="40" t="s">
        <v>37</v>
      </c>
      <c r="N14" s="40" t="s">
        <v>232</v>
      </c>
      <c r="O14" s="40" t="s">
        <v>222</v>
      </c>
      <c r="P14" s="39"/>
    </row>
    <row r="15" spans="1:16" ht="58" x14ac:dyDescent="0.35">
      <c r="A15" s="39">
        <v>8</v>
      </c>
      <c r="B15" s="39" t="str">
        <f t="shared" si="2"/>
        <v>7.8</v>
      </c>
      <c r="C15" s="47" t="s">
        <v>40</v>
      </c>
      <c r="D15" s="39" t="s">
        <v>82</v>
      </c>
      <c r="E15" s="39" t="s">
        <v>33</v>
      </c>
      <c r="F15" s="39" t="s">
        <v>52</v>
      </c>
      <c r="G15" s="39" t="s">
        <v>37</v>
      </c>
      <c r="H15" s="41">
        <v>10</v>
      </c>
      <c r="I15" s="39" t="s">
        <v>306</v>
      </c>
      <c r="J15" s="40" t="s">
        <v>125</v>
      </c>
      <c r="K15" s="40" t="s">
        <v>83</v>
      </c>
      <c r="L15" s="40" t="s">
        <v>129</v>
      </c>
      <c r="M15" s="40" t="s">
        <v>37</v>
      </c>
      <c r="N15" s="40" t="s">
        <v>37</v>
      </c>
      <c r="O15" s="40"/>
      <c r="P15" s="39"/>
    </row>
    <row r="16" spans="1:16" ht="58" x14ac:dyDescent="0.35">
      <c r="A16" s="39">
        <v>9</v>
      </c>
      <c r="B16" s="39" t="str">
        <f t="shared" si="2"/>
        <v>7.9</v>
      </c>
      <c r="C16" s="47" t="s">
        <v>40</v>
      </c>
      <c r="D16" s="39" t="s">
        <v>133</v>
      </c>
      <c r="E16" s="39" t="s">
        <v>33</v>
      </c>
      <c r="F16" s="39" t="s">
        <v>52</v>
      </c>
      <c r="G16" s="39" t="s">
        <v>37</v>
      </c>
      <c r="H16" s="41">
        <v>35</v>
      </c>
      <c r="I16" s="39" t="s">
        <v>306</v>
      </c>
      <c r="J16" s="40" t="s">
        <v>125</v>
      </c>
      <c r="K16" s="40" t="s">
        <v>83</v>
      </c>
      <c r="L16" s="40" t="s">
        <v>130</v>
      </c>
      <c r="M16" s="40" t="s">
        <v>37</v>
      </c>
      <c r="N16" s="40" t="s">
        <v>37</v>
      </c>
      <c r="O16" s="40"/>
      <c r="P16" s="39"/>
    </row>
    <row r="17" spans="1:16" ht="29" x14ac:dyDescent="0.35">
      <c r="A17" s="39">
        <v>10</v>
      </c>
      <c r="B17" s="39" t="str">
        <f t="shared" si="2"/>
        <v>7.10</v>
      </c>
      <c r="C17" s="47" t="s">
        <v>40</v>
      </c>
      <c r="D17" s="39" t="s">
        <v>76</v>
      </c>
      <c r="E17" s="39" t="s">
        <v>33</v>
      </c>
      <c r="F17" s="39" t="s">
        <v>52</v>
      </c>
      <c r="G17" s="39" t="s">
        <v>37</v>
      </c>
      <c r="H17" s="41">
        <v>10</v>
      </c>
      <c r="I17" s="39" t="s">
        <v>306</v>
      </c>
      <c r="J17" s="40" t="s">
        <v>125</v>
      </c>
      <c r="K17" s="40" t="s">
        <v>85</v>
      </c>
      <c r="L17" s="40" t="s">
        <v>37</v>
      </c>
      <c r="M17" s="40" t="s">
        <v>37</v>
      </c>
      <c r="N17" s="40" t="s">
        <v>37</v>
      </c>
      <c r="O17" s="40"/>
      <c r="P17" s="39"/>
    </row>
    <row r="18" spans="1:16" ht="58" x14ac:dyDescent="0.35">
      <c r="A18" s="39">
        <v>11</v>
      </c>
      <c r="B18" s="39" t="str">
        <f t="shared" si="2"/>
        <v>7.11</v>
      </c>
      <c r="C18" s="47" t="s">
        <v>40</v>
      </c>
      <c r="D18" s="39" t="s">
        <v>77</v>
      </c>
      <c r="E18" s="39" t="s">
        <v>33</v>
      </c>
      <c r="F18" s="39" t="s">
        <v>52</v>
      </c>
      <c r="G18" s="39" t="s">
        <v>37</v>
      </c>
      <c r="H18" s="41">
        <v>20</v>
      </c>
      <c r="I18" s="39" t="s">
        <v>306</v>
      </c>
      <c r="J18" s="40" t="s">
        <v>125</v>
      </c>
      <c r="K18" s="40" t="s">
        <v>83</v>
      </c>
      <c r="L18" s="40" t="s">
        <v>126</v>
      </c>
      <c r="M18" s="40" t="s">
        <v>37</v>
      </c>
      <c r="N18" s="40" t="s">
        <v>37</v>
      </c>
      <c r="O18" s="40"/>
      <c r="P18" s="39"/>
    </row>
    <row r="19" spans="1:16" ht="116" x14ac:dyDescent="0.35">
      <c r="A19" s="39">
        <v>12</v>
      </c>
      <c r="B19" s="39" t="str">
        <f t="shared" si="2"/>
        <v>7.12</v>
      </c>
      <c r="C19" s="47" t="s">
        <v>40</v>
      </c>
      <c r="D19" s="39" t="s">
        <v>78</v>
      </c>
      <c r="E19" s="39" t="s">
        <v>35</v>
      </c>
      <c r="F19" s="39" t="s">
        <v>52</v>
      </c>
      <c r="G19" s="39" t="s">
        <v>37</v>
      </c>
      <c r="H19" s="41">
        <v>15</v>
      </c>
      <c r="I19" s="39" t="s">
        <v>306</v>
      </c>
      <c r="J19" s="40" t="s">
        <v>125</v>
      </c>
      <c r="K19" s="40" t="s">
        <v>83</v>
      </c>
      <c r="L19" s="40" t="s">
        <v>131</v>
      </c>
      <c r="M19" s="40" t="s">
        <v>86</v>
      </c>
      <c r="N19" s="40" t="s">
        <v>134</v>
      </c>
      <c r="O19" s="40"/>
      <c r="P19" s="39"/>
    </row>
    <row r="20" spans="1:16" ht="72.5" x14ac:dyDescent="0.35">
      <c r="A20" s="39">
        <v>13</v>
      </c>
      <c r="B20" s="39" t="str">
        <f>CONCATENATE($B$2, ".", A20)</f>
        <v>7.13</v>
      </c>
      <c r="C20" s="47" t="s">
        <v>40</v>
      </c>
      <c r="D20" s="39" t="s">
        <v>79</v>
      </c>
      <c r="E20" s="39" t="s">
        <v>33</v>
      </c>
      <c r="F20" s="39" t="s">
        <v>52</v>
      </c>
      <c r="G20" s="39" t="s">
        <v>37</v>
      </c>
      <c r="H20" s="41">
        <v>7</v>
      </c>
      <c r="I20" s="39" t="s">
        <v>306</v>
      </c>
      <c r="J20" s="40" t="s">
        <v>125</v>
      </c>
      <c r="K20" s="40" t="s">
        <v>83</v>
      </c>
      <c r="L20" s="40" t="s">
        <v>132</v>
      </c>
      <c r="M20" s="40" t="s">
        <v>37</v>
      </c>
      <c r="N20" s="40" t="s">
        <v>37</v>
      </c>
      <c r="O20" s="40"/>
      <c r="P20" s="39"/>
    </row>
    <row r="21" spans="1:16" x14ac:dyDescent="0.35">
      <c r="A21" s="87"/>
      <c r="B21" s="87"/>
      <c r="C21" s="87"/>
      <c r="D21" s="87"/>
      <c r="E21" s="87"/>
      <c r="F21" s="75"/>
      <c r="G21" s="75"/>
      <c r="H21" s="75"/>
      <c r="I21" s="75"/>
      <c r="J21" s="75"/>
      <c r="K21" s="75"/>
      <c r="L21" s="75"/>
      <c r="M21" s="75"/>
      <c r="N21" s="75"/>
      <c r="O21" s="75"/>
      <c r="P21" s="75"/>
    </row>
    <row r="22" spans="1:16" ht="58" x14ac:dyDescent="0.35">
      <c r="A22" s="39">
        <v>14</v>
      </c>
      <c r="B22" s="39" t="str">
        <f t="shared" ref="B22:B28" si="3">CONCATENATE($B$2, ".", A22)</f>
        <v>7.14</v>
      </c>
      <c r="C22" s="47" t="s">
        <v>40</v>
      </c>
      <c r="D22" s="39" t="s">
        <v>87</v>
      </c>
      <c r="E22" s="39" t="s">
        <v>32</v>
      </c>
      <c r="F22" s="39" t="s">
        <v>62</v>
      </c>
      <c r="G22" s="39" t="s">
        <v>37</v>
      </c>
      <c r="H22" s="39" t="s">
        <v>37</v>
      </c>
      <c r="I22" s="39" t="s">
        <v>261</v>
      </c>
      <c r="J22" s="40" t="s">
        <v>66</v>
      </c>
      <c r="K22" s="40" t="s">
        <v>54</v>
      </c>
      <c r="L22" s="40" t="s">
        <v>88</v>
      </c>
      <c r="M22" s="40" t="s">
        <v>37</v>
      </c>
      <c r="N22" s="40" t="s">
        <v>37</v>
      </c>
      <c r="O22" s="40" t="s">
        <v>37</v>
      </c>
      <c r="P22" s="39"/>
    </row>
    <row r="23" spans="1:16" ht="130.5" x14ac:dyDescent="0.35">
      <c r="A23" s="39">
        <v>15</v>
      </c>
      <c r="B23" s="39" t="str">
        <f t="shared" si="3"/>
        <v>7.15</v>
      </c>
      <c r="C23" s="47" t="s">
        <v>40</v>
      </c>
      <c r="D23" s="39" t="s">
        <v>123</v>
      </c>
      <c r="E23" s="39" t="s">
        <v>80</v>
      </c>
      <c r="F23" s="39" t="s">
        <v>52</v>
      </c>
      <c r="G23" s="39" t="s">
        <v>37</v>
      </c>
      <c r="H23" s="41">
        <v>35</v>
      </c>
      <c r="I23" s="39" t="s">
        <v>307</v>
      </c>
      <c r="J23" s="40" t="s">
        <v>125</v>
      </c>
      <c r="K23" s="40" t="s">
        <v>258</v>
      </c>
      <c r="L23" s="40" t="s">
        <v>89</v>
      </c>
      <c r="M23" s="40" t="s">
        <v>37</v>
      </c>
      <c r="N23" s="40" t="s">
        <v>37</v>
      </c>
      <c r="O23" s="40" t="s">
        <v>223</v>
      </c>
      <c r="P23" s="39"/>
    </row>
    <row r="24" spans="1:16" ht="43.5" x14ac:dyDescent="0.35">
      <c r="A24" s="39">
        <v>16</v>
      </c>
      <c r="B24" s="39" t="str">
        <f t="shared" si="3"/>
        <v>7.16</v>
      </c>
      <c r="C24" s="47" t="s">
        <v>40</v>
      </c>
      <c r="D24" s="39" t="s">
        <v>82</v>
      </c>
      <c r="E24" s="39" t="s">
        <v>33</v>
      </c>
      <c r="F24" s="39" t="s">
        <v>52</v>
      </c>
      <c r="G24" s="39" t="s">
        <v>37</v>
      </c>
      <c r="H24" s="41">
        <v>10</v>
      </c>
      <c r="I24" s="39" t="s">
        <v>308</v>
      </c>
      <c r="J24" s="40" t="s">
        <v>125</v>
      </c>
      <c r="K24" s="40" t="s">
        <v>85</v>
      </c>
      <c r="L24" s="40" t="s">
        <v>37</v>
      </c>
      <c r="M24" s="40" t="s">
        <v>37</v>
      </c>
      <c r="N24" s="40" t="s">
        <v>37</v>
      </c>
      <c r="O24" s="40"/>
      <c r="P24" s="39"/>
    </row>
    <row r="25" spans="1:16" ht="72.5" x14ac:dyDescent="0.35">
      <c r="A25" s="39">
        <v>17</v>
      </c>
      <c r="B25" s="39" t="str">
        <f t="shared" si="3"/>
        <v>7.17</v>
      </c>
      <c r="C25" s="47" t="s">
        <v>40</v>
      </c>
      <c r="D25" s="39" t="s">
        <v>133</v>
      </c>
      <c r="E25" s="39" t="s">
        <v>33</v>
      </c>
      <c r="F25" s="39" t="s">
        <v>52</v>
      </c>
      <c r="G25" s="39" t="s">
        <v>37</v>
      </c>
      <c r="H25" s="41">
        <v>35</v>
      </c>
      <c r="I25" s="39" t="s">
        <v>308</v>
      </c>
      <c r="J25" s="40" t="s">
        <v>125</v>
      </c>
      <c r="K25" s="40" t="s">
        <v>83</v>
      </c>
      <c r="L25" s="40" t="s">
        <v>130</v>
      </c>
      <c r="M25" s="40" t="s">
        <v>37</v>
      </c>
      <c r="N25" s="40" t="s">
        <v>37</v>
      </c>
      <c r="O25" s="40"/>
      <c r="P25" s="39"/>
    </row>
    <row r="26" spans="1:16" ht="43.5" x14ac:dyDescent="0.35">
      <c r="A26" s="39">
        <v>18</v>
      </c>
      <c r="B26" s="39" t="str">
        <f t="shared" si="3"/>
        <v>7.18</v>
      </c>
      <c r="C26" s="47" t="s">
        <v>40</v>
      </c>
      <c r="D26" s="39" t="s">
        <v>76</v>
      </c>
      <c r="E26" s="39" t="s">
        <v>33</v>
      </c>
      <c r="F26" s="39" t="s">
        <v>52</v>
      </c>
      <c r="G26" s="39" t="s">
        <v>37</v>
      </c>
      <c r="H26" s="41">
        <v>10</v>
      </c>
      <c r="I26" s="39" t="s">
        <v>308</v>
      </c>
      <c r="J26" s="40" t="s">
        <v>125</v>
      </c>
      <c r="K26" s="40" t="s">
        <v>85</v>
      </c>
      <c r="L26" s="40" t="s">
        <v>37</v>
      </c>
      <c r="M26" s="40" t="s">
        <v>37</v>
      </c>
      <c r="N26" s="40" t="s">
        <v>37</v>
      </c>
      <c r="O26" s="40"/>
      <c r="P26" s="39"/>
    </row>
    <row r="27" spans="1:16" ht="72.5" x14ac:dyDescent="0.35">
      <c r="A27" s="39">
        <v>19</v>
      </c>
      <c r="B27" s="39" t="str">
        <f t="shared" si="3"/>
        <v>7.19</v>
      </c>
      <c r="C27" s="47" t="s">
        <v>40</v>
      </c>
      <c r="D27" s="39" t="s">
        <v>77</v>
      </c>
      <c r="E27" s="39" t="s">
        <v>33</v>
      </c>
      <c r="F27" s="39" t="s">
        <v>52</v>
      </c>
      <c r="G27" s="39" t="s">
        <v>37</v>
      </c>
      <c r="H27" s="41">
        <v>20</v>
      </c>
      <c r="I27" s="39" t="s">
        <v>308</v>
      </c>
      <c r="J27" s="40" t="s">
        <v>125</v>
      </c>
      <c r="K27" s="40" t="s">
        <v>83</v>
      </c>
      <c r="L27" s="40" t="s">
        <v>126</v>
      </c>
      <c r="M27" s="40" t="s">
        <v>37</v>
      </c>
      <c r="N27" s="40" t="s">
        <v>37</v>
      </c>
      <c r="O27" s="40"/>
      <c r="P27" s="39"/>
    </row>
    <row r="28" spans="1:16" ht="72.5" x14ac:dyDescent="0.35">
      <c r="A28" s="39">
        <v>20</v>
      </c>
      <c r="B28" s="39" t="str">
        <f t="shared" si="3"/>
        <v>7.20</v>
      </c>
      <c r="C28" s="47" t="s">
        <v>40</v>
      </c>
      <c r="D28" s="39" t="s">
        <v>78</v>
      </c>
      <c r="E28" s="39" t="s">
        <v>35</v>
      </c>
      <c r="F28" s="39" t="s">
        <v>52</v>
      </c>
      <c r="G28" s="39" t="s">
        <v>37</v>
      </c>
      <c r="H28" s="41">
        <v>15</v>
      </c>
      <c r="I28" s="39" t="s">
        <v>308</v>
      </c>
      <c r="J28" s="40" t="s">
        <v>125</v>
      </c>
      <c r="K28" s="40" t="s">
        <v>83</v>
      </c>
      <c r="L28" s="40" t="s">
        <v>131</v>
      </c>
      <c r="M28" s="40" t="s">
        <v>171</v>
      </c>
      <c r="N28" s="40"/>
      <c r="O28" s="40"/>
      <c r="P28" s="39"/>
    </row>
    <row r="29" spans="1:16" ht="72.5" x14ac:dyDescent="0.35">
      <c r="A29" s="39">
        <v>21</v>
      </c>
      <c r="B29" s="39" t="str">
        <f>CONCATENATE($B$2, ".", A29)</f>
        <v>7.21</v>
      </c>
      <c r="C29" s="47" t="s">
        <v>40</v>
      </c>
      <c r="D29" s="39" t="s">
        <v>79</v>
      </c>
      <c r="E29" s="39" t="s">
        <v>33</v>
      </c>
      <c r="F29" s="39" t="s">
        <v>52</v>
      </c>
      <c r="G29" s="39" t="s">
        <v>37</v>
      </c>
      <c r="H29" s="41">
        <v>7</v>
      </c>
      <c r="I29" s="39" t="s">
        <v>308</v>
      </c>
      <c r="J29" s="40" t="s">
        <v>125</v>
      </c>
      <c r="K29" s="40" t="s">
        <v>83</v>
      </c>
      <c r="L29" s="40" t="s">
        <v>132</v>
      </c>
      <c r="M29" s="40" t="s">
        <v>37</v>
      </c>
      <c r="N29" s="40" t="s">
        <v>37</v>
      </c>
      <c r="O29" s="40"/>
      <c r="P29" s="39"/>
    </row>
    <row r="30" spans="1:16" x14ac:dyDescent="0.35">
      <c r="A30" s="87"/>
      <c r="B30" s="87"/>
      <c r="C30" s="87"/>
      <c r="D30" s="87"/>
      <c r="E30" s="87"/>
      <c r="F30" s="75"/>
      <c r="G30" s="75"/>
      <c r="H30" s="75"/>
      <c r="I30" s="75"/>
      <c r="J30" s="75"/>
      <c r="K30" s="75"/>
      <c r="L30" s="75"/>
      <c r="M30" s="75"/>
      <c r="N30" s="75"/>
      <c r="O30" s="75"/>
      <c r="P30" s="75"/>
    </row>
    <row r="31" spans="1:16" ht="58" x14ac:dyDescent="0.35">
      <c r="A31" s="39">
        <v>22</v>
      </c>
      <c r="B31" s="39" t="str">
        <f t="shared" ref="B31:B37" si="4">CONCATENATE($B$2, ".", A31)</f>
        <v>7.22</v>
      </c>
      <c r="C31" s="47" t="s">
        <v>40</v>
      </c>
      <c r="D31" s="39" t="s">
        <v>200</v>
      </c>
      <c r="E31" s="39" t="s">
        <v>32</v>
      </c>
      <c r="F31" s="39" t="s">
        <v>62</v>
      </c>
      <c r="G31" s="39" t="s">
        <v>37</v>
      </c>
      <c r="H31" s="39" t="s">
        <v>37</v>
      </c>
      <c r="I31" s="39" t="s">
        <v>261</v>
      </c>
      <c r="J31" s="40" t="s">
        <v>66</v>
      </c>
      <c r="K31" s="40" t="s">
        <v>54</v>
      </c>
      <c r="L31" s="40" t="s">
        <v>124</v>
      </c>
      <c r="M31" s="40" t="s">
        <v>37</v>
      </c>
      <c r="N31" s="40" t="s">
        <v>37</v>
      </c>
      <c r="O31" s="40" t="s">
        <v>37</v>
      </c>
      <c r="P31" s="39"/>
    </row>
    <row r="32" spans="1:16" ht="130.5" x14ac:dyDescent="0.35">
      <c r="A32" s="39">
        <v>23</v>
      </c>
      <c r="B32" s="39" t="str">
        <f t="shared" si="4"/>
        <v>7.23</v>
      </c>
      <c r="C32" s="47" t="s">
        <v>40</v>
      </c>
      <c r="D32" s="39" t="s">
        <v>90</v>
      </c>
      <c r="E32" s="39" t="s">
        <v>80</v>
      </c>
      <c r="F32" s="39" t="s">
        <v>52</v>
      </c>
      <c r="G32" s="39" t="s">
        <v>37</v>
      </c>
      <c r="H32" s="41">
        <v>35</v>
      </c>
      <c r="I32" s="39" t="s">
        <v>309</v>
      </c>
      <c r="J32" s="40" t="s">
        <v>125</v>
      </c>
      <c r="K32" s="40" t="s">
        <v>259</v>
      </c>
      <c r="L32" s="40" t="s">
        <v>92</v>
      </c>
      <c r="M32" s="40" t="s">
        <v>37</v>
      </c>
      <c r="N32" s="40" t="s">
        <v>37</v>
      </c>
      <c r="O32" s="40" t="s">
        <v>224</v>
      </c>
      <c r="P32" s="39"/>
    </row>
    <row r="33" spans="1:16" ht="43.5" x14ac:dyDescent="0.35">
      <c r="A33" s="39">
        <v>24</v>
      </c>
      <c r="B33" s="39" t="str">
        <f t="shared" si="4"/>
        <v>7.24</v>
      </c>
      <c r="C33" s="47" t="s">
        <v>40</v>
      </c>
      <c r="D33" s="39" t="s">
        <v>82</v>
      </c>
      <c r="E33" s="39" t="s">
        <v>33</v>
      </c>
      <c r="F33" s="39" t="s">
        <v>52</v>
      </c>
      <c r="G33" s="39" t="s">
        <v>37</v>
      </c>
      <c r="H33" s="41">
        <v>10</v>
      </c>
      <c r="I33" s="39" t="s">
        <v>310</v>
      </c>
      <c r="J33" s="40" t="s">
        <v>125</v>
      </c>
      <c r="K33" s="41" t="s">
        <v>91</v>
      </c>
      <c r="L33" s="41" t="s">
        <v>37</v>
      </c>
      <c r="M33" s="40" t="s">
        <v>37</v>
      </c>
      <c r="N33" s="40" t="s">
        <v>37</v>
      </c>
      <c r="O33" s="40"/>
      <c r="P33" s="39"/>
    </row>
    <row r="34" spans="1:16" ht="72.5" x14ac:dyDescent="0.35">
      <c r="A34" s="39">
        <v>25</v>
      </c>
      <c r="B34" s="39" t="str">
        <f t="shared" si="4"/>
        <v>7.25</v>
      </c>
      <c r="C34" s="47" t="s">
        <v>40</v>
      </c>
      <c r="D34" s="39" t="s">
        <v>135</v>
      </c>
      <c r="E34" s="39" t="s">
        <v>33</v>
      </c>
      <c r="F34" s="39" t="s">
        <v>52</v>
      </c>
      <c r="G34" s="39" t="s">
        <v>37</v>
      </c>
      <c r="H34" s="41">
        <v>35</v>
      </c>
      <c r="I34" s="39" t="s">
        <v>310</v>
      </c>
      <c r="J34" s="40" t="s">
        <v>125</v>
      </c>
      <c r="K34" s="40" t="s">
        <v>83</v>
      </c>
      <c r="L34" s="40" t="s">
        <v>127</v>
      </c>
      <c r="M34" s="40" t="s">
        <v>37</v>
      </c>
      <c r="N34" s="40" t="s">
        <v>37</v>
      </c>
      <c r="O34" s="40"/>
      <c r="P34" s="39"/>
    </row>
    <row r="35" spans="1:16" ht="43.5" x14ac:dyDescent="0.35">
      <c r="A35" s="39">
        <v>26</v>
      </c>
      <c r="B35" s="39" t="str">
        <f t="shared" si="4"/>
        <v>7.26</v>
      </c>
      <c r="C35" s="47" t="s">
        <v>40</v>
      </c>
      <c r="D35" s="39" t="s">
        <v>76</v>
      </c>
      <c r="E35" s="39" t="s">
        <v>33</v>
      </c>
      <c r="F35" s="39" t="s">
        <v>52</v>
      </c>
      <c r="G35" s="39" t="s">
        <v>37</v>
      </c>
      <c r="H35" s="41">
        <v>10</v>
      </c>
      <c r="I35" s="39" t="s">
        <v>310</v>
      </c>
      <c r="J35" s="40" t="s">
        <v>125</v>
      </c>
      <c r="K35" s="40" t="s">
        <v>85</v>
      </c>
      <c r="L35" s="40" t="s">
        <v>37</v>
      </c>
      <c r="M35" s="40" t="s">
        <v>37</v>
      </c>
      <c r="N35" s="40" t="s">
        <v>37</v>
      </c>
      <c r="O35" s="40"/>
      <c r="P35" s="39"/>
    </row>
    <row r="36" spans="1:16" ht="72.5" x14ac:dyDescent="0.35">
      <c r="A36" s="39">
        <v>27</v>
      </c>
      <c r="B36" s="39" t="str">
        <f t="shared" si="4"/>
        <v>7.27</v>
      </c>
      <c r="C36" s="47" t="s">
        <v>40</v>
      </c>
      <c r="D36" s="39" t="s">
        <v>77</v>
      </c>
      <c r="E36" s="39" t="s">
        <v>33</v>
      </c>
      <c r="F36" s="39" t="s">
        <v>52</v>
      </c>
      <c r="G36" s="39" t="s">
        <v>37</v>
      </c>
      <c r="H36" s="41">
        <v>20</v>
      </c>
      <c r="I36" s="39" t="s">
        <v>310</v>
      </c>
      <c r="J36" s="40" t="s">
        <v>125</v>
      </c>
      <c r="K36" s="40" t="s">
        <v>83</v>
      </c>
      <c r="L36" s="40" t="s">
        <v>126</v>
      </c>
      <c r="M36" s="40" t="s">
        <v>37</v>
      </c>
      <c r="N36" s="40" t="s">
        <v>37</v>
      </c>
      <c r="O36" s="40"/>
      <c r="P36" s="39"/>
    </row>
    <row r="37" spans="1:16" ht="72.5" x14ac:dyDescent="0.35">
      <c r="A37" s="39">
        <v>28</v>
      </c>
      <c r="B37" s="39" t="str">
        <f t="shared" si="4"/>
        <v>7.28</v>
      </c>
      <c r="C37" s="47" t="s">
        <v>40</v>
      </c>
      <c r="D37" s="39" t="s">
        <v>78</v>
      </c>
      <c r="E37" s="39" t="s">
        <v>35</v>
      </c>
      <c r="F37" s="39" t="s">
        <v>52</v>
      </c>
      <c r="G37" s="39" t="s">
        <v>37</v>
      </c>
      <c r="H37" s="41">
        <v>15</v>
      </c>
      <c r="I37" s="39" t="s">
        <v>310</v>
      </c>
      <c r="J37" s="40" t="s">
        <v>125</v>
      </c>
      <c r="K37" s="40" t="s">
        <v>83</v>
      </c>
      <c r="L37" s="40" t="s">
        <v>128</v>
      </c>
      <c r="M37" s="40" t="s">
        <v>172</v>
      </c>
      <c r="N37" s="40" t="s">
        <v>37</v>
      </c>
      <c r="O37" s="40"/>
      <c r="P37" s="39"/>
    </row>
    <row r="38" spans="1:16" ht="72.5" x14ac:dyDescent="0.35">
      <c r="A38" s="39">
        <v>29</v>
      </c>
      <c r="B38" s="39" t="str">
        <f>CONCATENATE($B$2, ".", A38)</f>
        <v>7.29</v>
      </c>
      <c r="C38" s="47" t="s">
        <v>40</v>
      </c>
      <c r="D38" s="39" t="s">
        <v>79</v>
      </c>
      <c r="E38" s="39" t="s">
        <v>33</v>
      </c>
      <c r="F38" s="39" t="s">
        <v>52</v>
      </c>
      <c r="G38" s="39" t="s">
        <v>37</v>
      </c>
      <c r="H38" s="41">
        <v>7</v>
      </c>
      <c r="I38" s="39" t="s">
        <v>310</v>
      </c>
      <c r="J38" s="40" t="s">
        <v>125</v>
      </c>
      <c r="K38" s="40" t="s">
        <v>83</v>
      </c>
      <c r="L38" s="40" t="s">
        <v>132</v>
      </c>
      <c r="M38" s="40"/>
      <c r="N38" s="40"/>
      <c r="O38" s="40"/>
      <c r="P38" s="39"/>
    </row>
    <row r="39" spans="1:16" x14ac:dyDescent="0.35">
      <c r="A39" s="87"/>
      <c r="B39" s="87"/>
      <c r="C39" s="87"/>
      <c r="D39" s="87"/>
      <c r="E39" s="87"/>
      <c r="F39" s="75"/>
      <c r="G39" s="75"/>
      <c r="H39" s="75"/>
      <c r="I39" s="75"/>
      <c r="J39" s="75"/>
      <c r="K39" s="75"/>
      <c r="L39" s="75"/>
      <c r="M39" s="75"/>
      <c r="N39" s="75"/>
      <c r="O39" s="75"/>
      <c r="P39" s="75"/>
    </row>
    <row r="40" spans="1:16" ht="29" x14ac:dyDescent="0.35">
      <c r="A40" s="6">
        <v>30</v>
      </c>
      <c r="B40" s="6" t="str">
        <f>CONCATENATE($B$2, ".", A40)</f>
        <v>7.30</v>
      </c>
      <c r="C40" s="34" t="s">
        <v>40</v>
      </c>
      <c r="D40" s="6" t="s">
        <v>60</v>
      </c>
      <c r="E40" s="6" t="s">
        <v>43</v>
      </c>
      <c r="F40" s="6" t="s">
        <v>37</v>
      </c>
      <c r="G40" s="6" t="s">
        <v>37</v>
      </c>
      <c r="H40" s="6" t="s">
        <v>37</v>
      </c>
      <c r="I40" s="6" t="s">
        <v>10</v>
      </c>
      <c r="J40" s="6" t="s">
        <v>37</v>
      </c>
      <c r="K40" s="6" t="s">
        <v>37</v>
      </c>
      <c r="L40" s="6" t="s">
        <v>37</v>
      </c>
      <c r="M40" s="6" t="s">
        <v>37</v>
      </c>
      <c r="N40" s="6" t="s">
        <v>37</v>
      </c>
      <c r="O40" s="6" t="s">
        <v>320</v>
      </c>
    </row>
    <row r="41" spans="1:16" ht="29" x14ac:dyDescent="0.35">
      <c r="A41" s="6">
        <v>31</v>
      </c>
      <c r="B41" s="6" t="str">
        <f>CONCATENATE($B$2, ".", A41)</f>
        <v>7.31</v>
      </c>
      <c r="C41" s="34" t="s">
        <v>40</v>
      </c>
      <c r="D41" s="6" t="s">
        <v>59</v>
      </c>
      <c r="E41" s="6" t="s">
        <v>43</v>
      </c>
      <c r="F41" s="6" t="s">
        <v>37</v>
      </c>
      <c r="G41" s="6" t="s">
        <v>37</v>
      </c>
      <c r="H41" s="6" t="s">
        <v>37</v>
      </c>
      <c r="I41" s="6" t="s">
        <v>10</v>
      </c>
      <c r="J41" s="6" t="s">
        <v>37</v>
      </c>
      <c r="K41" s="6" t="s">
        <v>37</v>
      </c>
      <c r="L41" s="6" t="s">
        <v>37</v>
      </c>
      <c r="M41" s="6" t="s">
        <v>37</v>
      </c>
      <c r="N41" s="6" t="s">
        <v>37</v>
      </c>
      <c r="O41" s="6" t="s">
        <v>319</v>
      </c>
    </row>
  </sheetData>
  <mergeCells count="4">
    <mergeCell ref="A12:E12"/>
    <mergeCell ref="A21:E21"/>
    <mergeCell ref="A30:E30"/>
    <mergeCell ref="A39:E39"/>
  </mergeCells>
  <conditionalFormatting sqref="C42:C1048576">
    <cfRule type="cellIs" dxfId="309" priority="49" operator="equal">
      <formula>"WIP (see comments)"</formula>
    </cfRule>
    <cfRule type="cellIs" dxfId="308" priority="50" operator="equal">
      <formula>"Removed"</formula>
    </cfRule>
    <cfRule type="cellIs" dxfId="307" priority="51" operator="equal">
      <formula>"Updated"</formula>
    </cfRule>
    <cfRule type="cellIs" dxfId="306" priority="52" operator="equal">
      <formula>"New"</formula>
    </cfRule>
  </conditionalFormatting>
  <conditionalFormatting sqref="C7:C10">
    <cfRule type="cellIs" dxfId="305" priority="41" operator="equal">
      <formula>"WIP (see comments)"</formula>
    </cfRule>
    <cfRule type="cellIs" dxfId="304" priority="42" operator="equal">
      <formula>"Removed"</formula>
    </cfRule>
    <cfRule type="cellIs" dxfId="303" priority="43" operator="equal">
      <formula>"Updated"</formula>
    </cfRule>
    <cfRule type="cellIs" dxfId="302" priority="44" operator="equal">
      <formula>"New"</formula>
    </cfRule>
  </conditionalFormatting>
  <conditionalFormatting sqref="D1">
    <cfRule type="cellIs" dxfId="301" priority="36" operator="equal">
      <formula>"n/a"</formula>
    </cfRule>
  </conditionalFormatting>
  <conditionalFormatting sqref="D3">
    <cfRule type="cellIs" dxfId="300" priority="35" operator="equal">
      <formula>"n/a"</formula>
    </cfRule>
  </conditionalFormatting>
  <conditionalFormatting sqref="A13:P13 A14:A20">
    <cfRule type="cellIs" dxfId="299" priority="1" operator="equal">
      <formula>"n/a"</formula>
    </cfRule>
  </conditionalFormatting>
  <conditionalFormatting sqref="C40:C41 C32:C38 C23:C29 C14:C20">
    <cfRule type="cellIs" dxfId="298" priority="31" operator="equal">
      <formula>"WIP (see comments)"</formula>
    </cfRule>
    <cfRule type="cellIs" dxfId="297" priority="32" operator="equal">
      <formula>"Removed"</formula>
    </cfRule>
    <cfRule type="cellIs" dxfId="296" priority="33" operator="equal">
      <formula>"Updated"</formula>
    </cfRule>
    <cfRule type="cellIs" dxfId="295" priority="34" operator="equal">
      <formula>"New"</formula>
    </cfRule>
  </conditionalFormatting>
  <conditionalFormatting sqref="C11">
    <cfRule type="cellIs" dxfId="294" priority="27" operator="equal">
      <formula>"WIP (see comments)"</formula>
    </cfRule>
    <cfRule type="cellIs" dxfId="293" priority="28" operator="equal">
      <formula>"Removed"</formula>
    </cfRule>
    <cfRule type="cellIs" dxfId="292" priority="29" operator="equal">
      <formula>"Updated"</formula>
    </cfRule>
    <cfRule type="cellIs" dxfId="291" priority="30" operator="equal">
      <formula>"New"</formula>
    </cfRule>
  </conditionalFormatting>
  <conditionalFormatting sqref="C22:C28">
    <cfRule type="cellIs" dxfId="290" priority="23" operator="equal">
      <formula>"WIP (see comments)"</formula>
    </cfRule>
    <cfRule type="cellIs" dxfId="289" priority="24" operator="equal">
      <formula>"Removed"</formula>
    </cfRule>
    <cfRule type="cellIs" dxfId="288" priority="25" operator="equal">
      <formula>"Updated"</formula>
    </cfRule>
    <cfRule type="cellIs" dxfId="287" priority="26" operator="equal">
      <formula>"New"</formula>
    </cfRule>
  </conditionalFormatting>
  <conditionalFormatting sqref="C31:C37">
    <cfRule type="cellIs" dxfId="286" priority="19" operator="equal">
      <formula>"WIP (see comments)"</formula>
    </cfRule>
    <cfRule type="cellIs" dxfId="285" priority="20" operator="equal">
      <formula>"Removed"</formula>
    </cfRule>
    <cfRule type="cellIs" dxfId="284" priority="21" operator="equal">
      <formula>"Updated"</formula>
    </cfRule>
    <cfRule type="cellIs" dxfId="283" priority="22" operator="equal">
      <formula>"New"</formula>
    </cfRule>
  </conditionalFormatting>
  <conditionalFormatting sqref="C11:P11 A40:P41 B14:P20 A22:P29 A31:P38">
    <cfRule type="cellIs" dxfId="282" priority="18" operator="equal">
      <formula>"n/a"</formula>
    </cfRule>
  </conditionalFormatting>
  <conditionalFormatting sqref="C28">
    <cfRule type="cellIs" dxfId="281" priority="14" operator="equal">
      <formula>"WIP (see comments)"</formula>
    </cfRule>
    <cfRule type="cellIs" dxfId="280" priority="15" operator="equal">
      <formula>"Removed"</formula>
    </cfRule>
    <cfRule type="cellIs" dxfId="279" priority="16" operator="equal">
      <formula>"Updated"</formula>
    </cfRule>
    <cfRule type="cellIs" dxfId="278" priority="17" operator="equal">
      <formula>"New"</formula>
    </cfRule>
  </conditionalFormatting>
  <conditionalFormatting sqref="C29">
    <cfRule type="cellIs" dxfId="277" priority="10" operator="equal">
      <formula>"WIP (see comments)"</formula>
    </cfRule>
    <cfRule type="cellIs" dxfId="276" priority="11" operator="equal">
      <formula>"Removed"</formula>
    </cfRule>
    <cfRule type="cellIs" dxfId="275" priority="12" operator="equal">
      <formula>"Updated"</formula>
    </cfRule>
    <cfRule type="cellIs" dxfId="274" priority="13" operator="equal">
      <formula>"New"</formula>
    </cfRule>
  </conditionalFormatting>
  <conditionalFormatting sqref="F12:P12 A12">
    <cfRule type="cellIs" dxfId="273" priority="9" operator="equal">
      <formula>"n/a"</formula>
    </cfRule>
  </conditionalFormatting>
  <conditionalFormatting sqref="F21:P21 A21">
    <cfRule type="cellIs" dxfId="272" priority="8" operator="equal">
      <formula>"n/a"</formula>
    </cfRule>
  </conditionalFormatting>
  <conditionalFormatting sqref="F30:P30 A30">
    <cfRule type="cellIs" dxfId="271" priority="7" operator="equal">
      <formula>"n/a"</formula>
    </cfRule>
  </conditionalFormatting>
  <conditionalFormatting sqref="F39:P39 A39">
    <cfRule type="cellIs" dxfId="270" priority="6" operator="equal">
      <formula>"n/a"</formula>
    </cfRule>
  </conditionalFormatting>
  <conditionalFormatting sqref="C13">
    <cfRule type="cellIs" dxfId="269" priority="2" operator="equal">
      <formula>"WIP (see comments)"</formula>
    </cfRule>
    <cfRule type="cellIs" dxfId="268" priority="3" operator="equal">
      <formula>"Removed"</formula>
    </cfRule>
    <cfRule type="cellIs" dxfId="267" priority="4" operator="equal">
      <formula>"Updated"</formula>
    </cfRule>
    <cfRule type="cellIs" dxfId="266" priority="5" operator="equal">
      <formula>"New"</formula>
    </cfRule>
  </conditionalFormatting>
  <dataValidations count="2">
    <dataValidation type="list" allowBlank="1" showInputMessage="1" showErrorMessage="1" sqref="C42:C1048576">
      <formula1>$B$5:$B$10</formula1>
    </dataValidation>
    <dataValidation type="list" allowBlank="1" showInputMessage="1" showErrorMessage="1" sqref="E13:E20 E40:E41 E31:E38 E22:E29">
      <formula1>$A$5:$A$25</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Values'!$B$5:$B$13</xm:f>
          </x14:formula1>
          <xm:sqref>C7:C10</xm:sqref>
        </x14:dataValidation>
        <x14:dataValidation type="list" allowBlank="1" showInputMessage="1" showErrorMessage="1">
          <x14:formula1>
            <xm:f>'List Values'!$A$5:$A$27</xm:f>
          </x14:formula1>
          <xm:sqref>E42:E1048576 E7:E11</xm:sqref>
        </x14:dataValidation>
        <x14:dataValidation type="list" allowBlank="1" showInputMessage="1" showErrorMessage="1">
          <x14:formula1>
            <xm:f>'List Values'!$B$5:$B$11</xm:f>
          </x14:formula1>
          <xm:sqref>C11 C13:C20 C22:C29 C31:C38 C40:C41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46"/>
  <sheetViews>
    <sheetView zoomScaleNormal="100" workbookViewId="0">
      <pane xSplit="4" ySplit="6" topLeftCell="E7" activePane="bottomRight" state="frozen"/>
      <selection pane="topRight" activeCell="E1" sqref="E1"/>
      <selection pane="bottomLeft" activeCell="A7" sqref="A7"/>
      <selection pane="bottomRight" activeCell="A5" sqref="A5"/>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21.81640625" style="6" customWidth="1"/>
    <col min="7" max="7" width="29.26953125" style="6" customWidth="1"/>
    <col min="8" max="8" width="27.81640625" style="6" customWidth="1"/>
    <col min="9" max="9" width="34.81640625" style="6" customWidth="1"/>
    <col min="10" max="10" width="28.1796875" style="6" customWidth="1"/>
    <col min="11" max="11" width="16.453125" style="6" customWidth="1"/>
    <col min="12" max="12" width="23" style="6" customWidth="1"/>
    <col min="13" max="13" width="29" style="6" customWidth="1"/>
    <col min="14" max="14" width="25.54296875" style="6" customWidth="1"/>
    <col min="15" max="15" width="48.453125" style="6" customWidth="1"/>
    <col min="16" max="16" width="41.81640625" style="6" customWidth="1"/>
    <col min="17" max="16384" width="9.1796875" style="6"/>
  </cols>
  <sheetData>
    <row r="1" spans="1:16" s="30" customFormat="1" ht="18.5" x14ac:dyDescent="0.35">
      <c r="A1" s="28" t="s">
        <v>6</v>
      </c>
      <c r="B1" s="38" t="s">
        <v>73</v>
      </c>
      <c r="C1" s="32"/>
      <c r="D1" s="29" t="s">
        <v>323</v>
      </c>
    </row>
    <row r="2" spans="1:16" s="30" customFormat="1" ht="18.5" x14ac:dyDescent="0.35">
      <c r="A2" s="28" t="s">
        <v>7</v>
      </c>
      <c r="B2" s="36">
        <v>8</v>
      </c>
      <c r="C2" s="35"/>
      <c r="D2" s="36"/>
    </row>
    <row r="3" spans="1:16" s="30" customFormat="1" ht="18.5" x14ac:dyDescent="0.35">
      <c r="A3" s="28" t="s">
        <v>44</v>
      </c>
      <c r="B3" s="36" t="s">
        <v>313</v>
      </c>
      <c r="C3" s="35"/>
      <c r="D3" s="36"/>
    </row>
    <row r="4" spans="1:16" s="30" customFormat="1" ht="18.5" x14ac:dyDescent="0.35">
      <c r="A4" s="28" t="s">
        <v>8</v>
      </c>
      <c r="B4" s="30" t="s">
        <v>312</v>
      </c>
      <c r="C4" s="35"/>
    </row>
    <row r="5" spans="1:16" s="4" customFormat="1" x14ac:dyDescent="0.35">
      <c r="A5" s="6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CONCATENATE($B$2, ".", A7)</f>
        <v>8.1</v>
      </c>
      <c r="C7" s="34" t="s">
        <v>41</v>
      </c>
      <c r="D7" s="39" t="s">
        <v>256</v>
      </c>
      <c r="I7" s="39"/>
      <c r="J7" s="5" t="s">
        <v>37</v>
      </c>
      <c r="K7" s="5"/>
      <c r="L7" s="5"/>
      <c r="M7" s="5"/>
      <c r="N7" s="5"/>
      <c r="O7" s="5"/>
    </row>
    <row r="8" spans="1:16" x14ac:dyDescent="0.35">
      <c r="A8" s="6">
        <v>2</v>
      </c>
      <c r="B8" s="6" t="str">
        <f>CONCATENATE($B$2, ".", A8)</f>
        <v>8.2</v>
      </c>
      <c r="C8" s="34" t="s">
        <v>41</v>
      </c>
      <c r="D8" s="39" t="s">
        <v>74</v>
      </c>
      <c r="E8" s="39"/>
      <c r="I8" s="39"/>
      <c r="J8" s="5" t="s">
        <v>37</v>
      </c>
      <c r="K8" s="5"/>
      <c r="L8" s="5"/>
      <c r="M8" s="5"/>
      <c r="N8" s="5"/>
      <c r="O8" s="5"/>
    </row>
    <row r="9" spans="1:16" s="75" customFormat="1" x14ac:dyDescent="0.35">
      <c r="A9" s="87"/>
      <c r="B9" s="87"/>
      <c r="C9" s="87"/>
      <c r="D9" s="87"/>
      <c r="E9" s="87"/>
    </row>
    <row r="10" spans="1:16" s="39" customFormat="1" ht="66" customHeight="1" x14ac:dyDescent="0.35">
      <c r="A10" s="39">
        <v>3</v>
      </c>
      <c r="B10" s="39" t="str">
        <f t="shared" ref="B10" si="0">CONCATENATE($B$2, ".", A10)</f>
        <v>8.3</v>
      </c>
      <c r="C10" s="47" t="s">
        <v>41</v>
      </c>
      <c r="D10" s="39" t="s">
        <v>260</v>
      </c>
      <c r="J10" s="40"/>
      <c r="K10" s="40"/>
      <c r="L10" s="40"/>
      <c r="M10" s="40"/>
      <c r="N10" s="40"/>
      <c r="O10" s="40"/>
    </row>
    <row r="11" spans="1:16" s="39" customFormat="1" ht="128.25" customHeight="1" x14ac:dyDescent="0.35">
      <c r="A11" s="39">
        <v>4</v>
      </c>
      <c r="B11" s="39" t="str">
        <f t="shared" ref="B11:B16" si="1">CONCATENATE($B$2, ".", A11)</f>
        <v>8.4</v>
      </c>
      <c r="C11" s="47" t="s">
        <v>41</v>
      </c>
      <c r="D11" s="39" t="s">
        <v>122</v>
      </c>
      <c r="H11" s="41"/>
      <c r="J11" s="40"/>
      <c r="K11" s="40"/>
      <c r="L11" s="40"/>
      <c r="M11" s="40"/>
      <c r="N11" s="40"/>
      <c r="O11" s="40"/>
    </row>
    <row r="12" spans="1:16" s="39" customFormat="1" x14ac:dyDescent="0.35">
      <c r="A12" s="39">
        <v>5</v>
      </c>
      <c r="B12" s="39" t="str">
        <f t="shared" si="1"/>
        <v>8.5</v>
      </c>
      <c r="C12" s="47" t="s">
        <v>41</v>
      </c>
      <c r="D12" s="39" t="s">
        <v>82</v>
      </c>
      <c r="H12" s="41"/>
      <c r="J12" s="40"/>
      <c r="K12" s="40"/>
      <c r="L12" s="40"/>
      <c r="M12" s="40"/>
      <c r="N12" s="40"/>
      <c r="O12" s="40"/>
    </row>
    <row r="13" spans="1:16" s="39" customFormat="1" x14ac:dyDescent="0.35">
      <c r="A13" s="39">
        <v>6</v>
      </c>
      <c r="B13" s="39" t="str">
        <f t="shared" si="1"/>
        <v>8.6</v>
      </c>
      <c r="C13" s="47" t="s">
        <v>41</v>
      </c>
      <c r="D13" s="39" t="s">
        <v>133</v>
      </c>
      <c r="H13" s="41"/>
      <c r="J13" s="40"/>
      <c r="K13" s="40"/>
      <c r="L13" s="40"/>
      <c r="M13" s="40"/>
      <c r="N13" s="40"/>
      <c r="O13" s="40"/>
    </row>
    <row r="14" spans="1:16" s="39" customFormat="1" x14ac:dyDescent="0.35">
      <c r="A14" s="39">
        <v>7</v>
      </c>
      <c r="B14" s="39" t="str">
        <f t="shared" si="1"/>
        <v>8.7</v>
      </c>
      <c r="C14" s="47" t="s">
        <v>41</v>
      </c>
      <c r="D14" s="39" t="s">
        <v>76</v>
      </c>
      <c r="H14" s="41"/>
      <c r="J14" s="40"/>
      <c r="K14" s="40"/>
      <c r="L14" s="40"/>
      <c r="M14" s="40"/>
      <c r="N14" s="40"/>
      <c r="O14" s="40"/>
    </row>
    <row r="15" spans="1:16" s="39" customFormat="1" x14ac:dyDescent="0.35">
      <c r="A15" s="39">
        <v>8</v>
      </c>
      <c r="B15" s="39" t="str">
        <f t="shared" si="1"/>
        <v>8.8</v>
      </c>
      <c r="C15" s="47" t="s">
        <v>41</v>
      </c>
      <c r="D15" s="39" t="s">
        <v>77</v>
      </c>
      <c r="H15" s="41"/>
      <c r="J15" s="40"/>
      <c r="K15" s="40"/>
      <c r="L15" s="40"/>
      <c r="M15" s="40"/>
      <c r="N15" s="40"/>
      <c r="O15" s="40"/>
    </row>
    <row r="16" spans="1:16" s="39" customFormat="1" ht="96.75" customHeight="1" x14ac:dyDescent="0.35">
      <c r="A16" s="39">
        <v>9</v>
      </c>
      <c r="B16" s="39" t="str">
        <f t="shared" si="1"/>
        <v>8.9</v>
      </c>
      <c r="C16" s="47" t="s">
        <v>41</v>
      </c>
      <c r="D16" s="39" t="s">
        <v>78</v>
      </c>
      <c r="H16" s="41"/>
      <c r="J16" s="40"/>
      <c r="K16" s="40"/>
      <c r="L16" s="40"/>
      <c r="M16" s="40"/>
      <c r="N16" s="40"/>
      <c r="O16" s="40"/>
    </row>
    <row r="17" spans="1:15" s="39" customFormat="1" x14ac:dyDescent="0.35">
      <c r="A17" s="39">
        <v>10</v>
      </c>
      <c r="B17" s="39" t="str">
        <f>CONCATENATE($B$2, ".", A17)</f>
        <v>8.10</v>
      </c>
      <c r="C17" s="47" t="s">
        <v>41</v>
      </c>
      <c r="D17" s="39" t="s">
        <v>79</v>
      </c>
      <c r="H17" s="41"/>
      <c r="J17" s="40"/>
      <c r="K17" s="40"/>
      <c r="L17" s="40"/>
      <c r="M17" s="40"/>
      <c r="N17" s="40"/>
      <c r="O17" s="40"/>
    </row>
    <row r="18" spans="1:15" s="75" customFormat="1" x14ac:dyDescent="0.35">
      <c r="A18" s="87"/>
      <c r="B18" s="87"/>
      <c r="C18" s="87"/>
      <c r="D18" s="87"/>
      <c r="E18" s="87"/>
    </row>
    <row r="19" spans="1:15" s="39" customFormat="1" ht="66" customHeight="1" x14ac:dyDescent="0.35">
      <c r="A19" s="39">
        <v>11</v>
      </c>
      <c r="B19" s="39" t="str">
        <f t="shared" ref="B19:B25" si="2">CONCATENATE($B$2, ".", A19)</f>
        <v>8.11</v>
      </c>
      <c r="C19" s="47" t="s">
        <v>41</v>
      </c>
      <c r="D19" s="39" t="s">
        <v>87</v>
      </c>
      <c r="J19" s="40"/>
      <c r="K19" s="40"/>
      <c r="L19" s="40"/>
      <c r="M19" s="40"/>
      <c r="N19" s="40"/>
      <c r="O19" s="40"/>
    </row>
    <row r="20" spans="1:15" s="39" customFormat="1" ht="81.75" customHeight="1" x14ac:dyDescent="0.35">
      <c r="A20" s="39">
        <v>12</v>
      </c>
      <c r="B20" s="39" t="str">
        <f t="shared" si="2"/>
        <v>8.12</v>
      </c>
      <c r="C20" s="47" t="s">
        <v>41</v>
      </c>
      <c r="D20" s="39" t="s">
        <v>123</v>
      </c>
      <c r="H20" s="41"/>
      <c r="J20" s="40"/>
      <c r="K20" s="40"/>
      <c r="L20" s="40"/>
      <c r="M20" s="40"/>
      <c r="N20" s="40"/>
      <c r="O20" s="40"/>
    </row>
    <row r="21" spans="1:15" s="39" customFormat="1" ht="49.5" customHeight="1" x14ac:dyDescent="0.35">
      <c r="A21" s="39">
        <v>13</v>
      </c>
      <c r="B21" s="39" t="str">
        <f t="shared" si="2"/>
        <v>8.13</v>
      </c>
      <c r="C21" s="47" t="s">
        <v>41</v>
      </c>
      <c r="D21" s="39" t="s">
        <v>82</v>
      </c>
      <c r="H21" s="41"/>
      <c r="J21" s="40"/>
      <c r="K21" s="40"/>
      <c r="L21" s="40"/>
      <c r="M21" s="40"/>
      <c r="N21" s="40"/>
      <c r="O21" s="40"/>
    </row>
    <row r="22" spans="1:15" s="39" customFormat="1" ht="54" customHeight="1" x14ac:dyDescent="0.35">
      <c r="A22" s="39">
        <v>14</v>
      </c>
      <c r="B22" s="39" t="str">
        <f t="shared" si="2"/>
        <v>8.14</v>
      </c>
      <c r="C22" s="47" t="s">
        <v>41</v>
      </c>
      <c r="D22" s="39" t="s">
        <v>133</v>
      </c>
      <c r="H22" s="41"/>
      <c r="J22" s="40"/>
      <c r="K22" s="40"/>
      <c r="L22" s="40"/>
      <c r="M22" s="40"/>
      <c r="N22" s="40"/>
      <c r="O22" s="40"/>
    </row>
    <row r="23" spans="1:15" s="39" customFormat="1" ht="54" customHeight="1" x14ac:dyDescent="0.35">
      <c r="A23" s="39">
        <v>15</v>
      </c>
      <c r="B23" s="39" t="str">
        <f t="shared" si="2"/>
        <v>8.15</v>
      </c>
      <c r="C23" s="47" t="s">
        <v>41</v>
      </c>
      <c r="D23" s="39" t="s">
        <v>76</v>
      </c>
      <c r="H23" s="41"/>
      <c r="J23" s="40"/>
      <c r="K23" s="40"/>
      <c r="L23" s="40"/>
      <c r="M23" s="40"/>
      <c r="N23" s="40"/>
      <c r="O23" s="40"/>
    </row>
    <row r="24" spans="1:15" s="39" customFormat="1" ht="50.25" customHeight="1" x14ac:dyDescent="0.35">
      <c r="A24" s="39">
        <v>16</v>
      </c>
      <c r="B24" s="39" t="str">
        <f t="shared" si="2"/>
        <v>8.16</v>
      </c>
      <c r="C24" s="47" t="s">
        <v>41</v>
      </c>
      <c r="D24" s="39" t="s">
        <v>77</v>
      </c>
      <c r="H24" s="41"/>
      <c r="J24" s="40"/>
      <c r="K24" s="40"/>
      <c r="L24" s="40"/>
      <c r="M24" s="40"/>
      <c r="N24" s="40"/>
      <c r="O24" s="40"/>
    </row>
    <row r="25" spans="1:15" s="39" customFormat="1" x14ac:dyDescent="0.35">
      <c r="A25" s="39">
        <v>17</v>
      </c>
      <c r="B25" s="39" t="str">
        <f t="shared" si="2"/>
        <v>8.17</v>
      </c>
      <c r="C25" s="47" t="s">
        <v>41</v>
      </c>
      <c r="D25" s="39" t="s">
        <v>78</v>
      </c>
      <c r="H25" s="41"/>
      <c r="J25" s="40"/>
      <c r="K25" s="40"/>
      <c r="L25" s="40"/>
      <c r="M25" s="40"/>
      <c r="N25" s="40"/>
      <c r="O25" s="40"/>
    </row>
    <row r="26" spans="1:15" s="39" customFormat="1" x14ac:dyDescent="0.35">
      <c r="A26" s="39">
        <v>18</v>
      </c>
      <c r="B26" s="39" t="str">
        <f>CONCATENATE($B$2, ".", A26)</f>
        <v>8.18</v>
      </c>
      <c r="C26" s="47" t="s">
        <v>41</v>
      </c>
      <c r="D26" s="39" t="s">
        <v>79</v>
      </c>
      <c r="H26" s="41"/>
      <c r="J26" s="40"/>
      <c r="K26" s="40"/>
      <c r="L26" s="40"/>
      <c r="M26" s="40"/>
      <c r="N26" s="40"/>
      <c r="O26" s="40"/>
    </row>
    <row r="27" spans="1:15" s="75" customFormat="1" x14ac:dyDescent="0.35">
      <c r="A27" s="87"/>
      <c r="B27" s="87"/>
      <c r="C27" s="87"/>
      <c r="D27" s="87"/>
      <c r="E27" s="87"/>
    </row>
    <row r="28" spans="1:15" s="39" customFormat="1" ht="29" x14ac:dyDescent="0.35">
      <c r="A28" s="39">
        <v>19</v>
      </c>
      <c r="B28" s="39" t="str">
        <f t="shared" ref="B28:B34" si="3">CONCATENATE($B$2, ".", A28)</f>
        <v>8.19</v>
      </c>
      <c r="C28" s="47" t="s">
        <v>41</v>
      </c>
      <c r="D28" s="39" t="s">
        <v>200</v>
      </c>
      <c r="J28" s="40"/>
      <c r="K28" s="40"/>
      <c r="L28" s="40"/>
      <c r="M28" s="40"/>
      <c r="N28" s="40"/>
      <c r="O28" s="40"/>
    </row>
    <row r="29" spans="1:15" s="39" customFormat="1" ht="81.75" customHeight="1" x14ac:dyDescent="0.35">
      <c r="A29" s="39">
        <v>20</v>
      </c>
      <c r="B29" s="39" t="str">
        <f t="shared" si="3"/>
        <v>8.20</v>
      </c>
      <c r="C29" s="47" t="s">
        <v>41</v>
      </c>
      <c r="D29" s="39" t="s">
        <v>90</v>
      </c>
      <c r="H29" s="41"/>
      <c r="J29" s="40"/>
      <c r="K29" s="40"/>
      <c r="L29" s="40"/>
      <c r="M29" s="40"/>
      <c r="N29" s="40"/>
      <c r="O29" s="40"/>
    </row>
    <row r="30" spans="1:15" s="39" customFormat="1" ht="49.5" customHeight="1" x14ac:dyDescent="0.35">
      <c r="A30" s="39">
        <v>21</v>
      </c>
      <c r="B30" s="39" t="str">
        <f t="shared" si="3"/>
        <v>8.21</v>
      </c>
      <c r="C30" s="47" t="s">
        <v>41</v>
      </c>
      <c r="D30" s="39" t="s">
        <v>82</v>
      </c>
      <c r="H30" s="41"/>
      <c r="J30" s="40"/>
      <c r="K30" s="41"/>
      <c r="L30" s="41"/>
      <c r="M30" s="40"/>
      <c r="N30" s="40"/>
      <c r="O30" s="40"/>
    </row>
    <row r="31" spans="1:15" s="39" customFormat="1" x14ac:dyDescent="0.35">
      <c r="A31" s="39">
        <v>22</v>
      </c>
      <c r="B31" s="39" t="str">
        <f t="shared" si="3"/>
        <v>8.22</v>
      </c>
      <c r="C31" s="47" t="s">
        <v>41</v>
      </c>
      <c r="D31" s="39" t="s">
        <v>135</v>
      </c>
      <c r="H31" s="41"/>
      <c r="J31" s="40"/>
      <c r="K31" s="40"/>
      <c r="L31" s="40"/>
      <c r="M31" s="40"/>
      <c r="N31" s="40"/>
      <c r="O31" s="40"/>
    </row>
    <row r="32" spans="1:15" s="39" customFormat="1" ht="54" customHeight="1" x14ac:dyDescent="0.35">
      <c r="A32" s="39">
        <v>23</v>
      </c>
      <c r="B32" s="39" t="str">
        <f t="shared" si="3"/>
        <v>8.23</v>
      </c>
      <c r="C32" s="47" t="s">
        <v>41</v>
      </c>
      <c r="D32" s="39" t="s">
        <v>76</v>
      </c>
      <c r="H32" s="41"/>
      <c r="J32" s="40"/>
      <c r="K32" s="40"/>
      <c r="L32" s="40"/>
      <c r="M32" s="40"/>
      <c r="N32" s="40"/>
      <c r="O32" s="40"/>
    </row>
    <row r="33" spans="1:15" s="39" customFormat="1" ht="50.25" customHeight="1" x14ac:dyDescent="0.35">
      <c r="A33" s="39">
        <v>24</v>
      </c>
      <c r="B33" s="39" t="str">
        <f t="shared" si="3"/>
        <v>8.24</v>
      </c>
      <c r="C33" s="47" t="s">
        <v>41</v>
      </c>
      <c r="D33" s="39" t="s">
        <v>77</v>
      </c>
      <c r="H33" s="41"/>
      <c r="J33" s="40"/>
      <c r="K33" s="40"/>
      <c r="L33" s="40"/>
      <c r="M33" s="40"/>
      <c r="N33" s="40"/>
      <c r="O33" s="40"/>
    </row>
    <row r="34" spans="1:15" s="39" customFormat="1" x14ac:dyDescent="0.35">
      <c r="A34" s="39">
        <v>25</v>
      </c>
      <c r="B34" s="39" t="str">
        <f t="shared" si="3"/>
        <v>8.25</v>
      </c>
      <c r="C34" s="47" t="s">
        <v>41</v>
      </c>
      <c r="D34" s="39" t="s">
        <v>78</v>
      </c>
      <c r="H34" s="41"/>
      <c r="J34" s="40"/>
      <c r="K34" s="40"/>
      <c r="L34" s="40"/>
      <c r="M34" s="40"/>
      <c r="N34" s="40"/>
      <c r="O34" s="40"/>
    </row>
    <row r="35" spans="1:15" s="39" customFormat="1" x14ac:dyDescent="0.35">
      <c r="A35" s="39">
        <v>26</v>
      </c>
      <c r="B35" s="39" t="str">
        <f>CONCATENATE($B$2, ".", A35)</f>
        <v>8.26</v>
      </c>
      <c r="C35" s="47" t="s">
        <v>41</v>
      </c>
      <c r="D35" s="39" t="s">
        <v>79</v>
      </c>
      <c r="H35" s="41"/>
      <c r="J35" s="40"/>
      <c r="K35" s="40"/>
      <c r="L35" s="40"/>
      <c r="M35" s="40"/>
      <c r="N35" s="40"/>
      <c r="O35" s="40"/>
    </row>
    <row r="36" spans="1:15" s="75" customFormat="1" x14ac:dyDescent="0.35">
      <c r="A36" s="87"/>
      <c r="B36" s="87"/>
      <c r="C36" s="87"/>
      <c r="D36" s="87"/>
      <c r="E36" s="87"/>
    </row>
    <row r="37" spans="1:15" x14ac:dyDescent="0.35">
      <c r="A37" s="6">
        <v>27</v>
      </c>
      <c r="B37" s="6" t="str">
        <f>CONCATENATE($B$2, ".", A37)</f>
        <v>8.27</v>
      </c>
      <c r="C37" s="34" t="s">
        <v>41</v>
      </c>
      <c r="D37" s="6" t="s">
        <v>60</v>
      </c>
    </row>
    <row r="38" spans="1:15" x14ac:dyDescent="0.35">
      <c r="A38" s="6">
        <v>28</v>
      </c>
      <c r="B38" s="6" t="str">
        <f>CONCATENATE($B$2, ".", A38)</f>
        <v>8.28</v>
      </c>
      <c r="C38" s="34" t="s">
        <v>41</v>
      </c>
      <c r="D38" s="6" t="s">
        <v>59</v>
      </c>
    </row>
    <row r="39" spans="1:15" x14ac:dyDescent="0.35">
      <c r="I39" s="39"/>
      <c r="J39" s="5"/>
      <c r="K39" s="5"/>
      <c r="L39" s="40"/>
      <c r="M39" s="40"/>
      <c r="N39" s="40"/>
      <c r="O39" s="40"/>
    </row>
    <row r="40" spans="1:15" x14ac:dyDescent="0.35">
      <c r="I40" s="39"/>
      <c r="J40" s="5"/>
      <c r="K40" s="5"/>
      <c r="L40" s="40"/>
      <c r="M40" s="40"/>
      <c r="N40" s="40"/>
      <c r="O40" s="40"/>
    </row>
    <row r="41" spans="1:15" x14ac:dyDescent="0.35">
      <c r="I41" s="39"/>
      <c r="J41" s="5"/>
      <c r="K41" s="5"/>
      <c r="L41" s="40"/>
      <c r="M41" s="40"/>
      <c r="N41" s="40"/>
      <c r="O41" s="40"/>
    </row>
    <row r="42" spans="1:15" x14ac:dyDescent="0.35">
      <c r="I42" s="39"/>
      <c r="J42" s="5"/>
      <c r="K42" s="5"/>
      <c r="L42" s="40"/>
      <c r="M42" s="40"/>
      <c r="N42" s="40"/>
      <c r="O42" s="40"/>
    </row>
    <row r="43" spans="1:15" x14ac:dyDescent="0.35">
      <c r="I43" s="39"/>
      <c r="J43" s="5"/>
      <c r="K43" s="5"/>
      <c r="L43" s="40"/>
      <c r="M43" s="40"/>
      <c r="N43" s="40"/>
      <c r="O43" s="40"/>
    </row>
    <row r="44" spans="1:15" x14ac:dyDescent="0.35">
      <c r="I44" s="39"/>
      <c r="J44" s="5"/>
      <c r="K44" s="5"/>
      <c r="L44" s="40"/>
      <c r="M44" s="40"/>
      <c r="N44" s="40"/>
      <c r="O44" s="40"/>
    </row>
    <row r="45" spans="1:15" x14ac:dyDescent="0.35">
      <c r="I45" s="39"/>
      <c r="J45" s="5"/>
      <c r="K45" s="5"/>
      <c r="L45" s="40"/>
      <c r="M45" s="40"/>
      <c r="N45" s="40"/>
      <c r="O45" s="40"/>
    </row>
    <row r="46" spans="1:15" x14ac:dyDescent="0.35">
      <c r="I46" s="39"/>
      <c r="J46" s="5"/>
      <c r="K46" s="5"/>
      <c r="L46" s="40"/>
      <c r="M46" s="40"/>
      <c r="N46" s="40"/>
      <c r="O46" s="40"/>
    </row>
  </sheetData>
  <mergeCells count="4">
    <mergeCell ref="A9:E9"/>
    <mergeCell ref="A18:E18"/>
    <mergeCell ref="A27:E27"/>
    <mergeCell ref="A36:E36"/>
  </mergeCells>
  <conditionalFormatting sqref="C37:C1048576 C29:C35 C20:C26 C8">
    <cfRule type="cellIs" dxfId="265" priority="52" operator="equal">
      <formula>"WIP (see comments)"</formula>
    </cfRule>
    <cfRule type="cellIs" dxfId="264" priority="53" operator="equal">
      <formula>"Removed"</formula>
    </cfRule>
    <cfRule type="cellIs" dxfId="263" priority="54" operator="equal">
      <formula>"Updated"</formula>
    </cfRule>
    <cfRule type="cellIs" dxfId="262" priority="55" operator="equal">
      <formula>"New"</formula>
    </cfRule>
  </conditionalFormatting>
  <conditionalFormatting sqref="C7:C8">
    <cfRule type="cellIs" dxfId="261" priority="44" operator="equal">
      <formula>"WIP (see comments)"</formula>
    </cfRule>
    <cfRule type="cellIs" dxfId="260" priority="45" operator="equal">
      <formula>"Removed"</formula>
    </cfRule>
    <cfRule type="cellIs" dxfId="259" priority="46" operator="equal">
      <formula>"Updated"</formula>
    </cfRule>
    <cfRule type="cellIs" dxfId="258" priority="47" operator="equal">
      <formula>"New"</formula>
    </cfRule>
  </conditionalFormatting>
  <conditionalFormatting sqref="C19:C26">
    <cfRule type="cellIs" dxfId="257" priority="36" operator="equal">
      <formula>"WIP (see comments)"</formula>
    </cfRule>
    <cfRule type="cellIs" dxfId="256" priority="37" operator="equal">
      <formula>"Removed"</formula>
    </cfRule>
    <cfRule type="cellIs" dxfId="255" priority="38" operator="equal">
      <formula>"Updated"</formula>
    </cfRule>
    <cfRule type="cellIs" dxfId="254" priority="39" operator="equal">
      <formula>"New"</formula>
    </cfRule>
  </conditionalFormatting>
  <conditionalFormatting sqref="C28:C35">
    <cfRule type="cellIs" dxfId="253" priority="28" operator="equal">
      <formula>"WIP (see comments)"</formula>
    </cfRule>
    <cfRule type="cellIs" dxfId="252" priority="29" operator="equal">
      <formula>"Removed"</formula>
    </cfRule>
    <cfRule type="cellIs" dxfId="251" priority="30" operator="equal">
      <formula>"Updated"</formula>
    </cfRule>
    <cfRule type="cellIs" dxfId="250" priority="31" operator="equal">
      <formula>"New"</formula>
    </cfRule>
  </conditionalFormatting>
  <conditionalFormatting sqref="A2:XFD8 A37:XFD1048576 A1:C1 E1:XFD1 A11:B17 D11:XFD17 A19:XFD26 A28:XFD35">
    <cfRule type="cellIs" dxfId="249" priority="19" operator="equal">
      <formula>"n/a"</formula>
    </cfRule>
  </conditionalFormatting>
  <conditionalFormatting sqref="C25">
    <cfRule type="cellIs" dxfId="248" priority="15" operator="equal">
      <formula>"WIP (see comments)"</formula>
    </cfRule>
    <cfRule type="cellIs" dxfId="247" priority="16" operator="equal">
      <formula>"Removed"</formula>
    </cfRule>
    <cfRule type="cellIs" dxfId="246" priority="17" operator="equal">
      <formula>"Updated"</formula>
    </cfRule>
    <cfRule type="cellIs" dxfId="245" priority="18" operator="equal">
      <formula>"New"</formula>
    </cfRule>
  </conditionalFormatting>
  <conditionalFormatting sqref="C26">
    <cfRule type="cellIs" dxfId="244" priority="11" operator="equal">
      <formula>"WIP (see comments)"</formula>
    </cfRule>
    <cfRule type="cellIs" dxfId="243" priority="12" operator="equal">
      <formula>"Removed"</formula>
    </cfRule>
    <cfRule type="cellIs" dxfId="242" priority="13" operator="equal">
      <formula>"Updated"</formula>
    </cfRule>
    <cfRule type="cellIs" dxfId="241" priority="14" operator="equal">
      <formula>"New"</formula>
    </cfRule>
  </conditionalFormatting>
  <conditionalFormatting sqref="F9:XFD9 A9">
    <cfRule type="cellIs" dxfId="240" priority="10" operator="equal">
      <formula>"n/a"</formula>
    </cfRule>
  </conditionalFormatting>
  <conditionalFormatting sqref="F18:XFD18 A18">
    <cfRule type="cellIs" dxfId="239" priority="9" operator="equal">
      <formula>"n/a"</formula>
    </cfRule>
  </conditionalFormatting>
  <conditionalFormatting sqref="F27:XFD27 A27">
    <cfRule type="cellIs" dxfId="238" priority="8" operator="equal">
      <formula>"n/a"</formula>
    </cfRule>
  </conditionalFormatting>
  <conditionalFormatting sqref="F36:XFD36 A36">
    <cfRule type="cellIs" dxfId="237" priority="7" operator="equal">
      <formula>"n/a"</formula>
    </cfRule>
  </conditionalFormatting>
  <conditionalFormatting sqref="C10:C17">
    <cfRule type="cellIs" dxfId="236" priority="3" operator="equal">
      <formula>"WIP (see comments)"</formula>
    </cfRule>
    <cfRule type="cellIs" dxfId="235" priority="4" operator="equal">
      <formula>"Removed"</formula>
    </cfRule>
    <cfRule type="cellIs" dxfId="234" priority="5" operator="equal">
      <formula>"Updated"</formula>
    </cfRule>
    <cfRule type="cellIs" dxfId="233" priority="6" operator="equal">
      <formula>"New"</formula>
    </cfRule>
  </conditionalFormatting>
  <conditionalFormatting sqref="A10:XFD10 C11:C17">
    <cfRule type="cellIs" dxfId="232" priority="2" operator="equal">
      <formula>"n/a"</formula>
    </cfRule>
  </conditionalFormatting>
  <conditionalFormatting sqref="D1">
    <cfRule type="cellIs" dxfId="231" priority="1" operator="equal">
      <formula>"n/a"</formula>
    </cfRule>
  </conditionalFormatting>
  <dataValidations count="1">
    <dataValidation type="list" allowBlank="1" showInputMessage="1" showErrorMessage="1" sqref="E10:E17 E37:E1048576 E28:E35 E19:E26">
      <formula1>$A$5:$A$28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E7:E8</xm:sqref>
        </x14:dataValidation>
        <x14:dataValidation type="list" allowBlank="1" showInputMessage="1" showErrorMessage="1">
          <x14:formula1>
            <xm:f>'List Values'!$B$5:$B$11</xm:f>
          </x14:formula1>
          <xm:sqref>C7:C8 C37:C1048576 C10:C17 C19:C26 C28:C35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1"/>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375</v>
      </c>
      <c r="C1" s="32"/>
      <c r="D1" s="29"/>
    </row>
    <row r="2" spans="1:16" s="30" customFormat="1" ht="18.5" x14ac:dyDescent="0.35">
      <c r="A2" s="28" t="s">
        <v>7</v>
      </c>
      <c r="B2" s="36">
        <v>8</v>
      </c>
      <c r="C2" s="35"/>
      <c r="D2" s="36"/>
    </row>
    <row r="3" spans="1:16" s="30" customFormat="1" ht="18.5" x14ac:dyDescent="0.35">
      <c r="A3" s="28" t="s">
        <v>44</v>
      </c>
      <c r="B3" s="36" t="s">
        <v>295</v>
      </c>
      <c r="C3" s="35"/>
      <c r="D3" s="63" t="s">
        <v>410</v>
      </c>
      <c r="E3" s="30" t="s">
        <v>74</v>
      </c>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s="39" customFormat="1" x14ac:dyDescent="0.35">
      <c r="A7" s="39">
        <v>1</v>
      </c>
      <c r="B7" s="39" t="str">
        <f t="shared" ref="B7:B13" si="0">CONCATENATE($B$2, ".", A7)</f>
        <v>8.1</v>
      </c>
      <c r="C7" s="47" t="s">
        <v>38</v>
      </c>
      <c r="D7" s="39" t="s">
        <v>407</v>
      </c>
      <c r="E7" s="39" t="s">
        <v>29</v>
      </c>
      <c r="F7" s="39" t="s">
        <v>37</v>
      </c>
      <c r="G7" s="39" t="s">
        <v>37</v>
      </c>
      <c r="H7" s="39" t="s">
        <v>37</v>
      </c>
      <c r="I7" s="39" t="s">
        <v>10</v>
      </c>
      <c r="J7" s="40" t="s">
        <v>37</v>
      </c>
      <c r="K7" s="40" t="s">
        <v>37</v>
      </c>
      <c r="L7" s="40" t="s">
        <v>37</v>
      </c>
      <c r="M7" s="40" t="s">
        <v>37</v>
      </c>
      <c r="N7" s="40" t="s">
        <v>37</v>
      </c>
      <c r="O7" s="40" t="s">
        <v>37</v>
      </c>
    </row>
    <row r="8" spans="1:16" s="39" customFormat="1" x14ac:dyDescent="0.35">
      <c r="A8" s="39">
        <v>2</v>
      </c>
      <c r="B8" s="39" t="str">
        <f t="shared" si="0"/>
        <v>8.2</v>
      </c>
      <c r="C8" s="47" t="s">
        <v>40</v>
      </c>
      <c r="D8" s="39" t="s">
        <v>37</v>
      </c>
      <c r="E8" s="39" t="s">
        <v>49</v>
      </c>
      <c r="F8" s="39" t="s">
        <v>37</v>
      </c>
      <c r="G8" s="39" t="s">
        <v>37</v>
      </c>
      <c r="H8" s="39" t="s">
        <v>37</v>
      </c>
      <c r="I8" s="39" t="s">
        <v>10</v>
      </c>
      <c r="J8" s="40" t="s">
        <v>37</v>
      </c>
      <c r="K8" s="40" t="s">
        <v>37</v>
      </c>
      <c r="L8" s="40" t="s">
        <v>37</v>
      </c>
      <c r="M8" s="40" t="s">
        <v>37</v>
      </c>
      <c r="N8" s="40" t="s">
        <v>37</v>
      </c>
      <c r="O8" s="40" t="s">
        <v>37</v>
      </c>
    </row>
    <row r="9" spans="1:16" s="39" customFormat="1" ht="80.25" customHeight="1" x14ac:dyDescent="0.35">
      <c r="A9" s="39">
        <v>3</v>
      </c>
      <c r="B9" s="39" t="str">
        <f t="shared" si="0"/>
        <v>8.3</v>
      </c>
      <c r="C9" s="47" t="s">
        <v>40</v>
      </c>
      <c r="D9" s="39" t="s">
        <v>180</v>
      </c>
      <c r="E9" s="39" t="s">
        <v>94</v>
      </c>
      <c r="F9" s="39" t="s">
        <v>95</v>
      </c>
      <c r="G9" s="39" t="s">
        <v>162</v>
      </c>
      <c r="H9" s="39" t="s">
        <v>37</v>
      </c>
      <c r="I9" s="39" t="s">
        <v>10</v>
      </c>
      <c r="J9" s="40" t="s">
        <v>97</v>
      </c>
      <c r="K9" s="40" t="s">
        <v>54</v>
      </c>
      <c r="L9" s="40" t="s">
        <v>155</v>
      </c>
      <c r="M9" s="40" t="s">
        <v>98</v>
      </c>
      <c r="N9" s="40" t="s">
        <v>99</v>
      </c>
      <c r="O9" s="40" t="s">
        <v>100</v>
      </c>
    </row>
    <row r="10" spans="1:16" s="39" customFormat="1" ht="102.75" customHeight="1" x14ac:dyDescent="0.35">
      <c r="A10" s="39">
        <v>4</v>
      </c>
      <c r="B10" s="39" t="str">
        <f t="shared" si="0"/>
        <v>8.4</v>
      </c>
      <c r="C10" s="47" t="s">
        <v>40</v>
      </c>
      <c r="D10" s="39" t="s">
        <v>93</v>
      </c>
      <c r="E10" s="39" t="s">
        <v>33</v>
      </c>
      <c r="F10" s="39" t="s">
        <v>96</v>
      </c>
      <c r="G10" s="39" t="s">
        <v>161</v>
      </c>
      <c r="H10" s="41">
        <v>9</v>
      </c>
      <c r="I10" s="39" t="s">
        <v>10</v>
      </c>
      <c r="J10" s="40" t="s">
        <v>37</v>
      </c>
      <c r="K10" s="40" t="s">
        <v>91</v>
      </c>
      <c r="L10" s="39" t="s">
        <v>37</v>
      </c>
      <c r="M10" s="40" t="s">
        <v>163</v>
      </c>
      <c r="N10" s="40" t="s">
        <v>217</v>
      </c>
      <c r="O10" s="40" t="s">
        <v>37</v>
      </c>
    </row>
    <row r="11" spans="1:16" s="39" customFormat="1" ht="114" customHeight="1" x14ac:dyDescent="0.35">
      <c r="A11" s="39">
        <v>5</v>
      </c>
      <c r="B11" s="39" t="str">
        <f t="shared" si="0"/>
        <v>8.5</v>
      </c>
      <c r="C11" s="47" t="s">
        <v>40</v>
      </c>
      <c r="D11" s="39" t="s">
        <v>104</v>
      </c>
      <c r="E11" s="39" t="s">
        <v>80</v>
      </c>
      <c r="F11" s="39" t="s">
        <v>52</v>
      </c>
      <c r="G11" s="39" t="s">
        <v>183</v>
      </c>
      <c r="H11" s="41">
        <v>200</v>
      </c>
      <c r="I11" s="39" t="s">
        <v>10</v>
      </c>
      <c r="J11" s="40" t="s">
        <v>102</v>
      </c>
      <c r="K11" s="40" t="s">
        <v>54</v>
      </c>
      <c r="L11" s="40" t="s">
        <v>105</v>
      </c>
      <c r="M11" s="40" t="s">
        <v>106</v>
      </c>
      <c r="N11" s="40" t="s">
        <v>37</v>
      </c>
      <c r="O11" s="40" t="s">
        <v>182</v>
      </c>
    </row>
    <row r="12" spans="1:16" s="39" customFormat="1" ht="29" x14ac:dyDescent="0.35">
      <c r="A12" s="39">
        <v>6</v>
      </c>
      <c r="B12" s="39" t="str">
        <f>CONCATENATE($B$2, ".", A12)</f>
        <v>8.6</v>
      </c>
      <c r="C12" s="47" t="s">
        <v>38</v>
      </c>
      <c r="D12" s="39" t="s">
        <v>60</v>
      </c>
      <c r="E12" s="39" t="s">
        <v>43</v>
      </c>
      <c r="F12" s="39" t="s">
        <v>37</v>
      </c>
      <c r="G12" s="39" t="s">
        <v>37</v>
      </c>
      <c r="H12" s="39" t="s">
        <v>37</v>
      </c>
      <c r="I12" s="39" t="s">
        <v>10</v>
      </c>
      <c r="J12" s="39" t="s">
        <v>37</v>
      </c>
      <c r="K12" s="39" t="s">
        <v>37</v>
      </c>
      <c r="L12" s="39" t="s">
        <v>37</v>
      </c>
      <c r="M12" s="39" t="s">
        <v>37</v>
      </c>
      <c r="N12" s="39" t="s">
        <v>37</v>
      </c>
      <c r="O12" s="39" t="s">
        <v>409</v>
      </c>
    </row>
    <row r="13" spans="1:16" s="39" customFormat="1" ht="29" x14ac:dyDescent="0.35">
      <c r="A13" s="39">
        <v>7</v>
      </c>
      <c r="B13" s="39" t="str">
        <f t="shared" si="0"/>
        <v>8.7</v>
      </c>
      <c r="C13" s="47" t="s">
        <v>40</v>
      </c>
      <c r="D13" s="39" t="s">
        <v>59</v>
      </c>
      <c r="E13" s="39" t="s">
        <v>43</v>
      </c>
      <c r="F13" s="39" t="s">
        <v>37</v>
      </c>
      <c r="G13" s="39" t="s">
        <v>37</v>
      </c>
      <c r="H13" s="39" t="s">
        <v>37</v>
      </c>
      <c r="I13" s="39" t="s">
        <v>10</v>
      </c>
      <c r="J13" s="39" t="s">
        <v>37</v>
      </c>
      <c r="K13" s="39" t="s">
        <v>37</v>
      </c>
      <c r="L13" s="39" t="s">
        <v>37</v>
      </c>
      <c r="M13" s="39" t="s">
        <v>37</v>
      </c>
      <c r="N13" s="39" t="s">
        <v>37</v>
      </c>
      <c r="O13" s="39" t="s">
        <v>294</v>
      </c>
    </row>
    <row r="14" spans="1:16" x14ac:dyDescent="0.35">
      <c r="I14" s="39"/>
      <c r="J14" s="5"/>
      <c r="K14" s="5"/>
      <c r="L14" s="40"/>
      <c r="M14" s="40"/>
      <c r="N14" s="40"/>
      <c r="O14" s="40"/>
    </row>
    <row r="15" spans="1:16" x14ac:dyDescent="0.35">
      <c r="D15" s="6" t="s">
        <v>74</v>
      </c>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row r="21" spans="9:15" x14ac:dyDescent="0.35">
      <c r="I21" s="39"/>
      <c r="J21" s="5"/>
      <c r="K21" s="5"/>
      <c r="L21" s="40"/>
      <c r="M21" s="40"/>
      <c r="N21" s="40"/>
      <c r="O21" s="40"/>
    </row>
  </sheetData>
  <autoFilter ref="A6:P13"/>
  <conditionalFormatting sqref="C14:C1048576">
    <cfRule type="cellIs" dxfId="230" priority="18" operator="equal">
      <formula>"WIP (see comments)"</formula>
    </cfRule>
    <cfRule type="cellIs" dxfId="229" priority="19" operator="equal">
      <formula>"Removed"</formula>
    </cfRule>
    <cfRule type="cellIs" dxfId="228" priority="20" operator="equal">
      <formula>"Updated"</formula>
    </cfRule>
    <cfRule type="cellIs" dxfId="227" priority="21" operator="equal">
      <formula>"New"</formula>
    </cfRule>
  </conditionalFormatting>
  <conditionalFormatting sqref="C7:C13">
    <cfRule type="cellIs" dxfId="226" priority="10" operator="equal">
      <formula>"WIP (see comments)"</formula>
    </cfRule>
    <cfRule type="cellIs" dxfId="225" priority="11" operator="equal">
      <formula>"Removed"</formula>
    </cfRule>
    <cfRule type="cellIs" dxfId="224" priority="12" operator="equal">
      <formula>"Updated"</formula>
    </cfRule>
    <cfRule type="cellIs" dxfId="223" priority="13" operator="equal">
      <formula>"New"</formula>
    </cfRule>
  </conditionalFormatting>
  <conditionalFormatting sqref="B4">
    <cfRule type="cellIs" dxfId="222" priority="5" operator="equal">
      <formula>"n/a"</formula>
    </cfRule>
  </conditionalFormatting>
  <conditionalFormatting sqref="D11:O11">
    <cfRule type="cellIs" dxfId="221" priority="4" operator="equal">
      <formula>"n/a"</formula>
    </cfRule>
  </conditionalFormatting>
  <conditionalFormatting sqref="D1">
    <cfRule type="cellIs" dxfId="220" priority="3" operator="equal">
      <formula>"n/a"</formula>
    </cfRule>
  </conditionalFormatting>
  <conditionalFormatting sqref="D3">
    <cfRule type="cellIs" dxfId="219" priority="1" operator="equal">
      <formula>"n/a"</formula>
    </cfRule>
  </conditionalFormatting>
  <dataValidations count="1">
    <dataValidation type="list" allowBlank="1" showInputMessage="1" showErrorMessage="1" sqref="C14:C1048576">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C7:C13</xm:sqref>
        </x14:dataValidation>
        <x14:dataValidation type="list" allowBlank="1" showInputMessage="1" showErrorMessage="1">
          <x14:formula1>
            <xm:f>'List Values'!$A$5:$A$27</xm:f>
          </x14:formula1>
          <xm:sqref>E7:E1048576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3"/>
  <sheetViews>
    <sheetView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5" customWidth="1"/>
    <col min="2" max="2" width="12.54296875" style="5" customWidth="1"/>
    <col min="3" max="3" width="13" style="82" customWidth="1"/>
    <col min="4" max="4" width="45.1796875" style="5" customWidth="1"/>
    <col min="5" max="5" width="28.7265625" style="5" customWidth="1"/>
    <col min="6" max="6" width="37" style="5" customWidth="1"/>
    <col min="7" max="7" width="29.26953125" style="5" customWidth="1"/>
    <col min="8" max="8" width="11.54296875" style="8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453</v>
      </c>
      <c r="C1" s="32"/>
      <c r="D1" s="29"/>
      <c r="H1" s="35"/>
    </row>
    <row r="2" spans="1:16" s="30" customFormat="1" ht="18.5" x14ac:dyDescent="0.35">
      <c r="A2" s="28" t="s">
        <v>7</v>
      </c>
      <c r="B2" s="36">
        <v>9</v>
      </c>
      <c r="C2" s="35"/>
      <c r="D2" s="36"/>
      <c r="H2" s="35"/>
    </row>
    <row r="3" spans="1:16" s="30" customFormat="1" ht="18.5" x14ac:dyDescent="0.35">
      <c r="A3" s="28" t="s">
        <v>44</v>
      </c>
      <c r="B3" s="36" t="s">
        <v>463</v>
      </c>
      <c r="C3" s="35"/>
      <c r="D3" s="36"/>
      <c r="H3" s="35"/>
    </row>
    <row r="4" spans="1:16" s="30" customFormat="1" ht="18.5" x14ac:dyDescent="0.35">
      <c r="A4" s="28" t="s">
        <v>8</v>
      </c>
      <c r="B4" s="30" t="s">
        <v>47</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s="6" customFormat="1" x14ac:dyDescent="0.35">
      <c r="A7" s="5">
        <v>1</v>
      </c>
      <c r="B7" s="5" t="str">
        <f t="shared" ref="B7:B13" si="0">CONCATENATE($B$2, ".", A7)</f>
        <v>9.1</v>
      </c>
      <c r="C7" s="82" t="s">
        <v>42</v>
      </c>
      <c r="D7" s="6" t="s">
        <v>454</v>
      </c>
      <c r="E7" s="6" t="s">
        <v>140</v>
      </c>
      <c r="F7" s="6" t="s">
        <v>37</v>
      </c>
      <c r="G7" s="6" t="s">
        <v>37</v>
      </c>
      <c r="H7" s="34" t="s">
        <v>37</v>
      </c>
      <c r="I7" s="6" t="s">
        <v>10</v>
      </c>
      <c r="J7" s="6" t="s">
        <v>37</v>
      </c>
      <c r="K7" s="6" t="s">
        <v>37</v>
      </c>
      <c r="L7" s="6" t="s">
        <v>37</v>
      </c>
      <c r="M7" s="6" t="s">
        <v>37</v>
      </c>
      <c r="N7" s="6" t="s">
        <v>37</v>
      </c>
    </row>
    <row r="8" spans="1:16" s="6" customFormat="1" ht="29" x14ac:dyDescent="0.35">
      <c r="A8" s="39">
        <v>2</v>
      </c>
      <c r="B8" s="39" t="str">
        <f t="shared" si="0"/>
        <v>9.2</v>
      </c>
      <c r="C8" s="83" t="s">
        <v>45</v>
      </c>
      <c r="D8" s="39" t="s">
        <v>37</v>
      </c>
      <c r="E8" s="39" t="s">
        <v>49</v>
      </c>
      <c r="F8" s="39" t="s">
        <v>37</v>
      </c>
      <c r="G8" s="39" t="s">
        <v>37</v>
      </c>
      <c r="H8" s="47" t="s">
        <v>37</v>
      </c>
      <c r="I8" s="39" t="s">
        <v>10</v>
      </c>
      <c r="J8" s="40" t="s">
        <v>37</v>
      </c>
      <c r="K8" s="40" t="s">
        <v>37</v>
      </c>
      <c r="L8" s="40" t="s">
        <v>37</v>
      </c>
      <c r="M8" s="40" t="s">
        <v>37</v>
      </c>
      <c r="N8" s="40" t="s">
        <v>37</v>
      </c>
      <c r="O8" s="40" t="s">
        <v>37</v>
      </c>
      <c r="P8" s="39" t="s">
        <v>455</v>
      </c>
    </row>
    <row r="9" spans="1:16" s="6" customFormat="1" ht="67.5" customHeight="1" x14ac:dyDescent="0.35">
      <c r="A9" s="5">
        <v>3</v>
      </c>
      <c r="B9" s="5" t="str">
        <f t="shared" si="0"/>
        <v>9.3</v>
      </c>
      <c r="C9" s="82" t="s">
        <v>42</v>
      </c>
      <c r="D9" s="6" t="s">
        <v>456</v>
      </c>
      <c r="E9" s="6" t="s">
        <v>34</v>
      </c>
      <c r="F9" s="6" t="s">
        <v>37</v>
      </c>
      <c r="G9" s="6" t="s">
        <v>37</v>
      </c>
      <c r="H9" s="34" t="s">
        <v>37</v>
      </c>
      <c r="I9" s="6" t="s">
        <v>10</v>
      </c>
      <c r="J9" s="6" t="s">
        <v>37</v>
      </c>
      <c r="K9" s="6" t="s">
        <v>37</v>
      </c>
      <c r="L9" s="6" t="s">
        <v>37</v>
      </c>
      <c r="M9" s="6" t="s">
        <v>37</v>
      </c>
      <c r="N9" s="6" t="s">
        <v>37</v>
      </c>
    </row>
    <row r="10" spans="1:16" s="6" customFormat="1" ht="130.5" customHeight="1" x14ac:dyDescent="0.35">
      <c r="A10" s="5">
        <v>4</v>
      </c>
      <c r="B10" s="5" t="str">
        <f t="shared" si="0"/>
        <v>9.4</v>
      </c>
      <c r="C10" s="82" t="s">
        <v>42</v>
      </c>
      <c r="D10" s="6" t="s">
        <v>457</v>
      </c>
      <c r="E10" s="6" t="s">
        <v>35</v>
      </c>
      <c r="F10" s="6" t="s">
        <v>467</v>
      </c>
      <c r="G10" s="6" t="s">
        <v>458</v>
      </c>
      <c r="H10" s="34" t="s">
        <v>37</v>
      </c>
      <c r="I10" s="6" t="s">
        <v>10</v>
      </c>
      <c r="J10" s="6" t="s">
        <v>102</v>
      </c>
      <c r="K10" s="6" t="s">
        <v>54</v>
      </c>
      <c r="L10" s="6" t="s">
        <v>101</v>
      </c>
      <c r="M10" s="6" t="s">
        <v>37</v>
      </c>
      <c r="N10" s="6" t="s">
        <v>37</v>
      </c>
      <c r="O10" s="6" t="s">
        <v>37</v>
      </c>
    </row>
    <row r="11" spans="1:16" ht="159.5" x14ac:dyDescent="0.35">
      <c r="A11" s="5">
        <v>5</v>
      </c>
      <c r="B11" s="5" t="str">
        <f t="shared" si="0"/>
        <v>9.5</v>
      </c>
      <c r="C11" s="82" t="s">
        <v>42</v>
      </c>
      <c r="D11" s="6" t="s">
        <v>459</v>
      </c>
      <c r="E11" s="6" t="s">
        <v>33</v>
      </c>
      <c r="F11" s="6" t="s">
        <v>52</v>
      </c>
      <c r="G11" s="6" t="s">
        <v>37</v>
      </c>
      <c r="H11" s="34">
        <v>30</v>
      </c>
      <c r="I11" s="6" t="s">
        <v>10</v>
      </c>
      <c r="J11" s="6" t="s">
        <v>102</v>
      </c>
      <c r="K11" s="6" t="s">
        <v>54</v>
      </c>
      <c r="L11" s="6" t="s">
        <v>158</v>
      </c>
      <c r="M11" s="6" t="s">
        <v>37</v>
      </c>
      <c r="N11" s="6" t="s">
        <v>37</v>
      </c>
      <c r="O11" s="6" t="s">
        <v>103</v>
      </c>
      <c r="P11" s="6"/>
    </row>
    <row r="12" spans="1:16" ht="29" x14ac:dyDescent="0.35">
      <c r="A12" s="5">
        <v>6</v>
      </c>
      <c r="B12" s="5" t="str">
        <f t="shared" si="0"/>
        <v>9.6</v>
      </c>
      <c r="C12" s="82" t="s">
        <v>42</v>
      </c>
      <c r="D12" s="40" t="s">
        <v>60</v>
      </c>
      <c r="E12" s="5" t="s">
        <v>43</v>
      </c>
      <c r="F12" s="5" t="s">
        <v>37</v>
      </c>
      <c r="G12" s="5" t="s">
        <v>37</v>
      </c>
      <c r="H12" s="82" t="s">
        <v>37</v>
      </c>
      <c r="I12" s="40" t="s">
        <v>10</v>
      </c>
      <c r="J12" s="5" t="s">
        <v>37</v>
      </c>
      <c r="K12" s="5" t="s">
        <v>37</v>
      </c>
      <c r="L12" s="5" t="s">
        <v>37</v>
      </c>
      <c r="M12" s="5" t="s">
        <v>37</v>
      </c>
      <c r="N12" s="5" t="s">
        <v>37</v>
      </c>
      <c r="O12" s="39" t="s">
        <v>461</v>
      </c>
    </row>
    <row r="13" spans="1:16" x14ac:dyDescent="0.35">
      <c r="A13" s="5">
        <v>7</v>
      </c>
      <c r="B13" s="5" t="str">
        <f t="shared" si="0"/>
        <v>9.7</v>
      </c>
      <c r="C13" s="82" t="s">
        <v>42</v>
      </c>
      <c r="D13" s="40" t="s">
        <v>59</v>
      </c>
      <c r="E13" s="5" t="s">
        <v>43</v>
      </c>
      <c r="F13" s="5" t="s">
        <v>37</v>
      </c>
      <c r="G13" s="5" t="s">
        <v>37</v>
      </c>
      <c r="H13" s="82" t="s">
        <v>37</v>
      </c>
      <c r="I13" s="40" t="s">
        <v>10</v>
      </c>
      <c r="J13" s="5" t="s">
        <v>37</v>
      </c>
      <c r="K13" s="5" t="s">
        <v>37</v>
      </c>
      <c r="L13" s="5" t="s">
        <v>37</v>
      </c>
      <c r="M13" s="5" t="s">
        <v>37</v>
      </c>
      <c r="N13" s="5" t="s">
        <v>37</v>
      </c>
      <c r="O13" s="39" t="s">
        <v>460</v>
      </c>
    </row>
  </sheetData>
  <autoFilter ref="A6:P6"/>
  <conditionalFormatting sqref="A1:XFD6 F7:N7 A7:C7 Q10:XFD1048576 D11:H11 A9:C11 F9:N9 A12:P1048576 J11:P11">
    <cfRule type="cellIs" dxfId="218" priority="9" operator="equal">
      <formula>"n/a"</formula>
    </cfRule>
  </conditionalFormatting>
  <conditionalFormatting sqref="C1:C7 C9:C1048576">
    <cfRule type="cellIs" dxfId="217" priority="10" operator="equal">
      <formula>"WIP (see comments)"</formula>
    </cfRule>
    <cfRule type="cellIs" dxfId="216" priority="11" operator="equal">
      <formula>"Removed"</formula>
    </cfRule>
    <cfRule type="cellIs" dxfId="215" priority="12" operator="equal">
      <formula>"Updated"</formula>
    </cfRule>
    <cfRule type="cellIs" dxfId="214" priority="13" operator="equal">
      <formula>"New"</formula>
    </cfRule>
  </conditionalFormatting>
  <conditionalFormatting sqref="D10:E10 Q9:XFD9">
    <cfRule type="cellIs" dxfId="213" priority="8" operator="equal">
      <formula>"n/a"</formula>
    </cfRule>
  </conditionalFormatting>
  <conditionalFormatting sqref="F10:P10 I11">
    <cfRule type="cellIs" dxfId="212" priority="7" operator="equal">
      <formula>"n/a"</formula>
    </cfRule>
  </conditionalFormatting>
  <conditionalFormatting sqref="A8:B8 D8:P8">
    <cfRule type="cellIs" dxfId="211" priority="6" operator="equal">
      <formula>"n/a"</formula>
    </cfRule>
  </conditionalFormatting>
  <conditionalFormatting sqref="C8">
    <cfRule type="cellIs" dxfId="210" priority="2" operator="equal">
      <formula>"WIP (see comments)"</formula>
    </cfRule>
    <cfRule type="cellIs" dxfId="209" priority="3" operator="equal">
      <formula>"Removed"</formula>
    </cfRule>
    <cfRule type="cellIs" dxfId="208" priority="4" operator="equal">
      <formula>"Updated"</formula>
    </cfRule>
    <cfRule type="cellIs" dxfId="207" priority="5" operator="equal">
      <formula>"New"</formula>
    </cfRule>
  </conditionalFormatting>
  <conditionalFormatting sqref="C8">
    <cfRule type="cellIs" dxfId="20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'C:\Users\hicksi\Documents\Small Business DCO\Field Specs\Current\[Small Business DCO Funding Form Field Spec v1.1 WIP.xlsx]List Values'!#REF!</xm:f>
          </x14:formula1>
          <xm:sqref>C14:C1048576</xm:sqref>
        </x14:dataValidation>
        <x14:dataValidation type="list" allowBlank="1" showInputMessage="1" showErrorMessage="1">
          <x14:formula1>
            <xm:f>'C:\Users\hicksi\Documents\Small Business DCO\Field Specs\Current\[Small Business DCO Funding Form Field Spec v1.1 WIP.xlsx]List Values'!#REF!</xm:f>
          </x14:formula1>
          <xm:sqref>E14:E1048576</xm:sqref>
        </x14:dataValidation>
        <x14:dataValidation type="list" allowBlank="1" showInputMessage="1" showErrorMessage="1">
          <x14:formula1>
            <xm:f>'List Values'!$B$5:$B$9</xm:f>
          </x14:formula1>
          <xm:sqref>C7:C13</xm:sqref>
        </x14:dataValidation>
        <x14:dataValidation type="list" allowBlank="1" showInputMessage="1" showErrorMessage="1">
          <x14:formula1>
            <xm:f>'List Values'!$A$5:$A$26</xm:f>
          </x14:formula1>
          <xm:sqref>E7:E13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5"/>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37" style="6" customWidth="1"/>
    <col min="7" max="7" width="29.26953125" style="6" customWidth="1"/>
    <col min="8" max="8" width="11.54296875" style="34"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107</v>
      </c>
      <c r="C1" s="32"/>
      <c r="D1" s="29"/>
      <c r="H1" s="35"/>
    </row>
    <row r="2" spans="1:16" s="30" customFormat="1" ht="18.5" x14ac:dyDescent="0.35">
      <c r="A2" s="28" t="s">
        <v>7</v>
      </c>
      <c r="B2" s="36">
        <v>10</v>
      </c>
      <c r="C2" s="35"/>
      <c r="D2" s="36" t="s">
        <v>469</v>
      </c>
      <c r="H2" s="35"/>
    </row>
    <row r="3" spans="1:16" s="30" customFormat="1" ht="18.5" x14ac:dyDescent="0.35">
      <c r="A3" s="28" t="s">
        <v>44</v>
      </c>
      <c r="B3" s="36" t="s">
        <v>328</v>
      </c>
      <c r="C3" s="35"/>
      <c r="D3" s="36" t="s">
        <v>337</v>
      </c>
      <c r="H3" s="35"/>
    </row>
    <row r="4" spans="1:16" s="30" customFormat="1" ht="18.5" x14ac:dyDescent="0.35">
      <c r="A4" s="28" t="s">
        <v>8</v>
      </c>
      <c r="B4" s="30" t="s">
        <v>47</v>
      </c>
      <c r="C4" s="35"/>
      <c r="H4" s="35"/>
    </row>
    <row r="5" spans="1:16" s="4" customFormat="1" x14ac:dyDescent="0.35">
      <c r="C5" s="37"/>
      <c r="H5" s="37"/>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s="39" customFormat="1" x14ac:dyDescent="0.35">
      <c r="A7" s="39">
        <v>1</v>
      </c>
      <c r="B7" s="39" t="str">
        <f t="shared" ref="B7:B17" si="0">CONCATENATE($B$2, ".", A7)</f>
        <v>10.1</v>
      </c>
      <c r="C7" s="47" t="s">
        <v>38</v>
      </c>
      <c r="D7" s="39" t="s">
        <v>468</v>
      </c>
      <c r="E7" s="39" t="s">
        <v>29</v>
      </c>
      <c r="F7" s="39" t="s">
        <v>37</v>
      </c>
      <c r="G7" s="39" t="s">
        <v>37</v>
      </c>
      <c r="H7" s="47" t="s">
        <v>37</v>
      </c>
      <c r="I7" s="39" t="s">
        <v>10</v>
      </c>
      <c r="J7" s="40" t="s">
        <v>37</v>
      </c>
      <c r="K7" s="40" t="s">
        <v>37</v>
      </c>
      <c r="L7" s="40" t="s">
        <v>37</v>
      </c>
      <c r="M7" s="40" t="s">
        <v>37</v>
      </c>
      <c r="N7" s="40" t="s">
        <v>37</v>
      </c>
      <c r="O7" s="40" t="s">
        <v>37</v>
      </c>
    </row>
    <row r="8" spans="1:16" s="39" customFormat="1" x14ac:dyDescent="0.35">
      <c r="A8" s="39">
        <v>2</v>
      </c>
      <c r="B8" s="39" t="str">
        <f t="shared" si="0"/>
        <v>10.2</v>
      </c>
      <c r="C8" s="47" t="s">
        <v>40</v>
      </c>
      <c r="D8" s="39" t="s">
        <v>37</v>
      </c>
      <c r="E8" s="39" t="s">
        <v>49</v>
      </c>
      <c r="F8" s="39" t="s">
        <v>37</v>
      </c>
      <c r="G8" s="39" t="s">
        <v>37</v>
      </c>
      <c r="H8" s="47" t="s">
        <v>37</v>
      </c>
      <c r="I8" s="39" t="s">
        <v>10</v>
      </c>
      <c r="J8" s="40" t="s">
        <v>37</v>
      </c>
      <c r="K8" s="40" t="s">
        <v>37</v>
      </c>
      <c r="L8" s="40" t="s">
        <v>37</v>
      </c>
      <c r="M8" s="40" t="s">
        <v>37</v>
      </c>
      <c r="N8" s="40" t="s">
        <v>37</v>
      </c>
      <c r="O8" s="40" t="s">
        <v>37</v>
      </c>
    </row>
    <row r="9" spans="1:16" s="39" customFormat="1" ht="72.5" x14ac:dyDescent="0.35">
      <c r="A9" s="39">
        <v>3</v>
      </c>
      <c r="B9" s="39" t="str">
        <f t="shared" si="0"/>
        <v>10.3</v>
      </c>
      <c r="C9" s="47" t="s">
        <v>42</v>
      </c>
      <c r="D9" s="39" t="s">
        <v>470</v>
      </c>
      <c r="E9" s="39" t="s">
        <v>32</v>
      </c>
      <c r="F9" s="39" t="s">
        <v>62</v>
      </c>
      <c r="G9" s="39" t="s">
        <v>471</v>
      </c>
      <c r="H9" s="47" t="s">
        <v>37</v>
      </c>
      <c r="I9" s="39" t="s">
        <v>10</v>
      </c>
      <c r="J9" s="40" t="s">
        <v>472</v>
      </c>
      <c r="K9" s="40" t="s">
        <v>54</v>
      </c>
      <c r="L9" s="40" t="s">
        <v>473</v>
      </c>
      <c r="M9" s="40" t="s">
        <v>37</v>
      </c>
      <c r="N9" s="40" t="s">
        <v>37</v>
      </c>
      <c r="O9" s="40" t="s">
        <v>37</v>
      </c>
    </row>
    <row r="10" spans="1:16" s="39" customFormat="1" ht="72.5" x14ac:dyDescent="0.35">
      <c r="A10" s="39">
        <v>4</v>
      </c>
      <c r="B10" s="39" t="str">
        <f t="shared" si="0"/>
        <v>10.4</v>
      </c>
      <c r="C10" s="47" t="s">
        <v>45</v>
      </c>
      <c r="D10" s="39" t="s">
        <v>487</v>
      </c>
      <c r="E10" s="39" t="s">
        <v>117</v>
      </c>
      <c r="F10" s="39" t="s">
        <v>37</v>
      </c>
      <c r="G10" s="39" t="s">
        <v>37</v>
      </c>
      <c r="H10" s="47" t="s">
        <v>37</v>
      </c>
      <c r="I10" s="39" t="s">
        <v>477</v>
      </c>
      <c r="J10" s="40" t="s">
        <v>37</v>
      </c>
      <c r="K10" s="40" t="s">
        <v>37</v>
      </c>
      <c r="L10" s="40" t="s">
        <v>37</v>
      </c>
      <c r="M10" s="40" t="s">
        <v>37</v>
      </c>
      <c r="N10" s="40" t="s">
        <v>37</v>
      </c>
      <c r="O10" s="40" t="s">
        <v>478</v>
      </c>
      <c r="P10" s="39" t="s">
        <v>474</v>
      </c>
    </row>
    <row r="11" spans="1:16" s="39" customFormat="1" ht="43.5" x14ac:dyDescent="0.35">
      <c r="A11" s="39">
        <v>5</v>
      </c>
      <c r="B11" s="39" t="str">
        <f>CONCATENATE($B$2, ".", A11)</f>
        <v>10.5</v>
      </c>
      <c r="C11" s="47" t="s">
        <v>38</v>
      </c>
      <c r="D11" s="39" t="s">
        <v>475</v>
      </c>
      <c r="E11" s="39" t="s">
        <v>36</v>
      </c>
      <c r="F11" s="39" t="s">
        <v>37</v>
      </c>
      <c r="G11" s="39" t="s">
        <v>37</v>
      </c>
      <c r="H11" s="47" t="s">
        <v>37</v>
      </c>
      <c r="I11" s="39" t="s">
        <v>10</v>
      </c>
      <c r="J11" s="40" t="s">
        <v>37</v>
      </c>
      <c r="K11" s="40" t="s">
        <v>37</v>
      </c>
      <c r="L11" s="40" t="s">
        <v>37</v>
      </c>
      <c r="M11" s="40" t="s">
        <v>37</v>
      </c>
      <c r="N11" s="40" t="s">
        <v>37</v>
      </c>
      <c r="O11" s="40" t="s">
        <v>479</v>
      </c>
      <c r="P11" s="39" t="s">
        <v>480</v>
      </c>
    </row>
    <row r="12" spans="1:16" s="39" customFormat="1" ht="29" x14ac:dyDescent="0.35">
      <c r="A12" s="39">
        <v>6</v>
      </c>
      <c r="B12" s="39" t="str">
        <f t="shared" ref="B12:B14" si="1">CONCATENATE($B$2, ".", A12)</f>
        <v>10.6</v>
      </c>
      <c r="C12" s="47" t="s">
        <v>40</v>
      </c>
      <c r="D12" s="46" t="s">
        <v>173</v>
      </c>
      <c r="E12" s="39" t="s">
        <v>34</v>
      </c>
      <c r="F12" s="39" t="s">
        <v>37</v>
      </c>
      <c r="G12" s="39" t="s">
        <v>176</v>
      </c>
      <c r="H12" s="47" t="s">
        <v>37</v>
      </c>
      <c r="I12" s="39" t="s">
        <v>10</v>
      </c>
      <c r="J12" s="40" t="s">
        <v>37</v>
      </c>
      <c r="K12" s="40" t="s">
        <v>37</v>
      </c>
      <c r="L12" s="40" t="s">
        <v>37</v>
      </c>
      <c r="M12" s="40" t="s">
        <v>37</v>
      </c>
      <c r="N12" s="40" t="s">
        <v>37</v>
      </c>
      <c r="O12" s="40"/>
    </row>
    <row r="13" spans="1:16" s="39" customFormat="1" ht="43.5" x14ac:dyDescent="0.35">
      <c r="A13" s="39">
        <v>7</v>
      </c>
      <c r="B13" s="39" t="str">
        <f t="shared" si="1"/>
        <v>10.7</v>
      </c>
      <c r="C13" s="47" t="s">
        <v>40</v>
      </c>
      <c r="D13" s="46" t="s">
        <v>174</v>
      </c>
      <c r="E13" s="39" t="s">
        <v>34</v>
      </c>
      <c r="F13" s="39" t="s">
        <v>37</v>
      </c>
      <c r="G13" s="39" t="s">
        <v>177</v>
      </c>
      <c r="H13" s="47" t="s">
        <v>37</v>
      </c>
      <c r="I13" s="39" t="s">
        <v>10</v>
      </c>
      <c r="J13" s="40" t="s">
        <v>37</v>
      </c>
      <c r="K13" s="40" t="s">
        <v>37</v>
      </c>
      <c r="L13" s="40" t="s">
        <v>37</v>
      </c>
      <c r="M13" s="40" t="s">
        <v>37</v>
      </c>
      <c r="N13" s="40" t="s">
        <v>37</v>
      </c>
      <c r="O13" s="40"/>
    </row>
    <row r="14" spans="1:16" s="39" customFormat="1" ht="43.5" x14ac:dyDescent="0.35">
      <c r="A14" s="39">
        <v>8</v>
      </c>
      <c r="B14" s="39" t="str">
        <f t="shared" si="1"/>
        <v>10.8</v>
      </c>
      <c r="C14" s="47" t="s">
        <v>40</v>
      </c>
      <c r="D14" s="46" t="s">
        <v>175</v>
      </c>
      <c r="E14" s="39" t="s">
        <v>34</v>
      </c>
      <c r="F14" s="39" t="s">
        <v>37</v>
      </c>
      <c r="G14" s="39" t="s">
        <v>178</v>
      </c>
      <c r="H14" s="47" t="s">
        <v>37</v>
      </c>
      <c r="I14" s="39" t="s">
        <v>10</v>
      </c>
      <c r="J14" s="40" t="s">
        <v>37</v>
      </c>
      <c r="K14" s="40" t="s">
        <v>37</v>
      </c>
      <c r="L14" s="40" t="s">
        <v>37</v>
      </c>
      <c r="M14" s="40" t="s">
        <v>37</v>
      </c>
      <c r="N14" s="40" t="s">
        <v>37</v>
      </c>
      <c r="O14" s="40"/>
    </row>
    <row r="15" spans="1:16" s="39" customFormat="1" ht="54" customHeight="1" x14ac:dyDescent="0.35">
      <c r="A15" s="39">
        <v>9</v>
      </c>
      <c r="B15" s="39" t="str">
        <f t="shared" si="0"/>
        <v>10.9</v>
      </c>
      <c r="C15" s="47" t="s">
        <v>38</v>
      </c>
      <c r="D15" s="39" t="s">
        <v>481</v>
      </c>
      <c r="E15" s="39" t="s">
        <v>30</v>
      </c>
      <c r="F15" s="39" t="s">
        <v>64</v>
      </c>
      <c r="G15" s="39" t="s">
        <v>37</v>
      </c>
      <c r="H15" s="47" t="s">
        <v>37</v>
      </c>
      <c r="I15" s="39" t="s">
        <v>10</v>
      </c>
      <c r="J15" s="40" t="s">
        <v>109</v>
      </c>
      <c r="K15" s="40" t="s">
        <v>54</v>
      </c>
      <c r="L15" s="40" t="s">
        <v>110</v>
      </c>
      <c r="M15" s="40" t="s">
        <v>37</v>
      </c>
      <c r="N15" s="40" t="s">
        <v>37</v>
      </c>
      <c r="O15" s="40" t="s">
        <v>476</v>
      </c>
      <c r="P15" s="39" t="s">
        <v>480</v>
      </c>
    </row>
    <row r="16" spans="1:16" s="39" customFormat="1" x14ac:dyDescent="0.35">
      <c r="A16" s="39">
        <v>10</v>
      </c>
      <c r="B16" s="39" t="str">
        <f>CONCATENATE($B$2, ".", A16)</f>
        <v>10.10</v>
      </c>
      <c r="C16" s="47" t="s">
        <v>40</v>
      </c>
      <c r="D16" s="39" t="s">
        <v>60</v>
      </c>
      <c r="E16" s="39" t="s">
        <v>43</v>
      </c>
      <c r="F16" s="39" t="s">
        <v>37</v>
      </c>
      <c r="G16" s="39" t="s">
        <v>37</v>
      </c>
      <c r="H16" s="47" t="s">
        <v>37</v>
      </c>
      <c r="I16" s="39" t="s">
        <v>10</v>
      </c>
      <c r="J16" s="39" t="s">
        <v>37</v>
      </c>
      <c r="K16" s="39" t="s">
        <v>37</v>
      </c>
      <c r="L16" s="39" t="s">
        <v>37</v>
      </c>
      <c r="M16" s="39" t="s">
        <v>37</v>
      </c>
      <c r="N16" s="39" t="s">
        <v>37</v>
      </c>
      <c r="O16" s="39" t="s">
        <v>179</v>
      </c>
    </row>
    <row r="17" spans="1:15" s="39" customFormat="1" x14ac:dyDescent="0.35">
      <c r="A17" s="39">
        <v>11</v>
      </c>
      <c r="B17" s="39" t="str">
        <f t="shared" si="0"/>
        <v>10.11</v>
      </c>
      <c r="C17" s="47" t="s">
        <v>40</v>
      </c>
      <c r="D17" s="39" t="s">
        <v>59</v>
      </c>
      <c r="E17" s="39" t="s">
        <v>43</v>
      </c>
      <c r="F17" s="39" t="s">
        <v>37</v>
      </c>
      <c r="G17" s="39" t="s">
        <v>37</v>
      </c>
      <c r="H17" s="47" t="s">
        <v>37</v>
      </c>
      <c r="I17" s="39" t="s">
        <v>10</v>
      </c>
      <c r="J17" s="39" t="s">
        <v>37</v>
      </c>
      <c r="K17" s="39" t="s">
        <v>37</v>
      </c>
      <c r="L17" s="39" t="s">
        <v>37</v>
      </c>
      <c r="M17" s="39" t="s">
        <v>37</v>
      </c>
      <c r="N17" s="39" t="s">
        <v>37</v>
      </c>
      <c r="O17" s="39" t="s">
        <v>244</v>
      </c>
    </row>
    <row r="18" spans="1:15" x14ac:dyDescent="0.35">
      <c r="I18" s="39"/>
      <c r="J18" s="5"/>
      <c r="K18" s="5"/>
      <c r="L18" s="40"/>
      <c r="M18" s="40"/>
      <c r="N18" s="40"/>
      <c r="O18" s="40"/>
    </row>
    <row r="19" spans="1:15" x14ac:dyDescent="0.35">
      <c r="D19" s="6" t="s">
        <v>74</v>
      </c>
      <c r="I19" s="39"/>
      <c r="J19" s="5"/>
      <c r="K19" s="5"/>
      <c r="L19" s="40"/>
      <c r="M19" s="40"/>
      <c r="N19" s="40"/>
      <c r="O19" s="40"/>
    </row>
    <row r="20" spans="1:15" x14ac:dyDescent="0.35">
      <c r="I20" s="39"/>
      <c r="J20" s="5"/>
      <c r="K20" s="5"/>
      <c r="L20" s="40"/>
      <c r="M20" s="40"/>
      <c r="N20" s="40"/>
      <c r="O20" s="85"/>
    </row>
    <row r="21" spans="1:15" x14ac:dyDescent="0.35">
      <c r="I21" s="39"/>
      <c r="J21" s="5"/>
      <c r="K21" s="5"/>
      <c r="L21" s="40"/>
      <c r="M21" s="40"/>
      <c r="N21" s="40"/>
      <c r="O21" s="40"/>
    </row>
    <row r="22" spans="1:15" x14ac:dyDescent="0.35">
      <c r="I22" s="39"/>
      <c r="J22" s="5"/>
      <c r="K22" s="5"/>
      <c r="L22" s="40"/>
      <c r="M22" s="40"/>
      <c r="N22" s="40"/>
      <c r="O22" s="40"/>
    </row>
    <row r="23" spans="1:15" x14ac:dyDescent="0.35">
      <c r="I23" s="39"/>
      <c r="J23" s="5"/>
      <c r="K23" s="5"/>
      <c r="L23" s="40"/>
      <c r="M23" s="40"/>
      <c r="N23" s="40"/>
      <c r="O23" s="40"/>
    </row>
    <row r="24" spans="1:15" x14ac:dyDescent="0.35">
      <c r="I24" s="39"/>
      <c r="J24" s="5"/>
      <c r="K24" s="5"/>
      <c r="L24" s="40"/>
      <c r="M24" s="40"/>
      <c r="N24" s="40"/>
      <c r="O24" s="40"/>
    </row>
    <row r="25" spans="1:15" x14ac:dyDescent="0.35">
      <c r="I25" s="39"/>
      <c r="J25" s="5"/>
      <c r="K25" s="5"/>
      <c r="L25" s="40"/>
      <c r="M25" s="40"/>
      <c r="N25" s="40"/>
      <c r="O25" s="40"/>
    </row>
  </sheetData>
  <autoFilter ref="A6:P17"/>
  <conditionalFormatting sqref="C8:C1048576">
    <cfRule type="cellIs" dxfId="205" priority="27" operator="equal">
      <formula>"WIP (see comments)"</formula>
    </cfRule>
    <cfRule type="cellIs" dxfId="204" priority="28" operator="equal">
      <formula>"Removed"</formula>
    </cfRule>
    <cfRule type="cellIs" dxfId="203" priority="29" operator="equal">
      <formula>"Updated"</formula>
    </cfRule>
    <cfRule type="cellIs" dxfId="202" priority="30" operator="equal">
      <formula>"New"</formula>
    </cfRule>
  </conditionalFormatting>
  <conditionalFormatting sqref="C7:C17">
    <cfRule type="cellIs" dxfId="201" priority="19" operator="equal">
      <formula>"WIP (see comments)"</formula>
    </cfRule>
    <cfRule type="cellIs" dxfId="200" priority="20" operator="equal">
      <formula>"Removed"</formula>
    </cfRule>
    <cfRule type="cellIs" dxfId="199" priority="21" operator="equal">
      <formula>"Updated"</formula>
    </cfRule>
    <cfRule type="cellIs" dxfId="198" priority="22" operator="equal">
      <formula>"New"</formula>
    </cfRule>
  </conditionalFormatting>
  <conditionalFormatting sqref="A3:XFD3 A4 C4:XFD4 A1:C2 E1:XFD2 A5:XFD10 A11:C11 A12:XFD1048576 E11:N11 P11:XFD11">
    <cfRule type="cellIs" dxfId="197" priority="10" operator="equal">
      <formula>"n/a"</formula>
    </cfRule>
  </conditionalFormatting>
  <conditionalFormatting sqref="B4">
    <cfRule type="cellIs" dxfId="196" priority="9" operator="equal">
      <formula>"n/a"</formula>
    </cfRule>
  </conditionalFormatting>
  <conditionalFormatting sqref="C7">
    <cfRule type="cellIs" dxfId="195" priority="5" operator="equal">
      <formula>"WIP (see comments)"</formula>
    </cfRule>
    <cfRule type="cellIs" dxfId="194" priority="6" operator="equal">
      <formula>"Removed"</formula>
    </cfRule>
    <cfRule type="cellIs" dxfId="193" priority="7" operator="equal">
      <formula>"Updated"</formula>
    </cfRule>
    <cfRule type="cellIs" dxfId="192" priority="8" operator="equal">
      <formula>"New"</formula>
    </cfRule>
  </conditionalFormatting>
  <conditionalFormatting sqref="D1">
    <cfRule type="cellIs" dxfId="191" priority="4" operator="equal">
      <formula>"n/a"</formula>
    </cfRule>
  </conditionalFormatting>
  <conditionalFormatting sqref="D2">
    <cfRule type="cellIs" dxfId="190" priority="3" operator="equal">
      <formula>"n/a"</formula>
    </cfRule>
  </conditionalFormatting>
  <conditionalFormatting sqref="D11">
    <cfRule type="cellIs" dxfId="189" priority="2" operator="equal">
      <formula>"n/a"</formula>
    </cfRule>
  </conditionalFormatting>
  <conditionalFormatting sqref="O11">
    <cfRule type="cellIs" dxfId="188" priority="1" operator="equal">
      <formula>"n/a"</formula>
    </cfRule>
  </conditionalFormatting>
  <dataValidations count="1">
    <dataValidation type="list" allowBlank="1" showInputMessage="1" showErrorMessage="1" sqref="C18:C1048576">
      <formula1>$B$5:$B$15</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C7:C17</xm:sqref>
        </x14:dataValidation>
        <x14:dataValidation type="list" allowBlank="1" showInputMessage="1" showErrorMessage="1">
          <x14:formula1>
            <xm:f>'List Values'!$A$5:$A$27</xm:f>
          </x14:formula1>
          <xm:sqref>E7:E1048576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0"/>
  <sheetViews>
    <sheetView workbookViewId="0">
      <pane xSplit="4" ySplit="6" topLeftCell="E7" activePane="bottomRight" state="frozen"/>
      <selection pane="topRight" activeCell="E1" sqref="E1"/>
      <selection pane="bottomLeft" activeCell="A7" sqref="A7"/>
      <selection pane="bottomRight" activeCell="A8" sqref="A8"/>
    </sheetView>
  </sheetViews>
  <sheetFormatPr defaultColWidth="9.1796875" defaultRowHeight="14.5" x14ac:dyDescent="0.35"/>
  <cols>
    <col min="1" max="1" width="14.7265625" style="6" customWidth="1"/>
    <col min="2" max="2" width="12.54296875" style="6" customWidth="1"/>
    <col min="3" max="3" width="15.1796875"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191</v>
      </c>
      <c r="C1" s="32"/>
      <c r="D1" s="29"/>
    </row>
    <row r="2" spans="1:16" s="30" customFormat="1" ht="18.5" x14ac:dyDescent="0.35">
      <c r="A2" s="28" t="s">
        <v>7</v>
      </c>
      <c r="B2" s="36">
        <v>11</v>
      </c>
      <c r="C2" s="35"/>
      <c r="D2" s="36"/>
    </row>
    <row r="3" spans="1:16" s="30" customFormat="1" ht="18.5" x14ac:dyDescent="0.35">
      <c r="A3" s="28" t="s">
        <v>44</v>
      </c>
      <c r="B3" s="36" t="s">
        <v>338</v>
      </c>
      <c r="C3" s="35"/>
      <c r="D3" s="36"/>
    </row>
    <row r="4" spans="1:16" s="30" customFormat="1" ht="18.5" x14ac:dyDescent="0.35">
      <c r="A4" s="28" t="s">
        <v>8</v>
      </c>
      <c r="B4" s="30" t="s">
        <v>193</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 t="shared" ref="B7:B13" si="0">CONCATENATE($B$2, ".", A7)</f>
        <v>11.1</v>
      </c>
      <c r="C7" s="34" t="s">
        <v>40</v>
      </c>
      <c r="D7" s="39" t="s">
        <v>227</v>
      </c>
      <c r="E7" s="6" t="s">
        <v>29</v>
      </c>
      <c r="F7" s="6" t="s">
        <v>37</v>
      </c>
      <c r="G7" s="6" t="s">
        <v>37</v>
      </c>
      <c r="H7" s="34" t="s">
        <v>37</v>
      </c>
      <c r="I7" s="39" t="s">
        <v>10</v>
      </c>
      <c r="J7" s="5" t="s">
        <v>37</v>
      </c>
      <c r="K7" s="5" t="s">
        <v>37</v>
      </c>
      <c r="L7" s="5" t="s">
        <v>37</v>
      </c>
      <c r="M7" s="5" t="s">
        <v>37</v>
      </c>
      <c r="N7" s="5" t="s">
        <v>37</v>
      </c>
      <c r="O7" s="5" t="s">
        <v>37</v>
      </c>
    </row>
    <row r="8" spans="1:16" ht="29" x14ac:dyDescent="0.35">
      <c r="A8" s="6">
        <v>2</v>
      </c>
      <c r="B8" s="6" t="str">
        <f t="shared" si="0"/>
        <v>11.2</v>
      </c>
      <c r="C8" s="34" t="s">
        <v>45</v>
      </c>
      <c r="D8" s="39" t="s">
        <v>37</v>
      </c>
      <c r="E8" s="39" t="s">
        <v>49</v>
      </c>
      <c r="F8" s="6" t="s">
        <v>37</v>
      </c>
      <c r="G8" s="6" t="s">
        <v>37</v>
      </c>
      <c r="H8" s="34" t="s">
        <v>37</v>
      </c>
      <c r="I8" s="39" t="s">
        <v>10</v>
      </c>
      <c r="J8" s="5" t="s">
        <v>37</v>
      </c>
      <c r="K8" s="5" t="s">
        <v>37</v>
      </c>
      <c r="L8" s="5" t="s">
        <v>37</v>
      </c>
      <c r="M8" s="5" t="s">
        <v>37</v>
      </c>
      <c r="N8" s="5" t="s">
        <v>37</v>
      </c>
      <c r="O8" s="5" t="s">
        <v>37</v>
      </c>
      <c r="P8" s="6" t="s">
        <v>348</v>
      </c>
    </row>
    <row r="9" spans="1:16" ht="58" x14ac:dyDescent="0.35">
      <c r="A9" s="6">
        <v>3</v>
      </c>
      <c r="B9" s="6" t="str">
        <f t="shared" si="0"/>
        <v>11.3</v>
      </c>
      <c r="C9" s="34" t="s">
        <v>40</v>
      </c>
      <c r="D9" s="39" t="s">
        <v>228</v>
      </c>
      <c r="E9" s="39" t="s">
        <v>34</v>
      </c>
      <c r="F9" s="6" t="s">
        <v>37</v>
      </c>
      <c r="G9" s="6" t="s">
        <v>37</v>
      </c>
      <c r="H9" s="34" t="s">
        <v>37</v>
      </c>
      <c r="I9" s="39" t="s">
        <v>10</v>
      </c>
      <c r="J9" s="5" t="s">
        <v>37</v>
      </c>
      <c r="K9" s="5" t="s">
        <v>37</v>
      </c>
      <c r="L9" s="5" t="s">
        <v>37</v>
      </c>
      <c r="M9" s="5" t="s">
        <v>37</v>
      </c>
      <c r="N9" s="5" t="s">
        <v>37</v>
      </c>
      <c r="O9" s="5" t="s">
        <v>37</v>
      </c>
    </row>
    <row r="10" spans="1:16" ht="29" x14ac:dyDescent="0.35">
      <c r="A10" s="6">
        <v>4</v>
      </c>
      <c r="B10" s="6" t="str">
        <f t="shared" si="0"/>
        <v>11.4</v>
      </c>
      <c r="C10" s="34" t="s">
        <v>40</v>
      </c>
      <c r="D10" s="6" t="s">
        <v>218</v>
      </c>
      <c r="E10" s="91" t="s">
        <v>32</v>
      </c>
      <c r="F10" s="6" t="s">
        <v>64</v>
      </c>
      <c r="G10" s="6" t="s">
        <v>37</v>
      </c>
      <c r="H10" s="34" t="s">
        <v>37</v>
      </c>
      <c r="I10" s="39" t="s">
        <v>10</v>
      </c>
      <c r="J10" s="5" t="s">
        <v>186</v>
      </c>
      <c r="K10" s="88" t="s">
        <v>187</v>
      </c>
      <c r="L10" s="90" t="s">
        <v>219</v>
      </c>
      <c r="M10" s="5" t="s">
        <v>37</v>
      </c>
      <c r="N10" s="5" t="s">
        <v>37</v>
      </c>
      <c r="O10" s="92" t="s">
        <v>220</v>
      </c>
    </row>
    <row r="11" spans="1:16" ht="40.5" customHeight="1" x14ac:dyDescent="0.35">
      <c r="A11" s="6">
        <v>6</v>
      </c>
      <c r="B11" s="6" t="str">
        <f t="shared" si="0"/>
        <v>11.6</v>
      </c>
      <c r="C11" s="34" t="s">
        <v>40</v>
      </c>
      <c r="D11" s="6" t="s">
        <v>275</v>
      </c>
      <c r="E11" s="91"/>
      <c r="F11" s="6" t="s">
        <v>64</v>
      </c>
      <c r="G11" s="48" t="s">
        <v>37</v>
      </c>
      <c r="H11" s="72" t="s">
        <v>37</v>
      </c>
      <c r="I11" s="50" t="s">
        <v>10</v>
      </c>
      <c r="J11" s="5" t="s">
        <v>186</v>
      </c>
      <c r="K11" s="88"/>
      <c r="L11" s="90"/>
      <c r="M11" s="5" t="s">
        <v>37</v>
      </c>
      <c r="N11" s="5" t="s">
        <v>37</v>
      </c>
      <c r="O11" s="92"/>
    </row>
    <row r="12" spans="1:16" ht="231.75" customHeight="1" x14ac:dyDescent="0.35">
      <c r="A12" s="6">
        <v>7</v>
      </c>
      <c r="B12" s="6" t="str">
        <f t="shared" si="0"/>
        <v>11.7</v>
      </c>
      <c r="C12" s="34" t="s">
        <v>40</v>
      </c>
      <c r="D12" s="34" t="s">
        <v>276</v>
      </c>
      <c r="E12" s="39" t="s">
        <v>229</v>
      </c>
      <c r="F12" s="6" t="s">
        <v>37</v>
      </c>
      <c r="G12" s="6" t="s">
        <v>37</v>
      </c>
      <c r="H12" s="72" t="s">
        <v>37</v>
      </c>
      <c r="I12" s="50" t="s">
        <v>342</v>
      </c>
      <c r="J12" s="5" t="s">
        <v>37</v>
      </c>
      <c r="K12" s="5" t="s">
        <v>37</v>
      </c>
      <c r="L12" s="5" t="s">
        <v>37</v>
      </c>
      <c r="M12" s="5" t="s">
        <v>37</v>
      </c>
      <c r="N12" s="5" t="s">
        <v>37</v>
      </c>
      <c r="O12" s="5" t="s">
        <v>341</v>
      </c>
    </row>
    <row r="13" spans="1:16" ht="81.75" customHeight="1" x14ac:dyDescent="0.35">
      <c r="A13" s="6">
        <v>8</v>
      </c>
      <c r="B13" s="6" t="str">
        <f t="shared" si="0"/>
        <v>11.8</v>
      </c>
      <c r="C13" s="34" t="s">
        <v>40</v>
      </c>
      <c r="D13" s="39" t="s">
        <v>60</v>
      </c>
      <c r="E13" s="39" t="s">
        <v>43</v>
      </c>
      <c r="F13" s="39" t="s">
        <v>37</v>
      </c>
      <c r="G13" s="39" t="s">
        <v>37</v>
      </c>
      <c r="H13" s="47" t="s">
        <v>37</v>
      </c>
      <c r="I13" s="39" t="s">
        <v>10</v>
      </c>
      <c r="J13" s="39" t="s">
        <v>37</v>
      </c>
      <c r="K13" s="39" t="s">
        <v>37</v>
      </c>
      <c r="L13" s="39" t="s">
        <v>37</v>
      </c>
      <c r="M13" s="39" t="s">
        <v>37</v>
      </c>
      <c r="N13" s="39" t="s">
        <v>37</v>
      </c>
      <c r="O13" s="39" t="s">
        <v>340</v>
      </c>
    </row>
    <row r="14" spans="1:16" x14ac:dyDescent="0.35">
      <c r="I14" s="39"/>
      <c r="J14" s="5"/>
      <c r="K14" s="5"/>
      <c r="L14" s="40"/>
      <c r="M14" s="40"/>
      <c r="N14" s="40"/>
      <c r="O14" s="40"/>
    </row>
    <row r="15" spans="1:16" x14ac:dyDescent="0.35">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sheetData>
  <mergeCells count="4">
    <mergeCell ref="K10:K11"/>
    <mergeCell ref="L10:L11"/>
    <mergeCell ref="E10:E11"/>
    <mergeCell ref="O10:O11"/>
  </mergeCells>
  <conditionalFormatting sqref="C7:C1048576">
    <cfRule type="cellIs" dxfId="187" priority="31" operator="equal">
      <formula>"WIP (see comments)"</formula>
    </cfRule>
    <cfRule type="cellIs" dxfId="186" priority="32" operator="equal">
      <formula>"Removed"</formula>
    </cfRule>
    <cfRule type="cellIs" dxfId="185" priority="33" operator="equal">
      <formula>"Updated"</formula>
    </cfRule>
    <cfRule type="cellIs" dxfId="184" priority="34" operator="equal">
      <formula>"New"</formula>
    </cfRule>
  </conditionalFormatting>
  <conditionalFormatting sqref="D10:E10 G10:I10 M10:O10 A10:C12 M11:N11 C11:C13 A7:O9">
    <cfRule type="cellIs" dxfId="183" priority="22" operator="equal">
      <formula>"n/a"</formula>
    </cfRule>
  </conditionalFormatting>
  <conditionalFormatting sqref="D11:D12 F11:J12">
    <cfRule type="cellIs" dxfId="182" priority="21" operator="equal">
      <formula>"n/a"</formula>
    </cfRule>
  </conditionalFormatting>
  <conditionalFormatting sqref="K10:L10">
    <cfRule type="cellIs" dxfId="181" priority="20" operator="equal">
      <formula>"n/a"</formula>
    </cfRule>
  </conditionalFormatting>
  <conditionalFormatting sqref="A13:B13">
    <cfRule type="cellIs" dxfId="180" priority="14" operator="equal">
      <formula>"n/a"</formula>
    </cfRule>
  </conditionalFormatting>
  <conditionalFormatting sqref="D13:N13">
    <cfRule type="cellIs" dxfId="179" priority="13" operator="equal">
      <formula>"n/a"</formula>
    </cfRule>
  </conditionalFormatting>
  <conditionalFormatting sqref="F10">
    <cfRule type="cellIs" dxfId="178" priority="11" operator="equal">
      <formula>"n/a"</formula>
    </cfRule>
  </conditionalFormatting>
  <conditionalFormatting sqref="J10">
    <cfRule type="cellIs" dxfId="177" priority="10" operator="equal">
      <formula>"n/a"</formula>
    </cfRule>
  </conditionalFormatting>
  <conditionalFormatting sqref="E12">
    <cfRule type="cellIs" dxfId="176" priority="9" operator="equal">
      <formula>"n/a"</formula>
    </cfRule>
  </conditionalFormatting>
  <conditionalFormatting sqref="K12">
    <cfRule type="cellIs" dxfId="175" priority="8" operator="equal">
      <formula>"n/a"</formula>
    </cfRule>
  </conditionalFormatting>
  <conditionalFormatting sqref="L12">
    <cfRule type="cellIs" dxfId="174" priority="7" operator="equal">
      <formula>"n/a"</formula>
    </cfRule>
  </conditionalFormatting>
  <conditionalFormatting sqref="M12">
    <cfRule type="cellIs" dxfId="173" priority="6" operator="equal">
      <formula>"n/a"</formula>
    </cfRule>
  </conditionalFormatting>
  <conditionalFormatting sqref="N12">
    <cfRule type="cellIs" dxfId="172" priority="5" operator="equal">
      <formula>"n/a"</formula>
    </cfRule>
  </conditionalFormatting>
  <conditionalFormatting sqref="O12">
    <cfRule type="cellIs" dxfId="171" priority="4" operator="equal">
      <formula>"n/a"</formula>
    </cfRule>
  </conditionalFormatting>
  <conditionalFormatting sqref="D1">
    <cfRule type="cellIs" dxfId="170" priority="3" operator="equal">
      <formula>"n/a"</formula>
    </cfRule>
  </conditionalFormatting>
  <conditionalFormatting sqref="B4">
    <cfRule type="cellIs" dxfId="169" priority="2" operator="equal">
      <formula>"n/a"</formula>
    </cfRule>
  </conditionalFormatting>
  <conditionalFormatting sqref="P8">
    <cfRule type="cellIs" dxfId="168" priority="1" operator="equal">
      <formula>"n/a"</formula>
    </cfRule>
  </conditionalFormatting>
  <dataValidations count="1">
    <dataValidation type="list" allowBlank="1" showInputMessage="1" showErrorMessage="1" sqref="E12: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Values'!$A$5:$A$27</xm:f>
          </x14:formula1>
          <xm:sqref>E7:E10</xm:sqref>
        </x14:dataValidation>
        <x14:dataValidation type="list" allowBlank="1" showInputMessage="1" showErrorMessage="1">
          <x14:formula1>
            <xm:f>'List Values'!$B$5:$B$13</xm:f>
          </x14:formula1>
          <xm:sqref>C14:C1048576</xm:sqref>
        </x14:dataValidation>
        <x14:dataValidation type="list" allowBlank="1" showInputMessage="1" showErrorMessage="1">
          <x14:formula1>
            <xm:f>'List Values'!$B$5:$B$12</xm:f>
          </x14:formula1>
          <xm:sqref>C7:C13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8"/>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5.1796875"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179687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194</v>
      </c>
      <c r="C1" s="32"/>
      <c r="D1" s="29"/>
    </row>
    <row r="2" spans="1:16" s="30" customFormat="1" ht="18.5" x14ac:dyDescent="0.35">
      <c r="A2" s="28" t="s">
        <v>7</v>
      </c>
      <c r="B2" s="36">
        <v>12</v>
      </c>
      <c r="C2" s="35"/>
      <c r="D2" s="36"/>
    </row>
    <row r="3" spans="1:16" s="30" customFormat="1" ht="18.5" x14ac:dyDescent="0.35">
      <c r="A3" s="28" t="s">
        <v>44</v>
      </c>
      <c r="B3" s="36" t="s">
        <v>339</v>
      </c>
      <c r="C3" s="35"/>
      <c r="D3" s="36"/>
    </row>
    <row r="4" spans="1:16" s="30" customFormat="1" ht="18.5" x14ac:dyDescent="0.35">
      <c r="A4" s="28" t="s">
        <v>8</v>
      </c>
      <c r="B4" s="30" t="s">
        <v>193</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 t="shared" ref="B7:B11" si="0">CONCATENATE($B$2, ".", A7)</f>
        <v>12.1</v>
      </c>
      <c r="C7" s="34" t="s">
        <v>40</v>
      </c>
      <c r="D7" s="39" t="s">
        <v>152</v>
      </c>
      <c r="E7" s="6" t="s">
        <v>29</v>
      </c>
      <c r="F7" s="6" t="s">
        <v>37</v>
      </c>
      <c r="G7" s="6" t="s">
        <v>37</v>
      </c>
      <c r="H7" s="34" t="s">
        <v>37</v>
      </c>
      <c r="I7" s="39" t="s">
        <v>10</v>
      </c>
      <c r="J7" s="5" t="s">
        <v>37</v>
      </c>
      <c r="K7" s="5" t="s">
        <v>37</v>
      </c>
      <c r="L7" s="5" t="s">
        <v>37</v>
      </c>
      <c r="M7" s="5" t="s">
        <v>37</v>
      </c>
      <c r="N7" s="5" t="s">
        <v>37</v>
      </c>
      <c r="O7" s="5" t="s">
        <v>37</v>
      </c>
    </row>
    <row r="8" spans="1:16" ht="29" x14ac:dyDescent="0.35">
      <c r="A8" s="6">
        <v>2</v>
      </c>
      <c r="B8" s="6" t="str">
        <f t="shared" si="0"/>
        <v>12.2</v>
      </c>
      <c r="C8" s="34" t="s">
        <v>45</v>
      </c>
      <c r="D8" s="39" t="s">
        <v>37</v>
      </c>
      <c r="E8" s="39" t="s">
        <v>49</v>
      </c>
      <c r="F8" s="6" t="s">
        <v>37</v>
      </c>
      <c r="G8" s="6" t="s">
        <v>37</v>
      </c>
      <c r="H8" s="34" t="s">
        <v>37</v>
      </c>
      <c r="I8" s="39" t="s">
        <v>10</v>
      </c>
      <c r="J8" s="5" t="s">
        <v>37</v>
      </c>
      <c r="K8" s="5" t="s">
        <v>37</v>
      </c>
      <c r="L8" s="5" t="s">
        <v>37</v>
      </c>
      <c r="M8" s="5" t="s">
        <v>37</v>
      </c>
      <c r="N8" s="5" t="s">
        <v>37</v>
      </c>
      <c r="O8" s="5" t="s">
        <v>37</v>
      </c>
      <c r="P8" s="6" t="s">
        <v>348</v>
      </c>
    </row>
    <row r="9" spans="1:16" ht="81" customHeight="1" x14ac:dyDescent="0.35">
      <c r="A9" s="6">
        <v>3</v>
      </c>
      <c r="B9" s="6" t="str">
        <f t="shared" si="0"/>
        <v>12.3</v>
      </c>
      <c r="C9" s="34" t="s">
        <v>40</v>
      </c>
      <c r="D9" s="6" t="s">
        <v>37</v>
      </c>
      <c r="E9" s="6" t="s">
        <v>199</v>
      </c>
      <c r="F9" s="6" t="s">
        <v>37</v>
      </c>
      <c r="G9" s="6" t="s">
        <v>37</v>
      </c>
      <c r="H9" s="34" t="s">
        <v>37</v>
      </c>
      <c r="I9" s="39" t="s">
        <v>10</v>
      </c>
      <c r="J9" s="5" t="s">
        <v>37</v>
      </c>
      <c r="K9" s="5" t="s">
        <v>187</v>
      </c>
      <c r="L9" s="50" t="s">
        <v>37</v>
      </c>
      <c r="M9" s="5" t="s">
        <v>37</v>
      </c>
      <c r="N9" s="5" t="s">
        <v>37</v>
      </c>
      <c r="O9" s="40" t="s">
        <v>225</v>
      </c>
    </row>
    <row r="10" spans="1:16" ht="77" customHeight="1" x14ac:dyDescent="0.35">
      <c r="A10" s="6">
        <v>4</v>
      </c>
      <c r="B10" s="6" t="str">
        <f t="shared" si="0"/>
        <v>12.4</v>
      </c>
      <c r="C10" s="34" t="s">
        <v>40</v>
      </c>
      <c r="D10" s="6" t="s">
        <v>59</v>
      </c>
      <c r="E10" s="6" t="s">
        <v>43</v>
      </c>
      <c r="F10" s="6" t="s">
        <v>37</v>
      </c>
      <c r="G10" s="6" t="s">
        <v>37</v>
      </c>
      <c r="H10" s="34" t="s">
        <v>37</v>
      </c>
      <c r="I10" s="39" t="s">
        <v>246</v>
      </c>
      <c r="J10" s="5" t="s">
        <v>37</v>
      </c>
      <c r="K10" s="5" t="s">
        <v>37</v>
      </c>
      <c r="L10" s="50" t="s">
        <v>37</v>
      </c>
      <c r="M10" s="5" t="s">
        <v>37</v>
      </c>
      <c r="N10" s="5" t="s">
        <v>37</v>
      </c>
      <c r="O10" s="40" t="s">
        <v>343</v>
      </c>
    </row>
    <row r="11" spans="1:16" ht="29" x14ac:dyDescent="0.35">
      <c r="A11" s="6">
        <v>5</v>
      </c>
      <c r="B11" s="6" t="str">
        <f t="shared" si="0"/>
        <v>12.5</v>
      </c>
      <c r="C11" s="34" t="s">
        <v>40</v>
      </c>
      <c r="D11" s="39" t="s">
        <v>60</v>
      </c>
      <c r="E11" s="39" t="s">
        <v>43</v>
      </c>
      <c r="F11" s="39" t="s">
        <v>37</v>
      </c>
      <c r="G11" s="39" t="s">
        <v>37</v>
      </c>
      <c r="H11" s="47" t="s">
        <v>37</v>
      </c>
      <c r="I11" s="39" t="s">
        <v>10</v>
      </c>
      <c r="J11" s="39" t="s">
        <v>37</v>
      </c>
      <c r="K11" s="39" t="s">
        <v>37</v>
      </c>
      <c r="L11" s="39" t="s">
        <v>37</v>
      </c>
      <c r="M11" s="39" t="s">
        <v>37</v>
      </c>
      <c r="N11" s="39" t="s">
        <v>37</v>
      </c>
      <c r="O11" s="39" t="s">
        <v>344</v>
      </c>
    </row>
    <row r="12" spans="1:16" x14ac:dyDescent="0.35">
      <c r="I12" s="39"/>
      <c r="J12" s="5"/>
      <c r="K12" s="5"/>
      <c r="L12" s="40"/>
      <c r="M12" s="40"/>
      <c r="N12" s="40"/>
      <c r="O12" s="40"/>
    </row>
    <row r="13" spans="1:16" x14ac:dyDescent="0.35">
      <c r="I13" s="39"/>
      <c r="J13" s="5"/>
      <c r="K13" s="5"/>
      <c r="L13" s="40"/>
      <c r="M13" s="40"/>
      <c r="N13" s="40"/>
      <c r="O13" s="40"/>
    </row>
    <row r="14" spans="1:16" x14ac:dyDescent="0.35">
      <c r="I14" s="39"/>
      <c r="J14" s="5"/>
      <c r="K14" s="5"/>
      <c r="L14" s="40"/>
      <c r="M14" s="40"/>
      <c r="N14" s="40"/>
      <c r="O14" s="40"/>
    </row>
    <row r="15" spans="1:16" x14ac:dyDescent="0.35">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sheetData>
  <conditionalFormatting sqref="C12:C1048576">
    <cfRule type="cellIs" dxfId="167" priority="16" operator="equal">
      <formula>"WIP (see comments)"</formula>
    </cfRule>
    <cfRule type="cellIs" dxfId="166" priority="17" operator="equal">
      <formula>"Removed"</formula>
    </cfRule>
    <cfRule type="cellIs" dxfId="165" priority="18" operator="equal">
      <formula>"Updated"</formula>
    </cfRule>
    <cfRule type="cellIs" dxfId="164" priority="19" operator="equal">
      <formula>"New"</formula>
    </cfRule>
  </conditionalFormatting>
  <conditionalFormatting sqref="C7:C10">
    <cfRule type="cellIs" dxfId="163" priority="12" operator="equal">
      <formula>"WIP (see comments)"</formula>
    </cfRule>
    <cfRule type="cellIs" dxfId="162" priority="13" operator="equal">
      <formula>"Removed"</formula>
    </cfRule>
    <cfRule type="cellIs" dxfId="161" priority="14" operator="equal">
      <formula>"Updated"</formula>
    </cfRule>
    <cfRule type="cellIs" dxfId="160" priority="15" operator="equal">
      <formula>"New"</formula>
    </cfRule>
  </conditionalFormatting>
  <conditionalFormatting sqref="A2:XFD8 A12:XFD1048576 P9:XFD10 M9:N10 A9:J9 C10:J10 A10:B11 A1:C1 E1:XFD1">
    <cfRule type="cellIs" dxfId="159" priority="11" operator="equal">
      <formula>"n/a"</formula>
    </cfRule>
  </conditionalFormatting>
  <conditionalFormatting sqref="K9:L10">
    <cfRule type="cellIs" dxfId="158" priority="9" operator="equal">
      <formula>"n/a"</formula>
    </cfRule>
  </conditionalFormatting>
  <conditionalFormatting sqref="O9:O10">
    <cfRule type="cellIs" dxfId="157" priority="8" operator="equal">
      <formula>"n/a"</formula>
    </cfRule>
  </conditionalFormatting>
  <conditionalFormatting sqref="C11">
    <cfRule type="cellIs" dxfId="156" priority="4" operator="equal">
      <formula>"WIP (see comments)"</formula>
    </cfRule>
    <cfRule type="cellIs" dxfId="155" priority="5" operator="equal">
      <formula>"Removed"</formula>
    </cfRule>
    <cfRule type="cellIs" dxfId="154" priority="6" operator="equal">
      <formula>"Updated"</formula>
    </cfRule>
    <cfRule type="cellIs" dxfId="153" priority="7" operator="equal">
      <formula>"New"</formula>
    </cfRule>
  </conditionalFormatting>
  <conditionalFormatting sqref="P11:XFD11 C11">
    <cfRule type="cellIs" dxfId="152" priority="3" operator="equal">
      <formula>"n/a"</formula>
    </cfRule>
  </conditionalFormatting>
  <conditionalFormatting sqref="D11:N11">
    <cfRule type="cellIs" dxfId="151" priority="2" operator="equal">
      <formula>"n/a"</formula>
    </cfRule>
  </conditionalFormatting>
  <conditionalFormatting sqref="D1">
    <cfRule type="cellIs" dxfId="150"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5"/>
  <sheetViews>
    <sheetView workbookViewId="0">
      <pane xSplit="4" ySplit="6" topLeftCell="E7" activePane="bottomRight" state="frozen"/>
      <selection pane="topRight" activeCell="E1" sqref="E1"/>
      <selection pane="bottomLeft" activeCell="A7" sqref="A7"/>
      <selection pane="bottomRight" activeCell="D3" sqref="D3"/>
    </sheetView>
  </sheetViews>
  <sheetFormatPr defaultColWidth="9.1796875" defaultRowHeight="14.5" x14ac:dyDescent="0.35"/>
  <cols>
    <col min="1" max="1" width="14.7265625" style="6" customWidth="1"/>
    <col min="2" max="2" width="12.54296875" style="6" customWidth="1"/>
    <col min="3" max="3" width="15.1796875"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221</v>
      </c>
      <c r="C1" s="32"/>
      <c r="D1" s="29"/>
    </row>
    <row r="2" spans="1:16" s="30" customFormat="1" ht="18.5" x14ac:dyDescent="0.35">
      <c r="A2" s="28" t="s">
        <v>7</v>
      </c>
      <c r="B2" s="36">
        <v>13</v>
      </c>
      <c r="C2" s="35"/>
      <c r="D2" s="36"/>
    </row>
    <row r="3" spans="1:16" s="30" customFormat="1" ht="18.5" x14ac:dyDescent="0.35">
      <c r="A3" s="28" t="s">
        <v>44</v>
      </c>
      <c r="B3" s="36" t="s">
        <v>345</v>
      </c>
      <c r="C3" s="35"/>
      <c r="D3" s="36"/>
    </row>
    <row r="4" spans="1:16" s="30" customFormat="1" ht="18.5" x14ac:dyDescent="0.35">
      <c r="A4" s="28" t="s">
        <v>8</v>
      </c>
      <c r="B4" s="30" t="s">
        <v>277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ht="29" x14ac:dyDescent="0.35">
      <c r="A7" s="5">
        <v>1</v>
      </c>
      <c r="B7" s="5" t="str">
        <f>CONCATENATE($B$2, ".", A7)</f>
        <v>13.1</v>
      </c>
      <c r="C7" s="71" t="s">
        <v>45</v>
      </c>
      <c r="D7" s="5" t="s">
        <v>37</v>
      </c>
      <c r="E7" s="40" t="s">
        <v>139</v>
      </c>
      <c r="F7" s="5" t="s">
        <v>37</v>
      </c>
      <c r="G7" s="5" t="s">
        <v>37</v>
      </c>
      <c r="H7" s="71" t="s">
        <v>37</v>
      </c>
      <c r="I7" s="40" t="s">
        <v>10</v>
      </c>
      <c r="J7" s="5" t="s">
        <v>37</v>
      </c>
      <c r="K7" s="5" t="s">
        <v>37</v>
      </c>
      <c r="L7" s="5" t="s">
        <v>37</v>
      </c>
      <c r="M7" s="5" t="s">
        <v>37</v>
      </c>
      <c r="N7" s="5" t="s">
        <v>37</v>
      </c>
      <c r="O7" s="40" t="s">
        <v>231</v>
      </c>
      <c r="P7" s="5" t="s">
        <v>347</v>
      </c>
    </row>
    <row r="8" spans="1:16" x14ac:dyDescent="0.35">
      <c r="A8" s="5">
        <v>2</v>
      </c>
      <c r="B8" s="5" t="str">
        <f t="shared" ref="B8" si="0">CONCATENATE($B$2, ".", A8)</f>
        <v>13.2</v>
      </c>
      <c r="C8" s="73" t="s">
        <v>233</v>
      </c>
      <c r="D8" s="40" t="s">
        <v>230</v>
      </c>
      <c r="E8" s="40" t="s">
        <v>140</v>
      </c>
      <c r="F8" s="5" t="s">
        <v>37</v>
      </c>
      <c r="G8" s="5" t="s">
        <v>37</v>
      </c>
      <c r="H8" s="71" t="s">
        <v>37</v>
      </c>
      <c r="I8" s="40" t="s">
        <v>10</v>
      </c>
      <c r="J8" s="5" t="s">
        <v>37</v>
      </c>
      <c r="K8" s="5" t="s">
        <v>37</v>
      </c>
      <c r="L8" s="5" t="s">
        <v>37</v>
      </c>
      <c r="M8" s="5" t="s">
        <v>37</v>
      </c>
      <c r="N8" s="5" t="s">
        <v>37</v>
      </c>
      <c r="O8" s="5"/>
      <c r="P8" s="5"/>
    </row>
    <row r="9" spans="1:16" ht="231" customHeight="1" x14ac:dyDescent="0.35">
      <c r="A9" s="6">
        <v>3</v>
      </c>
      <c r="B9" s="6" t="str">
        <f t="shared" ref="B9" si="1">CONCATENATE($B$2, ".", A9)</f>
        <v>13.3</v>
      </c>
      <c r="C9" s="73" t="s">
        <v>45</v>
      </c>
      <c r="D9" s="39" t="s">
        <v>346</v>
      </c>
      <c r="E9" s="39" t="s">
        <v>117</v>
      </c>
      <c r="F9" s="6" t="s">
        <v>37</v>
      </c>
      <c r="G9" s="6" t="s">
        <v>37</v>
      </c>
      <c r="H9" s="34" t="s">
        <v>37</v>
      </c>
      <c r="I9" s="39" t="s">
        <v>10</v>
      </c>
      <c r="J9" s="5" t="s">
        <v>37</v>
      </c>
      <c r="K9" s="5" t="s">
        <v>37</v>
      </c>
      <c r="L9" s="5" t="s">
        <v>37</v>
      </c>
      <c r="M9" s="5" t="s">
        <v>37</v>
      </c>
      <c r="N9" s="5" t="s">
        <v>37</v>
      </c>
      <c r="O9" s="5" t="s">
        <v>170</v>
      </c>
      <c r="P9" s="6" t="s">
        <v>278</v>
      </c>
    </row>
    <row r="10" spans="1:16" x14ac:dyDescent="0.35">
      <c r="I10" s="39"/>
      <c r="J10" s="5"/>
      <c r="K10" s="5"/>
      <c r="L10" s="40"/>
      <c r="M10" s="40"/>
      <c r="N10" s="40"/>
      <c r="O10" s="40"/>
    </row>
    <row r="11" spans="1:16" x14ac:dyDescent="0.35">
      <c r="I11" s="39"/>
      <c r="J11" s="5"/>
      <c r="K11" s="5"/>
      <c r="L11" s="40"/>
      <c r="M11" s="40"/>
      <c r="N11" s="40"/>
      <c r="O11" s="40"/>
    </row>
    <row r="12" spans="1:16" x14ac:dyDescent="0.35">
      <c r="I12" s="39"/>
      <c r="J12" s="5"/>
      <c r="K12" s="5"/>
      <c r="L12" s="40"/>
      <c r="M12" s="40"/>
      <c r="N12" s="40"/>
      <c r="O12" s="40"/>
    </row>
    <row r="13" spans="1:16" x14ac:dyDescent="0.35">
      <c r="I13" s="39"/>
      <c r="J13" s="5"/>
      <c r="K13" s="5"/>
      <c r="L13" s="40"/>
      <c r="M13" s="40"/>
      <c r="N13" s="40"/>
      <c r="O13" s="40"/>
    </row>
    <row r="14" spans="1:16" x14ac:dyDescent="0.35">
      <c r="I14" s="39"/>
      <c r="J14" s="5"/>
      <c r="K14" s="5"/>
      <c r="L14" s="40"/>
      <c r="M14" s="40"/>
      <c r="N14" s="40"/>
      <c r="O14" s="40"/>
    </row>
    <row r="15" spans="1:16" x14ac:dyDescent="0.35">
      <c r="I15" s="39"/>
      <c r="J15" s="5"/>
      <c r="K15" s="5"/>
      <c r="L15" s="40"/>
      <c r="M15" s="40"/>
      <c r="N15" s="40"/>
      <c r="O15" s="40"/>
    </row>
  </sheetData>
  <conditionalFormatting sqref="C7:C1048576">
    <cfRule type="cellIs" dxfId="149" priority="23" operator="equal">
      <formula>"WIP (see comments)"</formula>
    </cfRule>
    <cfRule type="cellIs" dxfId="148" priority="24" operator="equal">
      <formula>"Removed"</formula>
    </cfRule>
    <cfRule type="cellIs" dxfId="147" priority="25" operator="equal">
      <formula>"Updated"</formula>
    </cfRule>
    <cfRule type="cellIs" dxfId="146" priority="26" operator="equal">
      <formula>"New"</formula>
    </cfRule>
  </conditionalFormatting>
  <conditionalFormatting sqref="A9:C9 E9:O9">
    <cfRule type="cellIs" dxfId="145" priority="22" operator="equal">
      <formula>"n/a"</formula>
    </cfRule>
  </conditionalFormatting>
  <conditionalFormatting sqref="A8:P8 E7:O7 A7:C7 C8:C9">
    <cfRule type="cellIs" dxfId="144" priority="6" operator="equal">
      <formula>"n/a"</formula>
    </cfRule>
  </conditionalFormatting>
  <conditionalFormatting sqref="P7">
    <cfRule type="cellIs" dxfId="143" priority="5" operator="equal">
      <formula>"n/a"</formula>
    </cfRule>
  </conditionalFormatting>
  <conditionalFormatting sqref="D7">
    <cfRule type="cellIs" dxfId="142" priority="4" operator="equal">
      <formula>"-"</formula>
    </cfRule>
  </conditionalFormatting>
  <conditionalFormatting sqref="D7">
    <cfRule type="cellIs" dxfId="141" priority="3" operator="equal">
      <formula>"n/a"</formula>
    </cfRule>
  </conditionalFormatting>
  <conditionalFormatting sqref="D1">
    <cfRule type="cellIs" dxfId="140" priority="2" operator="equal">
      <formula>"n/a"</formula>
    </cfRule>
  </conditionalFormatting>
  <conditionalFormatting sqref="D9">
    <cfRule type="cellIs" dxfId="13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Values'!$A$5:$A$27</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3"/>
  <sheetViews>
    <sheetView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37" style="6" customWidth="1"/>
    <col min="7" max="7" width="29.26953125" style="6" customWidth="1"/>
    <col min="8" max="8" width="11.54296875" style="3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112</v>
      </c>
      <c r="C1" s="32"/>
      <c r="D1" s="29" t="s">
        <v>312</v>
      </c>
      <c r="H1" s="35"/>
    </row>
    <row r="2" spans="1:16" s="30" customFormat="1" ht="18.5" x14ac:dyDescent="0.35">
      <c r="A2" s="28" t="s">
        <v>7</v>
      </c>
      <c r="B2" s="36">
        <v>14</v>
      </c>
      <c r="C2" s="35"/>
      <c r="D2" s="29"/>
      <c r="H2" s="35"/>
    </row>
    <row r="3" spans="1:16" s="30" customFormat="1" ht="18.5" x14ac:dyDescent="0.35">
      <c r="A3" s="28" t="s">
        <v>44</v>
      </c>
      <c r="B3" s="36" t="s">
        <v>376</v>
      </c>
      <c r="C3" s="35"/>
      <c r="D3" s="36"/>
      <c r="H3" s="35"/>
    </row>
    <row r="4" spans="1:16" s="30" customFormat="1" ht="18.5" x14ac:dyDescent="0.35">
      <c r="A4" s="28" t="s">
        <v>8</v>
      </c>
      <c r="B4" s="30" t="s">
        <v>47</v>
      </c>
      <c r="C4" s="35"/>
      <c r="H4" s="35"/>
    </row>
    <row r="5" spans="1:16" s="4" customFormat="1" x14ac:dyDescent="0.35">
      <c r="C5" s="37"/>
      <c r="H5" s="37"/>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6">
        <v>1</v>
      </c>
      <c r="B7" s="6" t="str">
        <f t="shared" ref="B7:B9" si="0">CONCATENATE($B$2, ".", A7)</f>
        <v>14.1</v>
      </c>
      <c r="C7" s="34" t="s">
        <v>41</v>
      </c>
      <c r="D7" s="39" t="s">
        <v>377</v>
      </c>
      <c r="E7" s="6" t="s">
        <v>29</v>
      </c>
      <c r="F7" s="6" t="s">
        <v>37</v>
      </c>
      <c r="G7" s="6" t="s">
        <v>37</v>
      </c>
      <c r="H7" s="34" t="s">
        <v>37</v>
      </c>
      <c r="I7" s="39" t="s">
        <v>10</v>
      </c>
      <c r="J7" s="5" t="s">
        <v>37</v>
      </c>
      <c r="K7" s="5" t="s">
        <v>37</v>
      </c>
      <c r="L7" s="5" t="s">
        <v>37</v>
      </c>
      <c r="M7" s="5" t="s">
        <v>37</v>
      </c>
      <c r="N7" s="5" t="s">
        <v>37</v>
      </c>
      <c r="O7" s="5" t="s">
        <v>37</v>
      </c>
      <c r="P7" s="6" t="s">
        <v>269</v>
      </c>
    </row>
    <row r="8" spans="1:16" x14ac:dyDescent="0.35">
      <c r="A8" s="6">
        <v>2</v>
      </c>
      <c r="B8" s="6" t="str">
        <f t="shared" si="0"/>
        <v>14.2</v>
      </c>
      <c r="C8" s="34" t="s">
        <v>41</v>
      </c>
      <c r="D8" s="39" t="s">
        <v>37</v>
      </c>
      <c r="E8" s="39" t="s">
        <v>49</v>
      </c>
      <c r="F8" s="6" t="s">
        <v>37</v>
      </c>
      <c r="G8" s="6" t="s">
        <v>37</v>
      </c>
      <c r="H8" s="34" t="s">
        <v>37</v>
      </c>
      <c r="I8" s="39" t="s">
        <v>10</v>
      </c>
      <c r="J8" s="5" t="s">
        <v>37</v>
      </c>
      <c r="K8" s="5" t="s">
        <v>37</v>
      </c>
      <c r="L8" s="5" t="s">
        <v>37</v>
      </c>
      <c r="M8" s="5" t="s">
        <v>37</v>
      </c>
      <c r="N8" s="5" t="s">
        <v>37</v>
      </c>
      <c r="O8" s="5" t="s">
        <v>37</v>
      </c>
    </row>
    <row r="9" spans="1:16" ht="43.5" x14ac:dyDescent="0.35">
      <c r="A9" s="6">
        <v>3</v>
      </c>
      <c r="B9" s="6" t="str">
        <f t="shared" si="0"/>
        <v>14.3</v>
      </c>
      <c r="C9" s="34" t="s">
        <v>41</v>
      </c>
      <c r="D9" s="39" t="s">
        <v>452</v>
      </c>
      <c r="E9" s="39" t="s">
        <v>36</v>
      </c>
      <c r="F9" s="6" t="s">
        <v>37</v>
      </c>
      <c r="G9" s="6" t="s">
        <v>37</v>
      </c>
      <c r="H9" s="34" t="s">
        <v>37</v>
      </c>
      <c r="I9" s="39" t="s">
        <v>10</v>
      </c>
      <c r="J9" s="6" t="s">
        <v>37</v>
      </c>
      <c r="K9" s="6" t="s">
        <v>37</v>
      </c>
      <c r="L9" s="6" t="s">
        <v>37</v>
      </c>
      <c r="M9" s="5" t="s">
        <v>37</v>
      </c>
      <c r="N9" s="5" t="s">
        <v>37</v>
      </c>
      <c r="O9" s="5" t="s">
        <v>37</v>
      </c>
    </row>
    <row r="10" spans="1:16" ht="29" x14ac:dyDescent="0.35">
      <c r="A10" s="6">
        <v>4</v>
      </c>
      <c r="B10" s="6" t="str">
        <f t="shared" ref="B10:B11" si="1">CONCATENATE($B$2, ".", A10)</f>
        <v>14.4</v>
      </c>
      <c r="C10" s="34" t="s">
        <v>41</v>
      </c>
      <c r="D10" s="6" t="s">
        <v>428</v>
      </c>
      <c r="E10" s="6" t="s">
        <v>117</v>
      </c>
      <c r="F10" s="6" t="s">
        <v>37</v>
      </c>
      <c r="G10" s="6" t="s">
        <v>37</v>
      </c>
      <c r="H10" s="34" t="s">
        <v>37</v>
      </c>
      <c r="I10" s="6" t="s">
        <v>10</v>
      </c>
      <c r="J10" s="6" t="s">
        <v>37</v>
      </c>
      <c r="K10" s="6" t="s">
        <v>37</v>
      </c>
      <c r="L10" s="6" t="s">
        <v>37</v>
      </c>
      <c r="M10" s="6" t="s">
        <v>37</v>
      </c>
      <c r="N10" s="6" t="s">
        <v>37</v>
      </c>
      <c r="O10" s="6" t="s">
        <v>429</v>
      </c>
      <c r="P10" s="6" t="s">
        <v>430</v>
      </c>
    </row>
    <row r="11" spans="1:16" ht="43.5" x14ac:dyDescent="0.35">
      <c r="A11" s="6">
        <v>7</v>
      </c>
      <c r="B11" s="6" t="str">
        <f t="shared" si="1"/>
        <v>14.7</v>
      </c>
      <c r="C11" s="34" t="s">
        <v>41</v>
      </c>
      <c r="D11" s="6" t="s">
        <v>441</v>
      </c>
      <c r="E11" s="39" t="s">
        <v>30</v>
      </c>
      <c r="F11" s="39" t="s">
        <v>64</v>
      </c>
      <c r="G11" s="39" t="s">
        <v>37</v>
      </c>
      <c r="H11" s="47" t="s">
        <v>37</v>
      </c>
      <c r="I11" s="39" t="s">
        <v>10</v>
      </c>
      <c r="J11" s="40" t="s">
        <v>109</v>
      </c>
      <c r="K11" s="40" t="s">
        <v>54</v>
      </c>
      <c r="L11" s="40" t="s">
        <v>110</v>
      </c>
      <c r="M11" s="40" t="s">
        <v>37</v>
      </c>
      <c r="N11" s="40" t="s">
        <v>37</v>
      </c>
      <c r="O11" s="40" t="s">
        <v>111</v>
      </c>
      <c r="P11" s="39" t="s">
        <v>336</v>
      </c>
    </row>
    <row r="12" spans="1:16" x14ac:dyDescent="0.35">
      <c r="A12" s="6">
        <v>8</v>
      </c>
      <c r="B12" s="6" t="str">
        <f>CONCATENATE($B$2, ".", A12)</f>
        <v>14.8</v>
      </c>
      <c r="C12" s="34" t="s">
        <v>41</v>
      </c>
      <c r="D12" s="39" t="s">
        <v>60</v>
      </c>
      <c r="E12" s="39" t="s">
        <v>43</v>
      </c>
      <c r="F12" s="39" t="s">
        <v>37</v>
      </c>
      <c r="G12" s="39" t="s">
        <v>37</v>
      </c>
      <c r="H12" s="47" t="s">
        <v>37</v>
      </c>
      <c r="I12" s="39" t="s">
        <v>10</v>
      </c>
      <c r="J12" s="39" t="s">
        <v>37</v>
      </c>
      <c r="K12" s="39" t="s">
        <v>37</v>
      </c>
      <c r="L12" s="39" t="s">
        <v>37</v>
      </c>
      <c r="M12" s="39" t="s">
        <v>37</v>
      </c>
      <c r="N12" s="39" t="s">
        <v>37</v>
      </c>
      <c r="O12" s="39" t="s">
        <v>245</v>
      </c>
    </row>
    <row r="13" spans="1:16" ht="29" x14ac:dyDescent="0.35">
      <c r="A13" s="6">
        <v>17</v>
      </c>
      <c r="B13" s="6" t="s">
        <v>446</v>
      </c>
      <c r="C13" s="34" t="s">
        <v>41</v>
      </c>
      <c r="D13" s="6" t="s">
        <v>447</v>
      </c>
      <c r="E13" s="6" t="s">
        <v>30</v>
      </c>
      <c r="F13" s="6" t="s">
        <v>64</v>
      </c>
      <c r="G13" s="6" t="s">
        <v>37</v>
      </c>
      <c r="H13" s="34" t="s">
        <v>37</v>
      </c>
      <c r="I13" s="6" t="s">
        <v>10</v>
      </c>
      <c r="J13" s="6" t="s">
        <v>109</v>
      </c>
      <c r="K13" s="6" t="s">
        <v>54</v>
      </c>
      <c r="L13" s="6" t="s">
        <v>448</v>
      </c>
      <c r="M13" s="6" t="s">
        <v>37</v>
      </c>
      <c r="N13" s="6" t="s">
        <v>37</v>
      </c>
      <c r="O13" s="6" t="s">
        <v>449</v>
      </c>
    </row>
  </sheetData>
  <autoFilter ref="A6:P6"/>
  <conditionalFormatting sqref="C14:C1048576">
    <cfRule type="cellIs" dxfId="138" priority="31" operator="equal">
      <formula>"WIP (see comments)"</formula>
    </cfRule>
    <cfRule type="cellIs" dxfId="137" priority="32" operator="equal">
      <formula>"Removed"</formula>
    </cfRule>
    <cfRule type="cellIs" dxfId="136" priority="33" operator="equal">
      <formula>"Updated"</formula>
    </cfRule>
    <cfRule type="cellIs" dxfId="135" priority="34" operator="equal">
      <formula>"New"</formula>
    </cfRule>
  </conditionalFormatting>
  <conditionalFormatting sqref="C7:C13">
    <cfRule type="cellIs" dxfId="134" priority="11" operator="equal">
      <formula>"WIP (see comments)"</formula>
    </cfRule>
    <cfRule type="cellIs" dxfId="133" priority="12" operator="equal">
      <formula>"Removed"</formula>
    </cfRule>
    <cfRule type="cellIs" dxfId="132" priority="13" operator="equal">
      <formula>"Updated"</formula>
    </cfRule>
    <cfRule type="cellIs" dxfId="131" priority="14" operator="equal">
      <formula>"New"</formula>
    </cfRule>
  </conditionalFormatting>
  <conditionalFormatting sqref="P12:XFD12 A7:XFD7 G9:I9 M9:XFD9 D9:E9 A8:B12 D8:XFD8 C8:C13">
    <cfRule type="cellIs" dxfId="130" priority="10" operator="equal">
      <formula>"n/a"</formula>
    </cfRule>
  </conditionalFormatting>
  <conditionalFormatting sqref="D12:N12">
    <cfRule type="cellIs" dxfId="129" priority="9" operator="equal">
      <formula>"n/a"</formula>
    </cfRule>
  </conditionalFormatting>
  <conditionalFormatting sqref="D1:D2">
    <cfRule type="cellIs" dxfId="128" priority="8" operator="equal">
      <formula>"n/a"</formula>
    </cfRule>
  </conditionalFormatting>
  <conditionalFormatting sqref="E11:P11">
    <cfRule type="cellIs" dxfId="12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21"/>
  <sheetViews>
    <sheetView workbookViewId="0">
      <pane xSplit="4" ySplit="6" topLeftCell="M7" activePane="bottomRight" state="frozen"/>
      <selection pane="topRight" activeCell="E1" sqref="E1"/>
      <selection pane="bottomLeft" activeCell="A7" sqref="A7"/>
      <selection pane="bottomRight" activeCell="D10" sqref="D10"/>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37" style="6" customWidth="1"/>
    <col min="7" max="7" width="29.26953125" style="6" customWidth="1"/>
    <col min="8" max="8" width="11.54296875" style="3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113</v>
      </c>
      <c r="C1" s="32"/>
      <c r="D1" s="29" t="s">
        <v>482</v>
      </c>
      <c r="H1" s="35"/>
    </row>
    <row r="2" spans="1:16" s="30" customFormat="1" ht="18.5" x14ac:dyDescent="0.35">
      <c r="A2" s="28" t="s">
        <v>7</v>
      </c>
      <c r="B2" s="36"/>
      <c r="C2" s="35"/>
      <c r="D2" s="36"/>
      <c r="H2" s="35"/>
    </row>
    <row r="3" spans="1:16" s="30" customFormat="1" ht="18.5" x14ac:dyDescent="0.35">
      <c r="A3" s="28" t="s">
        <v>44</v>
      </c>
      <c r="B3" s="36" t="s">
        <v>408</v>
      </c>
      <c r="C3" s="35"/>
      <c r="D3" s="36"/>
      <c r="H3" s="35"/>
    </row>
    <row r="4" spans="1:16" s="30" customFormat="1" ht="18.5" x14ac:dyDescent="0.35">
      <c r="A4" s="28" t="s">
        <v>8</v>
      </c>
      <c r="B4" s="30" t="s">
        <v>47</v>
      </c>
      <c r="C4" s="35"/>
      <c r="H4" s="35"/>
    </row>
    <row r="5" spans="1:16" s="4" customFormat="1" x14ac:dyDescent="0.35">
      <c r="C5" s="37"/>
      <c r="H5" s="37"/>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6">
        <v>1</v>
      </c>
      <c r="B7" s="6" t="str">
        <f t="shared" ref="B7:B11" si="0">CONCATENATE($B$2, ".", A7)</f>
        <v>.1</v>
      </c>
      <c r="C7" s="47" t="s">
        <v>41</v>
      </c>
      <c r="D7" s="39" t="s">
        <v>431</v>
      </c>
      <c r="E7" s="39" t="s">
        <v>29</v>
      </c>
      <c r="F7" s="39" t="s">
        <v>37</v>
      </c>
      <c r="G7" s="39" t="s">
        <v>37</v>
      </c>
      <c r="H7" s="34" t="s">
        <v>37</v>
      </c>
      <c r="I7" s="39" t="s">
        <v>10</v>
      </c>
      <c r="J7" s="5" t="s">
        <v>37</v>
      </c>
      <c r="K7" s="5" t="s">
        <v>37</v>
      </c>
      <c r="L7" s="5" t="s">
        <v>37</v>
      </c>
      <c r="M7" s="5" t="s">
        <v>37</v>
      </c>
      <c r="N7" s="5" t="s">
        <v>37</v>
      </c>
      <c r="O7" s="5" t="s">
        <v>37</v>
      </c>
      <c r="P7" s="6" t="s">
        <v>269</v>
      </c>
    </row>
    <row r="8" spans="1:16" x14ac:dyDescent="0.35">
      <c r="A8" s="6">
        <v>2</v>
      </c>
      <c r="B8" s="6" t="str">
        <f t="shared" si="0"/>
        <v>.2</v>
      </c>
      <c r="C8" s="47" t="s">
        <v>41</v>
      </c>
      <c r="D8" s="39" t="s">
        <v>37</v>
      </c>
      <c r="E8" s="39" t="s">
        <v>49</v>
      </c>
      <c r="F8" s="39" t="s">
        <v>37</v>
      </c>
      <c r="G8" s="39" t="s">
        <v>37</v>
      </c>
      <c r="H8" s="34" t="s">
        <v>37</v>
      </c>
      <c r="I8" s="39" t="s">
        <v>10</v>
      </c>
      <c r="J8" s="5" t="s">
        <v>37</v>
      </c>
      <c r="K8" s="5" t="s">
        <v>37</v>
      </c>
      <c r="L8" s="5" t="s">
        <v>37</v>
      </c>
      <c r="M8" s="5" t="s">
        <v>37</v>
      </c>
      <c r="N8" s="5" t="s">
        <v>37</v>
      </c>
      <c r="O8" s="5" t="s">
        <v>37</v>
      </c>
    </row>
    <row r="9" spans="1:16" s="39" customFormat="1" ht="144.75" customHeight="1" x14ac:dyDescent="0.35">
      <c r="A9" s="39">
        <v>3</v>
      </c>
      <c r="B9" s="39" t="str">
        <f t="shared" si="0"/>
        <v>.3</v>
      </c>
      <c r="C9" s="47" t="s">
        <v>41</v>
      </c>
      <c r="D9" s="39" t="s">
        <v>156</v>
      </c>
      <c r="E9" s="39" t="s">
        <v>35</v>
      </c>
      <c r="F9" s="39" t="s">
        <v>226</v>
      </c>
      <c r="G9" s="39" t="s">
        <v>440</v>
      </c>
      <c r="H9" s="47" t="s">
        <v>37</v>
      </c>
      <c r="I9" s="39" t="s">
        <v>10</v>
      </c>
      <c r="J9" s="40" t="s">
        <v>102</v>
      </c>
      <c r="K9" s="40" t="s">
        <v>54</v>
      </c>
      <c r="L9" s="40" t="s">
        <v>101</v>
      </c>
      <c r="M9" s="40" t="s">
        <v>37</v>
      </c>
      <c r="N9" s="40" t="s">
        <v>37</v>
      </c>
      <c r="O9" s="40" t="s">
        <v>37</v>
      </c>
      <c r="P9" s="39" t="s">
        <v>483</v>
      </c>
    </row>
    <row r="10" spans="1:16" s="39" customFormat="1" ht="185.25" customHeight="1" x14ac:dyDescent="0.35">
      <c r="A10" s="39">
        <v>4</v>
      </c>
      <c r="B10" s="39" t="str">
        <f t="shared" si="0"/>
        <v>.4</v>
      </c>
      <c r="C10" s="47" t="s">
        <v>41</v>
      </c>
      <c r="D10" s="39" t="s">
        <v>157</v>
      </c>
      <c r="E10" s="39" t="s">
        <v>33</v>
      </c>
      <c r="F10" s="39" t="s">
        <v>52</v>
      </c>
      <c r="G10" s="39" t="s">
        <v>37</v>
      </c>
      <c r="H10" s="47">
        <v>30</v>
      </c>
      <c r="I10" s="39" t="s">
        <v>181</v>
      </c>
      <c r="J10" s="40" t="s">
        <v>102</v>
      </c>
      <c r="K10" s="40" t="s">
        <v>54</v>
      </c>
      <c r="L10" s="40" t="s">
        <v>158</v>
      </c>
      <c r="M10" s="40" t="s">
        <v>37</v>
      </c>
      <c r="N10" s="40" t="s">
        <v>37</v>
      </c>
      <c r="O10" s="39" t="s">
        <v>103</v>
      </c>
    </row>
    <row r="11" spans="1:16" ht="119.25" customHeight="1" x14ac:dyDescent="0.35">
      <c r="A11" s="6">
        <v>5</v>
      </c>
      <c r="B11" s="6" t="str">
        <f t="shared" si="0"/>
        <v>.5</v>
      </c>
      <c r="C11" s="47" t="s">
        <v>41</v>
      </c>
      <c r="D11" s="39" t="s">
        <v>159</v>
      </c>
      <c r="E11" s="39" t="s">
        <v>32</v>
      </c>
      <c r="F11" s="6" t="s">
        <v>62</v>
      </c>
      <c r="G11" s="6" t="s">
        <v>160</v>
      </c>
      <c r="H11" s="34" t="s">
        <v>37</v>
      </c>
      <c r="I11" s="39" t="s">
        <v>114</v>
      </c>
      <c r="J11" s="5" t="s">
        <v>115</v>
      </c>
      <c r="K11" s="5" t="s">
        <v>54</v>
      </c>
      <c r="L11" s="5" t="s">
        <v>37</v>
      </c>
      <c r="M11" s="5" t="s">
        <v>37</v>
      </c>
      <c r="N11" s="5" t="s">
        <v>37</v>
      </c>
      <c r="O11" s="5"/>
    </row>
    <row r="12" spans="1:16" x14ac:dyDescent="0.35">
      <c r="A12" s="6">
        <v>6</v>
      </c>
      <c r="B12" s="6" t="str">
        <f>CONCATENATE($B$2, ".", A12)</f>
        <v>.6</v>
      </c>
      <c r="C12" s="47" t="s">
        <v>41</v>
      </c>
      <c r="D12" s="6" t="s">
        <v>60</v>
      </c>
      <c r="E12" s="6" t="s">
        <v>43</v>
      </c>
      <c r="F12" s="6" t="s">
        <v>37</v>
      </c>
      <c r="G12" s="6" t="s">
        <v>37</v>
      </c>
      <c r="H12" s="34" t="s">
        <v>37</v>
      </c>
      <c r="I12" s="6" t="s">
        <v>10</v>
      </c>
      <c r="J12" s="6" t="s">
        <v>37</v>
      </c>
      <c r="K12" s="6" t="s">
        <v>37</v>
      </c>
      <c r="L12" s="6" t="s">
        <v>37</v>
      </c>
      <c r="M12" s="6" t="s">
        <v>37</v>
      </c>
      <c r="N12" s="6" t="s">
        <v>37</v>
      </c>
      <c r="O12" s="6" t="s">
        <v>242</v>
      </c>
    </row>
    <row r="13" spans="1:16" x14ac:dyDescent="0.35">
      <c r="A13" s="6">
        <v>7</v>
      </c>
      <c r="B13" s="6" t="str">
        <f t="shared" ref="B13" si="1">CONCATENATE($B$2, ".", A13)</f>
        <v>.7</v>
      </c>
      <c r="C13" s="47" t="s">
        <v>41</v>
      </c>
      <c r="D13" s="6" t="s">
        <v>59</v>
      </c>
      <c r="E13" s="6" t="s">
        <v>43</v>
      </c>
      <c r="F13" s="6" t="s">
        <v>37</v>
      </c>
      <c r="G13" s="6" t="s">
        <v>37</v>
      </c>
      <c r="H13" s="34" t="s">
        <v>37</v>
      </c>
      <c r="I13" s="6" t="s">
        <v>10</v>
      </c>
      <c r="J13" s="6" t="s">
        <v>37</v>
      </c>
      <c r="K13" s="6" t="s">
        <v>37</v>
      </c>
      <c r="L13" s="6" t="s">
        <v>37</v>
      </c>
      <c r="M13" s="6" t="s">
        <v>37</v>
      </c>
      <c r="N13" s="6" t="s">
        <v>37</v>
      </c>
      <c r="O13" s="77" t="s">
        <v>243</v>
      </c>
    </row>
    <row r="14" spans="1:16" x14ac:dyDescent="0.35">
      <c r="I14" s="39"/>
      <c r="J14" s="5"/>
      <c r="K14" s="5"/>
      <c r="L14" s="40"/>
      <c r="M14" s="40"/>
      <c r="N14" s="40"/>
      <c r="O14" s="40"/>
    </row>
    <row r="15" spans="1:16" x14ac:dyDescent="0.35">
      <c r="D15" s="6" t="s">
        <v>74</v>
      </c>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row r="21" spans="9:15" x14ac:dyDescent="0.35">
      <c r="I21" s="39"/>
      <c r="J21" s="5"/>
      <c r="K21" s="5"/>
      <c r="L21" s="40"/>
      <c r="M21" s="40"/>
      <c r="N21" s="40"/>
      <c r="O21" s="40"/>
    </row>
  </sheetData>
  <autoFilter ref="A6:P13"/>
  <conditionalFormatting sqref="C7:C1048576">
    <cfRule type="cellIs" dxfId="126" priority="19" operator="equal">
      <formula>"WIP (see comments)"</formula>
    </cfRule>
    <cfRule type="cellIs" dxfId="125" priority="20" operator="equal">
      <formula>"Removed"</formula>
    </cfRule>
    <cfRule type="cellIs" dxfId="124" priority="21" operator="equal">
      <formula>"Updated"</formula>
    </cfRule>
    <cfRule type="cellIs" dxfId="123" priority="22" operator="equal">
      <formula>"New"</formula>
    </cfRule>
  </conditionalFormatting>
  <conditionalFormatting sqref="A9:B10 D9:XFD10">
    <cfRule type="cellIs" dxfId="122" priority="2" operator="equal">
      <formula>"n/a"</formula>
    </cfRule>
  </conditionalFormatting>
  <conditionalFormatting sqref="D1">
    <cfRule type="cellIs" dxfId="12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Values'!$B$5:$B$11</xm:f>
          </x14:formula1>
          <xm:sqref>C7:C1048576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M7" activePane="bottomRight" state="frozen"/>
      <selection pane="topRight" activeCell="E1" sqref="E1"/>
      <selection pane="bottomLeft" activeCell="A7" sqref="A7"/>
      <selection pane="bottomRight" activeCell="P7" sqref="P7"/>
    </sheetView>
  </sheetViews>
  <sheetFormatPr defaultColWidth="9.1796875" defaultRowHeight="14.5" x14ac:dyDescent="0.35"/>
  <cols>
    <col min="1" max="1" width="14.7265625" style="5" customWidth="1"/>
    <col min="2" max="2" width="12.54296875" style="5" customWidth="1"/>
    <col min="3" max="3" width="14.26953125"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141</v>
      </c>
      <c r="C1" s="32"/>
      <c r="D1" s="29"/>
      <c r="H1" s="35"/>
    </row>
    <row r="2" spans="1:16" s="30" customFormat="1" ht="18.5" x14ac:dyDescent="0.35">
      <c r="A2" s="28" t="s">
        <v>7</v>
      </c>
      <c r="B2" s="36" t="s">
        <v>164</v>
      </c>
      <c r="C2" s="35"/>
      <c r="D2" s="36"/>
      <c r="H2" s="35"/>
    </row>
    <row r="3" spans="1:16" s="30" customFormat="1" ht="18.5" x14ac:dyDescent="0.35">
      <c r="A3" s="28" t="s">
        <v>44</v>
      </c>
      <c r="B3" s="36" t="s">
        <v>380</v>
      </c>
      <c r="C3" s="35"/>
      <c r="D3" s="36" t="s">
        <v>74</v>
      </c>
      <c r="H3" s="35"/>
    </row>
    <row r="4" spans="1:16" s="30" customFormat="1" ht="18.5" x14ac:dyDescent="0.35">
      <c r="A4" s="28" t="s">
        <v>8</v>
      </c>
      <c r="B4" s="30" t="s">
        <v>138</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A.1</v>
      </c>
      <c r="C7" s="51" t="s">
        <v>40</v>
      </c>
      <c r="D7" s="5" t="s">
        <v>37</v>
      </c>
      <c r="E7" s="40" t="s">
        <v>139</v>
      </c>
      <c r="F7" s="5" t="s">
        <v>37</v>
      </c>
      <c r="G7" s="5" t="s">
        <v>37</v>
      </c>
      <c r="H7" s="42" t="s">
        <v>37</v>
      </c>
      <c r="I7" s="40" t="s">
        <v>10</v>
      </c>
      <c r="J7" s="5" t="s">
        <v>37</v>
      </c>
      <c r="K7" s="5" t="s">
        <v>37</v>
      </c>
      <c r="L7" s="5" t="s">
        <v>37</v>
      </c>
      <c r="M7" s="5" t="s">
        <v>37</v>
      </c>
      <c r="N7" s="5" t="s">
        <v>37</v>
      </c>
      <c r="O7" s="5" t="s">
        <v>488</v>
      </c>
      <c r="P7" s="5" t="s">
        <v>489</v>
      </c>
    </row>
    <row r="8" spans="1:16" x14ac:dyDescent="0.35">
      <c r="A8" s="5">
        <v>2</v>
      </c>
      <c r="B8" s="5" t="str">
        <f t="shared" ref="B8:B10" si="0">CONCATENATE($B$2, ".", A8)</f>
        <v>A.2</v>
      </c>
      <c r="C8" s="42" t="s">
        <v>38</v>
      </c>
      <c r="D8" s="40" t="s">
        <v>378</v>
      </c>
      <c r="E8" s="40" t="s">
        <v>140</v>
      </c>
      <c r="F8" s="5" t="s">
        <v>37</v>
      </c>
      <c r="G8" s="5" t="s">
        <v>37</v>
      </c>
      <c r="H8" s="42" t="s">
        <v>37</v>
      </c>
      <c r="I8" s="40" t="s">
        <v>10</v>
      </c>
      <c r="J8" s="5" t="s">
        <v>37</v>
      </c>
      <c r="K8" s="5" t="s">
        <v>37</v>
      </c>
      <c r="L8" s="5" t="s">
        <v>37</v>
      </c>
      <c r="M8" s="5" t="s">
        <v>37</v>
      </c>
      <c r="N8" s="5" t="s">
        <v>37</v>
      </c>
    </row>
    <row r="9" spans="1:16" x14ac:dyDescent="0.35">
      <c r="A9" s="5">
        <v>3</v>
      </c>
      <c r="B9" s="5" t="str">
        <f t="shared" si="0"/>
        <v>A.3</v>
      </c>
      <c r="C9" s="51" t="s">
        <v>40</v>
      </c>
      <c r="D9" s="45" t="s">
        <v>153</v>
      </c>
      <c r="E9" s="40" t="s">
        <v>34</v>
      </c>
      <c r="F9" s="5" t="s">
        <v>37</v>
      </c>
      <c r="G9" s="5" t="s">
        <v>37</v>
      </c>
      <c r="H9" s="42" t="s">
        <v>37</v>
      </c>
      <c r="I9" s="40" t="s">
        <v>10</v>
      </c>
      <c r="J9" s="5" t="s">
        <v>37</v>
      </c>
      <c r="K9" s="5" t="s">
        <v>37</v>
      </c>
      <c r="L9" s="5" t="s">
        <v>37</v>
      </c>
      <c r="M9" s="5" t="s">
        <v>37</v>
      </c>
      <c r="N9" s="5" t="s">
        <v>37</v>
      </c>
    </row>
    <row r="10" spans="1:16" ht="81" customHeight="1" x14ac:dyDescent="0.35">
      <c r="A10" s="5">
        <v>4</v>
      </c>
      <c r="B10" s="5" t="str">
        <f t="shared" si="0"/>
        <v>A.4</v>
      </c>
      <c r="C10" s="51" t="s">
        <v>38</v>
      </c>
      <c r="D10" s="48" t="s">
        <v>424</v>
      </c>
      <c r="E10" s="40" t="s">
        <v>117</v>
      </c>
      <c r="F10" s="5" t="s">
        <v>37</v>
      </c>
      <c r="G10" s="5" t="s">
        <v>37</v>
      </c>
      <c r="H10" s="42" t="s">
        <v>37</v>
      </c>
      <c r="I10" s="40" t="s">
        <v>10</v>
      </c>
      <c r="J10" s="5" t="s">
        <v>37</v>
      </c>
      <c r="K10" s="5" t="s">
        <v>37</v>
      </c>
      <c r="L10" s="5" t="s">
        <v>37</v>
      </c>
      <c r="M10" s="5" t="s">
        <v>37</v>
      </c>
      <c r="N10" s="5" t="s">
        <v>37</v>
      </c>
      <c r="O10" s="5" t="s">
        <v>170</v>
      </c>
      <c r="P10" s="5" t="s">
        <v>379</v>
      </c>
    </row>
    <row r="11" spans="1:16" x14ac:dyDescent="0.35">
      <c r="I11" s="40"/>
      <c r="L11" s="40"/>
      <c r="M11" s="40"/>
      <c r="N11" s="40"/>
      <c r="O11" s="40"/>
    </row>
    <row r="12" spans="1:16" x14ac:dyDescent="0.35">
      <c r="I12" s="40"/>
      <c r="L12" s="40"/>
      <c r="M12" s="40"/>
      <c r="N12" s="40"/>
      <c r="O12" s="40"/>
    </row>
  </sheetData>
  <autoFilter ref="A6:P9"/>
  <conditionalFormatting sqref="C7:C1048576">
    <cfRule type="cellIs" dxfId="120" priority="7" operator="equal">
      <formula>"WIP (see comments)"</formula>
    </cfRule>
    <cfRule type="cellIs" dxfId="119" priority="8" operator="equal">
      <formula>"Removed"</formula>
    </cfRule>
    <cfRule type="cellIs" dxfId="118" priority="9" operator="equal">
      <formula>"Updated"</formula>
    </cfRule>
    <cfRule type="cellIs" dxfId="117" priority="10" operator="equal">
      <formula>"New"</formula>
    </cfRule>
  </conditionalFormatting>
  <conditionalFormatting sqref="D9">
    <cfRule type="cellIs" dxfId="116" priority="6" operator="equal">
      <formula>"-"</formula>
    </cfRule>
  </conditionalFormatting>
  <conditionalFormatting sqref="A2:XFD6 E7:XFD7 A8:XFD9 A7:C7 A1:C1 E1:XFD1 A11:XFD1048576 A10:C10 E10:XFD10">
    <cfRule type="cellIs" dxfId="115" priority="5" operator="equal">
      <formula>"n/a"</formula>
    </cfRule>
  </conditionalFormatting>
  <conditionalFormatting sqref="D7">
    <cfRule type="cellIs" dxfId="114" priority="4" operator="equal">
      <formula>"-"</formula>
    </cfRule>
  </conditionalFormatting>
  <conditionalFormatting sqref="D7">
    <cfRule type="cellIs" dxfId="113" priority="3" operator="equal">
      <formula>"n/a"</formula>
    </cfRule>
  </conditionalFormatting>
  <conditionalFormatting sqref="D1">
    <cfRule type="cellIs" dxfId="112" priority="2" operator="equal">
      <formula>"n/a"</formula>
    </cfRule>
  </conditionalFormatting>
  <conditionalFormatting sqref="D10">
    <cfRule type="cellIs" dxfId="111"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Values'!$A$5:$A$27</xm:f>
          </x14:formula1>
          <xm:sqref>E10:E1048576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workbookViewId="0">
      <pane xSplit="4" ySplit="6" topLeftCell="E7" activePane="bottomRight" state="frozen"/>
      <selection pane="topRight" activeCell="E1" sqref="E1"/>
      <selection pane="bottomLeft" activeCell="A7" sqref="A7"/>
      <selection pane="bottomRight" activeCell="C7" sqref="C7"/>
    </sheetView>
  </sheetViews>
  <sheetFormatPr defaultColWidth="9.1796875" defaultRowHeight="14.5" x14ac:dyDescent="0.35"/>
  <cols>
    <col min="1" max="1" width="14.7265625" style="5" customWidth="1"/>
    <col min="2" max="2" width="12.54296875" style="5" customWidth="1"/>
    <col min="3" max="3" width="15.81640625"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142</v>
      </c>
      <c r="C1" s="32"/>
      <c r="D1" s="29"/>
      <c r="H1" s="35"/>
    </row>
    <row r="2" spans="1:16" s="30" customFormat="1" ht="18.5" x14ac:dyDescent="0.35">
      <c r="A2" s="28" t="s">
        <v>7</v>
      </c>
      <c r="B2" s="36" t="s">
        <v>165</v>
      </c>
      <c r="C2" s="35"/>
      <c r="D2" s="36"/>
      <c r="H2" s="35"/>
    </row>
    <row r="3" spans="1:16" s="30" customFormat="1" ht="18.5" x14ac:dyDescent="0.35">
      <c r="A3" s="28" t="s">
        <v>44</v>
      </c>
      <c r="B3" s="36" t="s">
        <v>382</v>
      </c>
      <c r="C3" s="35"/>
      <c r="D3" s="36" t="s">
        <v>74</v>
      </c>
      <c r="H3" s="35"/>
    </row>
    <row r="4" spans="1:16" s="30" customFormat="1" ht="18.5" x14ac:dyDescent="0.35">
      <c r="A4" s="28" t="s">
        <v>8</v>
      </c>
      <c r="B4" s="30" t="s">
        <v>192</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B.1</v>
      </c>
      <c r="C7" s="51" t="s">
        <v>40</v>
      </c>
      <c r="D7" s="5" t="s">
        <v>37</v>
      </c>
      <c r="E7" s="40" t="s">
        <v>139</v>
      </c>
      <c r="F7" s="5" t="s">
        <v>37</v>
      </c>
      <c r="G7" s="5" t="s">
        <v>37</v>
      </c>
      <c r="H7" s="42" t="s">
        <v>37</v>
      </c>
      <c r="I7" s="40" t="s">
        <v>10</v>
      </c>
      <c r="J7" s="5" t="s">
        <v>37</v>
      </c>
      <c r="K7" s="5" t="s">
        <v>37</v>
      </c>
      <c r="L7" s="5" t="s">
        <v>37</v>
      </c>
      <c r="M7" s="5" t="s">
        <v>37</v>
      </c>
      <c r="N7" s="5" t="s">
        <v>37</v>
      </c>
      <c r="O7" s="5" t="s">
        <v>490</v>
      </c>
      <c r="P7" s="5" t="s">
        <v>489</v>
      </c>
    </row>
    <row r="8" spans="1:16" x14ac:dyDescent="0.35">
      <c r="A8" s="5">
        <v>2</v>
      </c>
      <c r="B8" s="5" t="str">
        <f t="shared" ref="B8:B9" si="0">CONCATENATE($B$2, ".", A8)</f>
        <v>B.2</v>
      </c>
      <c r="C8" s="42" t="s">
        <v>40</v>
      </c>
      <c r="D8" s="40" t="s">
        <v>154</v>
      </c>
      <c r="E8" s="40" t="s">
        <v>140</v>
      </c>
      <c r="F8" s="5" t="s">
        <v>37</v>
      </c>
      <c r="G8" s="5" t="s">
        <v>37</v>
      </c>
      <c r="H8" s="42" t="s">
        <v>37</v>
      </c>
      <c r="I8" s="40" t="s">
        <v>10</v>
      </c>
      <c r="J8" s="5" t="s">
        <v>37</v>
      </c>
      <c r="K8" s="5" t="s">
        <v>37</v>
      </c>
      <c r="L8" s="5" t="s">
        <v>37</v>
      </c>
      <c r="M8" s="5" t="s">
        <v>37</v>
      </c>
      <c r="N8" s="5" t="s">
        <v>37</v>
      </c>
    </row>
    <row r="9" spans="1:16" ht="71.25" customHeight="1" x14ac:dyDescent="0.35">
      <c r="A9" s="5">
        <v>3</v>
      </c>
      <c r="B9" s="5" t="str">
        <f t="shared" si="0"/>
        <v>B.3</v>
      </c>
      <c r="C9" s="51" t="s">
        <v>38</v>
      </c>
      <c r="D9" s="48" t="s">
        <v>425</v>
      </c>
      <c r="E9" s="40" t="s">
        <v>117</v>
      </c>
      <c r="F9" s="5" t="s">
        <v>37</v>
      </c>
      <c r="G9" s="5" t="s">
        <v>37</v>
      </c>
      <c r="H9" s="42" t="s">
        <v>37</v>
      </c>
      <c r="I9" s="40" t="s">
        <v>10</v>
      </c>
      <c r="J9" s="5" t="s">
        <v>37</v>
      </c>
      <c r="K9" s="5" t="s">
        <v>37</v>
      </c>
      <c r="L9" s="5" t="s">
        <v>37</v>
      </c>
      <c r="M9" s="5" t="s">
        <v>37</v>
      </c>
      <c r="N9" s="5" t="s">
        <v>37</v>
      </c>
      <c r="O9" s="5" t="s">
        <v>381</v>
      </c>
    </row>
    <row r="10" spans="1:16" x14ac:dyDescent="0.35">
      <c r="I10" s="40"/>
      <c r="L10" s="40"/>
      <c r="M10" s="40"/>
      <c r="N10" s="40"/>
      <c r="O10" s="40"/>
    </row>
    <row r="11" spans="1:16" x14ac:dyDescent="0.35">
      <c r="I11" s="40"/>
      <c r="L11" s="40"/>
      <c r="M11" s="40"/>
      <c r="N11" s="40"/>
      <c r="O11" s="40"/>
    </row>
  </sheetData>
  <autoFilter ref="A6:P9"/>
  <conditionalFormatting sqref="C7:C1048576">
    <cfRule type="cellIs" dxfId="110" priority="9" operator="equal">
      <formula>"WIP (see comments)"</formula>
    </cfRule>
    <cfRule type="cellIs" dxfId="109" priority="10" operator="equal">
      <formula>"Removed"</formula>
    </cfRule>
    <cfRule type="cellIs" dxfId="108" priority="11" operator="equal">
      <formula>"Updated"</formula>
    </cfRule>
    <cfRule type="cellIs" dxfId="107" priority="12" operator="equal">
      <formula>"New"</formula>
    </cfRule>
  </conditionalFormatting>
  <conditionalFormatting sqref="A12:XFD1048576 A11:C11 E11:XFD11 P9:XFD9 A10:XFD10 A2:XFD6 Q7:XFD7 E7:O7 A8:XFD8 A9:C9 A7:C7 A1:C1 E1:XFD1 E9:N9">
    <cfRule type="cellIs" dxfId="106" priority="7" operator="equal">
      <formula>"n/a"</formula>
    </cfRule>
  </conditionalFormatting>
  <conditionalFormatting sqref="O9">
    <cfRule type="cellIs" dxfId="105" priority="6" operator="equal">
      <formula>"n/a"</formula>
    </cfRule>
  </conditionalFormatting>
  <conditionalFormatting sqref="P7">
    <cfRule type="cellIs" dxfId="104" priority="5" operator="equal">
      <formula>"n/a"</formula>
    </cfRule>
  </conditionalFormatting>
  <conditionalFormatting sqref="D7">
    <cfRule type="cellIs" dxfId="103" priority="4" operator="equal">
      <formula>"-"</formula>
    </cfRule>
  </conditionalFormatting>
  <conditionalFormatting sqref="D7">
    <cfRule type="cellIs" dxfId="102" priority="3" operator="equal">
      <formula>"n/a"</formula>
    </cfRule>
  </conditionalFormatting>
  <conditionalFormatting sqref="D1">
    <cfRule type="cellIs" dxfId="101" priority="2" operator="equal">
      <formula>"n/a"</formula>
    </cfRule>
  </conditionalFormatting>
  <conditionalFormatting sqref="D9">
    <cfRule type="cellIs" dxfId="100" priority="1" operator="equal">
      <formula>"n/a"</formula>
    </cfRule>
  </conditionalFormatting>
  <dataValidations count="1">
    <dataValidation type="list" allowBlank="1" showInputMessage="1" showErrorMessage="1" sqref="E7:E8">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E9:E1048576</xm:sqref>
        </x14:dataValidation>
        <x14:dataValidation type="list" allowBlank="1" showInputMessage="1" showErrorMessage="1">
          <x14:formula1>
            <xm:f>'List Values'!$B$5:$B$13</xm:f>
          </x14:formula1>
          <xm:sqref>C7:C1048576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L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143</v>
      </c>
      <c r="C1" s="32"/>
      <c r="D1" s="29"/>
      <c r="H1" s="35"/>
    </row>
    <row r="2" spans="1:16" s="30" customFormat="1" ht="18.5" x14ac:dyDescent="0.35">
      <c r="A2" s="28" t="s">
        <v>7</v>
      </c>
      <c r="B2" s="36" t="s">
        <v>166</v>
      </c>
      <c r="C2" s="35"/>
      <c r="D2" s="36"/>
      <c r="H2" s="35"/>
    </row>
    <row r="3" spans="1:16" s="30" customFormat="1" ht="18.5" x14ac:dyDescent="0.35">
      <c r="A3" s="28" t="s">
        <v>44</v>
      </c>
      <c r="B3" s="36" t="s">
        <v>385</v>
      </c>
      <c r="C3" s="35"/>
      <c r="D3" s="80"/>
      <c r="H3" s="35"/>
    </row>
    <row r="4" spans="1:16" s="30" customFormat="1" ht="18.5" x14ac:dyDescent="0.35">
      <c r="A4" s="28" t="s">
        <v>8</v>
      </c>
      <c r="B4" s="30" t="s">
        <v>279</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C.1</v>
      </c>
      <c r="C7" s="51" t="s">
        <v>40</v>
      </c>
      <c r="D7" s="5" t="s">
        <v>37</v>
      </c>
      <c r="E7" s="40" t="s">
        <v>139</v>
      </c>
      <c r="F7" s="5" t="s">
        <v>37</v>
      </c>
      <c r="G7" s="5" t="s">
        <v>37</v>
      </c>
      <c r="H7" s="42" t="s">
        <v>37</v>
      </c>
      <c r="I7" s="40" t="s">
        <v>10</v>
      </c>
      <c r="J7" s="5" t="s">
        <v>37</v>
      </c>
      <c r="K7" s="5" t="s">
        <v>37</v>
      </c>
      <c r="L7" s="5" t="s">
        <v>37</v>
      </c>
      <c r="M7" s="5" t="s">
        <v>37</v>
      </c>
      <c r="N7" s="5" t="s">
        <v>37</v>
      </c>
      <c r="O7" s="5" t="s">
        <v>485</v>
      </c>
      <c r="P7" s="5" t="s">
        <v>489</v>
      </c>
    </row>
    <row r="8" spans="1:16" x14ac:dyDescent="0.35">
      <c r="A8" s="5">
        <v>2</v>
      </c>
      <c r="B8" s="5" t="str">
        <f t="shared" ref="B8:B10" si="0">CONCATENATE($B$2, ".", A8)</f>
        <v>C.2</v>
      </c>
      <c r="C8" s="84" t="s">
        <v>40</v>
      </c>
      <c r="D8" s="40" t="s">
        <v>144</v>
      </c>
      <c r="E8" s="40" t="s">
        <v>140</v>
      </c>
      <c r="F8" s="5" t="s">
        <v>37</v>
      </c>
      <c r="G8" s="5" t="s">
        <v>37</v>
      </c>
      <c r="H8" s="42" t="s">
        <v>37</v>
      </c>
      <c r="I8" s="40" t="s">
        <v>10</v>
      </c>
      <c r="J8" s="5" t="s">
        <v>37</v>
      </c>
      <c r="K8" s="5" t="s">
        <v>37</v>
      </c>
      <c r="L8" s="5" t="s">
        <v>37</v>
      </c>
      <c r="M8" s="5" t="s">
        <v>37</v>
      </c>
      <c r="N8" s="5" t="s">
        <v>37</v>
      </c>
    </row>
    <row r="9" spans="1:16" ht="29" x14ac:dyDescent="0.35">
      <c r="A9" s="5">
        <v>3</v>
      </c>
      <c r="B9" s="5" t="str">
        <f t="shared" si="0"/>
        <v>C.3</v>
      </c>
      <c r="C9" s="84" t="s">
        <v>40</v>
      </c>
      <c r="D9" s="5" t="s">
        <v>383</v>
      </c>
      <c r="E9" s="40" t="s">
        <v>34</v>
      </c>
      <c r="F9" s="5" t="s">
        <v>37</v>
      </c>
      <c r="G9" s="5" t="s">
        <v>37</v>
      </c>
      <c r="H9" s="42" t="s">
        <v>37</v>
      </c>
      <c r="I9" s="40" t="s">
        <v>10</v>
      </c>
      <c r="J9" s="5" t="s">
        <v>37</v>
      </c>
      <c r="K9" s="5" t="s">
        <v>37</v>
      </c>
      <c r="L9" s="5" t="s">
        <v>37</v>
      </c>
      <c r="M9" s="5" t="s">
        <v>37</v>
      </c>
      <c r="N9" s="5" t="s">
        <v>37</v>
      </c>
    </row>
    <row r="10" spans="1:16" ht="54" customHeight="1" x14ac:dyDescent="0.35">
      <c r="A10" s="5">
        <v>4</v>
      </c>
      <c r="B10" s="5" t="str">
        <f t="shared" si="0"/>
        <v>C.4</v>
      </c>
      <c r="C10" s="84" t="s">
        <v>40</v>
      </c>
      <c r="D10" s="5" t="s">
        <v>384</v>
      </c>
      <c r="E10" s="40" t="s">
        <v>34</v>
      </c>
      <c r="F10" s="5" t="s">
        <v>37</v>
      </c>
      <c r="G10" s="5" t="s">
        <v>37</v>
      </c>
      <c r="H10" s="42" t="s">
        <v>37</v>
      </c>
      <c r="I10" s="40" t="s">
        <v>10</v>
      </c>
      <c r="J10" s="5" t="s">
        <v>37</v>
      </c>
      <c r="K10" s="5" t="s">
        <v>37</v>
      </c>
      <c r="L10" s="5" t="s">
        <v>37</v>
      </c>
      <c r="M10" s="5" t="s">
        <v>37</v>
      </c>
      <c r="N10" s="5" t="s">
        <v>37</v>
      </c>
    </row>
    <row r="11" spans="1:16" x14ac:dyDescent="0.35">
      <c r="I11" s="40"/>
      <c r="L11" s="40"/>
      <c r="M11" s="40"/>
      <c r="N11" s="40"/>
      <c r="O11" s="40"/>
    </row>
    <row r="12" spans="1:16" x14ac:dyDescent="0.35">
      <c r="I12" s="40"/>
      <c r="L12" s="40"/>
      <c r="M12" s="40"/>
      <c r="N12" s="40"/>
      <c r="O12" s="40"/>
    </row>
  </sheetData>
  <autoFilter ref="A6:P9"/>
  <conditionalFormatting sqref="C7:C1048576">
    <cfRule type="cellIs" dxfId="99" priority="6" operator="equal">
      <formula>"WIP (see comments)"</formula>
    </cfRule>
    <cfRule type="cellIs" dxfId="98" priority="7" operator="equal">
      <formula>"Removed"</formula>
    </cfRule>
    <cfRule type="cellIs" dxfId="97" priority="8" operator="equal">
      <formula>"Updated"</formula>
    </cfRule>
    <cfRule type="cellIs" dxfId="96" priority="9" operator="equal">
      <formula>"New"</formula>
    </cfRule>
  </conditionalFormatting>
  <conditionalFormatting sqref="D9 D7">
    <cfRule type="cellIs" dxfId="95" priority="5" operator="equal">
      <formula>"-"</formula>
    </cfRule>
  </conditionalFormatting>
  <conditionalFormatting sqref="A2:XFD2 Q7:XFD7 A7:O7 A1:C1 E1:XFD1 A4:XFD6 A3:C3 E3:XFD3 A8:XFD1048576">
    <cfRule type="cellIs" dxfId="94" priority="4" operator="equal">
      <formula>"n/a"</formula>
    </cfRule>
  </conditionalFormatting>
  <conditionalFormatting sqref="P7">
    <cfRule type="cellIs" dxfId="93" priority="3" operator="equal">
      <formula>"n/a"</formula>
    </cfRule>
  </conditionalFormatting>
  <conditionalFormatting sqref="D1">
    <cfRule type="cellIs" dxfId="92" priority="2" operator="equal">
      <formula>"n/a"</formula>
    </cfRule>
  </conditionalFormatting>
  <conditionalFormatting sqref="D3">
    <cfRule type="cellIs" dxfId="91"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Values'!$A$5:$A$27</xm:f>
          </x14:formula1>
          <xm:sqref>E10:E1048576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zoomScaleNormal="100" workbookViewId="0">
      <pane xSplit="4" ySplit="6" topLeftCell="L7" activePane="bottomRight" state="frozen"/>
      <selection pane="topRight" activeCell="E1" sqref="E1"/>
      <selection pane="bottomLeft" activeCell="A7" sqref="A7"/>
      <selection pane="bottomRight" activeCell="P8" sqref="P8"/>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145</v>
      </c>
      <c r="C1" s="32"/>
      <c r="D1" s="29"/>
      <c r="H1" s="35"/>
    </row>
    <row r="2" spans="1:16" s="30" customFormat="1" ht="18.5" x14ac:dyDescent="0.35">
      <c r="A2" s="28" t="s">
        <v>7</v>
      </c>
      <c r="B2" s="36" t="s">
        <v>167</v>
      </c>
      <c r="C2" s="35"/>
      <c r="D2" s="36"/>
      <c r="H2" s="35"/>
    </row>
    <row r="3" spans="1:16" s="30" customFormat="1" ht="18.5" x14ac:dyDescent="0.35">
      <c r="A3" s="28" t="s">
        <v>44</v>
      </c>
      <c r="B3" s="36" t="s">
        <v>386</v>
      </c>
      <c r="C3" s="35"/>
      <c r="D3" s="80"/>
      <c r="H3" s="35"/>
    </row>
    <row r="4" spans="1:16" s="30" customFormat="1" ht="18.5" x14ac:dyDescent="0.35">
      <c r="A4" s="28" t="s">
        <v>8</v>
      </c>
      <c r="B4" s="30" t="s">
        <v>146</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D.1</v>
      </c>
      <c r="C7" s="51" t="s">
        <v>40</v>
      </c>
      <c r="D7" s="5" t="s">
        <v>37</v>
      </c>
      <c r="E7" s="40" t="s">
        <v>139</v>
      </c>
      <c r="F7" s="5" t="s">
        <v>37</v>
      </c>
      <c r="G7" s="5" t="s">
        <v>37</v>
      </c>
      <c r="H7" s="42" t="s">
        <v>37</v>
      </c>
      <c r="I7" s="40" t="s">
        <v>10</v>
      </c>
      <c r="J7" s="5" t="s">
        <v>37</v>
      </c>
      <c r="K7" s="5" t="s">
        <v>37</v>
      </c>
      <c r="L7" s="5" t="s">
        <v>37</v>
      </c>
      <c r="M7" s="5" t="s">
        <v>37</v>
      </c>
      <c r="N7" s="5" t="s">
        <v>37</v>
      </c>
      <c r="O7" s="5" t="s">
        <v>486</v>
      </c>
      <c r="P7" s="5" t="s">
        <v>489</v>
      </c>
    </row>
    <row r="8" spans="1:16" x14ac:dyDescent="0.35">
      <c r="A8" s="5">
        <v>2</v>
      </c>
      <c r="B8" s="5" t="str">
        <f t="shared" ref="B8:B9" si="0">CONCATENATE($B$2, ".", A8)</f>
        <v>D.2</v>
      </c>
      <c r="C8" s="79" t="s">
        <v>40</v>
      </c>
      <c r="D8" s="40" t="s">
        <v>147</v>
      </c>
      <c r="E8" s="40" t="s">
        <v>140</v>
      </c>
      <c r="F8" s="5" t="s">
        <v>37</v>
      </c>
      <c r="G8" s="5" t="s">
        <v>37</v>
      </c>
      <c r="H8" s="42" t="s">
        <v>37</v>
      </c>
      <c r="I8" s="40" t="s">
        <v>10</v>
      </c>
      <c r="J8" s="5" t="s">
        <v>37</v>
      </c>
      <c r="K8" s="5" t="s">
        <v>37</v>
      </c>
      <c r="L8" s="5" t="s">
        <v>37</v>
      </c>
      <c r="M8" s="5" t="s">
        <v>37</v>
      </c>
      <c r="N8" s="5" t="s">
        <v>37</v>
      </c>
    </row>
    <row r="9" spans="1:16" ht="43.5" x14ac:dyDescent="0.35">
      <c r="A9" s="5">
        <v>3</v>
      </c>
      <c r="B9" s="5" t="str">
        <f t="shared" si="0"/>
        <v>D.3</v>
      </c>
      <c r="C9" s="79" t="s">
        <v>38</v>
      </c>
      <c r="D9" s="45" t="s">
        <v>484</v>
      </c>
      <c r="E9" s="40" t="s">
        <v>117</v>
      </c>
      <c r="F9" s="5" t="s">
        <v>37</v>
      </c>
      <c r="G9" s="5" t="s">
        <v>37</v>
      </c>
      <c r="H9" s="42" t="s">
        <v>37</v>
      </c>
      <c r="I9" s="40" t="s">
        <v>10</v>
      </c>
      <c r="J9" s="5" t="s">
        <v>37</v>
      </c>
      <c r="K9" s="5" t="s">
        <v>37</v>
      </c>
      <c r="L9" s="5" t="s">
        <v>37</v>
      </c>
      <c r="M9" s="5" t="s">
        <v>37</v>
      </c>
      <c r="N9" s="5" t="s">
        <v>37</v>
      </c>
      <c r="O9" s="5" t="s">
        <v>414</v>
      </c>
    </row>
    <row r="10" spans="1:16" x14ac:dyDescent="0.35">
      <c r="I10" s="40"/>
      <c r="L10" s="40"/>
      <c r="M10" s="40"/>
      <c r="N10" s="40"/>
      <c r="O10" s="40"/>
    </row>
    <row r="11" spans="1:16" x14ac:dyDescent="0.35">
      <c r="I11" s="40"/>
      <c r="L11" s="40"/>
      <c r="M11" s="40"/>
      <c r="N11" s="40"/>
      <c r="O11" s="40"/>
    </row>
  </sheetData>
  <autoFilter ref="A6:P9"/>
  <conditionalFormatting sqref="C7:C1048576">
    <cfRule type="cellIs" dxfId="90" priority="5" operator="equal">
      <formula>"WIP (see comments)"</formula>
    </cfRule>
    <cfRule type="cellIs" dxfId="89" priority="6" operator="equal">
      <formula>"Removed"</formula>
    </cfRule>
    <cfRule type="cellIs" dxfId="88" priority="7" operator="equal">
      <formula>"Updated"</formula>
    </cfRule>
    <cfRule type="cellIs" dxfId="87" priority="8" operator="equal">
      <formula>"New"</formula>
    </cfRule>
  </conditionalFormatting>
  <conditionalFormatting sqref="D9 D7">
    <cfRule type="cellIs" dxfId="86" priority="4" operator="equal">
      <formula>"-"</formula>
    </cfRule>
  </conditionalFormatting>
  <conditionalFormatting sqref="A2:XFD6 Q7:XFD7 A7:O7 A1:C1 E1:XFD1 A8:XFD1048576">
    <cfRule type="cellIs" dxfId="85" priority="3" operator="equal">
      <formula>"n/a"</formula>
    </cfRule>
  </conditionalFormatting>
  <conditionalFormatting sqref="P7">
    <cfRule type="cellIs" dxfId="84" priority="2" operator="equal">
      <formula>"n/a"</formula>
    </cfRule>
  </conditionalFormatting>
  <conditionalFormatting sqref="D1">
    <cfRule type="cellIs" dxfId="83"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E10:E1048576</xm:sqref>
        </x14:dataValidation>
        <x14:dataValidation type="list" allowBlank="1" showInputMessage="1" showErrorMessage="1">
          <x14:formula1>
            <xm:f>'List Values'!$B$5:$B$13</xm:f>
          </x14:formula1>
          <xm:sqref>C7:C1048576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Normal="100" workbookViewId="0">
      <pane xSplit="4" ySplit="6" topLeftCell="M7" activePane="bottomRight" state="frozen"/>
      <selection pane="topRight" activeCell="E1" sqref="E1"/>
      <selection pane="bottomLeft" activeCell="A7" sqref="A7"/>
      <selection pane="bottomRight" activeCell="D9" sqref="D9"/>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148</v>
      </c>
      <c r="C1" s="32"/>
      <c r="D1" s="29"/>
      <c r="H1" s="35"/>
    </row>
    <row r="2" spans="1:16" s="30" customFormat="1" ht="18.5" x14ac:dyDescent="0.35">
      <c r="A2" s="28" t="s">
        <v>7</v>
      </c>
      <c r="B2" s="36" t="s">
        <v>168</v>
      </c>
      <c r="C2" s="35"/>
      <c r="D2" s="36"/>
      <c r="H2" s="35"/>
    </row>
    <row r="3" spans="1:16" s="30" customFormat="1" ht="18.5" x14ac:dyDescent="0.35">
      <c r="A3" s="28" t="s">
        <v>44</v>
      </c>
      <c r="B3" s="36" t="s">
        <v>387</v>
      </c>
      <c r="C3" s="35"/>
      <c r="D3" s="36" t="s">
        <v>74</v>
      </c>
      <c r="H3" s="35"/>
    </row>
    <row r="4" spans="1:16" s="30" customFormat="1" ht="18.5" x14ac:dyDescent="0.35">
      <c r="A4" s="28" t="s">
        <v>8</v>
      </c>
      <c r="B4" s="30" t="s">
        <v>149</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E.1</v>
      </c>
      <c r="C7" s="51" t="s">
        <v>40</v>
      </c>
      <c r="D7" s="5" t="s">
        <v>37</v>
      </c>
      <c r="E7" s="40" t="s">
        <v>139</v>
      </c>
      <c r="F7" s="5" t="s">
        <v>37</v>
      </c>
      <c r="G7" s="5" t="s">
        <v>37</v>
      </c>
      <c r="H7" s="42" t="s">
        <v>37</v>
      </c>
      <c r="I7" s="40" t="s">
        <v>10</v>
      </c>
      <c r="J7" s="5" t="s">
        <v>37</v>
      </c>
      <c r="K7" s="5" t="s">
        <v>37</v>
      </c>
      <c r="L7" s="5" t="s">
        <v>37</v>
      </c>
      <c r="M7" s="5" t="s">
        <v>37</v>
      </c>
      <c r="N7" s="5" t="s">
        <v>37</v>
      </c>
      <c r="O7" s="5" t="s">
        <v>491</v>
      </c>
      <c r="P7" s="5" t="s">
        <v>489</v>
      </c>
    </row>
    <row r="8" spans="1:16" x14ac:dyDescent="0.35">
      <c r="A8" s="5">
        <v>2</v>
      </c>
      <c r="B8" s="5" t="str">
        <f t="shared" ref="B8:B10" si="0">CONCATENATE($B$2, ".", A8)</f>
        <v>E.2</v>
      </c>
      <c r="C8" s="42" t="s">
        <v>38</v>
      </c>
      <c r="D8" s="40" t="s">
        <v>388</v>
      </c>
      <c r="E8" s="40" t="s">
        <v>140</v>
      </c>
      <c r="F8" s="5" t="s">
        <v>37</v>
      </c>
      <c r="G8" s="5" t="s">
        <v>37</v>
      </c>
      <c r="H8" s="42" t="s">
        <v>37</v>
      </c>
      <c r="I8" s="40" t="s">
        <v>10</v>
      </c>
      <c r="J8" s="5" t="s">
        <v>37</v>
      </c>
      <c r="K8" s="5" t="s">
        <v>37</v>
      </c>
      <c r="L8" s="5" t="s">
        <v>37</v>
      </c>
      <c r="M8" s="5" t="s">
        <v>37</v>
      </c>
      <c r="N8" s="5" t="s">
        <v>37</v>
      </c>
    </row>
    <row r="9" spans="1:16" ht="29" x14ac:dyDescent="0.35">
      <c r="A9" s="5">
        <v>3</v>
      </c>
      <c r="B9" s="5" t="str">
        <f t="shared" si="0"/>
        <v>E.3</v>
      </c>
      <c r="C9" s="51" t="s">
        <v>38</v>
      </c>
      <c r="D9" s="45" t="s">
        <v>389</v>
      </c>
      <c r="E9" s="40" t="s">
        <v>34</v>
      </c>
      <c r="F9" s="5" t="s">
        <v>37</v>
      </c>
      <c r="G9" s="5" t="s">
        <v>37</v>
      </c>
      <c r="H9" s="42" t="s">
        <v>37</v>
      </c>
      <c r="I9" s="40" t="s">
        <v>10</v>
      </c>
      <c r="J9" s="5" t="s">
        <v>37</v>
      </c>
      <c r="K9" s="5" t="s">
        <v>37</v>
      </c>
      <c r="L9" s="5" t="s">
        <v>37</v>
      </c>
      <c r="M9" s="5" t="s">
        <v>37</v>
      </c>
      <c r="N9" s="5" t="s">
        <v>37</v>
      </c>
    </row>
    <row r="10" spans="1:16" ht="79.5" customHeight="1" x14ac:dyDescent="0.35">
      <c r="A10" s="5">
        <v>4</v>
      </c>
      <c r="B10" s="5" t="str">
        <f t="shared" si="0"/>
        <v>E.4</v>
      </c>
      <c r="C10" s="51" t="s">
        <v>38</v>
      </c>
      <c r="D10" s="5" t="s">
        <v>390</v>
      </c>
      <c r="E10" s="40" t="s">
        <v>34</v>
      </c>
      <c r="F10" s="5" t="s">
        <v>37</v>
      </c>
      <c r="G10" s="5" t="s">
        <v>37</v>
      </c>
      <c r="H10" s="42" t="s">
        <v>37</v>
      </c>
      <c r="I10" s="40" t="s">
        <v>10</v>
      </c>
      <c r="J10" s="5" t="s">
        <v>37</v>
      </c>
      <c r="K10" s="5" t="s">
        <v>37</v>
      </c>
      <c r="L10" s="5" t="s">
        <v>37</v>
      </c>
      <c r="M10" s="5" t="s">
        <v>37</v>
      </c>
      <c r="N10" s="5" t="s">
        <v>37</v>
      </c>
    </row>
    <row r="11" spans="1:16" x14ac:dyDescent="0.35">
      <c r="I11" s="40"/>
      <c r="L11" s="40"/>
      <c r="M11" s="40"/>
      <c r="N11" s="40"/>
      <c r="O11" s="40"/>
    </row>
    <row r="12" spans="1:16" x14ac:dyDescent="0.35">
      <c r="I12" s="40"/>
      <c r="L12" s="40"/>
      <c r="M12" s="40"/>
      <c r="N12" s="40"/>
      <c r="O12" s="40"/>
    </row>
  </sheetData>
  <autoFilter ref="A6:P9"/>
  <conditionalFormatting sqref="C7:C1048576">
    <cfRule type="cellIs" dxfId="82" priority="5" operator="equal">
      <formula>"WIP (see comments)"</formula>
    </cfRule>
    <cfRule type="cellIs" dxfId="81" priority="6" operator="equal">
      <formula>"Removed"</formula>
    </cfRule>
    <cfRule type="cellIs" dxfId="80" priority="7" operator="equal">
      <formula>"Updated"</formula>
    </cfRule>
    <cfRule type="cellIs" dxfId="79" priority="8" operator="equal">
      <formula>"New"</formula>
    </cfRule>
  </conditionalFormatting>
  <conditionalFormatting sqref="D9 D7">
    <cfRule type="cellIs" dxfId="78" priority="4" operator="equal">
      <formula>"-"</formula>
    </cfRule>
  </conditionalFormatting>
  <conditionalFormatting sqref="A2:XFD6 Q7:XFD7 A8:XFD1048576 A7:O7 A1:C1 E1:XFD1">
    <cfRule type="cellIs" dxfId="77" priority="3" operator="equal">
      <formula>"n/a"</formula>
    </cfRule>
  </conditionalFormatting>
  <conditionalFormatting sqref="P7">
    <cfRule type="cellIs" dxfId="76" priority="2" operator="equal">
      <formula>"n/a"</formula>
    </cfRule>
  </conditionalFormatting>
  <conditionalFormatting sqref="D1">
    <cfRule type="cellIs" dxfId="75"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Values'!$A$5:$A$27</xm:f>
          </x14:formula1>
          <xm:sqref>E10:E1048576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150</v>
      </c>
      <c r="C1" s="32"/>
      <c r="D1" s="29"/>
      <c r="H1" s="35"/>
    </row>
    <row r="2" spans="1:16" s="30" customFormat="1" ht="18.5" x14ac:dyDescent="0.35">
      <c r="A2" s="28" t="s">
        <v>7</v>
      </c>
      <c r="B2" s="36" t="s">
        <v>169</v>
      </c>
      <c r="C2" s="35"/>
      <c r="D2" s="36"/>
      <c r="H2" s="35"/>
    </row>
    <row r="3" spans="1:16" s="30" customFormat="1" ht="18.5" x14ac:dyDescent="0.35">
      <c r="A3" s="28" t="s">
        <v>44</v>
      </c>
      <c r="B3" s="36" t="s">
        <v>393</v>
      </c>
      <c r="C3" s="35"/>
      <c r="D3" s="36" t="s">
        <v>74</v>
      </c>
      <c r="H3" s="35"/>
    </row>
    <row r="4" spans="1:16" s="30" customFormat="1" ht="18.5" x14ac:dyDescent="0.35">
      <c r="A4" s="28" t="s">
        <v>8</v>
      </c>
      <c r="B4" s="30" t="s">
        <v>151</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1" si="0">CONCATENATE($B$2, ".", A7)</f>
        <v>F.1</v>
      </c>
      <c r="C7" s="51" t="s">
        <v>38</v>
      </c>
      <c r="D7" s="40" t="s">
        <v>370</v>
      </c>
      <c r="E7" s="40" t="s">
        <v>140</v>
      </c>
      <c r="F7" s="5" t="s">
        <v>37</v>
      </c>
      <c r="G7" s="5" t="s">
        <v>37</v>
      </c>
      <c r="H7" s="51" t="s">
        <v>37</v>
      </c>
      <c r="I7" s="40" t="s">
        <v>10</v>
      </c>
      <c r="J7" s="5" t="s">
        <v>37</v>
      </c>
      <c r="K7" s="5" t="s">
        <v>37</v>
      </c>
      <c r="L7" s="5" t="s">
        <v>37</v>
      </c>
      <c r="M7" s="5" t="s">
        <v>37</v>
      </c>
      <c r="N7" s="5" t="s">
        <v>37</v>
      </c>
    </row>
    <row r="8" spans="1:16" ht="43.5" x14ac:dyDescent="0.35">
      <c r="A8" s="5">
        <v>2</v>
      </c>
      <c r="B8" s="5" t="str">
        <f t="shared" si="0"/>
        <v>F.2</v>
      </c>
      <c r="C8" s="51" t="s">
        <v>38</v>
      </c>
      <c r="D8" s="45" t="s">
        <v>248</v>
      </c>
      <c r="E8" s="40" t="s">
        <v>34</v>
      </c>
      <c r="F8" s="5" t="s">
        <v>37</v>
      </c>
      <c r="G8" s="5" t="s">
        <v>37</v>
      </c>
      <c r="H8" s="51" t="s">
        <v>37</v>
      </c>
      <c r="I8" s="40" t="s">
        <v>10</v>
      </c>
      <c r="J8" s="5" t="s">
        <v>37</v>
      </c>
      <c r="K8" s="5" t="s">
        <v>37</v>
      </c>
      <c r="L8" s="5" t="s">
        <v>37</v>
      </c>
      <c r="M8" s="5" t="s">
        <v>37</v>
      </c>
      <c r="N8" s="5" t="s">
        <v>37</v>
      </c>
      <c r="P8" s="5" t="s">
        <v>391</v>
      </c>
    </row>
    <row r="9" spans="1:16" x14ac:dyDescent="0.35">
      <c r="A9" s="5">
        <v>3</v>
      </c>
      <c r="B9" s="5" t="str">
        <f t="shared" si="0"/>
        <v>F.3</v>
      </c>
      <c r="C9" s="53" t="s">
        <v>40</v>
      </c>
      <c r="D9" s="45" t="s">
        <v>195</v>
      </c>
      <c r="E9" s="40" t="s">
        <v>33</v>
      </c>
      <c r="F9" s="5" t="s">
        <v>37</v>
      </c>
      <c r="G9" s="5" t="s">
        <v>37</v>
      </c>
      <c r="H9" s="51" t="s">
        <v>37</v>
      </c>
      <c r="I9" s="40" t="s">
        <v>10</v>
      </c>
      <c r="J9" s="5" t="s">
        <v>37</v>
      </c>
      <c r="K9" s="5" t="s">
        <v>37</v>
      </c>
      <c r="L9" s="5" t="s">
        <v>37</v>
      </c>
      <c r="M9" s="5" t="s">
        <v>37</v>
      </c>
      <c r="N9" s="5" t="s">
        <v>37</v>
      </c>
    </row>
    <row r="10" spans="1:16" x14ac:dyDescent="0.35">
      <c r="A10" s="5">
        <v>4</v>
      </c>
      <c r="B10" s="5" t="str">
        <f t="shared" si="0"/>
        <v>F.4</v>
      </c>
      <c r="C10" s="53" t="s">
        <v>40</v>
      </c>
      <c r="D10" s="5" t="s">
        <v>196</v>
      </c>
      <c r="E10" s="5" t="s">
        <v>43</v>
      </c>
      <c r="F10" s="5" t="s">
        <v>37</v>
      </c>
      <c r="G10" s="5" t="s">
        <v>37</v>
      </c>
      <c r="H10" s="51" t="s">
        <v>37</v>
      </c>
      <c r="I10" s="40" t="s">
        <v>10</v>
      </c>
      <c r="J10" s="5" t="s">
        <v>37</v>
      </c>
      <c r="K10" s="5" t="s">
        <v>37</v>
      </c>
      <c r="L10" s="5" t="s">
        <v>37</v>
      </c>
      <c r="M10" s="5" t="s">
        <v>37</v>
      </c>
      <c r="N10" s="5" t="s">
        <v>37</v>
      </c>
      <c r="O10" s="40" t="s">
        <v>392</v>
      </c>
    </row>
    <row r="11" spans="1:16" x14ac:dyDescent="0.35">
      <c r="A11" s="5">
        <v>5</v>
      </c>
      <c r="B11" s="5" t="str">
        <f t="shared" si="0"/>
        <v>F.5</v>
      </c>
      <c r="C11" s="53" t="s">
        <v>40</v>
      </c>
      <c r="D11" s="5" t="s">
        <v>240</v>
      </c>
      <c r="E11" s="5" t="s">
        <v>43</v>
      </c>
      <c r="F11" s="5" t="s">
        <v>37</v>
      </c>
      <c r="G11" s="5" t="s">
        <v>37</v>
      </c>
      <c r="H11" s="51" t="s">
        <v>37</v>
      </c>
      <c r="I11" s="40" t="s">
        <v>10</v>
      </c>
      <c r="J11" s="5" t="s">
        <v>37</v>
      </c>
      <c r="K11" s="5" t="s">
        <v>37</v>
      </c>
      <c r="L11" s="5" t="s">
        <v>37</v>
      </c>
      <c r="M11" s="5" t="s">
        <v>37</v>
      </c>
      <c r="N11" s="5" t="s">
        <v>37</v>
      </c>
      <c r="O11" s="40" t="s">
        <v>250</v>
      </c>
    </row>
  </sheetData>
  <autoFilter ref="A6:P6"/>
  <conditionalFormatting sqref="C12:C1048576">
    <cfRule type="cellIs" dxfId="74" priority="21" operator="equal">
      <formula>"WIP (see comments)"</formula>
    </cfRule>
    <cfRule type="cellIs" dxfId="73" priority="22" operator="equal">
      <formula>"Removed"</formula>
    </cfRule>
    <cfRule type="cellIs" dxfId="72" priority="23" operator="equal">
      <formula>"Updated"</formula>
    </cfRule>
    <cfRule type="cellIs" dxfId="71" priority="24" operator="equal">
      <formula>"New"</formula>
    </cfRule>
  </conditionalFormatting>
  <conditionalFormatting sqref="A2:XFD6 A12:XFD1048576 A1:C1 E1:XFD1">
    <cfRule type="cellIs" dxfId="70" priority="19" operator="equal">
      <formula>"n/a"</formula>
    </cfRule>
  </conditionalFormatting>
  <conditionalFormatting sqref="D8:D9">
    <cfRule type="cellIs" dxfId="69" priority="18" operator="equal">
      <formula>"-"</formula>
    </cfRule>
  </conditionalFormatting>
  <conditionalFormatting sqref="A8:B9 D8:XFD9">
    <cfRule type="cellIs" dxfId="68" priority="17" operator="equal">
      <formula>"n/a"</formula>
    </cfRule>
  </conditionalFormatting>
  <conditionalFormatting sqref="C7:C11">
    <cfRule type="cellIs" dxfId="67" priority="13" operator="equal">
      <formula>"WIP (see comments)"</formula>
    </cfRule>
    <cfRule type="cellIs" dxfId="66" priority="14" operator="equal">
      <formula>"Removed"</formula>
    </cfRule>
    <cfRule type="cellIs" dxfId="65" priority="15" operator="equal">
      <formula>"Updated"</formula>
    </cfRule>
    <cfRule type="cellIs" dxfId="64" priority="16" operator="equal">
      <formula>"New"</formula>
    </cfRule>
  </conditionalFormatting>
  <conditionalFormatting sqref="A7:XFD7 C8:C11">
    <cfRule type="cellIs" dxfId="63" priority="12" operator="equal">
      <formula>"n/a"</formula>
    </cfRule>
  </conditionalFormatting>
  <conditionalFormatting sqref="A10:B10 D10:XFD10">
    <cfRule type="cellIs" dxfId="62" priority="7" operator="equal">
      <formula>"n/a"</formula>
    </cfRule>
  </conditionalFormatting>
  <conditionalFormatting sqref="A11:B11 D11:XFD11">
    <cfRule type="cellIs" dxfId="61" priority="2" operator="equal">
      <formula>"n/a"</formula>
    </cfRule>
  </conditionalFormatting>
  <conditionalFormatting sqref="D1">
    <cfRule type="cellIs" dxfId="6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0"/>
  <sheetViews>
    <sheetView workbookViewId="0">
      <pane xSplit="4" ySplit="6" topLeftCell="E7" activePane="bottomRight" state="frozen"/>
      <selection pane="topRight" activeCell="E1" sqref="E1"/>
      <selection pane="bottomLeft" activeCell="A7" sqref="A7"/>
      <selection pane="bottomRight" activeCell="A8" sqref="A8"/>
    </sheetView>
  </sheetViews>
  <sheetFormatPr defaultColWidth="9.1796875" defaultRowHeight="14.5" x14ac:dyDescent="0.35"/>
  <cols>
    <col min="1" max="1" width="14.7265625" style="5" customWidth="1"/>
    <col min="2" max="2" width="12.54296875" style="5" customWidth="1"/>
    <col min="3" max="3" width="13" style="53" customWidth="1"/>
    <col min="4" max="4" width="45.1796875" style="5" customWidth="1"/>
    <col min="5" max="5" width="28.7265625" style="5" customWidth="1"/>
    <col min="6" max="6" width="37" style="5" customWidth="1"/>
    <col min="7" max="7" width="29.26953125" style="5" customWidth="1"/>
    <col min="8" max="8" width="11.54296875" style="53"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203</v>
      </c>
      <c r="C1" s="32"/>
      <c r="D1" s="29"/>
      <c r="H1" s="35"/>
    </row>
    <row r="2" spans="1:16" s="30" customFormat="1" ht="18.5" x14ac:dyDescent="0.35">
      <c r="A2" s="28" t="s">
        <v>7</v>
      </c>
      <c r="B2" s="36" t="s">
        <v>201</v>
      </c>
      <c r="C2" s="35"/>
      <c r="D2" s="36"/>
      <c r="H2" s="35"/>
    </row>
    <row r="3" spans="1:16" s="30" customFormat="1" ht="18.5" x14ac:dyDescent="0.35">
      <c r="A3" s="28" t="s">
        <v>44</v>
      </c>
      <c r="B3" s="36" t="s">
        <v>394</v>
      </c>
      <c r="C3" s="35"/>
      <c r="D3" s="36" t="s">
        <v>74</v>
      </c>
      <c r="H3" s="35"/>
    </row>
    <row r="4" spans="1:16" s="30" customFormat="1" ht="18.5" x14ac:dyDescent="0.35">
      <c r="A4" s="28" t="s">
        <v>8</v>
      </c>
      <c r="B4" s="30" t="s">
        <v>202</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0" si="0">CONCATENATE($B$2, ".", A7)</f>
        <v>G.1</v>
      </c>
      <c r="C7" s="53" t="s">
        <v>233</v>
      </c>
      <c r="D7" s="40" t="s">
        <v>204</v>
      </c>
      <c r="E7" s="40" t="s">
        <v>140</v>
      </c>
      <c r="F7" s="5" t="s">
        <v>37</v>
      </c>
      <c r="G7" s="5" t="s">
        <v>37</v>
      </c>
      <c r="H7" s="53" t="s">
        <v>37</v>
      </c>
      <c r="I7" s="40" t="s">
        <v>10</v>
      </c>
      <c r="J7" s="5" t="s">
        <v>37</v>
      </c>
      <c r="K7" s="5" t="s">
        <v>37</v>
      </c>
      <c r="L7" s="5" t="s">
        <v>37</v>
      </c>
      <c r="M7" s="5" t="s">
        <v>37</v>
      </c>
      <c r="N7" s="5" t="s">
        <v>37</v>
      </c>
    </row>
    <row r="8" spans="1:16" ht="29" x14ac:dyDescent="0.35">
      <c r="A8" s="5">
        <v>3</v>
      </c>
      <c r="B8" s="5" t="str">
        <f>CONCATENATE($B$2, ".", A8)</f>
        <v>G.3</v>
      </c>
      <c r="C8" s="73" t="s">
        <v>233</v>
      </c>
      <c r="D8" s="45" t="s">
        <v>208</v>
      </c>
      <c r="E8" s="40" t="s">
        <v>207</v>
      </c>
      <c r="F8" s="5" t="s">
        <v>37</v>
      </c>
      <c r="G8" s="5" t="s">
        <v>37</v>
      </c>
      <c r="H8" s="53" t="s">
        <v>37</v>
      </c>
      <c r="I8" s="40" t="s">
        <v>10</v>
      </c>
      <c r="J8" s="5" t="s">
        <v>37</v>
      </c>
      <c r="K8" s="5" t="s">
        <v>37</v>
      </c>
      <c r="L8" s="5" t="s">
        <v>37</v>
      </c>
      <c r="M8" s="5" t="s">
        <v>37</v>
      </c>
      <c r="N8" s="5" t="s">
        <v>37</v>
      </c>
      <c r="O8" s="5" t="s">
        <v>209</v>
      </c>
    </row>
    <row r="9" spans="1:16" ht="29" x14ac:dyDescent="0.35">
      <c r="A9" s="5">
        <v>2</v>
      </c>
      <c r="B9" s="5" t="str">
        <f t="shared" si="0"/>
        <v>G.2</v>
      </c>
      <c r="C9" s="73" t="s">
        <v>233</v>
      </c>
      <c r="D9" s="5" t="s">
        <v>205</v>
      </c>
      <c r="E9" s="40" t="s">
        <v>34</v>
      </c>
      <c r="F9" s="5" t="s">
        <v>37</v>
      </c>
      <c r="G9" s="5" t="s">
        <v>37</v>
      </c>
      <c r="H9" s="53" t="s">
        <v>37</v>
      </c>
      <c r="I9" s="40" t="s">
        <v>10</v>
      </c>
      <c r="J9" s="5" t="s">
        <v>37</v>
      </c>
      <c r="K9" s="5" t="s">
        <v>37</v>
      </c>
      <c r="L9" s="5" t="s">
        <v>37</v>
      </c>
      <c r="M9" s="5" t="s">
        <v>37</v>
      </c>
      <c r="N9" s="5" t="s">
        <v>37</v>
      </c>
    </row>
    <row r="10" spans="1:16" ht="43.5" x14ac:dyDescent="0.35">
      <c r="A10" s="5">
        <v>4</v>
      </c>
      <c r="B10" s="5" t="str">
        <f t="shared" si="0"/>
        <v>G.4</v>
      </c>
      <c r="C10" s="73" t="s">
        <v>233</v>
      </c>
      <c r="D10" s="5" t="s">
        <v>196</v>
      </c>
      <c r="E10" s="5" t="s">
        <v>43</v>
      </c>
      <c r="F10" s="5" t="s">
        <v>37</v>
      </c>
      <c r="G10" s="5" t="s">
        <v>37</v>
      </c>
      <c r="H10" s="53" t="s">
        <v>37</v>
      </c>
      <c r="I10" s="40" t="s">
        <v>10</v>
      </c>
      <c r="J10" s="5" t="s">
        <v>37</v>
      </c>
      <c r="K10" s="5" t="s">
        <v>37</v>
      </c>
      <c r="L10" s="5" t="s">
        <v>37</v>
      </c>
      <c r="M10" s="5" t="s">
        <v>37</v>
      </c>
      <c r="N10" s="5" t="s">
        <v>37</v>
      </c>
      <c r="O10" s="40" t="s">
        <v>206</v>
      </c>
    </row>
  </sheetData>
  <autoFilter ref="A6:P6"/>
  <conditionalFormatting sqref="C11:C1048576">
    <cfRule type="cellIs" dxfId="59" priority="12" operator="equal">
      <formula>"WIP (see comments)"</formula>
    </cfRule>
    <cfRule type="cellIs" dxfId="58" priority="13" operator="equal">
      <formula>"Removed"</formula>
    </cfRule>
    <cfRule type="cellIs" dxfId="57" priority="14" operator="equal">
      <formula>"Updated"</formula>
    </cfRule>
    <cfRule type="cellIs" dxfId="56" priority="15" operator="equal">
      <formula>"New"</formula>
    </cfRule>
  </conditionalFormatting>
  <conditionalFormatting sqref="A2:XFD6 A11:XFD1048576 A8:B9 D8:XFD9 A1:C1 E1:XFD1">
    <cfRule type="cellIs" dxfId="55" priority="11" operator="equal">
      <formula>"n/a"</formula>
    </cfRule>
  </conditionalFormatting>
  <conditionalFormatting sqref="D8:D9">
    <cfRule type="cellIs" dxfId="54" priority="10" operator="equal">
      <formula>"-"</formula>
    </cfRule>
  </conditionalFormatting>
  <conditionalFormatting sqref="C7:C10">
    <cfRule type="cellIs" dxfId="53" priority="5" operator="equal">
      <formula>"WIP (see comments)"</formula>
    </cfRule>
    <cfRule type="cellIs" dxfId="52" priority="6" operator="equal">
      <formula>"Removed"</formula>
    </cfRule>
    <cfRule type="cellIs" dxfId="51" priority="7" operator="equal">
      <formula>"Updated"</formula>
    </cfRule>
    <cfRule type="cellIs" dxfId="50" priority="8" operator="equal">
      <formula>"New"</formula>
    </cfRule>
  </conditionalFormatting>
  <conditionalFormatting sqref="A7:XFD7 C8:C10">
    <cfRule type="cellIs" dxfId="49" priority="4" operator="equal">
      <formula>"n/a"</formula>
    </cfRule>
  </conditionalFormatting>
  <conditionalFormatting sqref="A10:B10 D10:XFD10">
    <cfRule type="cellIs" dxfId="48" priority="3" operator="equal">
      <formula>"n/a"</formula>
    </cfRule>
  </conditionalFormatting>
  <conditionalFormatting sqref="D1">
    <cfRule type="cellIs" dxfId="4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7"/>
  <sheetViews>
    <sheetView workbookViewId="0">
      <pane xSplit="4" ySplit="6" topLeftCell="L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69" customWidth="1"/>
    <col min="4" max="4" width="45.1796875" style="5" customWidth="1"/>
    <col min="5" max="5" width="28.7265625" style="5" customWidth="1"/>
    <col min="6" max="6" width="37" style="5" customWidth="1"/>
    <col min="7" max="7" width="29.26953125" style="5" customWidth="1"/>
    <col min="8" max="8" width="11.54296875" style="6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210</v>
      </c>
      <c r="C1" s="32"/>
      <c r="D1" s="29"/>
      <c r="H1" s="35"/>
    </row>
    <row r="2" spans="1:16" s="30" customFormat="1" ht="18.5" x14ac:dyDescent="0.35">
      <c r="A2" s="28" t="s">
        <v>7</v>
      </c>
      <c r="B2" s="36" t="s">
        <v>212</v>
      </c>
      <c r="C2" s="35"/>
      <c r="D2" s="36"/>
      <c r="H2" s="35"/>
    </row>
    <row r="3" spans="1:16" s="30" customFormat="1" ht="18.5" x14ac:dyDescent="0.35">
      <c r="A3" s="28" t="s">
        <v>44</v>
      </c>
      <c r="B3" s="36" t="s">
        <v>396</v>
      </c>
      <c r="C3" s="35"/>
      <c r="D3" s="36" t="s">
        <v>74</v>
      </c>
      <c r="H3" s="35"/>
    </row>
    <row r="4" spans="1:16" s="30" customFormat="1" ht="18.5" x14ac:dyDescent="0.35">
      <c r="A4" s="28" t="s">
        <v>8</v>
      </c>
      <c r="B4" s="30" t="s">
        <v>211</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ht="43.5" x14ac:dyDescent="0.35">
      <c r="A7" s="5">
        <v>1</v>
      </c>
      <c r="B7" s="5" t="str">
        <f t="shared" ref="B7" si="0">CONCATENATE($B$2, ".", A7)</f>
        <v>H.1</v>
      </c>
      <c r="C7" s="69" t="s">
        <v>45</v>
      </c>
      <c r="D7" s="40" t="s">
        <v>37</v>
      </c>
      <c r="E7" s="40" t="s">
        <v>139</v>
      </c>
      <c r="F7" s="5" t="s">
        <v>37</v>
      </c>
      <c r="G7" s="5" t="s">
        <v>37</v>
      </c>
      <c r="H7" s="69" t="s">
        <v>37</v>
      </c>
      <c r="I7" s="40" t="s">
        <v>10</v>
      </c>
      <c r="J7" s="5" t="s">
        <v>37</v>
      </c>
      <c r="K7" s="5" t="s">
        <v>37</v>
      </c>
      <c r="L7" s="5" t="s">
        <v>37</v>
      </c>
      <c r="M7" s="5" t="s">
        <v>37</v>
      </c>
      <c r="N7" s="5" t="s">
        <v>37</v>
      </c>
      <c r="O7" s="5" t="s">
        <v>450</v>
      </c>
      <c r="P7" s="5" t="s">
        <v>451</v>
      </c>
    </row>
  </sheetData>
  <autoFilter ref="A6:P6"/>
  <conditionalFormatting sqref="C8:C1048576">
    <cfRule type="cellIs" dxfId="46" priority="11" operator="equal">
      <formula>"WIP (see comments)"</formula>
    </cfRule>
    <cfRule type="cellIs" dxfId="45" priority="12" operator="equal">
      <formula>"Removed"</formula>
    </cfRule>
    <cfRule type="cellIs" dxfId="44" priority="13" operator="equal">
      <formula>"Updated"</formula>
    </cfRule>
    <cfRule type="cellIs" dxfId="43" priority="14" operator="equal">
      <formula>"New"</formula>
    </cfRule>
  </conditionalFormatting>
  <conditionalFormatting sqref="A2:XFD6 A8:XFD1048576 A1:C1 E1:XFD1">
    <cfRule type="cellIs" dxfId="42" priority="10" operator="equal">
      <formula>"n/a"</formula>
    </cfRule>
  </conditionalFormatting>
  <conditionalFormatting sqref="C7">
    <cfRule type="cellIs" dxfId="41" priority="5" operator="equal">
      <formula>"WIP (see comments)"</formula>
    </cfRule>
    <cfRule type="cellIs" dxfId="40" priority="6" operator="equal">
      <formula>"Removed"</formula>
    </cfRule>
    <cfRule type="cellIs" dxfId="39" priority="7" operator="equal">
      <formula>"Updated"</formula>
    </cfRule>
    <cfRule type="cellIs" dxfId="38" priority="8" operator="equal">
      <formula>"New"</formula>
    </cfRule>
  </conditionalFormatting>
  <conditionalFormatting sqref="A7:XFD7">
    <cfRule type="cellIs" dxfId="37" priority="4" operator="equal">
      <formula>"n/a"</formula>
    </cfRule>
  </conditionalFormatting>
  <conditionalFormatting sqref="D1">
    <cfRule type="cellIs" dxfId="3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Values'!$A$5:$A$27</xm:f>
          </x14:formula1>
          <xm:sqref>E7:E1048576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0"/>
  <sheetViews>
    <sheetView workbookViewId="0">
      <pane xSplit="4" ySplit="6" topLeftCell="E7" activePane="bottomRight" state="frozen"/>
      <selection pane="topRight" activeCell="E1" sqref="E1"/>
      <selection pane="bottomLeft" activeCell="A7" sqref="A7"/>
      <selection pane="bottomRight" activeCell="H22" sqref="H22"/>
    </sheetView>
  </sheetViews>
  <sheetFormatPr defaultColWidth="9.1796875" defaultRowHeight="14.5" x14ac:dyDescent="0.35"/>
  <cols>
    <col min="1" max="1" width="14.7265625" style="5" customWidth="1"/>
    <col min="2" max="2" width="12.54296875" style="5" customWidth="1"/>
    <col min="3" max="3" width="19.26953125" style="73" customWidth="1"/>
    <col min="4" max="4" width="45.1796875" style="5" customWidth="1"/>
    <col min="5" max="5" width="28.7265625" style="5" customWidth="1"/>
    <col min="6" max="6" width="37" style="5" customWidth="1"/>
    <col min="7" max="7" width="29.26953125" style="5" customWidth="1"/>
    <col min="8" max="8" width="11.54296875" style="73"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235</v>
      </c>
      <c r="C1" s="32"/>
      <c r="D1" s="29"/>
      <c r="H1" s="35"/>
    </row>
    <row r="2" spans="1:16" s="30" customFormat="1" ht="18.5" x14ac:dyDescent="0.35">
      <c r="A2" s="28" t="s">
        <v>7</v>
      </c>
      <c r="B2" s="36" t="s">
        <v>234</v>
      </c>
      <c r="C2" s="35"/>
      <c r="D2" s="36"/>
      <c r="H2" s="35"/>
    </row>
    <row r="3" spans="1:16" s="30" customFormat="1" ht="18.5" x14ac:dyDescent="0.35">
      <c r="A3" s="28" t="s">
        <v>44</v>
      </c>
      <c r="B3" s="36" t="s">
        <v>395</v>
      </c>
      <c r="C3" s="35"/>
      <c r="D3" s="36" t="s">
        <v>74</v>
      </c>
      <c r="H3" s="35"/>
    </row>
    <row r="4" spans="1:16" s="30" customFormat="1" ht="18.5" x14ac:dyDescent="0.35">
      <c r="A4" s="28" t="s">
        <v>8</v>
      </c>
      <c r="B4" s="30" t="s">
        <v>239</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0" si="0">CONCATENATE($B$2, ".", A7)</f>
        <v>I.1</v>
      </c>
      <c r="C7" s="73" t="s">
        <v>233</v>
      </c>
      <c r="D7" s="40" t="s">
        <v>238</v>
      </c>
      <c r="E7" s="40" t="s">
        <v>140</v>
      </c>
      <c r="F7" s="5" t="s">
        <v>37</v>
      </c>
      <c r="G7" s="5" t="s">
        <v>37</v>
      </c>
      <c r="H7" s="73" t="s">
        <v>37</v>
      </c>
      <c r="I7" s="40" t="s">
        <v>10</v>
      </c>
      <c r="J7" s="5" t="s">
        <v>37</v>
      </c>
      <c r="K7" s="5" t="s">
        <v>37</v>
      </c>
      <c r="L7" s="5" t="s">
        <v>37</v>
      </c>
      <c r="M7" s="5" t="s">
        <v>37</v>
      </c>
      <c r="N7" s="5" t="s">
        <v>37</v>
      </c>
    </row>
    <row r="8" spans="1:16" ht="92" customHeight="1" x14ac:dyDescent="0.35">
      <c r="A8" s="5">
        <v>2</v>
      </c>
      <c r="B8" s="5" t="str">
        <f t="shared" si="0"/>
        <v>I.2</v>
      </c>
      <c r="C8" s="74" t="s">
        <v>38</v>
      </c>
      <c r="D8" s="81" t="s">
        <v>427</v>
      </c>
      <c r="E8" s="40" t="s">
        <v>34</v>
      </c>
      <c r="F8" s="5" t="s">
        <v>37</v>
      </c>
      <c r="G8" s="5" t="s">
        <v>37</v>
      </c>
      <c r="H8" s="73" t="s">
        <v>37</v>
      </c>
      <c r="I8" s="40" t="s">
        <v>10</v>
      </c>
      <c r="J8" s="5" t="s">
        <v>37</v>
      </c>
      <c r="K8" s="5" t="s">
        <v>37</v>
      </c>
      <c r="L8" s="5" t="s">
        <v>37</v>
      </c>
      <c r="M8" s="5" t="s">
        <v>37</v>
      </c>
      <c r="N8" s="5" t="s">
        <v>37</v>
      </c>
      <c r="O8" s="5" t="s">
        <v>170</v>
      </c>
    </row>
    <row r="9" spans="1:16" x14ac:dyDescent="0.35">
      <c r="A9" s="5">
        <v>3</v>
      </c>
      <c r="B9" s="5" t="str">
        <f t="shared" si="0"/>
        <v>I.3</v>
      </c>
      <c r="C9" s="74" t="s">
        <v>233</v>
      </c>
      <c r="D9" s="45" t="s">
        <v>236</v>
      </c>
      <c r="E9" s="40" t="s">
        <v>36</v>
      </c>
      <c r="F9" s="5" t="s">
        <v>37</v>
      </c>
      <c r="G9" s="5" t="s">
        <v>37</v>
      </c>
      <c r="H9" s="73" t="s">
        <v>37</v>
      </c>
      <c r="I9" s="40" t="s">
        <v>10</v>
      </c>
      <c r="J9" s="5" t="s">
        <v>37</v>
      </c>
      <c r="K9" s="5" t="s">
        <v>37</v>
      </c>
      <c r="L9" s="5" t="s">
        <v>37</v>
      </c>
      <c r="M9" s="5" t="s">
        <v>37</v>
      </c>
      <c r="N9" s="5" t="s">
        <v>37</v>
      </c>
    </row>
    <row r="10" spans="1:16" ht="29" x14ac:dyDescent="0.35">
      <c r="A10" s="5">
        <v>4</v>
      </c>
      <c r="B10" s="5" t="str">
        <f t="shared" si="0"/>
        <v>I.4</v>
      </c>
      <c r="C10" s="74" t="s">
        <v>233</v>
      </c>
      <c r="D10" s="5" t="s">
        <v>237</v>
      </c>
      <c r="E10" s="40" t="s">
        <v>34</v>
      </c>
      <c r="F10" s="5" t="s">
        <v>37</v>
      </c>
      <c r="G10" s="5" t="s">
        <v>37</v>
      </c>
      <c r="H10" s="73" t="s">
        <v>37</v>
      </c>
      <c r="I10" s="40" t="s">
        <v>10</v>
      </c>
      <c r="J10" s="5" t="s">
        <v>37</v>
      </c>
      <c r="K10" s="5" t="s">
        <v>37</v>
      </c>
      <c r="L10" s="5" t="s">
        <v>37</v>
      </c>
      <c r="M10" s="5" t="s">
        <v>37</v>
      </c>
      <c r="N10" s="5" t="s">
        <v>37</v>
      </c>
      <c r="O10" s="40"/>
    </row>
  </sheetData>
  <autoFilter ref="A6:P6"/>
  <conditionalFormatting sqref="C11:C1048576">
    <cfRule type="cellIs" dxfId="35" priority="16" operator="equal">
      <formula>"WIP (see comments)"</formula>
    </cfRule>
    <cfRule type="cellIs" dxfId="34" priority="17" operator="equal">
      <formula>"Removed"</formula>
    </cfRule>
    <cfRule type="cellIs" dxfId="33" priority="18" operator="equal">
      <formula>"Updated"</formula>
    </cfRule>
    <cfRule type="cellIs" dxfId="32" priority="19" operator="equal">
      <formula>"New"</formula>
    </cfRule>
  </conditionalFormatting>
  <conditionalFormatting sqref="A2:XFD6 A11:XFD1048576 A1:C1 E1:XFD1">
    <cfRule type="cellIs" dxfId="31" priority="15" operator="equal">
      <formula>"n/a"</formula>
    </cfRule>
  </conditionalFormatting>
  <conditionalFormatting sqref="D9">
    <cfRule type="cellIs" dxfId="30" priority="14" operator="equal">
      <formula>"-"</formula>
    </cfRule>
  </conditionalFormatting>
  <conditionalFormatting sqref="A8:B9 D9:XFD9 E8:N8 P8:XFD8">
    <cfRule type="cellIs" dxfId="29" priority="13" operator="equal">
      <formula>"n/a"</formula>
    </cfRule>
  </conditionalFormatting>
  <conditionalFormatting sqref="C7:C10">
    <cfRule type="cellIs" dxfId="28" priority="9" operator="equal">
      <formula>"WIP (see comments)"</formula>
    </cfRule>
    <cfRule type="cellIs" dxfId="27" priority="10" operator="equal">
      <formula>"Removed"</formula>
    </cfRule>
    <cfRule type="cellIs" dxfId="26" priority="11" operator="equal">
      <formula>"Updated"</formula>
    </cfRule>
    <cfRule type="cellIs" dxfId="25" priority="12" operator="equal">
      <formula>"New"</formula>
    </cfRule>
  </conditionalFormatting>
  <conditionalFormatting sqref="A7:XFD7 C8:C10">
    <cfRule type="cellIs" dxfId="24" priority="8" operator="equal">
      <formula>"n/a"</formula>
    </cfRule>
  </conditionalFormatting>
  <conditionalFormatting sqref="A10:B10 D10 F10:XFD10">
    <cfRule type="cellIs" dxfId="23" priority="7" operator="equal">
      <formula>"n/a"</formula>
    </cfRule>
  </conditionalFormatting>
  <conditionalFormatting sqref="E10">
    <cfRule type="cellIs" dxfId="22" priority="5" operator="equal">
      <formula>"n/a"</formula>
    </cfRule>
  </conditionalFormatting>
  <conditionalFormatting sqref="O8">
    <cfRule type="cellIs" dxfId="21" priority="4" operator="equal">
      <formula>"n/a"</formula>
    </cfRule>
  </conditionalFormatting>
  <conditionalFormatting sqref="D1">
    <cfRule type="cellIs" dxfId="20" priority="3" operator="equal">
      <formula>"n/a"</formula>
    </cfRule>
  </conditionalFormatting>
  <conditionalFormatting sqref="D8">
    <cfRule type="cellIs" dxfId="19" priority="2" operator="equal">
      <formula>"-"</formula>
    </cfRule>
  </conditionalFormatting>
  <conditionalFormatting sqref="D8">
    <cfRule type="cellIs" dxfId="1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Values'!$A$5:$A$27</xm:f>
          </x14:formula1>
          <xm:sqref>E7:E1048576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1"/>
  <sheetViews>
    <sheetView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5" customWidth="1"/>
    <col min="2" max="2" width="12.54296875" style="5" customWidth="1"/>
    <col min="3" max="3" width="19.26953125" style="86" customWidth="1"/>
    <col min="4" max="4" width="45.1796875" style="5" customWidth="1"/>
    <col min="5" max="5" width="28.7265625" style="5" customWidth="1"/>
    <col min="6" max="6" width="37" style="5" customWidth="1"/>
    <col min="7" max="7" width="29.26953125" style="5" customWidth="1"/>
    <col min="8" max="8" width="11.54296875" style="86"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496</v>
      </c>
      <c r="C1" s="32"/>
      <c r="D1" s="29"/>
      <c r="H1" s="35"/>
    </row>
    <row r="2" spans="1:16" s="30" customFormat="1" ht="18.5" x14ac:dyDescent="0.35">
      <c r="A2" s="28" t="s">
        <v>7</v>
      </c>
      <c r="B2" s="36" t="s">
        <v>495</v>
      </c>
      <c r="C2" s="35"/>
      <c r="D2" s="36"/>
      <c r="H2" s="35"/>
    </row>
    <row r="3" spans="1:16" s="30" customFormat="1" ht="18.5" x14ac:dyDescent="0.35">
      <c r="A3" s="28" t="s">
        <v>44</v>
      </c>
      <c r="B3" s="36" t="s">
        <v>497</v>
      </c>
      <c r="C3" s="35"/>
      <c r="D3" s="36" t="s">
        <v>500</v>
      </c>
      <c r="H3" s="35"/>
    </row>
    <row r="4" spans="1:16" s="30" customFormat="1" ht="18.5" x14ac:dyDescent="0.35">
      <c r="A4" s="28" t="s">
        <v>8</v>
      </c>
      <c r="B4" s="30" t="s">
        <v>279</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1" si="0">CONCATENATE($B$2, ".", A7)</f>
        <v>J.1</v>
      </c>
      <c r="C7" s="86" t="s">
        <v>42</v>
      </c>
      <c r="D7" s="40" t="s">
        <v>492</v>
      </c>
      <c r="E7" s="40" t="s">
        <v>139</v>
      </c>
      <c r="F7" s="5" t="s">
        <v>37</v>
      </c>
      <c r="G7" s="5" t="s">
        <v>37</v>
      </c>
      <c r="H7" s="86" t="s">
        <v>37</v>
      </c>
      <c r="I7" s="40" t="s">
        <v>10</v>
      </c>
      <c r="J7" s="5" t="s">
        <v>37</v>
      </c>
      <c r="K7" s="5" t="s">
        <v>37</v>
      </c>
      <c r="L7" s="5" t="s">
        <v>37</v>
      </c>
      <c r="M7" s="5" t="s">
        <v>37</v>
      </c>
      <c r="N7" s="5" t="s">
        <v>37</v>
      </c>
      <c r="O7" s="5" t="s">
        <v>493</v>
      </c>
      <c r="P7" s="5" t="s">
        <v>494</v>
      </c>
    </row>
    <row r="8" spans="1:16" x14ac:dyDescent="0.35">
      <c r="A8" s="5">
        <v>2</v>
      </c>
      <c r="B8" s="5" t="str">
        <f t="shared" si="0"/>
        <v>J.2</v>
      </c>
      <c r="C8" s="86" t="s">
        <v>42</v>
      </c>
      <c r="D8" s="40" t="s">
        <v>238</v>
      </c>
      <c r="E8" s="40" t="s">
        <v>140</v>
      </c>
      <c r="F8" s="5" t="s">
        <v>37</v>
      </c>
      <c r="G8" s="5" t="s">
        <v>37</v>
      </c>
      <c r="H8" s="86" t="s">
        <v>37</v>
      </c>
      <c r="I8" s="40" t="s">
        <v>10</v>
      </c>
      <c r="J8" s="5" t="s">
        <v>37</v>
      </c>
      <c r="K8" s="5" t="s">
        <v>37</v>
      </c>
      <c r="L8" s="5" t="s">
        <v>37</v>
      </c>
      <c r="M8" s="5" t="s">
        <v>37</v>
      </c>
      <c r="N8" s="5" t="s">
        <v>37</v>
      </c>
    </row>
    <row r="9" spans="1:16" ht="104.5" customHeight="1" x14ac:dyDescent="0.35">
      <c r="A9" s="5">
        <v>3</v>
      </c>
      <c r="B9" s="5" t="str">
        <f t="shared" si="0"/>
        <v>J.3</v>
      </c>
      <c r="C9" s="86" t="s">
        <v>42</v>
      </c>
      <c r="D9" s="81" t="s">
        <v>498</v>
      </c>
      <c r="E9" s="40" t="s">
        <v>34</v>
      </c>
      <c r="F9" s="5" t="s">
        <v>37</v>
      </c>
      <c r="G9" s="5" t="s">
        <v>37</v>
      </c>
      <c r="H9" s="86" t="s">
        <v>37</v>
      </c>
      <c r="I9" s="40" t="s">
        <v>10</v>
      </c>
      <c r="J9" s="5" t="s">
        <v>37</v>
      </c>
      <c r="K9" s="5" t="s">
        <v>37</v>
      </c>
      <c r="L9" s="5" t="s">
        <v>37</v>
      </c>
      <c r="M9" s="5" t="s">
        <v>37</v>
      </c>
      <c r="N9" s="5" t="s">
        <v>37</v>
      </c>
      <c r="O9" s="5" t="s">
        <v>170</v>
      </c>
    </row>
    <row r="10" spans="1:16" x14ac:dyDescent="0.35">
      <c r="A10" s="5">
        <v>4</v>
      </c>
      <c r="B10" s="5" t="str">
        <f t="shared" si="0"/>
        <v>J.4</v>
      </c>
      <c r="C10" s="86" t="s">
        <v>42</v>
      </c>
      <c r="D10" s="45" t="s">
        <v>236</v>
      </c>
      <c r="E10" s="40" t="s">
        <v>36</v>
      </c>
      <c r="F10" s="5" t="s">
        <v>37</v>
      </c>
      <c r="G10" s="5" t="s">
        <v>37</v>
      </c>
      <c r="H10" s="86" t="s">
        <v>37</v>
      </c>
      <c r="I10" s="40" t="s">
        <v>10</v>
      </c>
      <c r="J10" s="5" t="s">
        <v>37</v>
      </c>
      <c r="K10" s="5" t="s">
        <v>37</v>
      </c>
      <c r="L10" s="5" t="s">
        <v>37</v>
      </c>
      <c r="M10" s="5" t="s">
        <v>37</v>
      </c>
      <c r="N10" s="5" t="s">
        <v>37</v>
      </c>
    </row>
    <row r="11" spans="1:16" ht="29" x14ac:dyDescent="0.35">
      <c r="A11" s="5">
        <v>5</v>
      </c>
      <c r="B11" s="5" t="str">
        <f t="shared" si="0"/>
        <v>J.5</v>
      </c>
      <c r="C11" s="86" t="s">
        <v>42</v>
      </c>
      <c r="D11" s="5" t="s">
        <v>237</v>
      </c>
      <c r="E11" s="40" t="s">
        <v>34</v>
      </c>
      <c r="F11" s="5" t="s">
        <v>37</v>
      </c>
      <c r="G11" s="5" t="s">
        <v>37</v>
      </c>
      <c r="H11" s="86" t="s">
        <v>37</v>
      </c>
      <c r="I11" s="40" t="s">
        <v>10</v>
      </c>
      <c r="J11" s="5" t="s">
        <v>37</v>
      </c>
      <c r="K11" s="5" t="s">
        <v>37</v>
      </c>
      <c r="L11" s="5" t="s">
        <v>37</v>
      </c>
      <c r="M11" s="5" t="s">
        <v>37</v>
      </c>
      <c r="N11" s="5" t="s">
        <v>37</v>
      </c>
      <c r="O11" s="40"/>
    </row>
  </sheetData>
  <autoFilter ref="A6:P6"/>
  <conditionalFormatting sqref="C12:C1048576">
    <cfRule type="cellIs" dxfId="17" priority="15" operator="equal">
      <formula>"WIP (see comments)"</formula>
    </cfRule>
    <cfRule type="cellIs" dxfId="16" priority="16" operator="equal">
      <formula>"Removed"</formula>
    </cfRule>
    <cfRule type="cellIs" dxfId="15" priority="17" operator="equal">
      <formula>"Updated"</formula>
    </cfRule>
    <cfRule type="cellIs" dxfId="14" priority="18" operator="equal">
      <formula>"New"</formula>
    </cfRule>
  </conditionalFormatting>
  <conditionalFormatting sqref="A2:XFD6 A12:XFD1048576 A1:C1 E1:XFD1">
    <cfRule type="cellIs" dxfId="13" priority="14" operator="equal">
      <formula>"n/a"</formula>
    </cfRule>
  </conditionalFormatting>
  <conditionalFormatting sqref="D10">
    <cfRule type="cellIs" dxfId="12" priority="13" operator="equal">
      <formula>"-"</formula>
    </cfRule>
  </conditionalFormatting>
  <conditionalFormatting sqref="A9:B10 D10:XFD10 E9:N9 P9:XFD9">
    <cfRule type="cellIs" dxfId="11" priority="12" operator="equal">
      <formula>"n/a"</formula>
    </cfRule>
  </conditionalFormatting>
  <conditionalFormatting sqref="C7:C11">
    <cfRule type="cellIs" dxfId="10" priority="8" operator="equal">
      <formula>"WIP (see comments)"</formula>
    </cfRule>
    <cfRule type="cellIs" dxfId="9" priority="9" operator="equal">
      <formula>"Removed"</formula>
    </cfRule>
    <cfRule type="cellIs" dxfId="8" priority="10" operator="equal">
      <formula>"Updated"</formula>
    </cfRule>
    <cfRule type="cellIs" dxfId="7" priority="11" operator="equal">
      <formula>"New"</formula>
    </cfRule>
  </conditionalFormatting>
  <conditionalFormatting sqref="C8:C11 A7:XFD8">
    <cfRule type="cellIs" dxfId="6" priority="7" operator="equal">
      <formula>"n/a"</formula>
    </cfRule>
  </conditionalFormatting>
  <conditionalFormatting sqref="A11:B11 D11 F11:XFD11">
    <cfRule type="cellIs" dxfId="5" priority="6" operator="equal">
      <formula>"n/a"</formula>
    </cfRule>
  </conditionalFormatting>
  <conditionalFormatting sqref="E11">
    <cfRule type="cellIs" dxfId="4" priority="5" operator="equal">
      <formula>"n/a"</formula>
    </cfRule>
  </conditionalFormatting>
  <conditionalFormatting sqref="O9">
    <cfRule type="cellIs" dxfId="3" priority="4" operator="equal">
      <formula>"n/a"</formula>
    </cfRule>
  </conditionalFormatting>
  <conditionalFormatting sqref="D1">
    <cfRule type="cellIs" dxfId="2" priority="3" operator="equal">
      <formula>"n/a"</formula>
    </cfRule>
  </conditionalFormatting>
  <conditionalFormatting sqref="D9">
    <cfRule type="cellIs" dxfId="1" priority="2" operator="equal">
      <formula>"-"</formula>
    </cfRule>
  </conditionalFormatting>
  <conditionalFormatting sqref="D9">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6FBFEE26-D9EA-4C5A-92F5-F1DF9C7FFD9B}">
  <ds:schemaRefs>
    <ds:schemaRef ds:uri="http://schemas.microsoft.com/sharepoint/v3/contenttype/forms"/>
  </ds:schemaRefs>
</ds:datastoreItem>
</file>

<file path=customXml/itemProps2.xml><?xml version="1.0" encoding="utf-8"?>
<ds:datastoreItem xmlns:ds="http://schemas.openxmlformats.org/officeDocument/2006/customXml" ds:itemID="{C0801B9F-EE26-4811-AD1E-74F1A2516FC0}"/>
</file>

<file path=customXml/itemProps3.xml><?xml version="1.0" encoding="utf-8"?>
<ds:datastoreItem xmlns:ds="http://schemas.openxmlformats.org/officeDocument/2006/customXml" ds:itemID="{49873DF4-A2F2-46E7-AEB7-94876694B737}">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4"/>
    <ds:schemaRef ds:uri="http://purl.org/dc/terms/"/>
    <ds:schemaRef ds:uri="http://www.w3.org/XML/1998/namespace"/>
    <ds:schemaRef ds:uri="http://purl.org/dc/dcmityp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Revision Control</vt:lpstr>
      <vt:lpstr>List Values</vt:lpstr>
      <vt:lpstr>1. Entry Page</vt:lpstr>
      <vt:lpstr>2. Landing Page</vt:lpstr>
      <vt:lpstr>3. Existing Cust. Check</vt:lpstr>
      <vt:lpstr>4. Contact Info</vt:lpstr>
      <vt:lpstr>4a. Mobile Verify</vt:lpstr>
      <vt:lpstr>5. Qualifying Questions</vt:lpstr>
      <vt:lpstr>6. IDScan</vt:lpstr>
      <vt:lpstr>7. Name &amp; Address</vt:lpstr>
      <vt:lpstr>DEPRECATED Address</vt:lpstr>
      <vt:lpstr>8. Birthday, SIN &amp; Occ.</vt:lpstr>
      <vt:lpstr>9. Security Question</vt:lpstr>
      <vt:lpstr>10. eConsent</vt:lpstr>
      <vt:lpstr>11. Alternate IDV</vt:lpstr>
      <vt:lpstr>12. Flinks</vt:lpstr>
      <vt:lpstr>13. Manual IDV</vt:lpstr>
      <vt:lpstr>DEPRECATED Dynamic Disclosures</vt:lpstr>
      <vt:lpstr>DEPRECATED Account Options</vt:lpstr>
      <vt:lpstr>A. Generic Error</vt:lpstr>
      <vt:lpstr>B. Manual Review</vt:lpstr>
      <vt:lpstr>C. Decline</vt:lpstr>
      <vt:lpstr>D. Cancel</vt:lpstr>
      <vt:lpstr>E. Save</vt:lpstr>
      <vt:lpstr>F. Resume</vt:lpstr>
      <vt:lpstr>G. Time Out</vt:lpstr>
      <vt:lpstr>H. Progress</vt:lpstr>
      <vt:lpstr>I. Previously Submitted</vt:lpstr>
      <vt:lpstr>J. Submission Complete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2021-02-12T21:53:07Z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559000</vt:r8>
  </property>
  <property fmtid="{D5CDD505-2E9C-101B-9397-08002B2CF9AE}" pid="4" name="URL">
    <vt:lpwstr/>
  </property>
</Properties>
</file>