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450" tabRatio="856"/>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state="hidden" r:id="rId8"/>
    <sheet name="DEPRECATED Failed Screening" sheetId="51" state="hidden"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2a. App-Security Question" sheetId="63" r:id="rId18"/>
    <sheet name="13. App - eConsent" sheetId="16" r:id="rId19"/>
    <sheet name="14. App- Alternate IDV" sheetId="29" r:id="rId20"/>
    <sheet name="15. App - Flinks" sheetId="31" r:id="rId21"/>
    <sheet name="16. App - Manual IDV" sheetId="36" r:id="rId22"/>
    <sheet name="17. Your Role" sheetId="60" r:id="rId23"/>
    <sheet name="18. Owners, Directors+Signers" sheetId="49" r:id="rId24"/>
    <sheet name="18. Authorized Signers" sheetId="59" state="hidden" r:id="rId25"/>
    <sheet name="18a. Non-signing Owners" sheetId="61" r:id="rId26"/>
    <sheet name="19a. Disclosures-Tax Residency" sheetId="53" r:id="rId27"/>
    <sheet name="19. Business Disclosures" sheetId="17" r:id="rId28"/>
    <sheet name="20. Await Auth Signers" sheetId="56" r:id="rId29"/>
    <sheet name="21. Account Options" sheetId="45" r:id="rId30"/>
    <sheet name="22. Complementary Services" sheetId="46" r:id="rId31"/>
    <sheet name="23. Online Banking+Delegates" sheetId="62" r:id="rId32"/>
    <sheet name="A. Generic Error" sheetId="22" r:id="rId33"/>
    <sheet name="B. Manual Review" sheetId="23" r:id="rId34"/>
    <sheet name="C. Decline" sheetId="24" r:id="rId35"/>
    <sheet name="D. Cancel" sheetId="26" r:id="rId36"/>
    <sheet name="E. Save" sheetId="27" r:id="rId37"/>
    <sheet name="F. Resume" sheetId="28" r:id="rId38"/>
    <sheet name="G. Time Out" sheetId="33" r:id="rId39"/>
    <sheet name="H. Progress" sheetId="34" r:id="rId40"/>
    <sheet name="I. Previously Submitted" sheetId="37" r:id="rId41"/>
    <sheet name="J. Concurrent App" sheetId="55" r:id="rId42"/>
    <sheet name="K. Unable to Resume" sheetId="57" r:id="rId43"/>
    <sheet name="L. Submission Complete" sheetId="64" r:id="rId44"/>
    <sheet name="Not Qualified" sheetId="47" r:id="rId45"/>
    <sheet name="Failed Screening" sheetId="48" r:id="rId46"/>
  </sheets>
  <externalReferences>
    <externalReference r:id="rId47"/>
    <externalReference r:id="rId48"/>
    <externalReference r:id="rId49"/>
  </externalReferences>
  <definedNames>
    <definedName name="_xlnm._FilterDatabase" localSheetId="16" hidden="1">'12. App - Birthday, SIN &amp; Occ.'!$A$6:$P$13</definedName>
    <definedName name="_xlnm._FilterDatabase" localSheetId="17" hidden="1">'12a. App-Security Question'!$A$6:$P$6</definedName>
    <definedName name="_xlnm._FilterDatabase" localSheetId="18" hidden="1">'13. App - eConsent'!$A$6:$P$17</definedName>
    <definedName name="_xlnm._FilterDatabase" localSheetId="22" hidden="1">'17. Your Role'!$A$6:$P$6</definedName>
    <definedName name="_xlnm._FilterDatabase" localSheetId="24" hidden="1">'18. Authorized Signers'!$A$6:$P$6</definedName>
    <definedName name="_xlnm._FilterDatabase" localSheetId="23" hidden="1">'18. Owners, Directors+Signers'!$A$6:$P$6</definedName>
    <definedName name="_xlnm._FilterDatabase" localSheetId="25" hidden="1">'18a. Non-signing Owners'!$A$6:$P$6</definedName>
    <definedName name="_xlnm._FilterDatabase" localSheetId="27" hidden="1">'19. Business Disclosures'!$A$6:$P$6</definedName>
    <definedName name="_xlnm._FilterDatabase" localSheetId="26" hidden="1">'19a. Disclosures-Tax Residency'!$A$6:$P$6</definedName>
    <definedName name="_xlnm._FilterDatabase" localSheetId="28" hidden="1">'20. Await Auth Signers'!$A$6:$P$21</definedName>
    <definedName name="_xlnm._FilterDatabase" localSheetId="29" hidden="1">'21. Account Options'!$A$6:$P$19</definedName>
    <definedName name="_xlnm._FilterDatabase" localSheetId="30" hidden="1">'22. Complementary Services'!$A$6:$P$19</definedName>
    <definedName name="_xlnm._FilterDatabase" localSheetId="31" hidden="1">'23. Online Banking+Delegates'!$A$6:$P$37</definedName>
    <definedName name="_xlnm._FilterDatabase" localSheetId="9" hidden="1">'5. Business eConsent'!$A$6:$P$13</definedName>
    <definedName name="_xlnm._FilterDatabase" localSheetId="11" hidden="1">'7. Log into CODAT'!$A$6:$P$6</definedName>
    <definedName name="_xlnm._FilterDatabase" localSheetId="32" hidden="1">'A. Generic Error'!$A$6:$P$9</definedName>
    <definedName name="_xlnm._FilterDatabase" localSheetId="33" hidden="1">'B. Manual Review'!$A$6:$P$9</definedName>
    <definedName name="_xlnm._FilterDatabase" localSheetId="34" hidden="1">'C. Decline'!$A$6:$P$9</definedName>
    <definedName name="_xlnm._FilterDatabase" localSheetId="35" hidden="1">'D. Cancel'!$A$6:$P$9</definedName>
    <definedName name="_xlnm._FilterDatabase" localSheetId="36" hidden="1">'E. Save'!$A$6:$P$9</definedName>
    <definedName name="_xlnm._FilterDatabase" localSheetId="37" hidden="1">'F. Resume'!$A$6:$P$6</definedName>
    <definedName name="_xlnm._FilterDatabase" localSheetId="45" hidden="1">'Failed Screening'!$A$6:$P$9</definedName>
    <definedName name="_xlnm._FilterDatabase" localSheetId="38" hidden="1">'G. Time Out'!$A$6:$P$6</definedName>
    <definedName name="_xlnm._FilterDatabase" localSheetId="39" hidden="1">'H. Progress'!$A$6:$P$6</definedName>
    <definedName name="_xlnm._FilterDatabase" localSheetId="40" hidden="1">'I. Previously Submitted'!$A$6:$P$6</definedName>
    <definedName name="_xlnm._FilterDatabase" localSheetId="41" hidden="1">'J. Concurrent App'!$A$6:$P$6</definedName>
    <definedName name="_xlnm._FilterDatabase" localSheetId="42" hidden="1">'K. Unable to Resume'!$A$6:$P$6</definedName>
    <definedName name="_xlnm._FilterDatabase" localSheetId="43" hidden="1">'L. Submission Complete'!$A$6:$P$6</definedName>
    <definedName name="_xlnm._FilterDatabase" localSheetId="44"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64" l="1"/>
  <c r="B11" i="64"/>
  <c r="B10" i="64"/>
  <c r="B9" i="64"/>
  <c r="B8" i="64"/>
  <c r="B14" i="61"/>
  <c r="B13" i="61"/>
  <c r="B9" i="16" l="1"/>
  <c r="B10" i="16"/>
  <c r="B34" i="62" l="1"/>
  <c r="B13" i="62"/>
  <c r="B17" i="62" l="1"/>
  <c r="B29" i="62" l="1"/>
  <c r="B24" i="62"/>
  <c r="B13" i="63" l="1"/>
  <c r="B8" i="63"/>
  <c r="B12" i="63" l="1"/>
  <c r="B11" i="63"/>
  <c r="B10" i="63"/>
  <c r="B9" i="63"/>
  <c r="B7" i="63"/>
  <c r="B11" i="61" l="1"/>
  <c r="B12" i="61"/>
  <c r="B15" i="46"/>
  <c r="B15" i="56"/>
  <c r="B16" i="56"/>
  <c r="B8" i="52" l="1"/>
  <c r="B9" i="52"/>
  <c r="B10" i="52"/>
  <c r="B11" i="52"/>
  <c r="B7" i="52"/>
  <c r="B36" i="49" l="1"/>
  <c r="B34" i="49"/>
  <c r="B28" i="49"/>
  <c r="B26" i="49"/>
  <c r="B22" i="61"/>
  <c r="B21" i="61"/>
  <c r="B20" i="61"/>
  <c r="B19" i="61"/>
  <c r="B18" i="61"/>
  <c r="B17" i="61"/>
  <c r="B15" i="61" l="1"/>
  <c r="B33" i="62" l="1"/>
  <c r="B32" i="62" l="1"/>
  <c r="B31" i="62"/>
  <c r="B21" i="62"/>
  <c r="B30" i="62"/>
  <c r="B28" i="62"/>
  <c r="B26" i="62"/>
  <c r="B27" i="62"/>
  <c r="B25" i="62"/>
  <c r="B23" i="62"/>
  <c r="B20" i="62"/>
  <c r="B19" i="62"/>
  <c r="B12" i="62"/>
  <c r="B11" i="62"/>
  <c r="B10" i="46"/>
  <c r="B37" i="62"/>
  <c r="B36" i="62"/>
  <c r="B16" i="62"/>
  <c r="B15" i="62"/>
  <c r="B9" i="62"/>
  <c r="B8" i="62"/>
  <c r="B7" i="62"/>
  <c r="B7" i="57" l="1"/>
  <c r="B22" i="56"/>
  <c r="B44" i="49" l="1"/>
  <c r="B41" i="49"/>
  <c r="B39" i="49"/>
  <c r="B37" i="49"/>
  <c r="B26" i="61"/>
  <c r="B25" i="61"/>
  <c r="B9" i="61"/>
  <c r="B8" i="61"/>
  <c r="B7" i="61"/>
  <c r="B40" i="49"/>
  <c r="B31" i="49"/>
  <c r="B22" i="49"/>
  <c r="B43" i="49" l="1"/>
  <c r="B24" i="49"/>
  <c r="B23" i="49"/>
  <c r="B7" i="35" l="1"/>
  <c r="B13" i="45" l="1"/>
  <c r="B19" i="56" l="1"/>
  <c r="B18" i="56"/>
  <c r="B12" i="56"/>
  <c r="B22" i="9"/>
  <c r="B42" i="49" l="1"/>
  <c r="B38" i="49"/>
  <c r="B35" i="49"/>
  <c r="B33" i="49"/>
  <c r="B21" i="49"/>
  <c r="B20" i="49"/>
  <c r="B19" i="49"/>
  <c r="B16" i="49"/>
  <c r="B17" i="49"/>
  <c r="B18" i="49"/>
  <c r="B10" i="49"/>
  <c r="B7" i="60"/>
  <c r="B12" i="60"/>
  <c r="B11" i="60"/>
  <c r="B10" i="60"/>
  <c r="B9" i="60"/>
  <c r="B8" i="60"/>
  <c r="B12" i="59"/>
  <c r="B11" i="59"/>
  <c r="B10" i="59"/>
  <c r="B9" i="59"/>
  <c r="B8" i="59"/>
  <c r="B7" i="59"/>
  <c r="B14" i="44" l="1"/>
  <c r="B10" i="44"/>
  <c r="B12" i="44" l="1"/>
  <c r="B11" i="35" l="1"/>
  <c r="B13" i="56" l="1"/>
  <c r="B17" i="56"/>
  <c r="B11" i="56"/>
  <c r="B17" i="46" l="1"/>
  <c r="B14" i="46"/>
  <c r="B13" i="46"/>
  <c r="B9" i="46"/>
  <c r="B11" i="46"/>
  <c r="B12" i="45" l="1"/>
  <c r="B14" i="45"/>
  <c r="B15" i="45"/>
  <c r="B16" i="45"/>
  <c r="B17" i="45"/>
  <c r="B7" i="45" l="1"/>
  <c r="B9" i="45"/>
  <c r="B10" i="45"/>
  <c r="B11" i="45"/>
  <c r="B9" i="35" l="1"/>
  <c r="B13" i="35"/>
  <c r="B12" i="35"/>
  <c r="B10" i="35"/>
  <c r="B8" i="35"/>
  <c r="B9" i="57" l="1"/>
  <c r="B8" i="57"/>
  <c r="B21" i="56" l="1"/>
  <c r="B10" i="56"/>
  <c r="B9" i="56"/>
  <c r="B8" i="56"/>
  <c r="B7" i="56"/>
  <c r="B17" i="55" l="1"/>
  <c r="B16" i="55"/>
  <c r="B15" i="55"/>
  <c r="B13" i="55"/>
  <c r="B12" i="55"/>
  <c r="B11" i="55"/>
  <c r="B9" i="55"/>
  <c r="B8" i="55"/>
  <c r="B47" i="49" l="1"/>
  <c r="B48" i="49"/>
  <c r="B27" i="49"/>
  <c r="B46" i="49"/>
  <c r="B29" i="49"/>
  <c r="B30" i="49"/>
  <c r="B25" i="49"/>
  <c r="B15" i="49"/>
  <c r="B24" i="44" l="1"/>
  <c r="B25" i="44"/>
  <c r="B23" i="44"/>
  <c r="B20" i="44"/>
  <c r="B21" i="44"/>
  <c r="B22" i="44"/>
  <c r="B19" i="44"/>
  <c r="B18" i="44"/>
  <c r="B15" i="44"/>
  <c r="B16" i="44"/>
  <c r="B17" i="44"/>
  <c r="B13" i="44"/>
  <c r="B11" i="44"/>
  <c r="B12" i="7" l="1"/>
  <c r="B11" i="7"/>
  <c r="B33" i="7"/>
  <c r="B34" i="7"/>
  <c r="B24" i="7"/>
  <c r="B22" i="7"/>
  <c r="B13" i="7"/>
  <c r="B10" i="7"/>
  <c r="B31" i="7"/>
  <c r="B30" i="7"/>
  <c r="B29" i="7"/>
  <c r="B28" i="7"/>
  <c r="B27" i="7"/>
  <c r="B26" i="7"/>
  <c r="B20" i="7"/>
  <c r="B19" i="7"/>
  <c r="B18" i="7"/>
  <c r="B17" i="7"/>
  <c r="B16" i="7"/>
  <c r="B15" i="7"/>
  <c r="B8" i="43" l="1"/>
  <c r="B9" i="43"/>
  <c r="B10" i="50" l="1"/>
  <c r="B11" i="50"/>
  <c r="B12" i="50"/>
  <c r="B13" i="50"/>
  <c r="B10" i="17" l="1"/>
  <c r="B11" i="17"/>
  <c r="B12" i="17"/>
  <c r="B13" i="17"/>
  <c r="B14" i="17"/>
  <c r="B15" i="17"/>
  <c r="B17" i="17"/>
  <c r="B18" i="17"/>
  <c r="B16" i="17"/>
  <c r="B10" i="53" l="1"/>
  <c r="B11" i="53"/>
  <c r="B12" i="53"/>
  <c r="B13" i="53"/>
  <c r="B14" i="53"/>
  <c r="B7" i="53"/>
  <c r="B9" i="53"/>
  <c r="B8" i="53"/>
  <c r="B12" i="43"/>
  <c r="B13" i="43"/>
  <c r="B10" i="42"/>
  <c r="B11" i="42"/>
  <c r="B15" i="50" l="1"/>
  <c r="B19" i="50"/>
  <c r="B16" i="50"/>
  <c r="B17" i="50"/>
  <c r="B18" i="50"/>
  <c r="B12" i="42" l="1"/>
  <c r="B13" i="42"/>
  <c r="B11" i="29" l="1"/>
  <c r="B12" i="29"/>
  <c r="B13" i="29"/>
  <c r="B14" i="50" l="1"/>
  <c r="B21" i="9" l="1"/>
  <c r="B10" i="43" l="1"/>
  <c r="B11" i="43"/>
  <c r="B34" i="12" l="1"/>
  <c r="B35" i="12"/>
  <c r="B12" i="2" l="1"/>
  <c r="B15" i="9" l="1"/>
  <c r="B16" i="9"/>
  <c r="B17" i="9"/>
  <c r="B18" i="9"/>
  <c r="B19" i="9"/>
  <c r="B20" i="9"/>
  <c r="B14" i="9"/>
  <c r="B14" i="51" l="1"/>
  <c r="B13" i="51"/>
  <c r="B12" i="51"/>
  <c r="B11" i="51"/>
  <c r="B10" i="51"/>
  <c r="B9" i="51"/>
  <c r="B8" i="51"/>
  <c r="B7" i="51"/>
  <c r="B9" i="50"/>
  <c r="B8" i="50"/>
  <c r="B7" i="50"/>
  <c r="B13" i="49" l="1"/>
  <c r="B12" i="49"/>
  <c r="B11" i="49"/>
  <c r="B8" i="49"/>
  <c r="B7" i="49"/>
  <c r="B10" i="48"/>
  <c r="B9" i="48"/>
  <c r="B8" i="48"/>
  <c r="B7" i="48"/>
  <c r="B10" i="47"/>
  <c r="B9" i="47"/>
  <c r="B8" i="47"/>
  <c r="B7" i="47"/>
  <c r="B19" i="46" l="1"/>
  <c r="B18" i="46"/>
  <c r="B8" i="46"/>
  <c r="B7" i="46"/>
  <c r="B19" i="45"/>
  <c r="B18" i="45"/>
  <c r="B8" i="45"/>
  <c r="B33" i="12" l="1"/>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l="1"/>
  <c r="B13" i="41"/>
  <c r="B12" i="41"/>
  <c r="B11" i="41"/>
  <c r="B10" i="41"/>
  <c r="B9" i="41"/>
  <c r="B8" i="41"/>
  <c r="B7" i="41"/>
  <c r="B10" i="31" l="1"/>
  <c r="B11" i="31"/>
  <c r="B10" i="37" l="1"/>
  <c r="B9" i="37"/>
  <c r="B8" i="37"/>
  <c r="B7" i="37"/>
  <c r="B7" i="36" l="1"/>
  <c r="B8" i="36"/>
  <c r="B11" i="14"/>
  <c r="B9" i="36" l="1"/>
  <c r="B9" i="29"/>
  <c r="B10" i="29"/>
  <c r="B8" i="29"/>
  <c r="B7" i="29"/>
  <c r="B13" i="11" l="1"/>
  <c r="B12" i="11"/>
  <c r="B12" i="5" l="1"/>
  <c r="B7" i="34" l="1"/>
  <c r="B10" i="33" l="1"/>
  <c r="B8" i="33"/>
  <c r="B9" i="33"/>
  <c r="B7" i="33"/>
  <c r="B9" i="31" l="1"/>
  <c r="B11" i="28"/>
  <c r="B10" i="28"/>
  <c r="B9" i="28"/>
  <c r="B8" i="28"/>
  <c r="B7" i="28"/>
  <c r="B9" i="17"/>
  <c r="B8" i="17"/>
  <c r="B7" i="17"/>
  <c r="B13" i="9"/>
  <c r="B10" i="5"/>
  <c r="B8" i="31" l="1"/>
  <c r="B7" i="31"/>
  <c r="B15" i="11"/>
  <c r="B14" i="11"/>
  <c r="B11" i="11"/>
  <c r="B10" i="11"/>
  <c r="B9" i="11"/>
  <c r="B8" i="11"/>
  <c r="B7" i="11"/>
  <c r="B12" i="16" l="1"/>
  <c r="B13" i="16"/>
  <c r="B14" i="16"/>
  <c r="B10" i="27" l="1"/>
  <c r="B7" i="27"/>
  <c r="B9" i="27"/>
  <c r="B8" i="27"/>
  <c r="B7" i="26"/>
  <c r="B9" i="26"/>
  <c r="B8" i="26"/>
  <c r="B10" i="24"/>
  <c r="B7" i="24"/>
  <c r="B9" i="24"/>
  <c r="B8" i="24"/>
  <c r="B7" i="23"/>
  <c r="B9" i="23"/>
  <c r="B8" i="23"/>
  <c r="B10" i="22"/>
  <c r="B7" i="22"/>
  <c r="B9" i="22"/>
  <c r="B8" i="22"/>
  <c r="B12" i="9" l="1"/>
  <c r="B11" i="9"/>
  <c r="B10" i="9"/>
  <c r="B9" i="9" l="1"/>
  <c r="B9" i="7" l="1"/>
  <c r="B11" i="16" l="1"/>
  <c r="B15" i="16"/>
  <c r="B16" i="16" l="1"/>
  <c r="B17" i="16"/>
  <c r="B8" i="16"/>
  <c r="B7" i="16"/>
  <c r="B12" i="14" l="1"/>
  <c r="B13" i="14"/>
  <c r="B10" i="14"/>
  <c r="B9" i="14"/>
  <c r="B8" i="14"/>
  <c r="B7" i="14"/>
  <c r="B10" i="12" l="1"/>
  <c r="B9" i="12"/>
  <c r="B8" i="12"/>
  <c r="B7" i="12"/>
  <c r="B7" i="9" l="1"/>
  <c r="B7" i="7"/>
  <c r="B8" i="9" l="1"/>
  <c r="B8" i="7"/>
  <c r="B13" i="5"/>
  <c r="B14" i="5"/>
  <c r="B11" i="5"/>
  <c r="B9" i="5"/>
  <c r="B8" i="5"/>
  <c r="B7" i="5"/>
  <c r="B11" i="2"/>
  <c r="B8" i="2" l="1"/>
  <c r="B9" i="2"/>
  <c r="B10" i="2"/>
  <c r="B7" i="2"/>
</calcChain>
</file>

<file path=xl/sharedStrings.xml><?xml version="1.0" encoding="utf-8"?>
<sst xmlns="http://schemas.openxmlformats.org/spreadsheetml/2006/main" count="6459" uniqueCount="1005">
  <si>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</si>
  <si>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</si>
  <si>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</si>
  <si>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</si>
  <si>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</si>
  <si>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</si>
  <si>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</si>
  <si>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</si>
  <si>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</si>
  <si>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</si>
  <si>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</si>
  <si>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</si>
  <si>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</si>
  <si>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</si>
  <si>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</si>
  <si>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</si>
  <si>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</si>
  <si>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</si>
  <si>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</si>
  <si>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</si>
  <si>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</si>
  <si>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</si>
  <si>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</si>
  <si>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</si>
  <si>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</si>
  <si>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</si>
  <si>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</si>
  <si>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</si>
  <si>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</si>
  <si>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</si>
  <si>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</si>
  <si>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</si>
  <si>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</si>
  <si>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</si>
  <si>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</si>
  <si>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</si>
  <si>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</si>
  <si>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</si>
  <si>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</si>
  <si>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</si>
  <si>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</si>
  <si>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</si>
  <si>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</si>
  <si>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</si>
  <si>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</si>
  <si>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</si>
  <si>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</si>
  <si>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</si>
  <si>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</si>
  <si>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</si>
  <si>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</si>
  <si>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</si>
  <si>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</si>
  <si>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</si>
  <si>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</si>
  <si>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</si>
  <si>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</si>
  <si>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</si>
  <si>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</si>
  <si>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</si>
  <si>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</si>
  <si>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</si>
  <si>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</si>
  <si>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</si>
  <si>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</si>
  <si>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</si>
  <si>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</si>
  <si>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</si>
  <si>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</si>
  <si>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</si>
  <si>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</si>
  <si>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</si>
  <si>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</si>
  <si>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</si>
  <si>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</si>
  <si>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</si>
  <si>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</si>
  <si>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</si>
  <si>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</si>
  <si>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</si>
  <si>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</si>
  <si>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</si>
  <si>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</si>
  <si>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</si>
  <si>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</si>
  <si>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</si>
  <si>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</si>
  <si>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</si>
  <si>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</si>
  <si>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</si>
  <si>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</si>
  <si>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</si>
  <si>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</si>
  <si>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</si>
  <si>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</si>
  <si>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</si>
  <si>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</si>
  <si>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</si>
  <si>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</si>
  <si>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</si>
  <si>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</si>
  <si>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Mobile phone number:</t>
  </si>
  <si>
    <t>First name:</t>
  </si>
  <si>
    <t>Last 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</si>
  <si>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</si>
  <si>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</si>
  <si>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</si>
  <si>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</si>
  <si>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</si>
  <si>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</si>
  <si>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</si>
  <si>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</si>
  <si>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</si>
  <si>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</si>
  <si>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</si>
  <si>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</si>
  <si>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</si>
  <si>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</si>
  <si>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</si>
  <si>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</si>
  <si>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</si>
  <si>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</si>
  <si>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</si>
  <si>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</si>
  <si>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</si>
  <si>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</si>
  <si>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</si>
  <si>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A little help from our friends</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</si>
  <si>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</si>
  <si>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</si>
  <si>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</si>
  <si>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</si>
  <si>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</si>
  <si>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</si>
  <si>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</si>
  <si>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</si>
  <si>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</si>
  <si>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</si>
  <si>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</si>
  <si>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</si>
  <si>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</si>
  <si>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</si>
  <si>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 Collect and maintain the information submitted in this application</t>
  </si>
  <si>
    <t>- Use my information to confirm my identity</t>
  </si>
  <si>
    <t>- Use my information to confirm my credit score</t>
  </si>
  <si>
    <t>We require this information to open your new account</t>
  </si>
  <si>
    <t>On click, start Fraud Check procedures.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</si>
  <si>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</si>
  <si>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</si>
  <si>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</si>
  <si>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</si>
  <si>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</si>
  <si>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</si>
  <si>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</si>
  <si>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</si>
  <si>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</si>
  <si>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</si>
  <si>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</si>
  <si>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</si>
  <si>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</si>
  <si>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</si>
  <si>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</si>
  <si>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</si>
  <si>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</si>
  <si>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</si>
  <si>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</si>
  <si>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</si>
  <si>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</si>
  <si>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</si>
  <si>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</si>
  <si>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</si>
  <si>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</si>
  <si>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</si>
  <si>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</si>
  <si>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</si>
  <si>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</si>
  <si>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</si>
  <si>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</si>
  <si>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[Sample barcode instruction text - decision pending]</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</si>
  <si>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</si>
  <si>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</si>
  <si>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</si>
  <si>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</si>
  <si>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</si>
  <si>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</si>
  <si>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</si>
  <si>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More about you</t>
  </si>
  <si>
    <t>We were unable to verify some of your personal information.  To protect your identity, we need a little help from you. Please choose one of the methods below to continue.</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</si>
  <si>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</si>
  <si>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</si>
  <si>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</si>
  <si>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</si>
  <si>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</si>
  <si>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</si>
  <si>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</si>
  <si>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</si>
  <si>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Submission Complete</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</si>
  <si>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</si>
  <si>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</si>
  <si>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</si>
  <si>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</si>
  <si>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</si>
  <si>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</si>
  <si>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</si>
  <si>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</si>
  <si>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</si>
  <si>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</si>
  <si>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</si>
  <si>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</si>
  <si>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</si>
  <si>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</si>
  <si>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</si>
  <si>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URL to be confirmed</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</si>
  <si>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</si>
  <si>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</si>
  <si>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</si>
  <si>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</si>
  <si>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</si>
  <si>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</si>
  <si>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</si>
  <si>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</si>
  <si>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</si>
  <si>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</si>
  <si>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</si>
  <si>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</si>
  <si>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</si>
  <si>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</si>
  <si>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</si>
  <si>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</si>
  <si>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</si>
  <si>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</si>
  <si>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</si>
  <si>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</si>
  <si>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</si>
  <si>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</si>
  <si>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</si>
  <si>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</si>
  <si>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Business Disclosures and Signature</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</si>
  <si>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</si>
  <si>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</si>
  <si>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</si>
  <si>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</si>
  <si>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</si>
  <si>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</si>
  <si>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</si>
  <si>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</si>
  <si>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</si>
  <si>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</si>
  <si>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</si>
  <si>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</si>
  <si>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</si>
  <si>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</si>
  <si>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</si>
  <si>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</si>
  <si>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</si>
  <si>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</si>
  <si>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</si>
  <si>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</si>
  <si>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</si>
  <si>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</si>
  <si>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</si>
  <si>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</si>
  <si>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</si>
  <si>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</si>
  <si>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</si>
  <si>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</si>
  <si>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</si>
  <si>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</si>
  <si>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</si>
  <si>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</si>
  <si>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</si>
  <si>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</si>
  <si>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</si>
  <si>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</si>
  <si>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</si>
  <si>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</si>
  <si>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</si>
  <si>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</si>
  <si>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</si>
  <si>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</si>
  <si>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</si>
  <si>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</si>
  <si>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</si>
  <si>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</si>
  <si>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</si>
  <si>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</si>
  <si>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On click, navigate back to "App - Birthday, SIN &amp; Occupation" page CWBSB-40</t>
  </si>
  <si>
    <t>Text/verbiage updates for SB CWBSB-90</t>
  </si>
  <si>
    <t>CWBSB-42</t>
  </si>
  <si>
    <t>On click, navigate to "Authorized Signers" page (CWBSB-43)</t>
  </si>
  <si>
    <t>CWBSB-48</t>
  </si>
  <si>
    <t>Text/verbiage updates for SB CWBSB-92</t>
  </si>
  <si>
    <t>CWBSB-49</t>
  </si>
  <si>
    <t>Text/verbiage updates for SB CWBSB-93</t>
  </si>
  <si>
    <t>Text/verbiage updates for SB CWBSB-94</t>
  </si>
  <si>
    <t>CWBSB-50</t>
  </si>
  <si>
    <t>1.0 WIP</t>
  </si>
  <si>
    <t>Text/verbiage updates for SB CWBSB-95</t>
  </si>
  <si>
    <t>CWBSB-57</t>
  </si>
  <si>
    <t>CWBSB-19</t>
  </si>
  <si>
    <t>I, &lt;&lt;First Name&gt;&gt; &lt;&lt;Last Name&gt;&gt;, agree to the following on behalf of &lt;&lt;Business Legal Name&gt;&gt;:</t>
  </si>
  <si>
    <t>CWBSB-44</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</si>
  <si>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</si>
  <si>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</si>
  <si>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</si>
  <si>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</si>
  <si>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</si>
  <si>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On click, navigate to "About Your Business-CODAT" (CWBSB-20)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</si>
  <si>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</si>
  <si>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</si>
  <si>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</si>
  <si>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</si>
  <si>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</si>
  <si>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</si>
  <si>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</si>
  <si>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</si>
  <si>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</si>
  <si>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r>
      <t xml:space="preserve">Call us at </t>
    </r>
    <r>
      <rPr>
        <u/>
        <sz val="11"/>
        <color theme="1"/>
        <rFont val="Calibri"/>
        <family val="2"/>
        <scheme val="minor"/>
      </rPr>
      <t>1-866-843-3917</t>
    </r>
    <r>
      <rPr>
        <sz val="11"/>
        <color theme="1"/>
        <rFont val="Calibri"/>
        <family val="2"/>
        <scheme val="minor"/>
      </rPr>
      <t xml:space="preserve"> or </t>
    </r>
    <r>
      <rPr>
        <u/>
        <sz val="11"/>
        <color theme="1"/>
        <rFont val="Calibri"/>
        <family val="2"/>
        <scheme val="minor"/>
      </rPr>
      <t>find the nearest CWB branch</t>
    </r>
  </si>
  <si>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</si>
  <si>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</si>
  <si>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</si>
  <si>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</si>
  <si>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</si>
  <si>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</si>
  <si>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</si>
  <si>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First things first</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</si>
  <si>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</si>
  <si>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</si>
  <si>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</si>
  <si>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</si>
  <si>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</si>
  <si>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</si>
  <si>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</si>
  <si>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</si>
  <si>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</si>
  <si>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</si>
  <si>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</si>
  <si>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</si>
  <si>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open chat window (modal) URL TBC</t>
  </si>
  <si>
    <t>Text/verbiage updates CWBSB-176</t>
  </si>
  <si>
    <t>CWBSB-52</t>
  </si>
  <si>
    <t>Display image</t>
  </si>
  <si>
    <t>Image file to be determined</t>
  </si>
  <si>
    <t>CWBSB-53</t>
  </si>
  <si>
    <t>With your permission…</t>
  </si>
  <si>
    <t>Help us help you</t>
  </si>
  <si>
    <t>Text/verbiage updates CWBSB-180</t>
  </si>
  <si>
    <t>I am duly authorized to make this application on behalf of the business entity named above.</t>
  </si>
  <si>
    <t>I am not opening this account(s) for use by or benefit of a third party</t>
  </si>
  <si>
    <t>You must inform us within 30 days if any of the tax residency information for your business changes.</t>
  </si>
  <si>
    <t>You must have consent from any other individuals identified in this application to share their personal information (name, email, phone) with CWB.</t>
  </si>
  <si>
    <t>I have the authority and necessary consent to provide personal information about other Authorized Signers, Directors, Owners/Shareholders and/or Partners of my business in this application.</t>
  </si>
  <si>
    <t>Text/verbiage updates CWBSB-181</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</si>
  <si>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</si>
  <si>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</si>
  <si>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</si>
  <si>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</si>
  <si>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</si>
  <si>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</si>
  <si>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</si>
  <si>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</si>
  <si>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</si>
  <si>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Pending decision on page navigation</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</si>
  <si>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</si>
  <si>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</si>
  <si>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</si>
  <si>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</si>
  <si>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</si>
  <si>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</si>
  <si>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</si>
  <si>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</si>
  <si>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</si>
  <si>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</si>
  <si>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</si>
  <si>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</si>
  <si>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The business entity named above is:</t>
  </si>
  <si>
    <t>Tax residency information for &lt;&lt;business legal name&gt;&gt;</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</si>
  <si>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</si>
  <si>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</si>
  <si>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</si>
  <si>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On click, navigate to "Authorized Signers" page CWBSB-43</t>
  </si>
  <si>
    <r>
      <t xml:space="preserve">We are required under Canadian tax law to collect this information to determine the tax residency of 
all our account holders.
If you need help with your business' tax residency information, see the CRA website </t>
    </r>
    <r>
      <rPr>
        <u/>
        <sz val="11"/>
        <rFont val="Calibri"/>
        <family val="2"/>
        <scheme val="minor"/>
      </rPr>
      <t>https://www.canada.ca/taxes-international-business</t>
    </r>
  </si>
  <si>
    <t>CWBSB-190</t>
  </si>
  <si>
    <t>Text/verbiage updates CWBSB-191</t>
  </si>
  <si>
    <t>Pending final decision on SB page navigation</t>
  </si>
  <si>
    <t>Insert applicant First Name, Last Name and Business Legal Name in &lt;&lt;&gt;&gt; tagged fields (Caption column)</t>
  </si>
  <si>
    <t>I have read and agree to these terms and conditions:</t>
  </si>
  <si>
    <t>CWB Business Account Agreement</t>
  </si>
  <si>
    <t>On behalf of the business entity named above, I certify this information</t>
  </si>
  <si>
    <t>Our fine print</t>
  </si>
  <si>
    <t>If box is unchecked and user clicks "Next", remain on page and display mandatory message</t>
  </si>
  <si>
    <t>If box in unchecked and user clicks "Next", remain on page and display mandatory message.</t>
  </si>
  <si>
    <t>URL for chat widget is to be confirmed</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</si>
  <si>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</si>
  <si>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</si>
  <si>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</si>
  <si>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</si>
  <si>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</si>
  <si>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</si>
  <si>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</si>
  <si>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</si>
  <si>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</si>
  <si>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</si>
  <si>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</si>
  <si>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</si>
  <si>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</si>
  <si>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</si>
  <si>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</si>
  <si>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</si>
  <si>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</si>
  <si>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</si>
  <si>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See CWBSB-197 for text/verbiage updates</t>
  </si>
  <si>
    <t>Image for page is to be determined</t>
  </si>
  <si>
    <t>Contact phone# and email are to be determined</t>
  </si>
  <si>
    <t>CWBSB-55</t>
  </si>
  <si>
    <t>Text/verbiage updates CWBSB-213</t>
  </si>
  <si>
    <t>The email address should be hyperlinked.</t>
  </si>
  <si>
    <t>CWBSB-175</t>
  </si>
  <si>
    <t>Image asset to be confirmed</t>
  </si>
  <si>
    <t>Modal page - only for users that select Manual IDV on the Alternate IDV page</t>
  </si>
  <si>
    <t>The email address should by hyperlinked (mailto link).</t>
  </si>
  <si>
    <t>Review language/content.
Email and contact phone #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</si>
  <si>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</si>
  <si>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</si>
  <si>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</si>
  <si>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</si>
  <si>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</si>
  <si>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</si>
  <si>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</si>
  <si>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</si>
  <si>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</si>
  <si>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</si>
  <si>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</si>
  <si>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</si>
  <si>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</si>
  <si>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</si>
  <si>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Format, content and destination for generated email to be confirmed - see email spec.</t>
  </si>
  <si>
    <t>Contact number to be confirmed</t>
  </si>
  <si>
    <t>Additional resuable pages identified for dev:
16. App-Manual IDV
D. Cancel
G. Time Out</t>
  </si>
  <si>
    <t>How may we reach you?</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</si>
  <si>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</si>
  <si>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</si>
  <si>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</si>
  <si>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</si>
  <si>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</si>
  <si>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</si>
  <si>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We can scan the back of your driver's licence to quickly fill in your personal information. Upload an image or skip this step if you wish to fill in this information yourself.</t>
  </si>
  <si>
    <t>Let's get started</t>
  </si>
  <si>
    <t>All about you</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</si>
  <si>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</si>
  <si>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</si>
  <si>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</si>
  <si>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</si>
  <si>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</si>
  <si>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</si>
  <si>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</si>
  <si>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</si>
  <si>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</si>
  <si>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Pending decision on progress/navigation</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</si>
  <si>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</si>
  <si>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</si>
  <si>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You must have authority to open the account on behalf of the business. This means you are:
- A Director (if the business is a Corporation)
- A Partner (if the business is a General Partnership)
- The Proprietor (if the business is a Sole Proprietorship)</t>
  </si>
  <si>
    <t>Something went wrong…</t>
  </si>
  <si>
    <t>Display image (TBC)</t>
  </si>
  <si>
    <t>Unfortunately, we are unable to approve your application at this time.</t>
  </si>
  <si>
    <t xml:space="preserve">You are welcome to reapply to CWB in six months. </t>
  </si>
  <si>
    <t>Your application is safe with us</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</si>
  <si>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</si>
  <si>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</si>
  <si>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</si>
  <si>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</si>
  <si>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</si>
  <si>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</si>
  <si>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</si>
  <si>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About Your Business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</si>
  <si>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</si>
  <si>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</si>
  <si>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</si>
  <si>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</si>
  <si>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</si>
  <si>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</si>
  <si>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</si>
  <si>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Business Mailing Address</t>
  </si>
  <si>
    <t>Validate for field length</t>
  </si>
  <si>
    <t>Street / RR / PO Box number</t>
  </si>
  <si>
    <t>Street / RR / Station name</t>
  </si>
  <si>
    <t>Conditional - see Business Rules</t>
  </si>
  <si>
    <t>Value must come from a drop down list of valid Canadian provinces/territories. Must not be Quebec.</t>
  </si>
  <si>
    <t>Business Phone</t>
  </si>
  <si>
    <t>Business Email</t>
  </si>
  <si>
    <t>CWBSB-25</t>
  </si>
  <si>
    <t>On click, navigate to "More About Your Business" (CWBSB-25)</t>
  </si>
  <si>
    <t>On click, navigate to "About Your Business-Codat" (CWBSB-20)</t>
  </si>
  <si>
    <t>Business Type</t>
  </si>
  <si>
    <t>A) Corporation
B) General Partnership
C) Sole Proprietorship</t>
  </si>
  <si>
    <t>No selection</t>
  </si>
  <si>
    <t>We need to know how your business is structured and  organized. If your business is not one of these types, we can't set you up online - please call us for other options 1-866-843-3917.</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</si>
  <si>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</si>
  <si>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</si>
  <si>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</si>
  <si>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</si>
  <si>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</si>
  <si>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</si>
  <si>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</si>
  <si>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</si>
  <si>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</si>
  <si>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Please select the description that best matches the main Sector in which your business operates</t>
  </si>
  <si>
    <t>Please select the description that best matches the main Industry in which your business operates</t>
  </si>
  <si>
    <t>Business Registration</t>
  </si>
  <si>
    <t>Province / Territory of Registration</t>
  </si>
  <si>
    <t>List of Canadian provinces &amp; territories</t>
  </si>
  <si>
    <t>Registration Number</t>
  </si>
  <si>
    <t>Please enter your provincial / territorial 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</si>
  <si>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</si>
  <si>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</si>
  <si>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</si>
  <si>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Field length based on specs of ESC service (utilized by Thirdstream Business Search)</t>
  </si>
  <si>
    <t>Additional Province / Territory of Registration</t>
  </si>
  <si>
    <t>Conditional - see business rules</t>
  </si>
  <si>
    <t>If you have one, please enter your company's Federal Business Number (also known as BIN or GST registration number)</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</si>
  <si>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</si>
  <si>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</si>
  <si>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</si>
  <si>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</si>
  <si>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</si>
  <si>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</si>
  <si>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</si>
  <si>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indicate if you are a shareholder/owner or partner in the business.</t>
  </si>
  <si>
    <t>Please enter the percentage of the business you own.</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</si>
  <si>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</si>
  <si>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</si>
  <si>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</si>
  <si>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</si>
  <si>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</si>
  <si>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</si>
  <si>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</si>
  <si>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</si>
  <si>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</si>
  <si>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</si>
  <si>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Review language and content; email/contact phone number to be confirmed.</t>
  </si>
  <si>
    <t>CWBSB-243</t>
  </si>
  <si>
    <t>Concurrent Application Page</t>
  </si>
  <si>
    <t>As Required (in response to a user trying to start a concurrent application)</t>
  </si>
  <si>
    <t>&lt;&lt;Original Application Number&gt;&gt;</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</si>
  <si>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</si>
  <si>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</si>
  <si>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</si>
  <si>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</si>
  <si>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</si>
  <si>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</si>
  <si>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It looks like you've already started an application with us.  You'll have to complete or cancel your other application before starting a new one.
Check your email for details about how to complete your previous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</si>
  <si>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</si>
  <si>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</si>
  <si>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</si>
  <si>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</si>
  <si>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</si>
  <si>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</si>
  <si>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</si>
  <si>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Conditional - displayed only if user has chosen to connect their accounting software in the About Your Business-Codat page (CWBSB-20)</t>
  </si>
  <si>
    <t>Third Party Widget (e.g. Codat, Flinks)</t>
  </si>
  <si>
    <t>On Click, navigate back to the "About Your Business-Codat" page (CWBSB-20)</t>
  </si>
  <si>
    <t>May need modal or similar if connection to Codat is unsuccessful (choice - retry, or continue/enter info manually?)</t>
  </si>
  <si>
    <t>NOTE: Codat authorization cannot be embedded in an iFrame. Need to confirm method for implementing this part of the flow along with the retrieval of profile data (Company Info dataset in Codat) and redirect to next step (Your Business page).</t>
  </si>
  <si>
    <t>API or "Link site" - see Codat website</t>
  </si>
  <si>
    <t>Almost there</t>
  </si>
  <si>
    <t>Some questions about your new business account(s)</t>
  </si>
  <si>
    <t>&lt;&lt;product name&gt;&gt;</t>
  </si>
  <si>
    <t>Insert product name for the account being opened, e.g. 
Cash Management Account (Standard)</t>
  </si>
  <si>
    <t>Use product name as defined in Product Specification for Small Business accounts.</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</si>
  <si>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</si>
  <si>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</si>
  <si>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</si>
  <si>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</si>
  <si>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</si>
  <si>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A) No
B) Yes</t>
  </si>
  <si>
    <t>A) No</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</si>
  <si>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</si>
  <si>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</si>
  <si>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</si>
  <si>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</si>
  <si>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</si>
  <si>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</si>
  <si>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</si>
  <si>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</si>
  <si>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Hyperlink underlined text to Sitecore page:
https://www.cwbank.com/business/cash-management/paying-and-receiving
(Open in new window)</t>
  </si>
  <si>
    <t>On click, navigate back to the "Account Options" page (CWBSB-45)</t>
  </si>
  <si>
    <t>Assumes Product Catalogue can support this attribute. May include hyperlink to a partner/third party provider for some cash management products.</t>
  </si>
  <si>
    <t>CWBSB-255</t>
  </si>
  <si>
    <t>Format email address as Mailto link.</t>
  </si>
  <si>
    <t>Trade or Operating Name</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</si>
  <si>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(866) 843-3917.</t>
    </r>
  </si>
  <si>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</si>
  <si>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</si>
  <si>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r>
      <t xml:space="preserve">We've cancelled your application, but if you change your mind, please email us at </t>
    </r>
    <r>
      <rPr>
        <u/>
        <sz val="11"/>
        <color theme="1"/>
        <rFont val="Calibri"/>
        <family val="2"/>
        <scheme val="minor"/>
      </rPr>
      <t>Business-Onboarding</t>
    </r>
    <r>
      <rPr>
        <u/>
        <sz val="11"/>
        <rFont val="Calibri"/>
        <family val="2"/>
        <scheme val="minor"/>
      </rPr>
      <t>@CWBank.com</t>
    </r>
    <r>
      <rPr>
        <sz val="11"/>
        <rFont val="Calibri"/>
        <family val="2"/>
        <scheme val="minor"/>
      </rPr>
      <t>.</t>
    </r>
  </si>
  <si>
    <r>
      <t xml:space="preserve">You have already submitted an application.
For assistance, please e-mail CWB at </t>
    </r>
    <r>
      <rPr>
        <u/>
        <sz val="11"/>
        <rFont val="Calibri"/>
        <family val="2"/>
        <scheme val="minor"/>
      </rPr>
      <t>Business-Onboarding@CWBank.com.</t>
    </r>
    <r>
      <rPr>
        <sz val="11"/>
        <rFont val="Calibri"/>
        <family val="2"/>
        <scheme val="minor"/>
      </rPr>
      <t xml:space="preserve">
Your reference number is:</t>
    </r>
  </si>
  <si>
    <r>
      <t xml:space="preserve">For assistance, please email CWB at </t>
    </r>
    <r>
      <rPr>
        <u/>
        <sz val="11"/>
        <color theme="1"/>
        <rFont val="Calibri"/>
        <family val="2"/>
        <scheme val="minor"/>
      </rPr>
      <t>Business-Onboarding@CWBank.com</t>
    </r>
    <r>
      <rPr>
        <sz val="11"/>
        <color theme="1"/>
        <rFont val="Calibri"/>
        <family val="2"/>
        <scheme val="minor"/>
      </rPr>
      <t>.
Your reference number is:</t>
    </r>
  </si>
  <si>
    <t>Your business associates</t>
  </si>
  <si>
    <t>&lt;&lt;first name&gt;&gt; &lt;&lt;last name&gt;&gt;</t>
  </si>
  <si>
    <t>Enumerated progress steps - see Permitted Data</t>
  </si>
  <si>
    <t>Status checker (linear)</t>
  </si>
  <si>
    <t>Proceed to next step</t>
  </si>
  <si>
    <t>Start repeatable section - Status checker (linear)</t>
  </si>
  <si>
    <t>The email address should be hyperlinked ("mailto" link).</t>
  </si>
  <si>
    <t>Text field (masked input)</t>
  </si>
  <si>
    <t>CWBSB-263</t>
  </si>
  <si>
    <t>Review for language.
Destination page/URL for OKTA log in is to be confirmed.</t>
  </si>
  <si>
    <t>This leads to the "authenticated path" if they are existing - i.e. skip business verification and profile (go to product selection)</t>
  </si>
  <si>
    <t>To log in and pre-fill some of your business profile information, select the accounting software you use from the list below.
Can't find your software? Skip this step to provide your details manually.</t>
  </si>
  <si>
    <t>This is the Codat widget for the user to log in to their accounting software in order to retrieve company profile data.
Mandatory: must make a selection in order to activate Next button</t>
  </si>
  <si>
    <r>
      <t xml:space="preserve">On click, navigate to CODAT login page - </t>
    </r>
    <r>
      <rPr>
        <sz val="11"/>
        <color rgb="FFFF0000"/>
        <rFont val="Calibri"/>
        <family val="2"/>
        <scheme val="minor"/>
      </rPr>
      <t>URL/target page to be confirmed</t>
    </r>
  </si>
  <si>
    <t>Position lower right of screen (in line with Next/Back if possible)
On click, navigate to "Your Business" page (CWBSB-24)</t>
  </si>
  <si>
    <t>Industry Sub Sector</t>
  </si>
  <si>
    <t>Please select the description that best matches the Sub Sector in which your business operates</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</si>
  <si>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</si>
  <si>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</si>
  <si>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</si>
  <si>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</si>
  <si>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</si>
  <si>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</si>
  <si>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</si>
  <si>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</si>
  <si>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</si>
  <si>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</si>
  <si>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</si>
  <si>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</si>
  <si>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</si>
  <si>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</si>
  <si>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</si>
  <si>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</si>
  <si>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</si>
  <si>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</si>
  <si>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</si>
  <si>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</si>
  <si>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The people in your business</t>
  </si>
  <si>
    <t>&lt;&lt;applicant first name&gt;&gt; &lt;&lt;applicant last name&gt;&gt;</t>
  </si>
  <si>
    <t>Director</t>
  </si>
  <si>
    <t>Include only if business entity type = Corporation</t>
  </si>
  <si>
    <t>Owner/Shareholder or Partner</t>
  </si>
  <si>
    <t>Insert only if business entity type = Corporation</t>
  </si>
  <si>
    <r>
      <t>Owner/Shareholder or Partner (&lt;&lt;</t>
    </r>
    <r>
      <rPr>
        <i/>
        <sz val="11"/>
        <color theme="1"/>
        <rFont val="Calibri"/>
        <family val="2"/>
        <scheme val="minor"/>
      </rPr>
      <t>nn.nn</t>
    </r>
    <r>
      <rPr>
        <sz val="11"/>
        <color theme="1"/>
        <rFont val="Calibri"/>
        <family val="2"/>
        <scheme val="minor"/>
      </rPr>
      <t>&gt;&gt;%)</t>
    </r>
  </si>
  <si>
    <t>Who else is in the business with you?</t>
  </si>
  <si>
    <t>Include only if business entity type = Corporation
Render director image to left of text</t>
  </si>
  <si>
    <t>Director image asset to be provided</t>
  </si>
  <si>
    <t>Render Owner/Shareholder/Partner image to left of text</t>
  </si>
  <si>
    <t>Owner/Shareholder/Partner image asset to be provided</t>
  </si>
  <si>
    <t>no caption (cell for email address)</t>
  </si>
  <si>
    <t>See business rules</t>
  </si>
  <si>
    <t>no caption (cell for percentage ownership)</t>
  </si>
  <si>
    <t>+ Add another person</t>
  </si>
  <si>
    <t>On click, save entered person info (name, roles, % ownership, email) to form and add another row to the table.</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</si>
  <si>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</si>
  <si>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</si>
  <si>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</si>
  <si>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</si>
  <si>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</si>
  <si>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</si>
  <si>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</si>
  <si>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</si>
  <si>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</si>
  <si>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</si>
  <si>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</si>
  <si>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</si>
  <si>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Once your associates are finished, we will let you know, so you can resume and complete the application.
We've sent you an email with a link back to this page, so you can check on their progress.</t>
  </si>
  <si>
    <t>Your business associates will be joining us soon</t>
  </si>
  <si>
    <r>
      <t xml:space="preserve">If you have any questions in the meantime, please contact us at </t>
    </r>
    <r>
      <rPr>
        <u/>
        <sz val="11"/>
        <color theme="1"/>
        <rFont val="Calibri"/>
        <family val="2"/>
        <scheme val="minor"/>
      </rPr>
      <t>Business-Onboarding@CWBank.com</t>
    </r>
  </si>
  <si>
    <r>
      <t>Insert number of days remaining to complete the Journey Manager form in the field indicated by &lt;&lt;</t>
    </r>
    <r>
      <rPr>
        <i/>
        <sz val="11"/>
        <color theme="1"/>
        <rFont val="Calibri"/>
        <family val="2"/>
        <scheme val="minor"/>
      </rPr>
      <t>day count</t>
    </r>
    <r>
      <rPr>
        <sz val="11"/>
        <color theme="1"/>
        <rFont val="Calibri"/>
        <family val="2"/>
        <scheme val="minor"/>
      </rPr>
      <t>&gt;&gt;.
The first time this page is rendered, expected value will be 45.</t>
    </r>
  </si>
  <si>
    <t>Conditional - when 1 or more Authorized Signers have been identified and invitation emails sent (see CWBSB-43)</t>
  </si>
  <si>
    <t>Resend email</t>
  </si>
  <si>
    <t>Render text as a hyperlink. When clicked, regenerate invitation email for the corresponding Authorized Signer.</t>
  </si>
  <si>
    <t>ID: &lt;&lt;application ID&gt;&gt;</t>
  </si>
  <si>
    <t>You have &lt;&lt;day count&gt;&gt; days left to complete the application.</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</si>
  <si>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</si>
  <si>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</si>
  <si>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</si>
  <si>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</si>
  <si>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</si>
  <si>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</si>
  <si>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</si>
  <si>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</si>
  <si>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</si>
  <si>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Accounts receivable
GST
Day to day operations
Taxes
Payroll
Accounts payable
Project
Cash management
General savings or accrue interest</t>
  </si>
  <si>
    <t>To help us complete your application we can connect to your business' accounting software.</t>
  </si>
  <si>
    <t>We can retrieve your company information by logging in from the following accounting packages: 
- FreeAgent
- Freshbooks
- Kashoo
- Pandle
- Quickbooks Online
- Sage Business Cloud (Sage One)
- Wave
- Xero
- Zoho Books</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</si>
  <si>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</si>
  <si>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</si>
  <si>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</si>
  <si>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</si>
  <si>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</si>
  <si>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</si>
  <si>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</si>
  <si>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</si>
  <si>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</si>
  <si>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</si>
  <si>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</si>
  <si>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Please enter the Business Legal (Registered) Name.</t>
  </si>
  <si>
    <t>Please provide a valid business phone number.</t>
  </si>
  <si>
    <t>Please provide a valid business email address.</t>
  </si>
  <si>
    <t>Please provide your business' legal (registered) address.</t>
  </si>
  <si>
    <t>Please provide a street  / RR number.</t>
  </si>
  <si>
    <t>Please provide a street / RR name.</t>
  </si>
  <si>
    <t>Please provide a city name.</t>
  </si>
  <si>
    <t>Please select a province.</t>
  </si>
  <si>
    <t>Please provide a postal code.</t>
  </si>
  <si>
    <t>Please provide your business' Mailing Address, if applicable.</t>
  </si>
  <si>
    <t>Please provide a street / RR / PO Box number.</t>
  </si>
  <si>
    <t>Please provide a street / RR / Station name.</t>
  </si>
  <si>
    <t>Please select a Business Type.</t>
  </si>
  <si>
    <t>Please select an Industry Sector.</t>
  </si>
  <si>
    <t>Please select an Industry Sub Sector.</t>
  </si>
  <si>
    <t>Please select an Industry.</t>
  </si>
  <si>
    <t>Please select your province or territory of registration.</t>
  </si>
  <si>
    <t>Please enter your provincial / territorial registration number.</t>
  </si>
  <si>
    <t>Please select Yes or No.</t>
  </si>
  <si>
    <t>Please select your second province or territory of registration.</t>
  </si>
  <si>
    <t>Please enter your second provincial / territorial registration number.</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</si>
  <si>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</si>
  <si>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</si>
  <si>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</si>
  <si>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</si>
  <si>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</si>
  <si>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</si>
  <si>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</si>
  <si>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</si>
  <si>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</si>
  <si>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</si>
  <si>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</si>
  <si>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</si>
  <si>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</si>
  <si>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check the box to confirm your agreement.</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</si>
  <si>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</si>
  <si>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</si>
  <si>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</si>
  <si>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Need to account for Municipal or Rural address modes</t>
  </si>
  <si>
    <t>Need to account for Municipal, Rural or PO Box address modes</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</si>
  <si>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</si>
  <si>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</si>
  <si>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</si>
  <si>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</si>
  <si>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Please enter number of employees between 1 and 50.</t>
  </si>
  <si>
    <t>Number must be between 0 and 50</t>
  </si>
  <si>
    <t>This page needs to be displayed per account being opened.</t>
  </si>
  <si>
    <t>We are looking forward to completing your business application, however we are waiting for some further information before we can do so.
Please watch your email for an invitation to resume. Thank you for your patience.</t>
  </si>
  <si>
    <t>no caption (checkbox for signer)</t>
  </si>
  <si>
    <t>An individual who is a board member of a Corporation. They may hold other title(s) in connection with their company duties, such as President, Chairperson or Secretary.</t>
  </si>
  <si>
    <t>Anyone who has an ownership stake in the business. We need to know who these individuals are, and what percentage of the business they own.</t>
  </si>
  <si>
    <t>Signer</t>
  </si>
  <si>
    <t>A person who can sign a cheque or approve a banking transaction on behalf of the business.</t>
  </si>
  <si>
    <t>Mandatory if role selection 17.25 includes "Shareholder/Owner or Partner";
Input not permitted if role selection 17.25 = "Director" only.</t>
  </si>
  <si>
    <t>Delete</t>
  </si>
  <si>
    <t>Alpha characters, spaces, dashes, special characters &amp;'()+,-./:?</t>
  </si>
  <si>
    <t>Updated allowable characters to include special characters for consistency across name fields.</t>
  </si>
  <si>
    <t>A tax resident of Canada and not a tax resident of the United States, or another jurisdiction</t>
  </si>
  <si>
    <t>Engaged in an active trade or business, and is not a Financial Institution.</t>
  </si>
  <si>
    <t>Removed hyphen from in front of text block.</t>
  </si>
  <si>
    <t>Owners, Directors and Signers</t>
  </si>
  <si>
    <t>(note original story CWBSB-43 deprecated)</t>
  </si>
  <si>
    <t>Card</t>
  </si>
  <si>
    <t>Begin Card Section (with main applicant info)</t>
  </si>
  <si>
    <t>On click, validate as described.
If validation passes, navigate to "Owners, Directors and Signers" page (CWBSB-294)</t>
  </si>
  <si>
    <t>In-line with person/initials image 18.3.
Insert first and last name of Applicant in tagged fields indicated by &lt;&lt;&gt;&gt;; bold font</t>
  </si>
  <si>
    <r>
      <t>Include only if selection in Your Role page (radio button 17.4) = "Yes"
Insert percentage ownership value in field tagged &lt;&lt;</t>
    </r>
    <r>
      <rPr>
        <i/>
        <sz val="11"/>
        <color theme="1"/>
        <rFont val="Calibri"/>
        <family val="2"/>
        <scheme val="minor"/>
      </rPr>
      <t>nn.nn</t>
    </r>
    <r>
      <rPr>
        <sz val="11"/>
        <color theme="1"/>
        <rFont val="Calibri"/>
        <family val="2"/>
        <scheme val="minor"/>
      </rPr>
      <t>&gt;&gt;</t>
    </r>
  </si>
  <si>
    <t>End Card Section</t>
  </si>
  <si>
    <t>Signer image asset to be provided</t>
  </si>
  <si>
    <t>Selectable pill control</t>
  </si>
  <si>
    <t>Display only if business type = Corporation</t>
  </si>
  <si>
    <t>Shareholder/Owner or Partner</t>
  </si>
  <si>
    <t>18a</t>
  </si>
  <si>
    <t>IF business type = General Partnership, pill should be selected by default and non-editable;
ELSE IF business type = Corporation, render unselected by  default and optional.</t>
  </si>
  <si>
    <t>no caption (Director role selection)</t>
  </si>
  <si>
    <t>no caption (Shareholder/Owner or Partner role selection)</t>
  </si>
  <si>
    <t>Conditional - see business rules for "Director" selection 18.25</t>
  </si>
  <si>
    <t>Delete confirmation
Deleting this row cannot be undone and all data within the fields will be erased
Cancel       Delete</t>
  </si>
  <si>
    <t>Only when "Delete" hyperlink (18.30) is clicked in any row of the table</t>
  </si>
  <si>
    <t>Display modal only when "Delete" hyperlink (18.30) is clicked for any table row.
IF user selects "Cancel", close modal and return to main screen - do not delete data from the table
ELSE IF user selects "Delete", close modal and delete the row from the table.</t>
  </si>
  <si>
    <t>Render following section as a table - align underneath column headers (18.17-18.21). Use "Add another person" control (18.32) to add another row.</t>
  </si>
  <si>
    <t>Validate % ownership for Applicant and all other owners entered in the table &gt;=99.99% (see 18.28 above)</t>
  </si>
  <si>
    <t>Review language (validation msg)</t>
  </si>
  <si>
    <t>Text/verbiage updates CWBSB-308</t>
  </si>
  <si>
    <t>Enter a number between 1 and 4</t>
  </si>
  <si>
    <t>How many people need to authorize transactions?</t>
  </si>
  <si>
    <t>For each category below, choose the option that best matches your expected monthly transactions</t>
  </si>
  <si>
    <t>Cheque deposits</t>
  </si>
  <si>
    <t>Incoming wire transfers</t>
  </si>
  <si>
    <t>Outgoing wire transfers</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</si>
  <si>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</si>
  <si>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</si>
  <si>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</si>
  <si>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</si>
  <si>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</si>
  <si>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</si>
  <si>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</si>
  <si>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In order to proceed, all of your business associates listed above must be complete</t>
  </si>
  <si>
    <t>&lt;&lt;applicant initials&gt;&gt;</t>
  </si>
  <si>
    <t>Image assets to be provided</t>
  </si>
  <si>
    <t>These are the avatar and check mark images associated with the "Director" pill control 18.25.
IF unselected show avatar image
ELSE IF selected show check mark image</t>
  </si>
  <si>
    <t>These are the avatar and check mark images associated with the 'Shareholder/Owner or Partner" pill control 18.27
IF unselected show avatar image
ELSE IF selected show check mark image</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</si>
  <si>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</si>
  <si>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</si>
  <si>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</si>
  <si>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</si>
  <si>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</si>
  <si>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</si>
  <si>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</si>
  <si>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</si>
  <si>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</si>
  <si>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</si>
  <si>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</si>
  <si>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</si>
  <si>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</si>
  <si>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For each row in the table: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</si>
  <si>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r>
      <rPr>
        <strike/>
        <sz val="11"/>
        <color theme="1"/>
        <rFont val="Calibri"/>
        <family val="2"/>
        <scheme val="minor"/>
      </rPr>
      <t>Display image "CWB Loading Triangles.gif".</t>
    </r>
    <r>
      <rPr>
        <sz val="11"/>
        <color theme="1"/>
        <rFont val="Calibri"/>
        <family val="2"/>
        <scheme val="minor"/>
      </rPr>
      <t xml:space="preserve">
Refer to the CWB Design System for image asset.
New image with text pending with CWB Creative</t>
    </r>
  </si>
  <si>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</si>
  <si>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</si>
  <si>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For an online application, your business must have no more than 4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</si>
  <si>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</si>
  <si>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</si>
  <si>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</si>
  <si>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</si>
  <si>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</si>
  <si>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</si>
  <si>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</si>
  <si>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</si>
  <si>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 xml:space="preserve">Business Online and Mobile Banking </t>
  </si>
  <si>
    <t xml:space="preserve">Included with your new business account(s). Access for you and your associates will be set up on the next page. </t>
  </si>
  <si>
    <t>Insert legal name of the business where indicated by &lt;&lt;&gt;&gt; tags.</t>
  </si>
  <si>
    <t>&lt;&lt;authorized signer initials&gt;&gt;</t>
  </si>
  <si>
    <t>&lt;&lt;authorized signer first name&gt;&gt; &lt;&lt;authorized signer  last name&gt;&gt;</t>
  </si>
  <si>
    <t>Repeatable card section: repeat for each Authorized Signer</t>
  </si>
  <si>
    <t>End repeatable card section</t>
  </si>
  <si>
    <t>Begin card section (with main applicant info)</t>
  </si>
  <si>
    <t>Mobile Phone</t>
  </si>
  <si>
    <t>no caption (cell for mobile phone number)</t>
  </si>
  <si>
    <t>no caption (cell for role)</t>
  </si>
  <si>
    <t>Please provide a valid phone number.</t>
  </si>
  <si>
    <t>Review language.
Assumes that at least name, email, phone required to provision Okta credential and OLB profile.</t>
  </si>
  <si>
    <t>Enter this individual's role with the business (optional)</t>
  </si>
  <si>
    <t>On click, navigate back to the "Complementary Services" page (CWBSB-46)</t>
  </si>
  <si>
    <t>Can initiate transactions</t>
  </si>
  <si>
    <r>
      <rPr>
        <sz val="11"/>
        <color rgb="FFFF0000"/>
        <rFont val="Calibri"/>
        <family val="2"/>
        <scheme val="minor"/>
      </rPr>
      <t>Logic is to be determined, depending on what roles (in Infinity DBX) are available and can/should be provisioned from DCO.</t>
    </r>
    <r>
      <rPr>
        <sz val="11"/>
        <color theme="1"/>
        <rFont val="Calibri"/>
        <family val="2"/>
        <scheme val="minor"/>
      </rPr>
      <t xml:space="preserve">
Review language</t>
    </r>
  </si>
  <si>
    <r>
      <t>If unchecked, individual in this table row will have online banking access provisioned as "view only" (</t>
    </r>
    <r>
      <rPr>
        <sz val="11"/>
        <color rgb="FFFF0000"/>
        <rFont val="Calibri"/>
        <family val="2"/>
        <scheme val="minor"/>
      </rPr>
      <t>TBC</t>
    </r>
    <r>
      <rPr>
        <sz val="11"/>
        <color theme="1"/>
        <rFont val="Calibri"/>
        <family val="2"/>
        <scheme val="minor"/>
      </rPr>
      <t>)
If checked, individual in this table row will have online banking access provisioned as (</t>
    </r>
    <r>
      <rPr>
        <sz val="11"/>
        <color rgb="FFFF0000"/>
        <rFont val="Calibri"/>
        <family val="2"/>
        <scheme val="minor"/>
      </rPr>
      <t>ROLE TBC</t>
    </r>
    <r>
      <rPr>
        <sz val="11"/>
        <color theme="1"/>
        <rFont val="Calibri"/>
        <family val="2"/>
        <scheme val="minor"/>
      </rPr>
      <t>)</t>
    </r>
  </si>
  <si>
    <t>Check the box if this individual should be able to request a transaction, such as a bill payment or transfer. Someone with signing authority will still need to approve any transactions.</t>
  </si>
  <si>
    <t>On click, navigate to the "Online Banking &amp; Delegates" page CWBSB-388</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</si>
  <si>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</si>
  <si>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</si>
  <si>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</si>
  <si>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</si>
  <si>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</si>
  <si>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</si>
  <si>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</si>
  <si>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</si>
  <si>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</si>
  <si>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</si>
  <si>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</si>
  <si>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</si>
  <si>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Last Name</t>
  </si>
  <si>
    <t>First Name</t>
  </si>
  <si>
    <t>Mobile phone</t>
  </si>
  <si>
    <t>no caption (cell for first name)</t>
  </si>
  <si>
    <t>no caption (cell for last name)</t>
  </si>
  <si>
    <t>no caption (cell for 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</si>
  <si>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</si>
  <si>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</si>
  <si>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</si>
  <si>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IF selection = (A) Yes, hide Business Mailing Address fields 8.15 - 8.21 unless mailing address pre-filled from Codat.
ELSE IF selection = (B) No
AND/OR mailing address pre-filled from Codat
THEN reveal Business Mailing Address fields 8.15 - 8.21.</t>
  </si>
  <si>
    <t>Display only if selection 8.14 = (B) No
Disallow user entry if address is pre-filled from Codat.
Use Canada Post Address Complete API to provide suggestions for typed addresses.
Include PO Box and Quebec addresses in API response</t>
  </si>
  <si>
    <t>Conditional:
Required if selection 8.14 = (B) No AND not in manual address mode or address not pre-filled from Codat.</t>
  </si>
  <si>
    <t>Are you already a CWB or Motive Financial banking customer?</t>
  </si>
  <si>
    <t>On click
IF radio button 2.3 = "No", navigate to the "Contact Info" page (CWBSB-14);
ELSE IF radio button 2.3 = "Yes" go to OKTA log in</t>
  </si>
  <si>
    <t>On click, navigate to the "Qualifying Questions" page (CWBSB-12)</t>
  </si>
  <si>
    <t>Text/verbiage updates CWBSB-305</t>
  </si>
  <si>
    <t>Text/verbiage updates CWBSB-306</t>
  </si>
  <si>
    <t>Text/verbiage updates CWBSB-307</t>
  </si>
  <si>
    <t>(step 1) Invitation email sent
(step 2) In progress
(step 3) In review
(step 4) Complete</t>
  </si>
  <si>
    <t>&lt;&lt;Auth Signer initials&gt;&gt;</t>
  </si>
  <si>
    <t>Repeat 20.8-20.12 for each individual identified as an Authorized Signer (CWBSB-294).
Render applicant initials as an image to left of name 
(20.7 concatenate first and last initial - see wireframe for UX treatment) 
(20.8) Insert first and last name in tagged &lt;&lt;&gt;&gt; fields.
On entry, progress step will be set to "Invitation email sent".
Update according to status of identified individual's Authorized Signer flow.</t>
  </si>
  <si>
    <t>&lt;&lt;provisioning link&gt;&gt;</t>
  </si>
  <si>
    <t>&lt;&lt;provisioning link&gt;&gt; attribute from Product Catalogue</t>
  </si>
  <si>
    <t>See Display column.
Populate with Provisioning Link attribute from corresponding Product Catalogue item</t>
  </si>
  <si>
    <t>Your CWB cash management and business solutions</t>
  </si>
  <si>
    <r>
      <t xml:space="preserve">Need more information?
</t>
    </r>
    <r>
      <rPr>
        <u/>
        <sz val="11"/>
        <color theme="1"/>
        <rFont val="Calibri"/>
        <family val="2"/>
        <scheme val="minor"/>
      </rPr>
      <t>Explore our cash management and business solutions</t>
    </r>
  </si>
  <si>
    <t>Text/verbiage updates CWBSB-428</t>
  </si>
  <si>
    <t>To comply with Canadian anti-money laundering legislation, we need the name(s) and address(es) of anyone who owns 25% or more of your business, but will not be authorized to sign or transact on the new business account(s) you are opening.</t>
  </si>
  <si>
    <t>Non-signing Beneficial Owners</t>
  </si>
  <si>
    <t>We need the address(es) of the non-signing beneficial owner(s), listed below.</t>
  </si>
  <si>
    <t>Only in manual address mode</t>
  </si>
  <si>
    <t>&lt;&lt;non-signing owner initials&gt;&gt;</t>
  </si>
  <si>
    <t>Render applicant initials as an image to left of name (concatenate first and last initial - see wireframe for UI treatment)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</si>
  <si>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</si>
  <si>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</si>
  <si>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</si>
  <si>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</si>
  <si>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</si>
  <si>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Please select the jurisdiction in which you first registered and primarily do business. We are unable to offer banking services to businesses registered in Quebec at this time.</t>
  </si>
  <si>
    <t>We need to know if your business is registered in another jurisdiction (extra-provincial registration). 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</si>
  <si>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</si>
  <si>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</si>
  <si>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</si>
  <si>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 xml:space="preserve">A) What was your favorite restaurant in college or university?
B) What is your father's middle name?
C) In what city was your mother born? 
D) What is the first name of your oldest nephew?
E) What was the name of your first pet?
F) What was the colour of your first car?
</t>
  </si>
  <si>
    <t xml:space="preserve">If you ever need to contact a CWB representative, we may use this question to help confirm your identity and secure your account. </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</si>
  <si>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</si>
  <si>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</si>
  <si>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</si>
  <si>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</si>
  <si>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</si>
  <si>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</si>
  <si>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</si>
  <si>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</si>
  <si>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</si>
  <si>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</si>
  <si>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</si>
  <si>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</si>
  <si>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As the person who started the online application for your business, we will set you up with administration and transactional access in Online and Mobile Banking</t>
  </si>
  <si>
    <t>Render Authorized Signer initials as an image (avatar) to left of name (concatenate first and last initial - see wireframe for UX treatment)</t>
  </si>
  <si>
    <t>In-line with initials avatar 23.7.
Insert first and last name of Authorized Signer in tagged fields indicated by &lt;&lt;&gt;&gt;; bold font</t>
  </si>
  <si>
    <t>Access to Digital Banking</t>
  </si>
  <si>
    <t>TO BE ADDED in verbiage review</t>
  </si>
  <si>
    <t>Numeric
Whole numbers 0-100 OR up to 2 decimal places 0.01-100.00
Negative values not permitted</t>
  </si>
  <si>
    <t>Blank</t>
  </si>
  <si>
    <t>Hide field on page entry.
Reveal if radio button 17.3 selection = (A) Yes.
Input is mandatory once field is revealed.</t>
  </si>
  <si>
    <t>Validate for length and format - see permitted data</t>
  </si>
  <si>
    <t>Enter a value greater than 0 and less than 100.00</t>
  </si>
  <si>
    <t>Enter the percentage of the business you own. You can enter a whole number (up to 100) or up to 2 decimal places if required.</t>
  </si>
  <si>
    <t>Enter the percentage ownership for each owner/shareholder or partner. You can enter a whole number (up to 100) or up to 2 decimal places if required.</t>
  </si>
  <si>
    <t>Validate for length and format - see permitted data.</t>
  </si>
  <si>
    <t>Sum of all percentage ownership values entered in this screen AND 'Your Role' (CWBSB-295) must &gt;=99.99 and =&lt;100.00</t>
  </si>
  <si>
    <t>Percentage ownership for all owners/shareholders or partners must add up to 99.99 or 100</t>
  </si>
  <si>
    <t>Update % ownership validations CWBSB-471</t>
  </si>
  <si>
    <t>Review language
Validations updated (CWBSB-471)</t>
  </si>
  <si>
    <t>Validations updated (CWBSB-471)</t>
  </si>
  <si>
    <t>You and the other Authorized Signers for &lt;&lt;business legal name&gt;&gt; will have access to CWB Digital Banking, and will be able to initiate and approve banking transactions. You can make changes to access or permissions at any time by logging into Digital Banking.</t>
  </si>
  <si>
    <t>Render applicant initials as an image (avatar) to left of name (concatenate first and last initial - see wireframe for UX treatment)</t>
  </si>
  <si>
    <t>Insert check mark image, in line with initials avatar 23.4 and name 23.5</t>
  </si>
  <si>
    <t>In-line with initials avatar 23.4.
Insert first and last name of Applicant in tagged fields indicated by &lt;&lt;&gt;&gt;; bold font</t>
  </si>
  <si>
    <t>Insert check mark image, in line with initials avatar 23.7 and name 23.8</t>
  </si>
  <si>
    <t>Does anybody else need Digital Banking access?</t>
  </si>
  <si>
    <t>If you need to provide Digital Banking access to someone else who helps with your business banking, such as an Accountant or Bookkeeper, you can add them here now, or at any time later by logging in to Digital Banking.</t>
  </si>
  <si>
    <t>On click, save entered person info (name, email, phone, role) to form and add another row to the table.
Maximum number of rows for this table = 4</t>
  </si>
  <si>
    <t>Disallow add row when total rows in table =4</t>
  </si>
  <si>
    <t>You can add up to 4 people here. Log in to Digital Banking if you need to add more.</t>
  </si>
  <si>
    <t>Add one table row when "+ Add another person" control (23.12) is clicked. Align cells underneath column headers (23.13-23.17).</t>
  </si>
  <si>
    <t>On click, delete the corresponding row</t>
  </si>
  <si>
    <t>Please enter your delegate's first name or delete this row to continue.</t>
  </si>
  <si>
    <t>Please enter your delegate's last name or delete this row to continue.</t>
  </si>
  <si>
    <t>Please provide a valid email address or delete this row to continue.</t>
  </si>
  <si>
    <t>Please provide a valid business phone number or delete this row to continue.</t>
  </si>
  <si>
    <t>On click, validate for completion of table row mandatory fields.
IF mandatory fields complete, invoke the Small Business Funding Form ('Application Approval' CWBSB-248)
ELSE IF mandatory fields incomplete, show applicable mandatory message(s).</t>
  </si>
  <si>
    <t>Alphanumeric plus spaces and special characters</t>
  </si>
  <si>
    <t>Allow free format text input</t>
  </si>
  <si>
    <t>Specified this is a free text field due to bug (CWBSB-</t>
  </si>
  <si>
    <t>Do you need a business debit card?</t>
  </si>
  <si>
    <t>I, &lt;&lt;applicant first name&gt;&gt; &lt;&lt;applicant last name&gt;&gt;, agree to allow CWB to:</t>
  </si>
  <si>
    <t>Insert Applicant first and last name in fields indicated by &lt;&lt;&gt;&gt; tags</t>
  </si>
  <si>
    <t>UX recommendation to move the check box to the bottom of the page.</t>
  </si>
  <si>
    <t>Reveal only if radio button 13.3 selection = "Yes"</t>
  </si>
  <si>
    <t>Link URL for Business Debit Card/PIN Agreement is to be confirmed.</t>
  </si>
  <si>
    <t>Users must check this box to proceed with their application.
Hyperlink underlined text to the following URL:
https://www.cwb.com/about-us/privacy
(open in new browser tab)</t>
  </si>
  <si>
    <t>Reveal only if check box 13.3 selection = "Yes".
Hyperlink underlined text to this URL:
TBC
(open in new browser tab)</t>
  </si>
  <si>
    <r>
      <t xml:space="preserve">Please check the box to indicate your agreement. For more information about how we use and protect your information, please view our </t>
    </r>
    <r>
      <rPr>
        <u/>
        <sz val="11"/>
        <color theme="1"/>
        <rFont val="Calibri"/>
        <family val="2"/>
        <scheme val="minor"/>
      </rPr>
      <t>privacy statement</t>
    </r>
  </si>
  <si>
    <t>Please confirm whether you require a business debit card.</t>
  </si>
  <si>
    <t>If your new business account(s) will only require one person to authorize a transaction, you can request a debit card for in-person transactions and ATM access</t>
  </si>
  <si>
    <r>
      <t xml:space="preserve">By checking the box at the bottom of this page, I acknowledge I have read and accept the conditions set out in the </t>
    </r>
    <r>
      <rPr>
        <u/>
        <sz val="11"/>
        <color theme="1"/>
        <rFont val="Calibri"/>
        <family val="2"/>
        <scheme val="minor"/>
      </rPr>
      <t>Business Debit Card and PIN Agreement.</t>
    </r>
  </si>
  <si>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</si>
  <si>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</si>
  <si>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</si>
  <si>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</si>
  <si>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</si>
  <si>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Review language.
Updated allowable characters to be consistent with other name fields.</t>
  </si>
  <si>
    <t>Addition of debit card question, move check box CWBSB-485</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</si>
  <si>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'FLS'
ELSE IF debit card = 'Yes' issue PAN with prefix 'CWB'
(see Applicant or Auth Signer eConsent pages - related stories for this field CWBSB-485, CWBSB-486)</t>
    </r>
  </si>
  <si>
    <t>Review language.
Added business logic for PAN issuance as debit card PAN ('CWB' prefix) only possible if # signers = 1.</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</si>
  <si>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</si>
  <si>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</si>
  <si>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</si>
  <si>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</si>
  <si>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</si>
  <si>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</si>
  <si>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Clarified validation - should be whole numbers 1-50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</si>
  <si>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</si>
  <si>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</si>
  <si>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</si>
  <si>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CWB Cash Management Online Services Agreement</t>
  </si>
  <si>
    <t>Hyperlink to URL: TBD
Open in new tab</t>
  </si>
  <si>
    <t>See mandatory rules for check box 19.10.
IF &gt;=1 other individual has been identified with role of "Signer" in 'Owners, Directors and Signers' page (CWBSB-294), navigate to Await Authorized Signers page (CWBSB-254)
ELSE IF no other individuals have a "Signer" role, navigate to Account Options (CWBSB-45)</t>
  </si>
  <si>
    <t>On click, navigate to Product Selector Welcome Page (CWBSB-201)</t>
  </si>
  <si>
    <t>On click, navigate back to Product Selector "Product Review" page (CWBSB-199)</t>
  </si>
  <si>
    <t>On click, validate as described.
IF validation fails, remain on page and display validation message.
ELSE if validation passes
AND non-signing owner(s) exist (see 18.33 above)
THEN navigate to "Non-signing Owners" page CWBSB-324
ELSE IF validation passes
AND there are no non-signing owners
THEN navigate to "Disclosures-Tax Residency" page CWBSB-190</t>
  </si>
  <si>
    <t>Home address</t>
  </si>
  <si>
    <t>Beneficial Owner/non-signer</t>
  </si>
  <si>
    <t>&lt;&lt;non-signing owner first name&gt;&gt; &lt;&lt;non-signing owner last name&gt;&gt;</t>
  </si>
  <si>
    <t>(&lt;&lt;% ownership&gt;&gt;%)</t>
  </si>
  <si>
    <t>Repeatable card/fields section - repeat for all non-signing beneficial owners identified in the previous screen</t>
  </si>
  <si>
    <t>Render non-signing owner initials as an image (avatar) to left side of "card" (concatenate first and last initial - see wireframe for UI treatment)</t>
  </si>
  <si>
    <t>Insert first/last name of individual identified in "Owners, Directors &amp; Signers" page CWBSB-294 (see wireframe for UI treatment)</t>
  </si>
  <si>
    <t>See wireframe for UI treatment</t>
  </si>
  <si>
    <t>Insert % ownership of non-signing owner (should always be &gt;=25%) (see wireframe for UI treatment)</t>
  </si>
  <si>
    <t>CWBSB-521</t>
  </si>
  <si>
    <t>L</t>
  </si>
  <si>
    <t>Submission Complete page</t>
  </si>
  <si>
    <t>Insert standard submission complete image</t>
  </si>
  <si>
    <t>Refer to CWB design system for image asset</t>
  </si>
  <si>
    <r>
      <t xml:space="preserve">Thank you for your interest in CWB business banking. A representative will contact you within 3 business days.
For further assistance, please e-mail </t>
    </r>
    <r>
      <rPr>
        <u/>
        <sz val="11"/>
        <rFont val="Calibri"/>
        <family val="2"/>
        <scheme val="minor"/>
      </rPr>
      <t>business-onboarding@cwbank.com</t>
    </r>
    <r>
      <rPr>
        <sz val="11"/>
        <rFont val="Calibri"/>
        <family val="2"/>
        <scheme val="minor"/>
      </rPr>
      <t>.
Your reference number is:</t>
    </r>
  </si>
  <si>
    <t>Review language and content</t>
  </si>
  <si>
    <t>On click, display 'Submisson Complete' modal page (tab L, CWSB-521) and generate formatted email - see xxxx</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</si>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</sst>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8"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i/>
      <sz val="11"/>
      <color theme="1"/>
      <name val="Calibri"/>
      <family val="2"/>
      <scheme val="minor"/>
    </font>
    <font>
      <b/>
      <sz val="14"/>
      <color rgb="FFFF0000"/>
      <name val="Calibri"/>
      <family val="2"/>
      <scheme val="minor"/>
    </font>
    <font>
      <strike/>
      <sz val="11"/>
      <color theme="1"/>
      <name val="Calibri"/>
      <family val="2"/>
      <scheme val="minor"/>
    </font>
    <font>
      <sz val="11"/>
      <color theme="0"/>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0" tint="-0.34998626667073579"/>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3" fillId="0" borderId="0" applyNumberFormat="0" applyFill="0" applyBorder="0" applyAlignment="0" applyProtection="0"/>
  </cellStyleXfs>
  <cellXfs count="16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0" borderId="0" xfId="0" applyFont="1" applyAlignment="1">
      <alignment vertical="top" wrapText="1"/>
    </xf>
    <xf numFmtId="0" fontId="0" fillId="6" borderId="0" xfId="0" applyFill="1" applyAlignment="1">
      <alignment vertical="center" wrapText="1"/>
    </xf>
    <xf numFmtId="0" fontId="8" fillId="6" borderId="0" xfId="0" applyFont="1" applyFill="1" applyAlignment="1">
      <alignment horizontal="center" vertical="center" wrapText="1"/>
    </xf>
    <xf numFmtId="0" fontId="0" fillId="6" borderId="0" xfId="0" applyFill="1" applyAlignment="1">
      <alignment horizontal="left" vertical="center" wrapText="1"/>
    </xf>
    <xf numFmtId="0" fontId="0" fillId="6" borderId="0" xfId="0" applyFont="1" applyFill="1" applyAlignment="1">
      <alignment vertical="center" wrapText="1"/>
    </xf>
    <xf numFmtId="0" fontId="10" fillId="6"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6" borderId="0" xfId="0" applyFill="1" applyAlignment="1">
      <alignment horizontal="center" vertical="center" wrapText="1"/>
    </xf>
    <xf numFmtId="0" fontId="0" fillId="6"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6" borderId="0" xfId="0" applyFont="1" applyFill="1" applyAlignment="1">
      <alignment vertical="center" wrapText="1"/>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15" fillId="0" borderId="0" xfId="0" applyFont="1" applyAlignment="1">
      <alignment horizontal="left" vertical="center"/>
    </xf>
    <xf numFmtId="0" fontId="0" fillId="8" borderId="0" xfId="0" applyFill="1" applyAlignment="1">
      <alignment vertical="center" wrapText="1"/>
    </xf>
    <xf numFmtId="0" fontId="8" fillId="8" borderId="0" xfId="0" applyFont="1"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0" fillId="9" borderId="0" xfId="0" applyFill="1" applyAlignment="1">
      <alignment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0" fillId="9" borderId="0" xfId="0" applyFont="1" applyFill="1" applyAlignment="1">
      <alignment vertical="center" wrapText="1"/>
    </xf>
    <xf numFmtId="0" fontId="10" fillId="9" borderId="0" xfId="0" applyFont="1" applyFill="1" applyAlignment="1">
      <alignment vertical="center"/>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17" fillId="6" borderId="0" xfId="0" applyFont="1" applyFill="1" applyAlignment="1">
      <alignment vertical="center" wrapText="1"/>
    </xf>
    <xf numFmtId="0" fontId="17" fillId="6" borderId="0" xfId="0" applyFont="1" applyFill="1" applyAlignment="1">
      <alignment horizontal="center" vertical="center" wrapText="1"/>
    </xf>
    <xf numFmtId="0" fontId="17" fillId="6" borderId="0" xfId="0" quotePrefix="1" applyFont="1" applyFill="1" applyAlignment="1">
      <alignment vertical="center" wrapText="1"/>
    </xf>
    <xf numFmtId="0" fontId="17" fillId="6"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1" fillId="0" borderId="0" xfId="0" applyFont="1" applyAlignment="1">
      <alignment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786">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ocs.codat.io/docs/linking"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abSelected="1" zoomScaleNormal="100" workbookViewId="0">
      <pane ySplit="3" topLeftCell="A14" activePane="bottomLeft" state="frozen"/>
      <selection activeCell="O8" sqref="O8"/>
      <selection pane="bottomLeft" activeCell="C16" sqref="C16"/>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214</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203</v>
      </c>
      <c r="B4" s="13">
        <v>44027</v>
      </c>
      <c r="C4" s="14" t="s">
        <v>204</v>
      </c>
      <c r="D4" s="20" t="s">
        <v>205</v>
      </c>
      <c r="E4" s="22"/>
    </row>
    <row r="5" spans="1:15" s="4" customFormat="1" ht="17.149999999999999" customHeight="1" x14ac:dyDescent="0.35">
      <c r="A5" s="72" t="s">
        <v>203</v>
      </c>
      <c r="B5" s="73">
        <v>44028</v>
      </c>
      <c r="C5" s="74" t="s">
        <v>215</v>
      </c>
      <c r="D5" s="75" t="s">
        <v>216</v>
      </c>
      <c r="E5" s="76"/>
    </row>
    <row r="6" spans="1:15" s="4" customFormat="1" ht="17.5" customHeight="1" x14ac:dyDescent="0.35">
      <c r="A6" s="15" t="s">
        <v>243</v>
      </c>
      <c r="B6" s="16">
        <v>44032</v>
      </c>
      <c r="C6" s="17" t="s">
        <v>245</v>
      </c>
      <c r="D6" s="23" t="s">
        <v>205</v>
      </c>
      <c r="E6" s="18"/>
    </row>
    <row r="7" spans="1:15" s="4" customFormat="1" ht="169.5" customHeight="1" x14ac:dyDescent="0.35">
      <c r="A7" s="15" t="s">
        <v>296</v>
      </c>
      <c r="B7" s="16">
        <v>44036</v>
      </c>
      <c r="C7" s="17" t="s">
        <v>357</v>
      </c>
      <c r="D7" s="21" t="s">
        <v>205</v>
      </c>
      <c r="E7" s="43" t="s">
        <v>358</v>
      </c>
    </row>
    <row r="8" spans="1:15" s="4" customFormat="1" ht="93" customHeight="1" x14ac:dyDescent="0.35">
      <c r="A8" s="15" t="s">
        <v>302</v>
      </c>
      <c r="B8" s="16">
        <v>44056</v>
      </c>
      <c r="C8" s="17" t="s">
        <v>396</v>
      </c>
      <c r="D8" s="21" t="s">
        <v>205</v>
      </c>
      <c r="E8" s="43" t="s">
        <v>361</v>
      </c>
    </row>
    <row r="9" spans="1:15" s="4" customFormat="1" ht="78" x14ac:dyDescent="0.35">
      <c r="A9" s="15" t="s">
        <v>363</v>
      </c>
      <c r="B9" s="16">
        <v>44067</v>
      </c>
      <c r="C9" s="19" t="s">
        <v>397</v>
      </c>
      <c r="D9" s="21" t="s">
        <v>205</v>
      </c>
      <c r="E9" s="43"/>
    </row>
    <row r="10" spans="1:15" s="4" customFormat="1" ht="52" x14ac:dyDescent="0.35">
      <c r="A10" s="52" t="s">
        <v>407</v>
      </c>
      <c r="B10" s="53">
        <v>44085</v>
      </c>
      <c r="C10" s="54" t="s">
        <v>438</v>
      </c>
      <c r="D10" s="55" t="s">
        <v>205</v>
      </c>
      <c r="E10" s="70"/>
    </row>
    <row r="11" spans="1:15" s="4" customFormat="1" ht="345.5" customHeight="1" x14ac:dyDescent="0.35">
      <c r="A11" s="52" t="s">
        <v>424</v>
      </c>
      <c r="B11" s="53"/>
      <c r="C11" s="54" t="s">
        <v>673</v>
      </c>
      <c r="D11" s="118" t="s">
        <v>620</v>
      </c>
      <c r="E11" s="43" t="s">
        <v>361</v>
      </c>
    </row>
    <row r="12" spans="1:15" s="4" customFormat="1" ht="104" x14ac:dyDescent="0.35">
      <c r="A12" s="52" t="s">
        <v>676</v>
      </c>
      <c r="B12" s="53">
        <v>43835</v>
      </c>
      <c r="C12" s="54" t="s">
        <v>730</v>
      </c>
      <c r="D12" s="55" t="s">
        <v>677</v>
      </c>
      <c r="E12" s="70"/>
    </row>
    <row r="13" spans="1:15" s="4" customFormat="1" ht="182" x14ac:dyDescent="0.35">
      <c r="A13" s="52" t="s">
        <v>735</v>
      </c>
      <c r="B13" s="53">
        <v>44217</v>
      </c>
      <c r="C13" s="54" t="s">
        <v>811</v>
      </c>
      <c r="D13" s="118" t="s">
        <v>807</v>
      </c>
      <c r="E13" s="70" t="s">
        <v>361</v>
      </c>
    </row>
    <row r="14" spans="1:15" s="4" customFormat="1" ht="104" x14ac:dyDescent="0.35">
      <c r="A14" s="52" t="s">
        <v>849</v>
      </c>
      <c r="B14" s="53">
        <v>44225</v>
      </c>
      <c r="C14" s="54" t="s">
        <v>890</v>
      </c>
      <c r="D14" s="118" t="s">
        <v>205</v>
      </c>
      <c r="E14" s="70"/>
    </row>
    <row r="15" spans="1:15" ht="234" x14ac:dyDescent="0.35">
      <c r="A15" s="15" t="s">
        <v>894</v>
      </c>
      <c r="B15" s="16">
        <v>44236</v>
      </c>
      <c r="C15" s="19" t="s">
        <v>971</v>
      </c>
      <c r="D15" s="21" t="s">
        <v>205</v>
      </c>
      <c r="E15" s="18"/>
    </row>
    <row r="16" spans="1:15" ht="117.5" thickBot="1" x14ac:dyDescent="0.4">
      <c r="A16" s="151" t="s">
        <v>973</v>
      </c>
      <c r="B16" s="152">
        <v>44239</v>
      </c>
      <c r="C16" s="153" t="s">
        <v>1003</v>
      </c>
      <c r="D16" s="154" t="s">
        <v>205</v>
      </c>
      <c r="E16" s="155"/>
    </row>
  </sheetData>
  <conditionalFormatting sqref="H1:I2">
    <cfRule type="cellIs" dxfId="785" priority="10" operator="equal">
      <formula>"Not Applicable"</formula>
    </cfRule>
    <cfRule type="cellIs" dxfId="784" priority="11" operator="equal">
      <formula>"4 - Future Initiative (out of scope)"</formula>
    </cfRule>
    <cfRule type="cellIs" dxfId="783" priority="12" operator="equal">
      <formula>"3 - Desirable (Nice To Have)"</formula>
    </cfRule>
    <cfRule type="cellIs" dxfId="782" priority="13" operator="equal">
      <formula>"2 - Recommended (Best Practice)"</formula>
    </cfRule>
    <cfRule type="cellIs" dxfId="781" priority="14" operator="equal">
      <formula>"1 - Mandatory (Must Have)"</formula>
    </cfRule>
  </conditionalFormatting>
  <conditionalFormatting sqref="F1:F2">
    <cfRule type="cellIs" dxfId="780" priority="8" operator="equal">
      <formula>"Non-functional"</formula>
    </cfRule>
    <cfRule type="cellIs" dxfId="779"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O8" sqref="O8"/>
    </sheetView>
  </sheetViews>
  <sheetFormatPr defaultRowHeight="14.5" x14ac:dyDescent="0.35"/>
  <cols>
    <col min="1" max="1" width="47.26953125" bestFit="1" customWidth="1"/>
    <col min="2" max="2" width="25.54296875" customWidth="1"/>
  </cols>
  <sheetData>
    <row r="1" spans="1:15" s="1" customFormat="1" ht="18.5" x14ac:dyDescent="0.35">
      <c r="A1" s="1" t="s">
        <v>504</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4" customFormat="1" x14ac:dyDescent="0.35">
      <c r="A4" s="24" t="s">
        <v>27</v>
      </c>
      <c r="B4" s="24" t="s">
        <v>38</v>
      </c>
    </row>
    <row r="5" spans="1:15" x14ac:dyDescent="0.35">
      <c r="A5" t="s">
        <v>42</v>
      </c>
      <c r="B5" t="s">
        <v>41</v>
      </c>
    </row>
    <row r="6" spans="1:15" x14ac:dyDescent="0.35">
      <c r="A6" t="s">
        <v>756</v>
      </c>
      <c r="B6" t="s">
        <v>39</v>
      </c>
    </row>
    <row r="7" spans="1:15" x14ac:dyDescent="0.35">
      <c r="A7" t="s">
        <v>29</v>
      </c>
      <c r="B7" t="s">
        <v>40</v>
      </c>
    </row>
    <row r="8" spans="1:15" x14ac:dyDescent="0.35">
      <c r="A8" t="s">
        <v>59</v>
      </c>
      <c r="B8" t="s">
        <v>37</v>
      </c>
    </row>
    <row r="9" spans="1:15" x14ac:dyDescent="0.35">
      <c r="A9" t="s">
        <v>188</v>
      </c>
      <c r="B9" t="s">
        <v>44</v>
      </c>
    </row>
    <row r="10" spans="1:15" x14ac:dyDescent="0.35">
      <c r="A10" t="s">
        <v>85</v>
      </c>
    </row>
    <row r="11" spans="1:15" x14ac:dyDescent="0.35">
      <c r="A11" t="s">
        <v>34</v>
      </c>
    </row>
    <row r="12" spans="1:15" x14ac:dyDescent="0.35">
      <c r="A12" t="s">
        <v>559</v>
      </c>
    </row>
    <row r="13" spans="1:15" x14ac:dyDescent="0.35">
      <c r="A13" t="s">
        <v>175</v>
      </c>
    </row>
    <row r="14" spans="1:15" x14ac:dyDescent="0.35">
      <c r="A14" t="s">
        <v>150</v>
      </c>
    </row>
    <row r="15" spans="1:15" x14ac:dyDescent="0.35">
      <c r="A15" t="s">
        <v>114</v>
      </c>
    </row>
    <row r="16" spans="1:15" x14ac:dyDescent="0.35">
      <c r="A16" t="s">
        <v>503</v>
      </c>
    </row>
    <row r="17" spans="1:1" x14ac:dyDescent="0.35">
      <c r="A17" t="s">
        <v>763</v>
      </c>
    </row>
    <row r="18" spans="1:1" x14ac:dyDescent="0.35">
      <c r="A18" t="s">
        <v>47</v>
      </c>
    </row>
    <row r="19" spans="1:1" x14ac:dyDescent="0.35">
      <c r="A19" t="s">
        <v>31</v>
      </c>
    </row>
    <row r="20" spans="1:1" x14ac:dyDescent="0.35">
      <c r="A20" t="s">
        <v>30</v>
      </c>
    </row>
    <row r="21" spans="1:1" x14ac:dyDescent="0.35">
      <c r="A21" t="s">
        <v>115</v>
      </c>
    </row>
    <row r="22" spans="1:1" x14ac:dyDescent="0.35">
      <c r="A22" t="s">
        <v>28</v>
      </c>
    </row>
    <row r="23" spans="1:1" x14ac:dyDescent="0.35">
      <c r="A23" t="s">
        <v>326</v>
      </c>
    </row>
    <row r="24" spans="1:1" x14ac:dyDescent="0.35">
      <c r="A24" t="s">
        <v>99</v>
      </c>
    </row>
    <row r="25" spans="1:1" x14ac:dyDescent="0.35">
      <c r="A25" t="s">
        <v>33</v>
      </c>
    </row>
    <row r="26" spans="1:1" x14ac:dyDescent="0.35">
      <c r="A26" t="s">
        <v>35</v>
      </c>
    </row>
    <row r="27" spans="1:1" x14ac:dyDescent="0.35">
      <c r="A27" t="s">
        <v>599</v>
      </c>
    </row>
    <row r="28" spans="1:1" x14ac:dyDescent="0.35">
      <c r="A28" t="s">
        <v>531</v>
      </c>
    </row>
    <row r="29" spans="1:1" x14ac:dyDescent="0.35">
      <c r="A29" t="s">
        <v>532</v>
      </c>
    </row>
    <row r="30" spans="1:1" x14ac:dyDescent="0.35">
      <c r="A30" t="s">
        <v>323</v>
      </c>
    </row>
    <row r="31" spans="1:1" x14ac:dyDescent="0.35">
      <c r="A31" t="s">
        <v>32</v>
      </c>
    </row>
    <row r="32" spans="1:1" x14ac:dyDescent="0.35">
      <c r="A32" t="s">
        <v>603</v>
      </c>
    </row>
    <row r="33" spans="1:1" x14ac:dyDescent="0.35">
      <c r="A33" t="s">
        <v>74</v>
      </c>
    </row>
    <row r="34" spans="1:1" x14ac:dyDescent="0.35">
      <c r="A34" t="s">
        <v>169</v>
      </c>
    </row>
  </sheetData>
  <sortState ref="A5:A15">
    <sortCondition ref="A16"/>
  </sortState>
  <conditionalFormatting sqref="H1:I2">
    <cfRule type="cellIs" dxfId="778" priority="3" operator="equal">
      <formula>"Not Applicable"</formula>
    </cfRule>
    <cfRule type="cellIs" dxfId="777" priority="4" operator="equal">
      <formula>"4 - Future Initiative (out of scope)"</formula>
    </cfRule>
    <cfRule type="cellIs" dxfId="776" priority="5" operator="equal">
      <formula>"3 - Desirable (Nice To Have)"</formula>
    </cfRule>
    <cfRule type="cellIs" dxfId="775" priority="6" operator="equal">
      <formula>"2 - Recommended (Best Practice)"</formula>
    </cfRule>
    <cfRule type="cellIs" dxfId="774" priority="7" operator="equal">
      <formula>"1 - Mandatory (Must Have)"</formula>
    </cfRule>
  </conditionalFormatting>
  <conditionalFormatting sqref="F1:F2">
    <cfRule type="cellIs" dxfId="773" priority="1" operator="equal">
      <formula>"Non-functional"</formula>
    </cfRule>
    <cfRule type="cellIs" dxfId="772"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6" width="28.7265625" style="36" customWidth="1"/>
    <col min="7" max="7" width="29.26953125" style="36" customWidth="1"/>
    <col min="8" max="8" width="27.81640625" style="36" customWidth="1"/>
    <col min="9" max="9" width="34.81640625" style="36" customWidth="1"/>
    <col min="10" max="10" width="28.1796875" style="36" customWidth="1"/>
    <col min="11" max="11" width="10.7265625" style="36" bestFit="1" customWidth="1"/>
    <col min="12" max="12" width="23" style="36"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0" t="s">
        <v>61</v>
      </c>
      <c r="C1" s="160"/>
      <c r="D1" s="26"/>
    </row>
    <row r="2" spans="1:16" s="57" customFormat="1" ht="18.5" x14ac:dyDescent="0.35">
      <c r="A2" s="56" t="s">
        <v>7</v>
      </c>
      <c r="B2" s="161">
        <v>1</v>
      </c>
      <c r="C2" s="161"/>
      <c r="D2" s="58"/>
    </row>
    <row r="3" spans="1:16" s="57" customFormat="1" ht="18.5" x14ac:dyDescent="0.35">
      <c r="A3" s="56" t="s">
        <v>43</v>
      </c>
      <c r="B3" s="161" t="s">
        <v>250</v>
      </c>
      <c r="C3" s="161"/>
      <c r="D3" s="58" t="s">
        <v>322</v>
      </c>
    </row>
    <row r="4" spans="1:16" s="57" customFormat="1" ht="18.5" x14ac:dyDescent="0.35">
      <c r="A4" s="56" t="s">
        <v>8</v>
      </c>
      <c r="B4" s="161" t="s">
        <v>46</v>
      </c>
      <c r="C4" s="161"/>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CONCATENATE($B$2, ".", A7)</f>
        <v>1.1</v>
      </c>
      <c r="C7" s="45" t="s">
        <v>39</v>
      </c>
      <c r="D7" s="36" t="s">
        <v>325</v>
      </c>
      <c r="E7" s="36" t="s">
        <v>115</v>
      </c>
      <c r="F7" s="36" t="s">
        <v>36</v>
      </c>
      <c r="G7" s="36" t="s">
        <v>36</v>
      </c>
      <c r="H7" s="36" t="s">
        <v>36</v>
      </c>
      <c r="I7" s="36" t="s">
        <v>9</v>
      </c>
      <c r="J7" s="37" t="s">
        <v>36</v>
      </c>
      <c r="K7" s="37" t="s">
        <v>36</v>
      </c>
      <c r="L7" s="37" t="s">
        <v>36</v>
      </c>
      <c r="M7" s="37" t="s">
        <v>36</v>
      </c>
      <c r="N7" s="37" t="s">
        <v>36</v>
      </c>
      <c r="O7" s="37" t="s">
        <v>36</v>
      </c>
    </row>
    <row r="8" spans="1:16" x14ac:dyDescent="0.3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35">
      <c r="A9" s="36">
        <v>3</v>
      </c>
      <c r="B9" s="36" t="str">
        <f t="shared" si="0"/>
        <v>1.3</v>
      </c>
      <c r="C9" s="45" t="s">
        <v>37</v>
      </c>
      <c r="D9" s="36" t="s">
        <v>426</v>
      </c>
      <c r="E9" s="36" t="s">
        <v>326</v>
      </c>
      <c r="F9" s="36" t="s">
        <v>36</v>
      </c>
      <c r="G9" s="36" t="s">
        <v>36</v>
      </c>
      <c r="H9" s="36" t="s">
        <v>36</v>
      </c>
      <c r="I9" s="36" t="s">
        <v>9</v>
      </c>
      <c r="J9" s="37" t="s">
        <v>36</v>
      </c>
      <c r="K9" s="37" t="s">
        <v>36</v>
      </c>
      <c r="L9" s="37" t="s">
        <v>36</v>
      </c>
      <c r="M9" s="37" t="s">
        <v>36</v>
      </c>
      <c r="N9" s="37" t="s">
        <v>36</v>
      </c>
      <c r="O9" s="37" t="s">
        <v>36</v>
      </c>
    </row>
    <row r="10" spans="1:16" ht="46" customHeight="1" x14ac:dyDescent="0.35">
      <c r="A10" s="36">
        <v>4</v>
      </c>
      <c r="B10" s="36" t="str">
        <f t="shared" si="0"/>
        <v>1.4</v>
      </c>
      <c r="C10" s="45" t="s">
        <v>39</v>
      </c>
      <c r="D10" s="44" t="s">
        <v>327</v>
      </c>
      <c r="E10" s="36" t="s">
        <v>323</v>
      </c>
      <c r="F10" s="36" t="s">
        <v>36</v>
      </c>
      <c r="G10" s="36" t="s">
        <v>112</v>
      </c>
      <c r="H10" s="36" t="s">
        <v>36</v>
      </c>
      <c r="I10" s="36" t="s">
        <v>9</v>
      </c>
      <c r="J10" s="37" t="s">
        <v>36</v>
      </c>
      <c r="K10" s="37" t="s">
        <v>36</v>
      </c>
      <c r="L10" s="37" t="s">
        <v>36</v>
      </c>
      <c r="M10" s="37" t="s">
        <v>36</v>
      </c>
      <c r="N10" s="37" t="s">
        <v>36</v>
      </c>
      <c r="O10" s="36" t="s">
        <v>324</v>
      </c>
    </row>
    <row r="11" spans="1:16" ht="29" x14ac:dyDescent="0.35">
      <c r="A11" s="36">
        <v>5</v>
      </c>
      <c r="B11" s="36" t="str">
        <f t="shared" si="0"/>
        <v>1.5</v>
      </c>
      <c r="C11" s="45" t="s">
        <v>37</v>
      </c>
      <c r="D11" s="44" t="s">
        <v>328</v>
      </c>
      <c r="E11" s="36" t="s">
        <v>323</v>
      </c>
      <c r="F11" s="36" t="s">
        <v>36</v>
      </c>
      <c r="G11" s="36" t="s">
        <v>427</v>
      </c>
      <c r="H11" s="36" t="s">
        <v>36</v>
      </c>
      <c r="I11" s="36" t="s">
        <v>9</v>
      </c>
      <c r="J11" s="37" t="s">
        <v>36</v>
      </c>
      <c r="K11" s="37" t="s">
        <v>36</v>
      </c>
      <c r="L11" s="37" t="s">
        <v>36</v>
      </c>
      <c r="M11" s="37" t="s">
        <v>36</v>
      </c>
      <c r="N11" s="37" t="s">
        <v>36</v>
      </c>
      <c r="O11" s="36" t="s">
        <v>324</v>
      </c>
    </row>
    <row r="12" spans="1:16" ht="29" x14ac:dyDescent="0.35">
      <c r="A12" s="36">
        <v>6</v>
      </c>
      <c r="B12" s="36" t="str">
        <f t="shared" si="0"/>
        <v>1.6</v>
      </c>
      <c r="C12" s="45" t="s">
        <v>39</v>
      </c>
      <c r="D12" s="44" t="s">
        <v>329</v>
      </c>
      <c r="E12" s="36" t="s">
        <v>323</v>
      </c>
      <c r="F12" s="36" t="s">
        <v>36</v>
      </c>
      <c r="G12" s="36" t="s">
        <v>111</v>
      </c>
      <c r="H12" s="36" t="s">
        <v>36</v>
      </c>
      <c r="I12" s="36" t="s">
        <v>9</v>
      </c>
      <c r="J12" s="37" t="s">
        <v>36</v>
      </c>
      <c r="K12" s="37" t="s">
        <v>36</v>
      </c>
      <c r="L12" s="37" t="s">
        <v>36</v>
      </c>
      <c r="M12" s="37" t="s">
        <v>36</v>
      </c>
      <c r="N12" s="37" t="s">
        <v>36</v>
      </c>
      <c r="O12" s="36" t="s">
        <v>324</v>
      </c>
    </row>
    <row r="13" spans="1:16" ht="65" customHeight="1" x14ac:dyDescent="0.35">
      <c r="A13" s="36">
        <v>7</v>
      </c>
      <c r="B13" s="36" t="str">
        <f t="shared" si="0"/>
        <v>1.7</v>
      </c>
      <c r="C13" s="45" t="s">
        <v>39</v>
      </c>
      <c r="D13" s="44" t="s">
        <v>330</v>
      </c>
      <c r="E13" s="36" t="s">
        <v>323</v>
      </c>
      <c r="F13" s="36" t="s">
        <v>36</v>
      </c>
      <c r="G13" s="36" t="s">
        <v>207</v>
      </c>
      <c r="H13" s="38" t="s">
        <v>36</v>
      </c>
      <c r="I13" s="36" t="s">
        <v>9</v>
      </c>
      <c r="J13" s="36" t="s">
        <v>36</v>
      </c>
      <c r="K13" s="36" t="s">
        <v>36</v>
      </c>
      <c r="L13" s="36" t="s">
        <v>36</v>
      </c>
      <c r="M13" s="36" t="s">
        <v>36</v>
      </c>
      <c r="N13" s="36" t="s">
        <v>36</v>
      </c>
      <c r="O13" s="36" t="s">
        <v>324</v>
      </c>
    </row>
    <row r="14" spans="1:16" ht="135.5" customHeight="1" x14ac:dyDescent="0.35">
      <c r="A14" s="36">
        <v>8</v>
      </c>
      <c r="B14" s="36" t="str">
        <f t="shared" ref="B14:B20" si="1">CONCATENATE($B$2, ".", A14)</f>
        <v>1.8</v>
      </c>
      <c r="C14" s="45" t="s">
        <v>39</v>
      </c>
      <c r="D14" s="44" t="s">
        <v>331</v>
      </c>
      <c r="E14" s="36" t="s">
        <v>323</v>
      </c>
      <c r="F14" s="36" t="s">
        <v>36</v>
      </c>
      <c r="G14" s="48" t="s">
        <v>246</v>
      </c>
      <c r="H14" s="38" t="s">
        <v>36</v>
      </c>
      <c r="I14" s="36" t="s">
        <v>9</v>
      </c>
      <c r="J14" s="36" t="s">
        <v>36</v>
      </c>
      <c r="K14" s="36" t="s">
        <v>36</v>
      </c>
      <c r="L14" s="36" t="s">
        <v>36</v>
      </c>
      <c r="M14" s="36" t="s">
        <v>36</v>
      </c>
      <c r="N14" s="36" t="s">
        <v>36</v>
      </c>
      <c r="O14" s="36" t="s">
        <v>324</v>
      </c>
    </row>
    <row r="15" spans="1:16" ht="32" customHeight="1" x14ac:dyDescent="0.35">
      <c r="A15" s="36">
        <v>9</v>
      </c>
      <c r="B15" s="36" t="str">
        <f t="shared" si="1"/>
        <v>1.9</v>
      </c>
      <c r="C15" s="45" t="s">
        <v>39</v>
      </c>
      <c r="D15" s="36" t="s">
        <v>309</v>
      </c>
      <c r="E15" s="36" t="s">
        <v>326</v>
      </c>
      <c r="F15" s="36" t="s">
        <v>36</v>
      </c>
      <c r="G15" s="36" t="s">
        <v>36</v>
      </c>
      <c r="H15" s="36" t="s">
        <v>36</v>
      </c>
      <c r="I15" s="36" t="s">
        <v>9</v>
      </c>
      <c r="J15" s="37" t="s">
        <v>36</v>
      </c>
      <c r="K15" s="37" t="s">
        <v>36</v>
      </c>
      <c r="L15" s="37" t="s">
        <v>36</v>
      </c>
      <c r="M15" s="37" t="s">
        <v>36</v>
      </c>
      <c r="N15" s="37" t="s">
        <v>36</v>
      </c>
      <c r="O15" s="37" t="s">
        <v>36</v>
      </c>
    </row>
    <row r="16" spans="1:16" ht="66.5" customHeight="1" x14ac:dyDescent="0.35">
      <c r="A16" s="36">
        <v>10</v>
      </c>
      <c r="B16" s="36" t="str">
        <f t="shared" si="1"/>
        <v>1.10</v>
      </c>
      <c r="C16" s="45" t="s">
        <v>37</v>
      </c>
      <c r="D16" s="44" t="s">
        <v>332</v>
      </c>
      <c r="E16" s="36" t="s">
        <v>323</v>
      </c>
      <c r="F16" s="36" t="s">
        <v>36</v>
      </c>
      <c r="G16" s="36" t="s">
        <v>428</v>
      </c>
      <c r="H16" s="36" t="s">
        <v>36</v>
      </c>
      <c r="I16" s="36" t="s">
        <v>9</v>
      </c>
      <c r="J16" s="37" t="s">
        <v>36</v>
      </c>
      <c r="K16" s="37" t="s">
        <v>36</v>
      </c>
      <c r="L16" s="37" t="s">
        <v>36</v>
      </c>
      <c r="M16" s="37" t="s">
        <v>36</v>
      </c>
      <c r="N16" s="37" t="s">
        <v>36</v>
      </c>
      <c r="O16" s="36" t="s">
        <v>324</v>
      </c>
    </row>
    <row r="17" spans="1:15" ht="73" customHeight="1" x14ac:dyDescent="0.35">
      <c r="A17" s="36">
        <v>11</v>
      </c>
      <c r="B17" s="36" t="str">
        <f t="shared" si="1"/>
        <v>1.11</v>
      </c>
      <c r="C17" s="45" t="s">
        <v>37</v>
      </c>
      <c r="D17" s="44" t="s">
        <v>429</v>
      </c>
      <c r="E17" s="36" t="s">
        <v>323</v>
      </c>
      <c r="F17" s="36" t="s">
        <v>36</v>
      </c>
      <c r="G17" s="36" t="s">
        <v>430</v>
      </c>
      <c r="H17" s="36" t="s">
        <v>36</v>
      </c>
      <c r="I17" s="36" t="s">
        <v>9</v>
      </c>
      <c r="J17" s="37" t="s">
        <v>36</v>
      </c>
      <c r="K17" s="37" t="s">
        <v>36</v>
      </c>
      <c r="L17" s="37" t="s">
        <v>36</v>
      </c>
      <c r="M17" s="37" t="s">
        <v>36</v>
      </c>
      <c r="N17" s="37" t="s">
        <v>36</v>
      </c>
      <c r="O17" s="36" t="s">
        <v>324</v>
      </c>
    </row>
    <row r="18" spans="1:15" ht="58.5" customHeight="1" x14ac:dyDescent="0.35">
      <c r="A18" s="36">
        <v>12</v>
      </c>
      <c r="B18" s="36" t="str">
        <f t="shared" si="1"/>
        <v>1.12</v>
      </c>
      <c r="C18" s="45" t="s">
        <v>39</v>
      </c>
      <c r="D18" s="44" t="s">
        <v>333</v>
      </c>
      <c r="E18" s="36" t="s">
        <v>323</v>
      </c>
      <c r="F18" s="36" t="s">
        <v>36</v>
      </c>
      <c r="G18" s="36" t="s">
        <v>432</v>
      </c>
      <c r="H18" s="36" t="s">
        <v>36</v>
      </c>
      <c r="I18" s="36" t="s">
        <v>9</v>
      </c>
      <c r="J18" s="37" t="s">
        <v>36</v>
      </c>
      <c r="K18" s="37" t="s">
        <v>36</v>
      </c>
      <c r="L18" s="37" t="s">
        <v>36</v>
      </c>
      <c r="M18" s="37" t="s">
        <v>36</v>
      </c>
      <c r="N18" s="37" t="s">
        <v>36</v>
      </c>
      <c r="O18" s="36" t="s">
        <v>324</v>
      </c>
    </row>
    <row r="19" spans="1:15" ht="60" customHeight="1" x14ac:dyDescent="0.35">
      <c r="A19" s="36">
        <v>13</v>
      </c>
      <c r="B19" s="36" t="str">
        <f t="shared" si="1"/>
        <v>1.13</v>
      </c>
      <c r="C19" s="45" t="s">
        <v>37</v>
      </c>
      <c r="D19" s="44" t="s">
        <v>334</v>
      </c>
      <c r="E19" s="36" t="s">
        <v>323</v>
      </c>
      <c r="F19" s="36" t="s">
        <v>36</v>
      </c>
      <c r="G19" s="36" t="s">
        <v>431</v>
      </c>
      <c r="H19" s="36" t="s">
        <v>36</v>
      </c>
      <c r="I19" s="36" t="s">
        <v>9</v>
      </c>
      <c r="J19" s="37" t="s">
        <v>36</v>
      </c>
      <c r="K19" s="37" t="s">
        <v>36</v>
      </c>
      <c r="L19" s="37" t="s">
        <v>36</v>
      </c>
      <c r="M19" s="37" t="s">
        <v>36</v>
      </c>
      <c r="N19" s="37" t="s">
        <v>36</v>
      </c>
      <c r="O19" s="36" t="s">
        <v>324</v>
      </c>
    </row>
    <row r="20" spans="1:15" ht="147.5" customHeight="1" x14ac:dyDescent="0.35">
      <c r="A20" s="36">
        <v>14</v>
      </c>
      <c r="B20" s="36" t="str">
        <f t="shared" si="1"/>
        <v>1.14</v>
      </c>
      <c r="C20" s="45" t="s">
        <v>39</v>
      </c>
      <c r="D20" s="44" t="s">
        <v>335</v>
      </c>
      <c r="E20" s="36" t="s">
        <v>323</v>
      </c>
      <c r="F20" s="36" t="s">
        <v>36</v>
      </c>
      <c r="G20" s="36" t="s">
        <v>310</v>
      </c>
      <c r="H20" s="36" t="s">
        <v>36</v>
      </c>
      <c r="I20" s="36" t="s">
        <v>9</v>
      </c>
      <c r="J20" s="37" t="s">
        <v>36</v>
      </c>
      <c r="K20" s="37" t="s">
        <v>36</v>
      </c>
      <c r="L20" s="37" t="s">
        <v>36</v>
      </c>
      <c r="M20" s="37" t="s">
        <v>36</v>
      </c>
      <c r="N20" s="37" t="s">
        <v>36</v>
      </c>
      <c r="O20" s="36" t="s">
        <v>324</v>
      </c>
    </row>
    <row r="21" spans="1:15" ht="43.5" x14ac:dyDescent="0.35">
      <c r="A21" s="36">
        <v>15</v>
      </c>
      <c r="B21" s="36" t="str">
        <f t="shared" ref="B21:B22" si="2">CONCATENATE($B$2, ".", A21)</f>
        <v>1.15</v>
      </c>
      <c r="C21" s="45" t="s">
        <v>37</v>
      </c>
      <c r="D21" s="36" t="s">
        <v>654</v>
      </c>
      <c r="E21" s="36" t="s">
        <v>31</v>
      </c>
      <c r="F21" s="36" t="s">
        <v>655</v>
      </c>
      <c r="G21" s="36" t="s">
        <v>36</v>
      </c>
      <c r="H21" s="36" t="s">
        <v>36</v>
      </c>
      <c r="I21" s="36" t="s">
        <v>9</v>
      </c>
      <c r="J21" s="36" t="s">
        <v>495</v>
      </c>
      <c r="K21" s="36" t="s">
        <v>53</v>
      </c>
      <c r="L21" s="36" t="s">
        <v>686</v>
      </c>
      <c r="M21" s="36" t="s">
        <v>36</v>
      </c>
      <c r="N21" s="36" t="s">
        <v>36</v>
      </c>
      <c r="O21" s="36" t="s">
        <v>656</v>
      </c>
    </row>
    <row r="22" spans="1:15" ht="87" x14ac:dyDescent="0.35">
      <c r="A22" s="36">
        <v>16</v>
      </c>
      <c r="B22" s="36" t="str">
        <f t="shared" si="2"/>
        <v>1.16</v>
      </c>
      <c r="C22" s="45" t="s">
        <v>37</v>
      </c>
      <c r="D22" s="36" t="s">
        <v>57</v>
      </c>
      <c r="E22" s="36" t="s">
        <v>42</v>
      </c>
      <c r="F22" s="36" t="s">
        <v>36</v>
      </c>
      <c r="G22" s="36" t="s">
        <v>36</v>
      </c>
      <c r="H22" s="36" t="s">
        <v>36</v>
      </c>
      <c r="I22" s="36" t="s">
        <v>9</v>
      </c>
      <c r="J22" s="36" t="s">
        <v>36</v>
      </c>
      <c r="K22" s="36" t="s">
        <v>36</v>
      </c>
      <c r="L22" s="36" t="s">
        <v>36</v>
      </c>
      <c r="M22" s="36" t="s">
        <v>36</v>
      </c>
      <c r="N22" s="36" t="s">
        <v>36</v>
      </c>
      <c r="O22" s="36" t="s">
        <v>731</v>
      </c>
    </row>
  </sheetData>
  <mergeCells count="4">
    <mergeCell ref="B1:C1"/>
    <mergeCell ref="B2:C2"/>
    <mergeCell ref="B3:C3"/>
    <mergeCell ref="B4:C4"/>
  </mergeCells>
  <conditionalFormatting sqref="C7:C14 C21:C1048576">
    <cfRule type="cellIs" dxfId="771" priority="66" operator="equal">
      <formula>"WIP (see comments)"</formula>
    </cfRule>
    <cfRule type="cellIs" dxfId="770" priority="67" operator="equal">
      <formula>"Removed"</formula>
    </cfRule>
    <cfRule type="cellIs" dxfId="769" priority="68" operator="equal">
      <formula>"Updated"</formula>
    </cfRule>
    <cfRule type="cellIs" dxfId="768" priority="69" operator="equal">
      <formula>"New"</formula>
    </cfRule>
  </conditionalFormatting>
  <conditionalFormatting sqref="A23:XFD1048576 E1:XFD1 A1:B4 D2:XFD4 C8:C14 A5:XFD10 A11:N12 O11:XFD14 A13:B22 C21:XFD22">
    <cfRule type="cellIs" dxfId="767" priority="53" operator="equal">
      <formula>"n/a"</formula>
    </cfRule>
  </conditionalFormatting>
  <conditionalFormatting sqref="D13:N14">
    <cfRule type="cellIs" dxfId="766" priority="47" operator="equal">
      <formula>"n/a"</formula>
    </cfRule>
  </conditionalFormatting>
  <conditionalFormatting sqref="D1">
    <cfRule type="cellIs" dxfId="765" priority="28" operator="equal">
      <formula>"n/a"</formula>
    </cfRule>
  </conditionalFormatting>
  <conditionalFormatting sqref="C15:C20">
    <cfRule type="cellIs" dxfId="764" priority="24" operator="equal">
      <formula>"WIP (see comments)"</formula>
    </cfRule>
    <cfRule type="cellIs" dxfId="763" priority="25" operator="equal">
      <formula>"Removed"</formula>
    </cfRule>
    <cfRule type="cellIs" dxfId="762" priority="26" operator="equal">
      <formula>"Updated"</formula>
    </cfRule>
    <cfRule type="cellIs" dxfId="761" priority="27" operator="equal">
      <formula>"New"</formula>
    </cfRule>
  </conditionalFormatting>
  <conditionalFormatting sqref="C15:C20">
    <cfRule type="cellIs" dxfId="760" priority="20" operator="equal">
      <formula>"WIP (see comments)"</formula>
    </cfRule>
    <cfRule type="cellIs" dxfId="759" priority="21" operator="equal">
      <formula>"Removed"</formula>
    </cfRule>
    <cfRule type="cellIs" dxfId="758" priority="22" operator="equal">
      <formula>"Updated"</formula>
    </cfRule>
    <cfRule type="cellIs" dxfId="757" priority="23" operator="equal">
      <formula>"New"</formula>
    </cfRule>
  </conditionalFormatting>
  <conditionalFormatting sqref="C15:XFD15 Q16:XFD20 C18:F18 H18:N18 C19:N20 C16:N17">
    <cfRule type="cellIs" dxfId="756" priority="19" operator="equal">
      <formula>"n/a"</formula>
    </cfRule>
  </conditionalFormatting>
  <conditionalFormatting sqref="P16">
    <cfRule type="cellIs" dxfId="755" priority="7" operator="equal">
      <formula>"n/a"</formula>
    </cfRule>
  </conditionalFormatting>
  <conditionalFormatting sqref="P17">
    <cfRule type="cellIs" dxfId="754" priority="6" operator="equal">
      <formula>"n/a"</formula>
    </cfRule>
  </conditionalFormatting>
  <conditionalFormatting sqref="P18">
    <cfRule type="cellIs" dxfId="753" priority="5" operator="equal">
      <formula>"n/a"</formula>
    </cfRule>
  </conditionalFormatting>
  <conditionalFormatting sqref="P19">
    <cfRule type="cellIs" dxfId="752" priority="4" operator="equal">
      <formula>"n/a"</formula>
    </cfRule>
  </conditionalFormatting>
  <conditionalFormatting sqref="P20">
    <cfRule type="cellIs" dxfId="751" priority="3" operator="equal">
      <formula>"n/a"</formula>
    </cfRule>
  </conditionalFormatting>
  <conditionalFormatting sqref="G18">
    <cfRule type="cellIs" dxfId="750" priority="2" operator="equal">
      <formula>"n/a"</formula>
    </cfRule>
  </conditionalFormatting>
  <conditionalFormatting sqref="O16:O20">
    <cfRule type="cellIs" dxfId="7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9"/>
  <sheetViews>
    <sheetView workbookViewId="0">
      <pane xSplit="4" ySplit="6" topLeftCell="E13" activePane="bottomRight" state="frozen"/>
      <selection activeCell="O8" sqref="O8"/>
      <selection pane="topRight" activeCell="O8" sqref="O8"/>
      <selection pane="bottomLeft" activeCell="O8" sqref="O8"/>
      <selection pane="bottomRight" activeCell="P19" sqref="P19"/>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56" t="s">
        <v>6</v>
      </c>
      <c r="B1" s="160" t="s">
        <v>238</v>
      </c>
      <c r="C1" s="160"/>
      <c r="D1" s="26"/>
      <c r="E1" s="57"/>
      <c r="F1" s="57"/>
      <c r="G1" s="57"/>
      <c r="H1" s="57"/>
      <c r="I1" s="57"/>
      <c r="J1" s="57"/>
      <c r="K1" s="57"/>
      <c r="L1" s="57"/>
      <c r="M1" s="57"/>
      <c r="N1" s="57"/>
      <c r="O1" s="57"/>
      <c r="P1" s="57"/>
    </row>
    <row r="2" spans="1:16" ht="18.5" x14ac:dyDescent="0.35">
      <c r="A2" s="56" t="s">
        <v>7</v>
      </c>
      <c r="B2" s="161" t="s">
        <v>239</v>
      </c>
      <c r="C2" s="161"/>
      <c r="D2" s="79"/>
      <c r="E2" s="57"/>
      <c r="F2" s="57"/>
      <c r="G2" s="57"/>
      <c r="H2" s="57"/>
      <c r="I2" s="57"/>
      <c r="J2" s="57"/>
      <c r="K2" s="57"/>
      <c r="L2" s="57"/>
      <c r="M2" s="57"/>
      <c r="N2" s="57"/>
      <c r="O2" s="57"/>
      <c r="P2" s="57"/>
    </row>
    <row r="3" spans="1:16" ht="18.5" x14ac:dyDescent="0.35">
      <c r="A3" s="56" t="s">
        <v>43</v>
      </c>
      <c r="B3" s="161" t="s">
        <v>240</v>
      </c>
      <c r="C3" s="161"/>
      <c r="D3" s="79" t="s">
        <v>339</v>
      </c>
      <c r="E3" s="57"/>
      <c r="F3" s="57"/>
      <c r="G3" s="57"/>
      <c r="H3" s="57"/>
      <c r="I3" s="57"/>
      <c r="J3" s="57"/>
      <c r="K3" s="57"/>
      <c r="L3" s="57"/>
      <c r="M3" s="57"/>
      <c r="N3" s="57"/>
      <c r="O3" s="57"/>
      <c r="P3" s="57"/>
    </row>
    <row r="4" spans="1:16" ht="18.5" x14ac:dyDescent="0.35">
      <c r="A4" s="56" t="s">
        <v>8</v>
      </c>
      <c r="B4" s="57" t="s">
        <v>319</v>
      </c>
      <c r="C4" s="57"/>
      <c r="D4" s="57"/>
      <c r="E4" s="57"/>
      <c r="F4" s="57"/>
      <c r="G4" s="57"/>
      <c r="H4" s="57"/>
      <c r="I4" s="57"/>
      <c r="J4" s="57"/>
      <c r="K4" s="57"/>
      <c r="L4" s="57"/>
      <c r="M4" s="57"/>
      <c r="N4" s="57"/>
      <c r="O4" s="57"/>
      <c r="P4" s="57"/>
    </row>
    <row r="5" spans="1:16" x14ac:dyDescent="0.35">
      <c r="A5" s="60"/>
      <c r="B5" s="60"/>
      <c r="C5" s="61"/>
      <c r="D5" s="60"/>
      <c r="E5" s="60"/>
      <c r="F5" s="60"/>
      <c r="G5" s="60"/>
      <c r="H5" s="60"/>
      <c r="I5" s="60"/>
      <c r="J5" s="60"/>
      <c r="K5" s="60"/>
      <c r="L5" s="60"/>
      <c r="M5" s="60"/>
      <c r="N5" s="60"/>
      <c r="O5" s="60"/>
      <c r="P5" s="60"/>
    </row>
    <row r="6" spans="1:16" ht="22.5" customHeight="1"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 customHeight="1" x14ac:dyDescent="0.35">
      <c r="A7" s="36">
        <v>1</v>
      </c>
      <c r="B7" s="36" t="str">
        <f>CONCATENATE($B$2, ".", A7)</f>
        <v>1A.1</v>
      </c>
      <c r="C7" s="45" t="s">
        <v>37</v>
      </c>
      <c r="D7" s="36" t="s">
        <v>434</v>
      </c>
      <c r="E7" s="36" t="s">
        <v>115</v>
      </c>
      <c r="F7" s="36" t="s">
        <v>36</v>
      </c>
      <c r="G7" s="36" t="s">
        <v>36</v>
      </c>
      <c r="H7" s="36" t="s">
        <v>36</v>
      </c>
      <c r="I7" s="36" t="s">
        <v>9</v>
      </c>
      <c r="J7" s="37" t="s">
        <v>36</v>
      </c>
      <c r="K7" s="37" t="s">
        <v>36</v>
      </c>
      <c r="L7" s="37" t="s">
        <v>36</v>
      </c>
      <c r="M7" s="37" t="s">
        <v>36</v>
      </c>
      <c r="N7" s="37" t="s">
        <v>36</v>
      </c>
      <c r="O7" s="37" t="s">
        <v>36</v>
      </c>
      <c r="P7" s="36"/>
    </row>
    <row r="8" spans="1:16" ht="29" customHeight="1" x14ac:dyDescent="0.35">
      <c r="A8" s="36">
        <v>2</v>
      </c>
      <c r="B8" s="36" t="str">
        <f t="shared" ref="B8:B9" si="0">CONCATENATE($B$2, ".", A8)</f>
        <v>1A.2</v>
      </c>
      <c r="C8" s="45" t="s">
        <v>37</v>
      </c>
      <c r="D8" s="36" t="s">
        <v>435</v>
      </c>
      <c r="E8" s="36" t="s">
        <v>28</v>
      </c>
      <c r="F8" s="36" t="s">
        <v>36</v>
      </c>
      <c r="G8" s="36" t="s">
        <v>36</v>
      </c>
      <c r="H8" s="36" t="s">
        <v>36</v>
      </c>
      <c r="I8" s="36" t="s">
        <v>9</v>
      </c>
      <c r="J8" s="37" t="s">
        <v>36</v>
      </c>
      <c r="K8" s="37" t="s">
        <v>36</v>
      </c>
      <c r="L8" s="37" t="s">
        <v>36</v>
      </c>
      <c r="M8" s="37" t="s">
        <v>687</v>
      </c>
      <c r="N8" s="37" t="s">
        <v>36</v>
      </c>
      <c r="O8" s="37" t="s">
        <v>36</v>
      </c>
      <c r="P8" s="36"/>
    </row>
    <row r="9" spans="1:16" ht="83" customHeight="1" x14ac:dyDescent="0.35">
      <c r="A9" s="36">
        <v>3</v>
      </c>
      <c r="B9" s="36" t="str">
        <f t="shared" si="0"/>
        <v>1A.3</v>
      </c>
      <c r="C9" s="45" t="s">
        <v>37</v>
      </c>
      <c r="D9" s="36" t="s">
        <v>311</v>
      </c>
      <c r="E9" s="36" t="s">
        <v>32</v>
      </c>
      <c r="F9" s="36" t="s">
        <v>749</v>
      </c>
      <c r="G9" s="36" t="s">
        <v>36</v>
      </c>
      <c r="H9" s="36" t="s">
        <v>398</v>
      </c>
      <c r="I9" s="36" t="s">
        <v>9</v>
      </c>
      <c r="J9" s="37" t="s">
        <v>36</v>
      </c>
      <c r="K9" s="37" t="s">
        <v>53</v>
      </c>
      <c r="L9" s="37" t="s">
        <v>691</v>
      </c>
      <c r="M9" s="37" t="s">
        <v>36</v>
      </c>
      <c r="N9" s="37" t="s">
        <v>36</v>
      </c>
      <c r="O9" s="37" t="s">
        <v>369</v>
      </c>
      <c r="P9" s="36" t="s">
        <v>750</v>
      </c>
    </row>
    <row r="10" spans="1:16" ht="43.5" x14ac:dyDescent="0.35">
      <c r="A10" s="36">
        <v>4</v>
      </c>
      <c r="B10" s="36" t="str">
        <f t="shared" ref="B10:B13" si="1">CONCATENATE($B$2, ".", A10)</f>
        <v>1A.4</v>
      </c>
      <c r="C10" s="45" t="s">
        <v>39</v>
      </c>
      <c r="D10" s="36" t="s">
        <v>312</v>
      </c>
      <c r="E10" s="36" t="s">
        <v>32</v>
      </c>
      <c r="F10" s="36" t="s">
        <v>51</v>
      </c>
      <c r="G10" s="36" t="s">
        <v>36</v>
      </c>
      <c r="H10" s="36" t="s">
        <v>52</v>
      </c>
      <c r="I10" s="36" t="s">
        <v>9</v>
      </c>
      <c r="J10" s="37" t="s">
        <v>36</v>
      </c>
      <c r="K10" s="36" t="s">
        <v>53</v>
      </c>
      <c r="L10" s="37" t="s">
        <v>688</v>
      </c>
      <c r="M10" s="37" t="s">
        <v>100</v>
      </c>
      <c r="N10" s="37" t="s">
        <v>36</v>
      </c>
      <c r="O10" s="37" t="s">
        <v>404</v>
      </c>
    </row>
    <row r="11" spans="1:16" ht="43.5" x14ac:dyDescent="0.35">
      <c r="A11" s="36">
        <v>5</v>
      </c>
      <c r="B11" s="36" t="str">
        <f t="shared" si="1"/>
        <v>1A.5</v>
      </c>
      <c r="C11" s="45" t="s">
        <v>39</v>
      </c>
      <c r="D11" s="36" t="s">
        <v>399</v>
      </c>
      <c r="E11" s="36" t="s">
        <v>29</v>
      </c>
      <c r="F11" s="36" t="s">
        <v>400</v>
      </c>
      <c r="G11" s="36" t="s">
        <v>36</v>
      </c>
      <c r="H11" s="36" t="s">
        <v>36</v>
      </c>
      <c r="I11" s="36" t="s">
        <v>9</v>
      </c>
      <c r="J11" s="37" t="s">
        <v>401</v>
      </c>
      <c r="K11" s="36" t="s">
        <v>36</v>
      </c>
      <c r="L11" s="36" t="s">
        <v>36</v>
      </c>
      <c r="M11" s="36" t="s">
        <v>402</v>
      </c>
      <c r="N11" s="36" t="s">
        <v>690</v>
      </c>
      <c r="O11" s="36" t="s">
        <v>403</v>
      </c>
    </row>
    <row r="12" spans="1:16" ht="72.5" x14ac:dyDescent="0.35">
      <c r="A12" s="36">
        <v>6</v>
      </c>
      <c r="B12" s="36" t="str">
        <f t="shared" si="1"/>
        <v>1A.6</v>
      </c>
      <c r="C12" s="45" t="s">
        <v>39</v>
      </c>
      <c r="D12" s="36" t="s">
        <v>313</v>
      </c>
      <c r="E12" s="36" t="s">
        <v>32</v>
      </c>
      <c r="F12" s="36" t="s">
        <v>50</v>
      </c>
      <c r="G12" s="36" t="s">
        <v>36</v>
      </c>
      <c r="H12" s="36" t="s">
        <v>54</v>
      </c>
      <c r="I12" s="36" t="s">
        <v>9</v>
      </c>
      <c r="J12" s="37" t="s">
        <v>36</v>
      </c>
      <c r="K12" s="36" t="s">
        <v>53</v>
      </c>
      <c r="L12" s="36" t="s">
        <v>689</v>
      </c>
      <c r="M12" s="36" t="s">
        <v>55</v>
      </c>
      <c r="N12" s="37" t="s">
        <v>36</v>
      </c>
      <c r="O12" s="37" t="s">
        <v>405</v>
      </c>
    </row>
    <row r="13" spans="1:16" ht="43.5" x14ac:dyDescent="0.35">
      <c r="A13" s="36">
        <v>7</v>
      </c>
      <c r="B13" s="36" t="str">
        <f t="shared" si="1"/>
        <v>1A.7</v>
      </c>
      <c r="C13" s="45" t="s">
        <v>39</v>
      </c>
      <c r="D13" s="36" t="s">
        <v>399</v>
      </c>
      <c r="E13" s="36" t="s">
        <v>29</v>
      </c>
      <c r="F13" s="36" t="s">
        <v>400</v>
      </c>
      <c r="G13" s="36" t="s">
        <v>36</v>
      </c>
      <c r="H13" s="36" t="s">
        <v>36</v>
      </c>
      <c r="I13" s="36" t="s">
        <v>9</v>
      </c>
      <c r="J13" s="37" t="s">
        <v>401</v>
      </c>
      <c r="K13" s="36" t="s">
        <v>36</v>
      </c>
      <c r="L13" s="36" t="s">
        <v>36</v>
      </c>
      <c r="M13" s="36" t="s">
        <v>402</v>
      </c>
      <c r="N13" s="36" t="s">
        <v>690</v>
      </c>
      <c r="O13" s="36" t="s">
        <v>403</v>
      </c>
    </row>
    <row r="14" spans="1:16" ht="101.5" x14ac:dyDescent="0.35">
      <c r="A14" s="36">
        <v>8</v>
      </c>
      <c r="B14" s="36" t="str">
        <f t="shared" ref="B14" si="2">CONCATENATE($B$2, ".", A14)</f>
        <v>1A.8</v>
      </c>
      <c r="C14" s="45" t="s">
        <v>39</v>
      </c>
      <c r="D14" s="36" t="s">
        <v>314</v>
      </c>
      <c r="E14" s="36" t="s">
        <v>34</v>
      </c>
      <c r="F14" s="36" t="s">
        <v>367</v>
      </c>
      <c r="G14" s="36" t="s">
        <v>318</v>
      </c>
      <c r="H14" s="36" t="s">
        <v>36</v>
      </c>
      <c r="I14" s="36" t="s">
        <v>9</v>
      </c>
      <c r="J14" s="37" t="s">
        <v>368</v>
      </c>
      <c r="K14" s="36" t="s">
        <v>36</v>
      </c>
      <c r="L14" s="36" t="s">
        <v>36</v>
      </c>
      <c r="M14" s="36" t="s">
        <v>36</v>
      </c>
      <c r="N14" s="36" t="s">
        <v>36</v>
      </c>
      <c r="O14" s="36" t="s">
        <v>371</v>
      </c>
      <c r="P14" s="36"/>
    </row>
    <row r="15" spans="1:16" ht="43.5" x14ac:dyDescent="0.35">
      <c r="A15" s="36">
        <v>9</v>
      </c>
      <c r="B15" s="36" t="str">
        <f t="shared" ref="B15:B18" si="3">CONCATENATE($B$2, ".", A15)</f>
        <v>1A.9</v>
      </c>
      <c r="C15" s="45" t="s">
        <v>37</v>
      </c>
      <c r="D15" s="36" t="s">
        <v>370</v>
      </c>
      <c r="E15" s="36" t="s">
        <v>32</v>
      </c>
      <c r="F15" s="36" t="s">
        <v>946</v>
      </c>
      <c r="G15" s="36" t="s">
        <v>36</v>
      </c>
      <c r="H15" s="36" t="s">
        <v>393</v>
      </c>
      <c r="I15" s="36" t="s">
        <v>9</v>
      </c>
      <c r="J15" s="37" t="s">
        <v>36</v>
      </c>
      <c r="K15" s="36" t="s">
        <v>83</v>
      </c>
      <c r="L15" s="36" t="s">
        <v>36</v>
      </c>
      <c r="M15" s="36" t="s">
        <v>394</v>
      </c>
      <c r="N15" s="36" t="s">
        <v>36</v>
      </c>
      <c r="O15" s="36" t="s">
        <v>947</v>
      </c>
      <c r="P15" s="36" t="s">
        <v>948</v>
      </c>
    </row>
    <row r="16" spans="1:16" x14ac:dyDescent="0.35">
      <c r="A16" s="36">
        <v>10</v>
      </c>
      <c r="B16" s="36" t="str">
        <f t="shared" si="3"/>
        <v>1A.10</v>
      </c>
      <c r="C16" s="45" t="s">
        <v>39</v>
      </c>
      <c r="D16" s="36" t="s">
        <v>315</v>
      </c>
      <c r="E16" s="36" t="s">
        <v>28</v>
      </c>
      <c r="F16" s="36" t="s">
        <v>36</v>
      </c>
      <c r="G16" s="36" t="s">
        <v>36</v>
      </c>
      <c r="H16" s="36" t="s">
        <v>36</v>
      </c>
      <c r="I16" s="36" t="s">
        <v>9</v>
      </c>
      <c r="J16" s="37" t="s">
        <v>36</v>
      </c>
      <c r="K16" s="36" t="s">
        <v>36</v>
      </c>
      <c r="L16" s="36" t="s">
        <v>36</v>
      </c>
      <c r="M16" s="36" t="s">
        <v>36</v>
      </c>
      <c r="N16" s="36" t="s">
        <v>36</v>
      </c>
      <c r="O16" s="36" t="s">
        <v>36</v>
      </c>
      <c r="P16" s="36"/>
    </row>
    <row r="17" spans="1:16" ht="29" x14ac:dyDescent="0.35">
      <c r="A17" s="36">
        <v>11</v>
      </c>
      <c r="B17" s="36" t="str">
        <f t="shared" si="3"/>
        <v>1A.11</v>
      </c>
      <c r="C17" s="45" t="s">
        <v>44</v>
      </c>
      <c r="D17" s="36" t="s">
        <v>316</v>
      </c>
      <c r="E17" s="36" t="s">
        <v>42</v>
      </c>
      <c r="F17" s="36" t="s">
        <v>36</v>
      </c>
      <c r="G17" s="36" t="s">
        <v>36</v>
      </c>
      <c r="H17" s="36" t="s">
        <v>36</v>
      </c>
      <c r="I17" s="36" t="s">
        <v>9</v>
      </c>
      <c r="J17" s="37" t="s">
        <v>36</v>
      </c>
      <c r="K17" s="36" t="s">
        <v>36</v>
      </c>
      <c r="L17" s="36" t="s">
        <v>36</v>
      </c>
      <c r="M17" s="36" t="s">
        <v>36</v>
      </c>
      <c r="N17" s="36" t="s">
        <v>36</v>
      </c>
      <c r="O17" s="36" t="s">
        <v>338</v>
      </c>
      <c r="P17" s="36" t="s">
        <v>392</v>
      </c>
    </row>
    <row r="18" spans="1:16" ht="58" x14ac:dyDescent="0.35">
      <c r="A18" s="36">
        <v>12</v>
      </c>
      <c r="B18" s="36" t="str">
        <f t="shared" si="3"/>
        <v>1A.12</v>
      </c>
      <c r="C18" s="45" t="s">
        <v>44</v>
      </c>
      <c r="D18" s="36" t="s">
        <v>317</v>
      </c>
      <c r="E18" s="36" t="s">
        <v>99</v>
      </c>
      <c r="F18" s="36" t="s">
        <v>36</v>
      </c>
      <c r="G18" s="36" t="s">
        <v>36</v>
      </c>
      <c r="H18" s="36" t="s">
        <v>36</v>
      </c>
      <c r="I18" s="36" t="s">
        <v>9</v>
      </c>
      <c r="J18" s="37" t="s">
        <v>36</v>
      </c>
      <c r="K18" s="36" t="s">
        <v>36</v>
      </c>
      <c r="L18" s="36" t="s">
        <v>36</v>
      </c>
      <c r="M18" s="36" t="s">
        <v>36</v>
      </c>
      <c r="N18" s="36" t="s">
        <v>36</v>
      </c>
      <c r="O18" s="36" t="s">
        <v>359</v>
      </c>
      <c r="P18" s="36" t="s">
        <v>437</v>
      </c>
    </row>
    <row r="19" spans="1:16" ht="43.5" x14ac:dyDescent="0.35">
      <c r="A19" s="36">
        <v>13</v>
      </c>
      <c r="B19" s="36" t="str">
        <f>CONCATENATE($B$2, ".", A19)</f>
        <v>1A.13</v>
      </c>
      <c r="C19" s="45" t="s">
        <v>37</v>
      </c>
      <c r="D19" s="36" t="s">
        <v>337</v>
      </c>
      <c r="E19" s="36" t="s">
        <v>42</v>
      </c>
      <c r="F19" s="36" t="s">
        <v>36</v>
      </c>
      <c r="G19" s="36" t="s">
        <v>36</v>
      </c>
      <c r="H19" s="36" t="s">
        <v>36</v>
      </c>
      <c r="I19" s="36" t="s">
        <v>9</v>
      </c>
      <c r="J19" s="36" t="s">
        <v>36</v>
      </c>
      <c r="K19" s="36" t="s">
        <v>36</v>
      </c>
      <c r="L19" s="36" t="s">
        <v>36</v>
      </c>
      <c r="M19" s="36" t="s">
        <v>395</v>
      </c>
      <c r="N19" s="36" t="s">
        <v>36</v>
      </c>
      <c r="O19" s="36" t="s">
        <v>1002</v>
      </c>
      <c r="P19" s="36" t="s">
        <v>436</v>
      </c>
    </row>
  </sheetData>
  <mergeCells count="3">
    <mergeCell ref="B1:C1"/>
    <mergeCell ref="B2:C2"/>
    <mergeCell ref="B3:C3"/>
  </mergeCells>
  <conditionalFormatting sqref="C7:C12 C14:C19">
    <cfRule type="cellIs" dxfId="748" priority="21" operator="equal">
      <formula>"WIP (see comments)"</formula>
    </cfRule>
    <cfRule type="cellIs" dxfId="747" priority="22" operator="equal">
      <formula>"Removed"</formula>
    </cfRule>
    <cfRule type="cellIs" dxfId="746" priority="23" operator="equal">
      <formula>"Updated"</formula>
    </cfRule>
    <cfRule type="cellIs" dxfId="745" priority="24" operator="equal">
      <formula>"New"</formula>
    </cfRule>
  </conditionalFormatting>
  <conditionalFormatting sqref="E1:P1 A1:B4 D2:P4 A5:P9 N10:O10 C19 C16:O18 P17:P18 F11:O11 F10:L10 C12:L12 N12:O12 C10:E11 A10:B13 A14:O15 A16:B19">
    <cfRule type="cellIs" dxfId="744" priority="20" operator="equal">
      <formula>"n/a"</formula>
    </cfRule>
  </conditionalFormatting>
  <conditionalFormatting sqref="D1">
    <cfRule type="cellIs" dxfId="743" priority="19" operator="equal">
      <formula>"n/a"</formula>
    </cfRule>
  </conditionalFormatting>
  <conditionalFormatting sqref="M12">
    <cfRule type="cellIs" dxfId="742" priority="16" operator="equal">
      <formula>"n/a"</formula>
    </cfRule>
  </conditionalFormatting>
  <conditionalFormatting sqref="M10">
    <cfRule type="cellIs" dxfId="741" priority="15" operator="equal">
      <formula>"n/a"</formula>
    </cfRule>
  </conditionalFormatting>
  <conditionalFormatting sqref="P14:P15">
    <cfRule type="cellIs" dxfId="740" priority="14" operator="equal">
      <formula>"n/a"</formula>
    </cfRule>
  </conditionalFormatting>
  <conditionalFormatting sqref="P16">
    <cfRule type="cellIs" dxfId="739" priority="13" operator="equal">
      <formula>"n/a"</formula>
    </cfRule>
  </conditionalFormatting>
  <conditionalFormatting sqref="D19:P19">
    <cfRule type="cellIs" dxfId="738" priority="8" operator="equal">
      <formula>"n/a"</formula>
    </cfRule>
  </conditionalFormatting>
  <conditionalFormatting sqref="C13">
    <cfRule type="cellIs" dxfId="737" priority="2" operator="equal">
      <formula>"WIP (see comments)"</formula>
    </cfRule>
    <cfRule type="cellIs" dxfId="736" priority="3" operator="equal">
      <formula>"Removed"</formula>
    </cfRule>
    <cfRule type="cellIs" dxfId="735" priority="4" operator="equal">
      <formula>"Updated"</formula>
    </cfRule>
    <cfRule type="cellIs" dxfId="734" priority="5" operator="equal">
      <formula>"New"</formula>
    </cfRule>
  </conditionalFormatting>
  <conditionalFormatting sqref="C13:O13">
    <cfRule type="cellIs" dxfId="733" priority="1" operator="equal">
      <formula>"n/a"</formula>
    </cfRule>
  </conditionalFormatting>
  <dataValidations count="1">
    <dataValidation type="list" allowBlank="1" showInputMessage="1" showErrorMessage="1" sqref="E16:E19">
      <formula1>$A$5:$A$34</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C7:C15 C16:C19</xm:sqref>
        </x14:dataValidation>
        <x14:dataValidation type="list" allowBlank="1" showInputMessage="1" showErrorMessage="1">
          <x14:formula1>
            <xm:f>'List Values'!$A$5:$A$35</xm:f>
          </x14:formula1>
          <xm:sqref>E7:E15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244</v>
      </c>
      <c r="C1" s="29"/>
      <c r="D1" s="26"/>
    </row>
    <row r="2" spans="1:16" s="27" customFormat="1" ht="18.5" x14ac:dyDescent="0.35">
      <c r="A2" s="25" t="s">
        <v>7</v>
      </c>
      <c r="B2" s="80">
        <v>2</v>
      </c>
      <c r="C2" s="32"/>
      <c r="D2" s="80" t="s">
        <v>606</v>
      </c>
    </row>
    <row r="3" spans="1:16" s="27" customFormat="1" ht="18.5" x14ac:dyDescent="0.35">
      <c r="A3" s="25" t="s">
        <v>43</v>
      </c>
      <c r="B3" s="80" t="s">
        <v>417</v>
      </c>
      <c r="C3" s="32"/>
      <c r="D3" s="80" t="s">
        <v>444</v>
      </c>
    </row>
    <row r="4" spans="1:16" s="27" customFormat="1" ht="18.5" x14ac:dyDescent="0.35">
      <c r="A4" s="25" t="s">
        <v>8</v>
      </c>
      <c r="B4" s="27" t="s">
        <v>46</v>
      </c>
      <c r="C4" s="32"/>
      <c r="D4" s="27" t="s">
        <v>445</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CONCATENATE($B$2, ".", A7)</f>
        <v>2.1</v>
      </c>
      <c r="C7" s="31" t="s">
        <v>37</v>
      </c>
      <c r="D7" s="36" t="s">
        <v>447</v>
      </c>
      <c r="E7" s="6" t="s">
        <v>28</v>
      </c>
      <c r="F7" s="6" t="s">
        <v>36</v>
      </c>
      <c r="G7" s="6" t="s">
        <v>36</v>
      </c>
      <c r="H7" s="6" t="s">
        <v>36</v>
      </c>
      <c r="I7" s="36" t="s">
        <v>9</v>
      </c>
      <c r="J7" s="5" t="s">
        <v>36</v>
      </c>
      <c r="K7" s="5" t="s">
        <v>36</v>
      </c>
      <c r="L7" s="5" t="s">
        <v>36</v>
      </c>
      <c r="M7" s="5" t="s">
        <v>36</v>
      </c>
      <c r="N7" s="5" t="s">
        <v>36</v>
      </c>
      <c r="O7" s="5" t="s">
        <v>36</v>
      </c>
      <c r="P7" s="6" t="s">
        <v>208</v>
      </c>
    </row>
    <row r="8" spans="1:16" x14ac:dyDescent="0.35">
      <c r="A8" s="6">
        <v>2</v>
      </c>
      <c r="B8" s="6" t="str">
        <f t="shared" ref="B8:B11"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29" x14ac:dyDescent="0.35">
      <c r="A9" s="6">
        <v>3</v>
      </c>
      <c r="B9" s="6" t="str">
        <f t="shared" si="0"/>
        <v>2.3</v>
      </c>
      <c r="C9" s="31" t="s">
        <v>37</v>
      </c>
      <c r="D9" s="36" t="s">
        <v>866</v>
      </c>
      <c r="E9" s="36" t="s">
        <v>31</v>
      </c>
      <c r="F9" s="6" t="s">
        <v>574</v>
      </c>
      <c r="G9" s="6" t="s">
        <v>36</v>
      </c>
      <c r="H9" s="6" t="s">
        <v>36</v>
      </c>
      <c r="I9" s="36" t="s">
        <v>9</v>
      </c>
      <c r="J9" s="5" t="s">
        <v>575</v>
      </c>
      <c r="K9" s="5" t="s">
        <v>53</v>
      </c>
      <c r="L9" s="5" t="s">
        <v>36</v>
      </c>
      <c r="M9" s="5" t="s">
        <v>36</v>
      </c>
      <c r="N9" s="5" t="s">
        <v>36</v>
      </c>
      <c r="O9" s="5" t="s">
        <v>36</v>
      </c>
      <c r="P9" s="6" t="s">
        <v>208</v>
      </c>
    </row>
    <row r="10" spans="1:16" ht="58" x14ac:dyDescent="0.35">
      <c r="A10" s="6">
        <v>4</v>
      </c>
      <c r="B10" s="6" t="str">
        <f t="shared" si="0"/>
        <v>2.4</v>
      </c>
      <c r="C10" s="31" t="s">
        <v>44</v>
      </c>
      <c r="D10" s="36" t="s">
        <v>57</v>
      </c>
      <c r="E10" s="36" t="s">
        <v>42</v>
      </c>
      <c r="F10" s="6" t="s">
        <v>36</v>
      </c>
      <c r="G10" s="6" t="s">
        <v>36</v>
      </c>
      <c r="H10" s="6" t="s">
        <v>36</v>
      </c>
      <c r="I10" s="36" t="s">
        <v>9</v>
      </c>
      <c r="J10" s="5" t="s">
        <v>36</v>
      </c>
      <c r="K10" s="5" t="s">
        <v>36</v>
      </c>
      <c r="L10" s="5" t="s">
        <v>36</v>
      </c>
      <c r="M10" s="5" t="s">
        <v>36</v>
      </c>
      <c r="N10" s="5" t="s">
        <v>36</v>
      </c>
      <c r="O10" s="5" t="s">
        <v>867</v>
      </c>
      <c r="P10" s="6" t="s">
        <v>605</v>
      </c>
    </row>
    <row r="11" spans="1:16" ht="29" x14ac:dyDescent="0.35">
      <c r="A11" s="6">
        <v>5</v>
      </c>
      <c r="B11" s="6" t="str">
        <f t="shared" si="0"/>
        <v>2.5</v>
      </c>
      <c r="C11" s="31" t="s">
        <v>37</v>
      </c>
      <c r="D11" s="36" t="s">
        <v>56</v>
      </c>
      <c r="E11" s="6" t="s">
        <v>42</v>
      </c>
      <c r="F11" s="6" t="s">
        <v>36</v>
      </c>
      <c r="G11" s="6" t="s">
        <v>36</v>
      </c>
      <c r="H11" s="6" t="s">
        <v>36</v>
      </c>
      <c r="I11" s="36" t="s">
        <v>9</v>
      </c>
      <c r="J11" s="6" t="s">
        <v>36</v>
      </c>
      <c r="K11" s="6" t="s">
        <v>36</v>
      </c>
      <c r="L11" s="6" t="s">
        <v>36</v>
      </c>
      <c r="M11" s="6" t="s">
        <v>36</v>
      </c>
      <c r="N11" s="6" t="s">
        <v>36</v>
      </c>
      <c r="O11" s="6" t="s">
        <v>868</v>
      </c>
    </row>
  </sheetData>
  <conditionalFormatting sqref="C7:C1048576">
    <cfRule type="cellIs" dxfId="732" priority="7" operator="equal">
      <formula>"WIP (see comments)"</formula>
    </cfRule>
    <cfRule type="cellIs" dxfId="731" priority="8" operator="equal">
      <formula>"Removed"</formula>
    </cfRule>
    <cfRule type="cellIs" dxfId="730" priority="9" operator="equal">
      <formula>"Updated"</formula>
    </cfRule>
    <cfRule type="cellIs" dxfId="729" priority="10" operator="equal">
      <formula>"New"</formula>
    </cfRule>
  </conditionalFormatting>
  <conditionalFormatting sqref="A1:XFD7 Q10:XFD10 E10 L9:XFD9 A12:XFD1048576 A11 C11:XFD11 C9:J9 A8:A9 C8:XFD8 B8:C11">
    <cfRule type="cellIs" dxfId="728" priority="6" operator="equal">
      <formula>"n/a"</formula>
    </cfRule>
  </conditionalFormatting>
  <conditionalFormatting sqref="A10 D10 F10:P10 K9">
    <cfRule type="cellIs" dxfId="727" priority="1" operator="equal">
      <formula>"n/a"</formula>
    </cfRule>
  </conditionalFormatting>
  <dataValidations count="1">
    <dataValidation type="list" allowBlank="1" showInputMessage="1" showErrorMessage="1" sqref="C12: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Values'!$A$5:$A$34</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
  <sheetViews>
    <sheetView workbookViewId="0">
      <pane xSplit="4" ySplit="6" topLeftCell="K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17" style="36" customWidth="1"/>
    <col min="7" max="7" width="17.7265625" style="36" customWidth="1"/>
    <col min="8" max="8" width="27.81640625" style="36" customWidth="1"/>
    <col min="9" max="9" width="34.81640625" style="36" customWidth="1"/>
    <col min="10" max="10" width="13.26953125" style="36" bestFit="1" customWidth="1"/>
    <col min="11" max="11" width="10.7265625" style="36" bestFit="1"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0" t="s">
        <v>45</v>
      </c>
      <c r="C1" s="160"/>
      <c r="D1" s="26"/>
    </row>
    <row r="2" spans="1:16" s="57" customFormat="1" ht="18.5" x14ac:dyDescent="0.35">
      <c r="A2" s="56" t="s">
        <v>7</v>
      </c>
      <c r="B2" s="160">
        <v>3</v>
      </c>
      <c r="C2" s="160"/>
      <c r="D2" s="58"/>
    </row>
    <row r="3" spans="1:16" s="57" customFormat="1" ht="18.5" x14ac:dyDescent="0.35">
      <c r="A3" s="56" t="s">
        <v>43</v>
      </c>
      <c r="B3" s="160" t="s">
        <v>251</v>
      </c>
      <c r="C3" s="160"/>
      <c r="D3" s="58" t="s">
        <v>272</v>
      </c>
    </row>
    <row r="4" spans="1:16" s="57" customFormat="1" ht="18.5" x14ac:dyDescent="0.35">
      <c r="A4" s="56" t="s">
        <v>8</v>
      </c>
      <c r="B4" s="160" t="s">
        <v>46</v>
      </c>
      <c r="C4" s="160"/>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4" si="0">CONCATENATE($B$2, ".", A7)</f>
        <v>3.1</v>
      </c>
      <c r="C7" s="45" t="s">
        <v>39</v>
      </c>
      <c r="D7" s="36" t="s">
        <v>439</v>
      </c>
      <c r="E7" s="36" t="s">
        <v>28</v>
      </c>
      <c r="F7" s="36" t="s">
        <v>36</v>
      </c>
      <c r="G7" s="36" t="s">
        <v>36</v>
      </c>
      <c r="H7" s="36" t="s">
        <v>36</v>
      </c>
      <c r="I7" s="36" t="s">
        <v>9</v>
      </c>
      <c r="J7" s="37" t="s">
        <v>36</v>
      </c>
      <c r="K7" s="37" t="s">
        <v>36</v>
      </c>
      <c r="L7" s="37" t="s">
        <v>36</v>
      </c>
      <c r="M7" s="37" t="s">
        <v>36</v>
      </c>
      <c r="N7" s="37" t="s">
        <v>36</v>
      </c>
      <c r="O7" s="37" t="s">
        <v>36</v>
      </c>
    </row>
    <row r="8" spans="1:16" ht="29" x14ac:dyDescent="0.35">
      <c r="A8" s="36">
        <v>2</v>
      </c>
      <c r="B8" s="36" t="str">
        <f t="shared" si="0"/>
        <v>3.2</v>
      </c>
      <c r="C8" s="45" t="s">
        <v>44</v>
      </c>
      <c r="D8" s="36" t="s">
        <v>36</v>
      </c>
      <c r="E8" s="36" t="s">
        <v>48</v>
      </c>
      <c r="F8" s="36" t="s">
        <v>36</v>
      </c>
      <c r="G8" s="36" t="s">
        <v>36</v>
      </c>
      <c r="H8" s="36" t="s">
        <v>36</v>
      </c>
      <c r="I8" s="36" t="s">
        <v>9</v>
      </c>
      <c r="J8" s="37" t="s">
        <v>36</v>
      </c>
      <c r="K8" s="37" t="s">
        <v>36</v>
      </c>
      <c r="L8" s="37" t="s">
        <v>36</v>
      </c>
      <c r="M8" s="37" t="s">
        <v>36</v>
      </c>
      <c r="N8" s="37" t="s">
        <v>36</v>
      </c>
      <c r="O8" s="37" t="s">
        <v>36</v>
      </c>
      <c r="P8" s="36" t="s">
        <v>433</v>
      </c>
    </row>
    <row r="9" spans="1:16" ht="56.25" customHeight="1" x14ac:dyDescent="0.35">
      <c r="A9" s="36">
        <v>3</v>
      </c>
      <c r="B9" s="36" t="str">
        <f t="shared" si="0"/>
        <v>3.3</v>
      </c>
      <c r="C9" s="45" t="s">
        <v>37</v>
      </c>
      <c r="D9" s="36" t="s">
        <v>440</v>
      </c>
      <c r="E9" s="36" t="s">
        <v>99</v>
      </c>
      <c r="F9" s="36" t="s">
        <v>36</v>
      </c>
      <c r="G9" s="36" t="s">
        <v>36</v>
      </c>
      <c r="H9" s="36" t="s">
        <v>36</v>
      </c>
      <c r="I9" s="36" t="s">
        <v>9</v>
      </c>
      <c r="J9" s="37" t="s">
        <v>36</v>
      </c>
      <c r="K9" s="37" t="s">
        <v>36</v>
      </c>
      <c r="L9" s="37" t="s">
        <v>36</v>
      </c>
      <c r="M9" s="37" t="s">
        <v>36</v>
      </c>
      <c r="N9" s="37" t="s">
        <v>36</v>
      </c>
      <c r="O9" s="37" t="s">
        <v>95</v>
      </c>
    </row>
    <row r="10" spans="1:16" ht="120.75" customHeight="1" x14ac:dyDescent="0.35">
      <c r="A10" s="36">
        <v>4</v>
      </c>
      <c r="B10" s="36" t="str">
        <f t="shared" si="0"/>
        <v>3.4</v>
      </c>
      <c r="C10" s="45" t="s">
        <v>37</v>
      </c>
      <c r="D10" s="36" t="s">
        <v>49</v>
      </c>
      <c r="E10" s="36" t="s">
        <v>32</v>
      </c>
      <c r="F10" s="36" t="s">
        <v>51</v>
      </c>
      <c r="G10" s="36" t="s">
        <v>441</v>
      </c>
      <c r="H10" s="36" t="s">
        <v>52</v>
      </c>
      <c r="I10" s="36" t="s">
        <v>9</v>
      </c>
      <c r="J10" s="37" t="s">
        <v>36</v>
      </c>
      <c r="K10" s="37" t="s">
        <v>53</v>
      </c>
      <c r="L10" s="37" t="s">
        <v>688</v>
      </c>
      <c r="M10" s="37" t="s">
        <v>100</v>
      </c>
      <c r="N10" s="37" t="s">
        <v>688</v>
      </c>
      <c r="O10" s="37" t="s">
        <v>36</v>
      </c>
    </row>
    <row r="11" spans="1:16" ht="149.25" customHeight="1" x14ac:dyDescent="0.35">
      <c r="A11" s="36">
        <v>5</v>
      </c>
      <c r="B11" s="36" t="str">
        <f t="shared" si="0"/>
        <v>3.5</v>
      </c>
      <c r="C11" s="45" t="s">
        <v>37</v>
      </c>
      <c r="D11" s="36" t="s">
        <v>101</v>
      </c>
      <c r="E11" s="36" t="s">
        <v>32</v>
      </c>
      <c r="F11" s="36" t="s">
        <v>50</v>
      </c>
      <c r="G11" s="36" t="s">
        <v>442</v>
      </c>
      <c r="H11" s="36" t="s">
        <v>54</v>
      </c>
      <c r="I11" s="36" t="s">
        <v>9</v>
      </c>
      <c r="J11" s="37" t="s">
        <v>36</v>
      </c>
      <c r="K11" s="36" t="s">
        <v>53</v>
      </c>
      <c r="L11" s="36" t="s">
        <v>692</v>
      </c>
      <c r="M11" s="36" t="s">
        <v>55</v>
      </c>
      <c r="N11" s="36" t="s">
        <v>692</v>
      </c>
      <c r="O11" s="37" t="s">
        <v>36</v>
      </c>
    </row>
    <row r="12" spans="1:16" ht="149.25" customHeight="1" x14ac:dyDescent="0.35">
      <c r="A12" s="36">
        <v>6</v>
      </c>
      <c r="B12" s="36" t="str">
        <f t="shared" si="0"/>
        <v>3.6</v>
      </c>
      <c r="C12" s="45" t="s">
        <v>39</v>
      </c>
      <c r="D12" s="36" t="s">
        <v>36</v>
      </c>
      <c r="E12" s="36" t="s">
        <v>175</v>
      </c>
      <c r="F12" s="36" t="s">
        <v>36</v>
      </c>
      <c r="G12" s="36" t="s">
        <v>36</v>
      </c>
      <c r="H12" s="36" t="s">
        <v>36</v>
      </c>
      <c r="I12" s="36" t="s">
        <v>176</v>
      </c>
      <c r="J12" s="37" t="s">
        <v>36</v>
      </c>
      <c r="K12" s="36" t="s">
        <v>53</v>
      </c>
      <c r="L12" s="36" t="s">
        <v>177</v>
      </c>
      <c r="M12" s="36" t="s">
        <v>36</v>
      </c>
      <c r="N12" s="36" t="s">
        <v>177</v>
      </c>
      <c r="O12" s="37"/>
    </row>
    <row r="13" spans="1:16" ht="105" customHeight="1" x14ac:dyDescent="0.35">
      <c r="A13" s="36">
        <v>7</v>
      </c>
      <c r="B13" s="36" t="str">
        <f>CONCATENATE($B$2, ".", A13)</f>
        <v>3.7</v>
      </c>
      <c r="C13" s="45" t="s">
        <v>37</v>
      </c>
      <c r="D13" s="36" t="s">
        <v>57</v>
      </c>
      <c r="E13" s="36" t="s">
        <v>42</v>
      </c>
      <c r="F13" s="36" t="s">
        <v>36</v>
      </c>
      <c r="G13" s="36" t="s">
        <v>36</v>
      </c>
      <c r="H13" s="36" t="s">
        <v>36</v>
      </c>
      <c r="I13" s="36" t="s">
        <v>443</v>
      </c>
      <c r="J13" s="36" t="s">
        <v>36</v>
      </c>
      <c r="K13" s="36" t="s">
        <v>36</v>
      </c>
      <c r="L13" s="36" t="s">
        <v>36</v>
      </c>
      <c r="M13" s="36" t="s">
        <v>36</v>
      </c>
      <c r="N13" s="36" t="s">
        <v>36</v>
      </c>
      <c r="O13" s="120" t="s">
        <v>737</v>
      </c>
    </row>
    <row r="14" spans="1:16" ht="29" x14ac:dyDescent="0.35">
      <c r="A14" s="36">
        <v>8</v>
      </c>
      <c r="B14" s="36" t="str">
        <f t="shared" si="0"/>
        <v>3.8</v>
      </c>
      <c r="C14" s="45" t="s">
        <v>37</v>
      </c>
      <c r="D14" s="36" t="s">
        <v>56</v>
      </c>
      <c r="E14" s="36" t="s">
        <v>42</v>
      </c>
      <c r="F14" s="36" t="s">
        <v>36</v>
      </c>
      <c r="G14" s="36" t="s">
        <v>36</v>
      </c>
      <c r="H14" s="36" t="s">
        <v>36</v>
      </c>
      <c r="I14" s="36" t="s">
        <v>9</v>
      </c>
      <c r="J14" s="36" t="s">
        <v>36</v>
      </c>
      <c r="K14" s="36" t="s">
        <v>36</v>
      </c>
      <c r="L14" s="36" t="s">
        <v>36</v>
      </c>
      <c r="M14" s="36" t="s">
        <v>36</v>
      </c>
      <c r="N14" s="36" t="s">
        <v>36</v>
      </c>
      <c r="O14" s="36" t="s">
        <v>336</v>
      </c>
    </row>
  </sheetData>
  <mergeCells count="4">
    <mergeCell ref="B1:C1"/>
    <mergeCell ref="B2:C2"/>
    <mergeCell ref="B3:C3"/>
    <mergeCell ref="B4:C4"/>
  </mergeCells>
  <conditionalFormatting sqref="C7:C1048576">
    <cfRule type="cellIs" dxfId="726" priority="18" operator="equal">
      <formula>"WIP (see comments)"</formula>
    </cfRule>
    <cfRule type="cellIs" dxfId="725" priority="19" operator="equal">
      <formula>"Removed"</formula>
    </cfRule>
    <cfRule type="cellIs" dxfId="724" priority="20" operator="equal">
      <formula>"Updated"</formula>
    </cfRule>
    <cfRule type="cellIs" dxfId="723" priority="21" operator="equal">
      <formula>"New"</formula>
    </cfRule>
  </conditionalFormatting>
  <conditionalFormatting sqref="A5:XFD9 Q10:XFD10 A12:XFD1048576 A11:N11 P11:XFD11 A1:B1 E1:XFD1 C8:C14 A2:A4 D2:XFD4">
    <cfRule type="cellIs" dxfId="722" priority="9" operator="equal">
      <formula>"n/a"</formula>
    </cfRule>
  </conditionalFormatting>
  <conditionalFormatting sqref="A10:B10 D10:P10">
    <cfRule type="cellIs" dxfId="721" priority="4" operator="equal">
      <formula>"n/a"</formula>
    </cfRule>
  </conditionalFormatting>
  <conditionalFormatting sqref="O11">
    <cfRule type="cellIs" dxfId="720" priority="3" operator="equal">
      <formula>"n/a"</formula>
    </cfRule>
  </conditionalFormatting>
  <conditionalFormatting sqref="D1">
    <cfRule type="cellIs" dxfId="719" priority="2" operator="equal">
      <formula>"n/a"</formula>
    </cfRule>
  </conditionalFormatting>
  <conditionalFormatting sqref="B2:B4">
    <cfRule type="cellIs" dxfId="718"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K7" activePane="bottomRight" state="frozen"/>
      <selection activeCell="O8" sqref="O8"/>
      <selection pane="topRight" activeCell="O8" sqref="O8"/>
      <selection pane="bottomLeft" activeCell="O8" sqref="O8"/>
      <selection pane="bottomRight" activeCell="O12" sqref="O1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232</v>
      </c>
      <c r="C1" s="162"/>
      <c r="D1" s="26"/>
    </row>
    <row r="2" spans="1:16" s="27" customFormat="1" ht="18.5" x14ac:dyDescent="0.35">
      <c r="A2" s="25" t="s">
        <v>7</v>
      </c>
      <c r="B2" s="163">
        <v>4</v>
      </c>
      <c r="C2" s="163"/>
      <c r="D2" s="33"/>
    </row>
    <row r="3" spans="1:16" s="27" customFormat="1" ht="18.5" x14ac:dyDescent="0.35">
      <c r="A3" s="25" t="s">
        <v>43</v>
      </c>
      <c r="B3" s="163" t="s">
        <v>267</v>
      </c>
      <c r="C3" s="163"/>
      <c r="D3" s="81" t="s">
        <v>273</v>
      </c>
    </row>
    <row r="4" spans="1:16" s="27" customFormat="1" ht="18.5" x14ac:dyDescent="0.35">
      <c r="A4" s="25" t="s">
        <v>8</v>
      </c>
      <c r="B4" s="163" t="s">
        <v>202</v>
      </c>
      <c r="C4" s="163"/>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2" si="0">CONCATENATE($B$2, ".", A7)</f>
        <v>4.1</v>
      </c>
      <c r="C7" s="45" t="s">
        <v>39</v>
      </c>
      <c r="D7" s="37" t="s">
        <v>268</v>
      </c>
      <c r="E7" s="37" t="s">
        <v>115</v>
      </c>
      <c r="F7" s="5" t="s">
        <v>36</v>
      </c>
      <c r="G7" s="5" t="s">
        <v>36</v>
      </c>
      <c r="H7" s="82" t="s">
        <v>36</v>
      </c>
      <c r="I7" s="37" t="s">
        <v>9</v>
      </c>
      <c r="J7" s="5" t="s">
        <v>36</v>
      </c>
      <c r="K7" s="5" t="s">
        <v>36</v>
      </c>
      <c r="L7" s="5" t="s">
        <v>36</v>
      </c>
      <c r="M7" s="5" t="s">
        <v>36</v>
      </c>
      <c r="N7" s="5" t="s">
        <v>36</v>
      </c>
      <c r="O7" s="5"/>
    </row>
    <row r="8" spans="1:16" ht="91" customHeight="1" x14ac:dyDescent="0.35">
      <c r="A8" s="6">
        <v>2</v>
      </c>
      <c r="B8" s="6" t="str">
        <f t="shared" si="0"/>
        <v>4.2</v>
      </c>
      <c r="C8" s="45" t="s">
        <v>39</v>
      </c>
      <c r="D8" s="42" t="s">
        <v>271</v>
      </c>
      <c r="E8" s="37" t="s">
        <v>33</v>
      </c>
      <c r="F8" s="5" t="s">
        <v>36</v>
      </c>
      <c r="G8" s="5" t="s">
        <v>36</v>
      </c>
      <c r="H8" s="82" t="s">
        <v>36</v>
      </c>
      <c r="I8" s="37" t="s">
        <v>9</v>
      </c>
      <c r="J8" s="5" t="s">
        <v>36</v>
      </c>
      <c r="K8" s="5" t="s">
        <v>36</v>
      </c>
      <c r="L8" s="5" t="s">
        <v>36</v>
      </c>
      <c r="M8" s="5" t="s">
        <v>36</v>
      </c>
      <c r="N8" s="5" t="s">
        <v>36</v>
      </c>
      <c r="O8" s="5"/>
    </row>
    <row r="9" spans="1:16" ht="13" customHeight="1" x14ac:dyDescent="0.35">
      <c r="A9" s="6">
        <v>3</v>
      </c>
      <c r="B9" s="6" t="str">
        <f t="shared" si="0"/>
        <v>4.3</v>
      </c>
      <c r="C9" s="45" t="s">
        <v>39</v>
      </c>
      <c r="D9" s="5" t="s">
        <v>160</v>
      </c>
      <c r="E9" s="37" t="s">
        <v>32</v>
      </c>
      <c r="F9" s="5" t="s">
        <v>36</v>
      </c>
      <c r="G9" s="5" t="s">
        <v>36</v>
      </c>
      <c r="H9" s="82" t="s">
        <v>36</v>
      </c>
      <c r="I9" s="37" t="s">
        <v>9</v>
      </c>
      <c r="J9" s="5" t="s">
        <v>36</v>
      </c>
      <c r="K9" s="5" t="s">
        <v>36</v>
      </c>
      <c r="L9" s="5" t="s">
        <v>36</v>
      </c>
      <c r="M9" s="5" t="s">
        <v>36</v>
      </c>
      <c r="N9" s="5" t="s">
        <v>36</v>
      </c>
      <c r="O9" s="5"/>
    </row>
    <row r="10" spans="1:16" ht="71.5" customHeight="1" x14ac:dyDescent="0.35">
      <c r="A10" s="6">
        <v>4</v>
      </c>
      <c r="B10" s="6" t="str">
        <f t="shared" si="0"/>
        <v>4.4</v>
      </c>
      <c r="C10" s="45" t="s">
        <v>39</v>
      </c>
      <c r="D10" s="5" t="s">
        <v>269</v>
      </c>
      <c r="E10" s="5" t="s">
        <v>42</v>
      </c>
      <c r="F10" s="5" t="s">
        <v>36</v>
      </c>
      <c r="G10" s="5" t="s">
        <v>36</v>
      </c>
      <c r="H10" s="82" t="s">
        <v>36</v>
      </c>
      <c r="I10" s="37" t="s">
        <v>9</v>
      </c>
      <c r="J10" s="5" t="s">
        <v>36</v>
      </c>
      <c r="K10" s="5" t="s">
        <v>36</v>
      </c>
      <c r="L10" s="5" t="s">
        <v>36</v>
      </c>
      <c r="M10" s="5" t="s">
        <v>36</v>
      </c>
      <c r="N10" s="5" t="s">
        <v>36</v>
      </c>
      <c r="O10" s="37" t="s">
        <v>162</v>
      </c>
    </row>
    <row r="11" spans="1:16" ht="29" x14ac:dyDescent="0.35">
      <c r="A11" s="6">
        <v>5</v>
      </c>
      <c r="B11" s="6" t="str">
        <f t="shared" si="0"/>
        <v>4.5</v>
      </c>
      <c r="C11" s="45" t="s">
        <v>37</v>
      </c>
      <c r="D11" s="5" t="s">
        <v>57</v>
      </c>
      <c r="E11" s="5" t="s">
        <v>42</v>
      </c>
      <c r="F11" s="5" t="s">
        <v>36</v>
      </c>
      <c r="G11" s="5" t="s">
        <v>36</v>
      </c>
      <c r="H11" s="82" t="s">
        <v>36</v>
      </c>
      <c r="I11" s="37" t="s">
        <v>9</v>
      </c>
      <c r="J11" s="5" t="s">
        <v>36</v>
      </c>
      <c r="K11" s="5" t="s">
        <v>36</v>
      </c>
      <c r="L11" s="5" t="s">
        <v>36</v>
      </c>
      <c r="M11" s="5" t="s">
        <v>36</v>
      </c>
      <c r="N11" s="5" t="s">
        <v>36</v>
      </c>
      <c r="O11" s="36" t="s">
        <v>983</v>
      </c>
    </row>
    <row r="12" spans="1:16" x14ac:dyDescent="0.35">
      <c r="A12" s="6">
        <v>6</v>
      </c>
      <c r="B12" s="6" t="str">
        <f t="shared" si="0"/>
        <v>4.6</v>
      </c>
      <c r="C12" s="45" t="s">
        <v>39</v>
      </c>
      <c r="D12" s="36" t="s">
        <v>56</v>
      </c>
      <c r="E12" s="36" t="s">
        <v>42</v>
      </c>
      <c r="F12" s="36" t="s">
        <v>36</v>
      </c>
      <c r="G12" s="36" t="s">
        <v>36</v>
      </c>
      <c r="H12" s="45" t="s">
        <v>36</v>
      </c>
      <c r="I12" s="36" t="s">
        <v>9</v>
      </c>
      <c r="J12" s="36" t="s">
        <v>36</v>
      </c>
      <c r="K12" s="36" t="s">
        <v>36</v>
      </c>
      <c r="L12" s="36" t="s">
        <v>36</v>
      </c>
      <c r="M12" s="36" t="s">
        <v>36</v>
      </c>
      <c r="N12" s="36" t="s">
        <v>36</v>
      </c>
      <c r="O12" s="36" t="s">
        <v>270</v>
      </c>
    </row>
  </sheetData>
  <mergeCells count="4">
    <mergeCell ref="B1:C1"/>
    <mergeCell ref="B2:C2"/>
    <mergeCell ref="B3:C3"/>
    <mergeCell ref="B4:C4"/>
  </mergeCells>
  <conditionalFormatting sqref="C13:C1048576">
    <cfRule type="cellIs" dxfId="717" priority="15" operator="equal">
      <formula>"WIP (see comments)"</formula>
    </cfRule>
    <cfRule type="cellIs" dxfId="716" priority="16" operator="equal">
      <formula>"Removed"</formula>
    </cfRule>
    <cfRule type="cellIs" dxfId="715" priority="17" operator="equal">
      <formula>"Updated"</formula>
    </cfRule>
    <cfRule type="cellIs" dxfId="714" priority="18" operator="equal">
      <formula>"New"</formula>
    </cfRule>
  </conditionalFormatting>
  <conditionalFormatting sqref="A1:B4 D1:XFD2 A5:XFD6 A13:XFD1048576 P7:XFD12 A7:B12 D4:XFD4 E3:XFD3">
    <cfRule type="cellIs" dxfId="713" priority="14" operator="equal">
      <formula>"n/a"</formula>
    </cfRule>
  </conditionalFormatting>
  <conditionalFormatting sqref="C7:C12">
    <cfRule type="cellIs" dxfId="712" priority="10" operator="equal">
      <formula>"WIP (see comments)"</formula>
    </cfRule>
    <cfRule type="cellIs" dxfId="711" priority="11" operator="equal">
      <formula>"Removed"</formula>
    </cfRule>
    <cfRule type="cellIs" dxfId="710" priority="12" operator="equal">
      <formula>"Updated"</formula>
    </cfRule>
    <cfRule type="cellIs" dxfId="709" priority="13" operator="equal">
      <formula>"New"</formula>
    </cfRule>
  </conditionalFormatting>
  <conditionalFormatting sqref="C7:C12">
    <cfRule type="cellIs" dxfId="708" priority="9" operator="equal">
      <formula>"n/a"</formula>
    </cfRule>
  </conditionalFormatting>
  <conditionalFormatting sqref="D8:D9">
    <cfRule type="cellIs" dxfId="707" priority="8" operator="equal">
      <formula>"-"</formula>
    </cfRule>
  </conditionalFormatting>
  <conditionalFormatting sqref="D8:O9">
    <cfRule type="cellIs" dxfId="706" priority="7" operator="equal">
      <formula>"n/a"</formula>
    </cfRule>
  </conditionalFormatting>
  <conditionalFormatting sqref="D7:O7">
    <cfRule type="cellIs" dxfId="705" priority="6" operator="equal">
      <formula>"n/a"</formula>
    </cfRule>
  </conditionalFormatting>
  <conditionalFormatting sqref="D11:N11">
    <cfRule type="cellIs" dxfId="704" priority="5" operator="equal">
      <formula>"n/a"</formula>
    </cfRule>
  </conditionalFormatting>
  <conditionalFormatting sqref="D10:O10">
    <cfRule type="cellIs" dxfId="703" priority="4" operator="equal">
      <formula>"n/a"</formula>
    </cfRule>
  </conditionalFormatting>
  <conditionalFormatting sqref="D12:O12">
    <cfRule type="cellIs" dxfId="702" priority="3" operator="equal">
      <formula>"n/a"</formula>
    </cfRule>
  </conditionalFormatting>
  <conditionalFormatting sqref="O11">
    <cfRule type="cellIs" dxfId="701" priority="2" operator="equal">
      <formula>"n/a"</formula>
    </cfRule>
  </conditionalFormatting>
  <conditionalFormatting sqref="D3">
    <cfRule type="cellIs" dxfId="700"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Values'!$A$5:$A$35</xm:f>
          </x14:formula1>
          <xm:sqref>E13:E1048576</xm:sqref>
        </x14:dataValidation>
        <x14:dataValidation type="list" allowBlank="1" showInputMessage="1" showErrorMessage="1">
          <x14:formula1>
            <xm:f>'List Values'!$A$5:$A$34</xm:f>
          </x14:formula1>
          <xm:sqref>E7:E12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217</v>
      </c>
      <c r="C1" s="162"/>
      <c r="D1" s="26"/>
    </row>
    <row r="2" spans="1:16" s="27" customFormat="1" ht="18.5" x14ac:dyDescent="0.35">
      <c r="A2" s="25" t="s">
        <v>7</v>
      </c>
      <c r="B2" s="163" t="s">
        <v>320</v>
      </c>
      <c r="C2" s="163"/>
      <c r="D2" s="33"/>
    </row>
    <row r="3" spans="1:16" s="27" customFormat="1" ht="18.5" x14ac:dyDescent="0.35">
      <c r="A3" s="25" t="s">
        <v>43</v>
      </c>
      <c r="B3" s="163" t="s">
        <v>260</v>
      </c>
      <c r="C3" s="163"/>
      <c r="D3" s="33"/>
    </row>
    <row r="4" spans="1:16" s="27" customFormat="1" ht="18.5" x14ac:dyDescent="0.35">
      <c r="A4" s="25" t="s">
        <v>8</v>
      </c>
      <c r="B4" s="163"/>
      <c r="C4" s="163"/>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252</v>
      </c>
      <c r="E7" s="36" t="s">
        <v>33</v>
      </c>
      <c r="F7" s="36" t="s">
        <v>36</v>
      </c>
      <c r="G7" s="36" t="s">
        <v>36</v>
      </c>
      <c r="H7" s="36" t="s">
        <v>36</v>
      </c>
      <c r="I7" s="36" t="s">
        <v>9</v>
      </c>
      <c r="J7" s="37" t="s">
        <v>36</v>
      </c>
      <c r="K7" s="37" t="s">
        <v>36</v>
      </c>
      <c r="L7" s="37" t="s">
        <v>36</v>
      </c>
      <c r="M7" s="37" t="s">
        <v>36</v>
      </c>
      <c r="N7" s="37" t="s">
        <v>36</v>
      </c>
      <c r="O7" s="37" t="s">
        <v>36</v>
      </c>
      <c r="P7" s="36" t="s">
        <v>208</v>
      </c>
    </row>
    <row r="8" spans="1:16" ht="72.5" x14ac:dyDescent="0.35">
      <c r="A8" s="6">
        <v>2</v>
      </c>
      <c r="B8" s="6" t="str">
        <f t="shared" si="0"/>
        <v>DEPRECATED.2</v>
      </c>
      <c r="C8" s="45" t="s">
        <v>40</v>
      </c>
      <c r="D8" s="36" t="s">
        <v>253</v>
      </c>
      <c r="E8" s="36" t="s">
        <v>33</v>
      </c>
      <c r="F8" s="36" t="s">
        <v>36</v>
      </c>
      <c r="G8" s="36" t="s">
        <v>36</v>
      </c>
      <c r="H8" s="36" t="s">
        <v>36</v>
      </c>
      <c r="I8" s="36" t="s">
        <v>9</v>
      </c>
      <c r="J8" s="37" t="s">
        <v>36</v>
      </c>
      <c r="K8" s="37" t="s">
        <v>36</v>
      </c>
      <c r="L8" s="37" t="s">
        <v>36</v>
      </c>
      <c r="M8" s="37" t="s">
        <v>36</v>
      </c>
      <c r="N8" s="37" t="s">
        <v>36</v>
      </c>
      <c r="O8" s="37" t="s">
        <v>36</v>
      </c>
      <c r="P8" s="36" t="s">
        <v>208</v>
      </c>
    </row>
    <row r="9" spans="1:16" ht="43.5" x14ac:dyDescent="0.35">
      <c r="A9" s="6">
        <v>3</v>
      </c>
      <c r="B9" s="6" t="str">
        <f t="shared" si="0"/>
        <v>DEPRECATED.3</v>
      </c>
      <c r="C9" s="45" t="s">
        <v>40</v>
      </c>
      <c r="D9" s="44" t="s">
        <v>254</v>
      </c>
      <c r="E9" s="36" t="s">
        <v>29</v>
      </c>
      <c r="F9" s="36" t="s">
        <v>60</v>
      </c>
      <c r="G9" s="36" t="s">
        <v>247</v>
      </c>
      <c r="H9" s="36" t="s">
        <v>36</v>
      </c>
      <c r="I9" s="36" t="s">
        <v>9</v>
      </c>
      <c r="J9" s="37" t="s">
        <v>96</v>
      </c>
      <c r="K9" s="37" t="s">
        <v>83</v>
      </c>
      <c r="L9" s="37"/>
      <c r="M9" s="37" t="s">
        <v>36</v>
      </c>
      <c r="N9" s="37" t="s">
        <v>36</v>
      </c>
      <c r="O9" s="37" t="s">
        <v>36</v>
      </c>
      <c r="P9" s="36" t="s">
        <v>249</v>
      </c>
    </row>
    <row r="10" spans="1:16" ht="29" x14ac:dyDescent="0.35">
      <c r="A10" s="6">
        <v>4</v>
      </c>
      <c r="B10" s="6" t="str">
        <f t="shared" si="0"/>
        <v>DEPRECATED.4</v>
      </c>
      <c r="C10" s="45" t="s">
        <v>40</v>
      </c>
      <c r="D10" s="50" t="s">
        <v>255</v>
      </c>
      <c r="E10" s="36" t="s">
        <v>29</v>
      </c>
      <c r="F10" s="36" t="s">
        <v>60</v>
      </c>
      <c r="G10" s="36" t="s">
        <v>247</v>
      </c>
      <c r="H10" s="36" t="s">
        <v>36</v>
      </c>
      <c r="I10" s="36" t="s">
        <v>9</v>
      </c>
      <c r="J10" s="37" t="s">
        <v>96</v>
      </c>
      <c r="K10" s="37" t="s">
        <v>83</v>
      </c>
      <c r="L10" s="37"/>
      <c r="M10" s="37" t="s">
        <v>36</v>
      </c>
      <c r="N10" s="37" t="s">
        <v>36</v>
      </c>
      <c r="O10" s="37" t="s">
        <v>36</v>
      </c>
      <c r="P10" s="36" t="s">
        <v>249</v>
      </c>
    </row>
    <row r="11" spans="1:16" ht="72.5" x14ac:dyDescent="0.35">
      <c r="A11" s="6">
        <v>5</v>
      </c>
      <c r="B11" s="6" t="str">
        <f>CONCATENATE($B$2, ".", A11)</f>
        <v>DEPRECATED.5</v>
      </c>
      <c r="C11" s="45" t="s">
        <v>40</v>
      </c>
      <c r="D11" s="44" t="s">
        <v>259</v>
      </c>
      <c r="E11" s="36" t="s">
        <v>29</v>
      </c>
      <c r="F11" s="36" t="s">
        <v>60</v>
      </c>
      <c r="G11" s="36" t="s">
        <v>247</v>
      </c>
      <c r="H11" s="36" t="s">
        <v>36</v>
      </c>
      <c r="I11" s="36" t="s">
        <v>9</v>
      </c>
      <c r="J11" s="37" t="s">
        <v>96</v>
      </c>
      <c r="K11" s="37" t="s">
        <v>83</v>
      </c>
      <c r="L11" s="37"/>
      <c r="M11" s="37" t="s">
        <v>36</v>
      </c>
      <c r="N11" s="37" t="s">
        <v>36</v>
      </c>
      <c r="O11" s="37" t="s">
        <v>36</v>
      </c>
      <c r="P11" s="36" t="s">
        <v>249</v>
      </c>
    </row>
    <row r="12" spans="1:16" ht="29" x14ac:dyDescent="0.35">
      <c r="A12" s="6">
        <v>6</v>
      </c>
      <c r="B12" s="6" t="str">
        <f t="shared" si="0"/>
        <v>DEPRECATED.6</v>
      </c>
      <c r="C12" s="45" t="s">
        <v>40</v>
      </c>
      <c r="D12" s="44" t="s">
        <v>256</v>
      </c>
      <c r="E12" s="36" t="s">
        <v>29</v>
      </c>
      <c r="F12" s="36" t="s">
        <v>60</v>
      </c>
      <c r="G12" s="36" t="s">
        <v>247</v>
      </c>
      <c r="H12" s="36" t="s">
        <v>36</v>
      </c>
      <c r="I12" s="36" t="s">
        <v>9</v>
      </c>
      <c r="J12" s="37" t="s">
        <v>96</v>
      </c>
      <c r="K12" s="37" t="s">
        <v>83</v>
      </c>
      <c r="L12" s="37"/>
      <c r="M12" s="37" t="s">
        <v>36</v>
      </c>
      <c r="N12" s="37" t="s">
        <v>36</v>
      </c>
      <c r="O12" s="37" t="s">
        <v>257</v>
      </c>
      <c r="P12" s="36" t="s">
        <v>249</v>
      </c>
    </row>
    <row r="13" spans="1:16" ht="73.5" customHeight="1" x14ac:dyDescent="0.35">
      <c r="A13" s="6">
        <v>7</v>
      </c>
      <c r="B13" s="6" t="str">
        <f t="shared" si="0"/>
        <v>DEPRECATED.7</v>
      </c>
      <c r="C13" s="45" t="s">
        <v>40</v>
      </c>
      <c r="D13" s="36" t="s">
        <v>57</v>
      </c>
      <c r="E13" s="36" t="s">
        <v>42</v>
      </c>
      <c r="F13" s="36" t="s">
        <v>36</v>
      </c>
      <c r="G13" s="36" t="s">
        <v>36</v>
      </c>
      <c r="H13" s="36" t="s">
        <v>36</v>
      </c>
      <c r="I13" s="36" t="s">
        <v>9</v>
      </c>
      <c r="J13" s="36" t="s">
        <v>36</v>
      </c>
      <c r="K13" s="36" t="s">
        <v>36</v>
      </c>
      <c r="L13" s="36" t="s">
        <v>36</v>
      </c>
      <c r="M13" s="36" t="s">
        <v>36</v>
      </c>
      <c r="N13" s="36" t="s">
        <v>36</v>
      </c>
      <c r="O13" s="36" t="s">
        <v>258</v>
      </c>
      <c r="P13" s="36"/>
    </row>
    <row r="14" spans="1:16" ht="54" customHeight="1" x14ac:dyDescent="0.35">
      <c r="A14" s="6">
        <v>8</v>
      </c>
      <c r="B14" s="6" t="str">
        <f t="shared" si="0"/>
        <v>DEPRECATED.8</v>
      </c>
      <c r="C14" s="45" t="s">
        <v>40</v>
      </c>
      <c r="D14" s="36" t="s">
        <v>56</v>
      </c>
      <c r="E14" s="36" t="s">
        <v>42</v>
      </c>
      <c r="F14" s="36" t="s">
        <v>36</v>
      </c>
      <c r="G14" s="36" t="s">
        <v>36</v>
      </c>
      <c r="H14" s="36" t="s">
        <v>36</v>
      </c>
      <c r="I14" s="36" t="s">
        <v>9</v>
      </c>
      <c r="J14" s="36" t="s">
        <v>36</v>
      </c>
      <c r="K14" s="36" t="s">
        <v>36</v>
      </c>
      <c r="L14" s="36" t="s">
        <v>36</v>
      </c>
      <c r="M14" s="36" t="s">
        <v>36</v>
      </c>
      <c r="N14" s="36" t="s">
        <v>36</v>
      </c>
      <c r="O14" s="36" t="s">
        <v>248</v>
      </c>
      <c r="P14" s="36"/>
    </row>
    <row r="16" spans="1:16" x14ac:dyDescent="0.35">
      <c r="D16" s="36"/>
    </row>
  </sheetData>
  <mergeCells count="4">
    <mergeCell ref="B1:C1"/>
    <mergeCell ref="B2:C2"/>
    <mergeCell ref="B3:C3"/>
    <mergeCell ref="B4:C4"/>
  </mergeCells>
  <conditionalFormatting sqref="C15:C1048576">
    <cfRule type="cellIs" dxfId="699" priority="34" operator="equal">
      <formula>"WIP (see comments)"</formula>
    </cfRule>
    <cfRule type="cellIs" dxfId="698" priority="35" operator="equal">
      <formula>"Removed"</formula>
    </cfRule>
    <cfRule type="cellIs" dxfId="697" priority="36" operator="equal">
      <formula>"Updated"</formula>
    </cfRule>
    <cfRule type="cellIs" dxfId="696" priority="37" operator="equal">
      <formula>"New"</formula>
    </cfRule>
  </conditionalFormatting>
  <conditionalFormatting sqref="A5:XFD6 A1:B4 D1:XFD4 A7:B14 D7:D8 D11 A15:XFD1048576 Q7:XFD14">
    <cfRule type="cellIs" dxfId="695" priority="33" operator="equal">
      <formula>"n/a"</formula>
    </cfRule>
  </conditionalFormatting>
  <conditionalFormatting sqref="E7:P8">
    <cfRule type="cellIs" dxfId="694" priority="17" operator="equal">
      <formula>"n/a"</formula>
    </cfRule>
  </conditionalFormatting>
  <conditionalFormatting sqref="D9">
    <cfRule type="cellIs" dxfId="693" priority="16" operator="equal">
      <formula>"n/a"</formula>
    </cfRule>
  </conditionalFormatting>
  <conditionalFormatting sqref="P9:P12">
    <cfRule type="cellIs" dxfId="692" priority="15" operator="equal">
      <formula>"n/a"</formula>
    </cfRule>
  </conditionalFormatting>
  <conditionalFormatting sqref="D12:F12 H12:O12">
    <cfRule type="cellIs" dxfId="691" priority="14" operator="equal">
      <formula>"n/a"</formula>
    </cfRule>
  </conditionalFormatting>
  <conditionalFormatting sqref="G12">
    <cfRule type="cellIs" dxfId="690" priority="13" operator="equal">
      <formula>"n/a"</formula>
    </cfRule>
  </conditionalFormatting>
  <conditionalFormatting sqref="E9:F9 H9:O9">
    <cfRule type="cellIs" dxfId="689" priority="12" operator="equal">
      <formula>"n/a"</formula>
    </cfRule>
  </conditionalFormatting>
  <conditionalFormatting sqref="G9">
    <cfRule type="cellIs" dxfId="688" priority="11" operator="equal">
      <formula>"n/a"</formula>
    </cfRule>
  </conditionalFormatting>
  <conditionalFormatting sqref="E10:F10 H10:O10">
    <cfRule type="cellIs" dxfId="687" priority="10" operator="equal">
      <formula>"n/a"</formula>
    </cfRule>
  </conditionalFormatting>
  <conditionalFormatting sqref="G10">
    <cfRule type="cellIs" dxfId="686" priority="9" operator="equal">
      <formula>"n/a"</formula>
    </cfRule>
  </conditionalFormatting>
  <conditionalFormatting sqref="E11:F11 H11:O11">
    <cfRule type="cellIs" dxfId="685" priority="8" operator="equal">
      <formula>"n/a"</formula>
    </cfRule>
  </conditionalFormatting>
  <conditionalFormatting sqref="G11">
    <cfRule type="cellIs" dxfId="684" priority="7" operator="equal">
      <formula>"n/a"</formula>
    </cfRule>
  </conditionalFormatting>
  <conditionalFormatting sqref="D13:P14">
    <cfRule type="cellIs" dxfId="683" priority="6" operator="equal">
      <formula>"n/a"</formula>
    </cfRule>
  </conditionalFormatting>
  <conditionalFormatting sqref="C7:C14">
    <cfRule type="cellIs" dxfId="682" priority="2" operator="equal">
      <formula>"WIP (see comments)"</formula>
    </cfRule>
    <cfRule type="cellIs" dxfId="681" priority="3" operator="equal">
      <formula>"Removed"</formula>
    </cfRule>
    <cfRule type="cellIs" dxfId="680" priority="4" operator="equal">
      <formula>"Updated"</formula>
    </cfRule>
    <cfRule type="cellIs" dxfId="679" priority="5" operator="equal">
      <formula>"New"</formula>
    </cfRule>
  </conditionalFormatting>
  <conditionalFormatting sqref="C7:C14">
    <cfRule type="cellIs" dxfId="678"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241</v>
      </c>
      <c r="C1" s="162"/>
      <c r="D1" s="26"/>
    </row>
    <row r="2" spans="1:16" s="27" customFormat="1" ht="18.5" x14ac:dyDescent="0.35">
      <c r="A2" s="25" t="s">
        <v>7</v>
      </c>
      <c r="B2" s="163" t="s">
        <v>320</v>
      </c>
      <c r="C2" s="163"/>
      <c r="D2" s="80"/>
    </row>
    <row r="3" spans="1:16" s="27" customFormat="1" ht="18.5" x14ac:dyDescent="0.35">
      <c r="A3" s="25" t="s">
        <v>43</v>
      </c>
      <c r="B3" s="163" t="s">
        <v>242</v>
      </c>
      <c r="C3" s="163"/>
      <c r="D3" s="80"/>
    </row>
    <row r="4" spans="1:16" s="27" customFormat="1" ht="18.5" x14ac:dyDescent="0.35">
      <c r="A4" s="25" t="s">
        <v>8</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261</v>
      </c>
      <c r="E7" s="36" t="s">
        <v>33</v>
      </c>
      <c r="F7" s="36" t="s">
        <v>36</v>
      </c>
      <c r="G7" s="36" t="s">
        <v>36</v>
      </c>
      <c r="H7" s="45" t="s">
        <v>36</v>
      </c>
      <c r="I7" s="36" t="s">
        <v>9</v>
      </c>
      <c r="J7" s="37" t="s">
        <v>36</v>
      </c>
      <c r="K7" s="37" t="s">
        <v>36</v>
      </c>
      <c r="L7" s="37" t="s">
        <v>36</v>
      </c>
      <c r="M7" s="37" t="s">
        <v>36</v>
      </c>
      <c r="N7" s="37" t="s">
        <v>36</v>
      </c>
      <c r="O7" s="37"/>
      <c r="P7" s="36"/>
    </row>
    <row r="8" spans="1:16" ht="29" x14ac:dyDescent="0.35">
      <c r="A8" s="6">
        <v>2</v>
      </c>
      <c r="B8" s="6" t="str">
        <f t="shared" si="0"/>
        <v>DEPRECATED.2</v>
      </c>
      <c r="C8" s="45" t="s">
        <v>40</v>
      </c>
      <c r="D8" s="36" t="s">
        <v>262</v>
      </c>
      <c r="E8" s="36" t="s">
        <v>33</v>
      </c>
      <c r="F8" s="36" t="s">
        <v>36</v>
      </c>
      <c r="G8" s="36" t="s">
        <v>247</v>
      </c>
      <c r="H8" s="45" t="s">
        <v>36</v>
      </c>
      <c r="I8" s="36" t="s">
        <v>9</v>
      </c>
      <c r="J8" s="37" t="s">
        <v>36</v>
      </c>
      <c r="K8" s="37" t="s">
        <v>36</v>
      </c>
      <c r="L8" s="37" t="s">
        <v>36</v>
      </c>
      <c r="M8" s="37" t="s">
        <v>36</v>
      </c>
      <c r="N8" s="37" t="s">
        <v>36</v>
      </c>
      <c r="O8" s="5"/>
    </row>
    <row r="9" spans="1:16" ht="29" x14ac:dyDescent="0.35">
      <c r="A9" s="6">
        <v>3</v>
      </c>
      <c r="B9" s="6" t="str">
        <f t="shared" si="0"/>
        <v>DEPRECATED.3</v>
      </c>
      <c r="C9" s="45" t="s">
        <v>40</v>
      </c>
      <c r="D9" s="36" t="s">
        <v>263</v>
      </c>
      <c r="E9" s="36" t="s">
        <v>33</v>
      </c>
      <c r="F9" s="36" t="s">
        <v>36</v>
      </c>
      <c r="G9" s="36" t="s">
        <v>247</v>
      </c>
      <c r="H9" s="45" t="s">
        <v>36</v>
      </c>
      <c r="I9" s="36" t="s">
        <v>9</v>
      </c>
      <c r="J9" s="37" t="s">
        <v>36</v>
      </c>
      <c r="K9" s="37" t="s">
        <v>36</v>
      </c>
      <c r="L9" s="37" t="s">
        <v>36</v>
      </c>
      <c r="M9" s="37" t="s">
        <v>36</v>
      </c>
      <c r="N9" s="37" t="s">
        <v>36</v>
      </c>
      <c r="O9" s="5"/>
    </row>
    <row r="10" spans="1:16" ht="29" x14ac:dyDescent="0.35">
      <c r="A10" s="6">
        <v>4</v>
      </c>
      <c r="B10" s="6" t="str">
        <f t="shared" si="0"/>
        <v>DEPRECATED.4</v>
      </c>
      <c r="C10" s="45" t="s">
        <v>40</v>
      </c>
      <c r="D10" s="36" t="s">
        <v>264</v>
      </c>
      <c r="E10" s="36" t="s">
        <v>33</v>
      </c>
      <c r="F10" s="36" t="s">
        <v>36</v>
      </c>
      <c r="G10" s="36" t="s">
        <v>247</v>
      </c>
      <c r="H10" s="45" t="s">
        <v>36</v>
      </c>
      <c r="I10" s="36" t="s">
        <v>9</v>
      </c>
      <c r="J10" s="37" t="s">
        <v>36</v>
      </c>
      <c r="K10" s="37" t="s">
        <v>36</v>
      </c>
      <c r="L10" s="37" t="s">
        <v>36</v>
      </c>
      <c r="M10" s="37" t="s">
        <v>36</v>
      </c>
      <c r="N10" s="37" t="s">
        <v>36</v>
      </c>
      <c r="O10" s="5"/>
    </row>
    <row r="11" spans="1:16" ht="29" x14ac:dyDescent="0.35">
      <c r="A11" s="6">
        <v>5</v>
      </c>
      <c r="B11" s="6" t="str">
        <f>CONCATENATE($B$2, ".", A11)</f>
        <v>DEPRECATED.5</v>
      </c>
      <c r="C11" s="45" t="s">
        <v>40</v>
      </c>
      <c r="D11" s="36" t="s">
        <v>265</v>
      </c>
      <c r="E11" s="36" t="s">
        <v>33</v>
      </c>
      <c r="F11" s="36" t="s">
        <v>36</v>
      </c>
      <c r="G11" s="36" t="s">
        <v>247</v>
      </c>
      <c r="H11" s="45" t="s">
        <v>36</v>
      </c>
      <c r="I11" s="36" t="s">
        <v>9</v>
      </c>
      <c r="J11" s="37" t="s">
        <v>36</v>
      </c>
      <c r="K11" s="37" t="s">
        <v>36</v>
      </c>
      <c r="L11" s="37" t="s">
        <v>36</v>
      </c>
      <c r="M11" s="37" t="s">
        <v>36</v>
      </c>
      <c r="N11" s="37" t="s">
        <v>36</v>
      </c>
    </row>
    <row r="12" spans="1:16" ht="29" x14ac:dyDescent="0.35">
      <c r="A12" s="6">
        <v>6</v>
      </c>
      <c r="B12" s="6" t="str">
        <f t="shared" si="0"/>
        <v>DEPRECATED.6</v>
      </c>
      <c r="C12" s="45" t="s">
        <v>40</v>
      </c>
      <c r="D12" s="36" t="s">
        <v>266</v>
      </c>
      <c r="E12" s="36" t="s">
        <v>33</v>
      </c>
      <c r="F12" s="36" t="s">
        <v>36</v>
      </c>
      <c r="G12" s="36" t="s">
        <v>247</v>
      </c>
      <c r="H12" s="45" t="s">
        <v>36</v>
      </c>
      <c r="I12" s="36" t="s">
        <v>9</v>
      </c>
      <c r="J12" s="37" t="s">
        <v>36</v>
      </c>
      <c r="K12" s="37" t="s">
        <v>36</v>
      </c>
      <c r="L12" s="37" t="s">
        <v>36</v>
      </c>
      <c r="M12" s="37" t="s">
        <v>36</v>
      </c>
      <c r="N12" s="37" t="s">
        <v>36</v>
      </c>
    </row>
    <row r="13" spans="1:16" ht="91.5" customHeight="1" x14ac:dyDescent="0.35">
      <c r="A13" s="6">
        <v>7</v>
      </c>
      <c r="B13" s="6" t="str">
        <f t="shared" si="0"/>
        <v>DEPRECATED.7</v>
      </c>
      <c r="C13" s="45" t="s">
        <v>40</v>
      </c>
      <c r="D13" s="36"/>
    </row>
    <row r="14" spans="1:16" ht="91.5" customHeight="1" x14ac:dyDescent="0.35">
      <c r="A14" s="6">
        <v>8</v>
      </c>
      <c r="B14" s="6" t="str">
        <f t="shared" si="0"/>
        <v>DEPRECATED.8</v>
      </c>
      <c r="C14" s="45" t="s">
        <v>40</v>
      </c>
      <c r="D14" s="36"/>
    </row>
  </sheetData>
  <mergeCells count="3">
    <mergeCell ref="B1:C1"/>
    <mergeCell ref="B2:C2"/>
    <mergeCell ref="B3:C3"/>
  </mergeCells>
  <conditionalFormatting sqref="C15:C1048576">
    <cfRule type="cellIs" dxfId="677" priority="13" operator="equal">
      <formula>"WIP (see comments)"</formula>
    </cfRule>
    <cfRule type="cellIs" dxfId="676" priority="14" operator="equal">
      <formula>"Removed"</formula>
    </cfRule>
    <cfRule type="cellIs" dxfId="675" priority="15" operator="equal">
      <formula>"Updated"</formula>
    </cfRule>
    <cfRule type="cellIs" dxfId="674" priority="16" operator="equal">
      <formula>"New"</formula>
    </cfRule>
  </conditionalFormatting>
  <conditionalFormatting sqref="A5:XFD6 A1:B4 D1:XFD4 A15:XFD1048576 A7:B14 D13:XFD14 Q7:XFD7 D7:D12 O8:XFD12">
    <cfRule type="cellIs" dxfId="673" priority="12" operator="equal">
      <formula>"n/a"</formula>
    </cfRule>
  </conditionalFormatting>
  <conditionalFormatting sqref="E7:P7 E8:N12">
    <cfRule type="cellIs" dxfId="672" priority="6" operator="equal">
      <formula>"n/a"</formula>
    </cfRule>
  </conditionalFormatting>
  <conditionalFormatting sqref="C7:C14">
    <cfRule type="cellIs" dxfId="671" priority="2" operator="equal">
      <formula>"WIP (see comments)"</formula>
    </cfRule>
    <cfRule type="cellIs" dxfId="670" priority="3" operator="equal">
      <formula>"Removed"</formula>
    </cfRule>
    <cfRule type="cellIs" dxfId="669" priority="4" operator="equal">
      <formula>"Updated"</formula>
    </cfRule>
    <cfRule type="cellIs" dxfId="668" priority="5" operator="equal">
      <formula>"New"</formula>
    </cfRule>
  </conditionalFormatting>
  <conditionalFormatting sqref="C7:C14">
    <cfRule type="cellIs" dxfId="667"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Values'!$A$5:$A$35</xm:f>
          </x14:formula1>
          <xm:sqref>E7:E12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A13" sqref="A1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218</v>
      </c>
      <c r="C1" s="162"/>
      <c r="D1" s="26"/>
      <c r="H1" s="32"/>
    </row>
    <row r="2" spans="1:16" s="27" customFormat="1" ht="18.5" x14ac:dyDescent="0.35">
      <c r="A2" s="25" t="s">
        <v>7</v>
      </c>
      <c r="B2" s="33">
        <v>5</v>
      </c>
      <c r="C2" s="32"/>
      <c r="D2" s="33"/>
      <c r="H2" s="32"/>
    </row>
    <row r="3" spans="1:16" s="27" customFormat="1" ht="18.5" x14ac:dyDescent="0.35">
      <c r="A3" s="25" t="s">
        <v>43</v>
      </c>
      <c r="B3" s="33" t="s">
        <v>299</v>
      </c>
      <c r="C3" s="32"/>
      <c r="D3" s="33" t="s">
        <v>303</v>
      </c>
      <c r="H3" s="32"/>
    </row>
    <row r="4" spans="1:16" s="27" customFormat="1" ht="18.5" x14ac:dyDescent="0.35">
      <c r="A4" s="25" t="s">
        <v>8</v>
      </c>
      <c r="B4" s="163" t="s">
        <v>46</v>
      </c>
      <c r="C4" s="163"/>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8" si="0">CONCATENATE($B$2, ".", A7)</f>
        <v>5.1</v>
      </c>
      <c r="C7" s="45" t="s">
        <v>39</v>
      </c>
      <c r="D7" s="36" t="s">
        <v>344</v>
      </c>
      <c r="E7" s="36" t="s">
        <v>115</v>
      </c>
      <c r="F7" s="36" t="s">
        <v>36</v>
      </c>
      <c r="G7" s="36" t="s">
        <v>36</v>
      </c>
      <c r="H7" s="45" t="s">
        <v>36</v>
      </c>
      <c r="I7" s="36" t="s">
        <v>9</v>
      </c>
      <c r="J7" s="37" t="s">
        <v>36</v>
      </c>
      <c r="K7" s="37" t="s">
        <v>36</v>
      </c>
      <c r="L7" s="37" t="s">
        <v>36</v>
      </c>
      <c r="M7" s="37" t="s">
        <v>36</v>
      </c>
      <c r="N7" s="37" t="s">
        <v>36</v>
      </c>
      <c r="O7" s="37" t="s">
        <v>36</v>
      </c>
    </row>
    <row r="8" spans="1:16" s="36" customFormat="1" ht="29" x14ac:dyDescent="0.35">
      <c r="A8" s="36">
        <v>2</v>
      </c>
      <c r="B8" s="36" t="str">
        <f t="shared" si="0"/>
        <v>5.2</v>
      </c>
      <c r="C8" s="45" t="s">
        <v>44</v>
      </c>
      <c r="D8" s="36" t="s">
        <v>36</v>
      </c>
      <c r="E8" s="36" t="s">
        <v>48</v>
      </c>
      <c r="F8" s="36" t="s">
        <v>36</v>
      </c>
      <c r="G8" s="36" t="s">
        <v>36</v>
      </c>
      <c r="H8" s="45" t="s">
        <v>36</v>
      </c>
      <c r="I8" s="36" t="s">
        <v>9</v>
      </c>
      <c r="J8" s="37" t="s">
        <v>36</v>
      </c>
      <c r="K8" s="37" t="s">
        <v>36</v>
      </c>
      <c r="L8" s="37" t="s">
        <v>36</v>
      </c>
      <c r="M8" s="37" t="s">
        <v>36</v>
      </c>
      <c r="N8" s="37" t="s">
        <v>36</v>
      </c>
      <c r="O8" s="37" t="s">
        <v>36</v>
      </c>
      <c r="P8" s="36" t="s">
        <v>360</v>
      </c>
    </row>
    <row r="9" spans="1:16" s="36" customFormat="1" ht="43.5" x14ac:dyDescent="0.35">
      <c r="A9" s="36">
        <v>3</v>
      </c>
      <c r="B9" s="36" t="str">
        <f>CONCATENATE($B$2, ".", A9)</f>
        <v>5.3</v>
      </c>
      <c r="C9" s="45" t="s">
        <v>39</v>
      </c>
      <c r="D9" s="36" t="s">
        <v>365</v>
      </c>
      <c r="E9" s="36" t="s">
        <v>28</v>
      </c>
      <c r="F9" s="36" t="s">
        <v>36</v>
      </c>
      <c r="G9" s="36" t="s">
        <v>36</v>
      </c>
      <c r="H9" s="45" t="s">
        <v>36</v>
      </c>
      <c r="I9" s="36" t="s">
        <v>9</v>
      </c>
      <c r="J9" s="37" t="s">
        <v>36</v>
      </c>
      <c r="K9" s="37" t="s">
        <v>36</v>
      </c>
      <c r="L9" s="37" t="s">
        <v>36</v>
      </c>
      <c r="M9" s="37" t="s">
        <v>36</v>
      </c>
      <c r="N9" s="37" t="s">
        <v>36</v>
      </c>
      <c r="O9" s="37" t="s">
        <v>36</v>
      </c>
    </row>
    <row r="10" spans="1:16" s="36" customFormat="1" ht="72.5" x14ac:dyDescent="0.35">
      <c r="A10" s="36">
        <v>4</v>
      </c>
      <c r="B10" s="36" t="str">
        <f t="shared" ref="B10:B11" si="1">CONCATENATE($B$2, ".", A10)</f>
        <v>5.4</v>
      </c>
      <c r="C10" s="45" t="s">
        <v>39</v>
      </c>
      <c r="D10" s="44" t="s">
        <v>304</v>
      </c>
      <c r="E10" s="36" t="s">
        <v>33</v>
      </c>
      <c r="F10" s="36" t="s">
        <v>36</v>
      </c>
      <c r="G10" s="36" t="s">
        <v>36</v>
      </c>
      <c r="H10" s="45" t="s">
        <v>36</v>
      </c>
      <c r="I10" s="36" t="s">
        <v>9</v>
      </c>
      <c r="J10" s="37" t="s">
        <v>36</v>
      </c>
      <c r="K10" s="37" t="s">
        <v>36</v>
      </c>
      <c r="L10" s="37" t="s">
        <v>36</v>
      </c>
      <c r="M10" s="37" t="s">
        <v>36</v>
      </c>
      <c r="N10" s="37" t="s">
        <v>36</v>
      </c>
      <c r="O10" s="37"/>
    </row>
    <row r="11" spans="1:16" s="36" customFormat="1" ht="29" x14ac:dyDescent="0.35">
      <c r="A11" s="36">
        <v>5</v>
      </c>
      <c r="B11" s="36" t="str">
        <f t="shared" si="1"/>
        <v>5.5</v>
      </c>
      <c r="C11" s="45" t="s">
        <v>39</v>
      </c>
      <c r="D11" s="37" t="s">
        <v>364</v>
      </c>
      <c r="E11" s="36" t="s">
        <v>29</v>
      </c>
      <c r="F11" s="36" t="s">
        <v>60</v>
      </c>
      <c r="G11" s="36" t="s">
        <v>36</v>
      </c>
      <c r="H11" s="45" t="s">
        <v>36</v>
      </c>
      <c r="I11" s="36" t="s">
        <v>9</v>
      </c>
      <c r="J11" s="37" t="s">
        <v>96</v>
      </c>
      <c r="K11" s="37" t="s">
        <v>53</v>
      </c>
      <c r="L11" s="37" t="s">
        <v>693</v>
      </c>
      <c r="M11" s="37" t="s">
        <v>36</v>
      </c>
      <c r="N11" s="37" t="s">
        <v>36</v>
      </c>
      <c r="O11" s="37" t="s">
        <v>98</v>
      </c>
    </row>
    <row r="12" spans="1:16" s="36" customFormat="1" ht="29" x14ac:dyDescent="0.35">
      <c r="A12" s="36">
        <v>6</v>
      </c>
      <c r="B12" s="36" t="str">
        <f t="shared" ref="B12:B13" si="2">CONCATENATE($B$2, ".", A12)</f>
        <v>5.6</v>
      </c>
      <c r="C12" s="45" t="s">
        <v>39</v>
      </c>
      <c r="D12" s="36" t="s">
        <v>57</v>
      </c>
      <c r="E12" s="36" t="s">
        <v>42</v>
      </c>
      <c r="F12" s="36" t="s">
        <v>36</v>
      </c>
      <c r="G12" s="36" t="s">
        <v>36</v>
      </c>
      <c r="H12" s="45" t="s">
        <v>36</v>
      </c>
      <c r="I12" s="36" t="s">
        <v>9</v>
      </c>
      <c r="J12" s="36" t="s">
        <v>36</v>
      </c>
      <c r="K12" s="36" t="s">
        <v>36</v>
      </c>
      <c r="L12" s="36" t="s">
        <v>36</v>
      </c>
      <c r="M12" s="36" t="s">
        <v>36</v>
      </c>
      <c r="N12" s="36" t="s">
        <v>36</v>
      </c>
      <c r="O12" s="36" t="s">
        <v>307</v>
      </c>
    </row>
    <row r="13" spans="1:16" s="36" customFormat="1" ht="29" x14ac:dyDescent="0.35">
      <c r="A13" s="36">
        <v>7</v>
      </c>
      <c r="B13" s="36" t="str">
        <f t="shared" si="2"/>
        <v>5.7</v>
      </c>
      <c r="C13" s="45" t="s">
        <v>37</v>
      </c>
      <c r="D13" s="36" t="s">
        <v>56</v>
      </c>
      <c r="E13" s="36" t="s">
        <v>42</v>
      </c>
      <c r="F13" s="36" t="s">
        <v>36</v>
      </c>
      <c r="G13" s="36" t="s">
        <v>36</v>
      </c>
      <c r="H13" s="45" t="s">
        <v>36</v>
      </c>
      <c r="I13" s="36" t="s">
        <v>9</v>
      </c>
      <c r="J13" s="36" t="s">
        <v>36</v>
      </c>
      <c r="K13" s="36" t="s">
        <v>36</v>
      </c>
      <c r="L13" s="36" t="s">
        <v>36</v>
      </c>
      <c r="M13" s="36" t="s">
        <v>36</v>
      </c>
      <c r="N13" s="36" t="s">
        <v>36</v>
      </c>
      <c r="O13" s="36" t="s">
        <v>984</v>
      </c>
    </row>
    <row r="14" spans="1:16" x14ac:dyDescent="0.35">
      <c r="I14" s="36"/>
      <c r="J14" s="5"/>
      <c r="K14" s="5"/>
      <c r="L14" s="37"/>
      <c r="M14" s="37"/>
      <c r="N14" s="37"/>
      <c r="O14" s="37"/>
    </row>
    <row r="15" spans="1:16" x14ac:dyDescent="0.35">
      <c r="D15" s="6" t="s">
        <v>68</v>
      </c>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sheetData>
  <autoFilter ref="A6:P13"/>
  <mergeCells count="2">
    <mergeCell ref="B1:C1"/>
    <mergeCell ref="B4:C4"/>
  </mergeCells>
  <conditionalFormatting sqref="C7:C1048576">
    <cfRule type="cellIs" dxfId="666" priority="16" operator="equal">
      <formula>"WIP (see comments)"</formula>
    </cfRule>
    <cfRule type="cellIs" dxfId="665" priority="17" operator="equal">
      <formula>"Removed"</formula>
    </cfRule>
    <cfRule type="cellIs" dxfId="664" priority="18" operator="equal">
      <formula>"Updated"</formula>
    </cfRule>
    <cfRule type="cellIs" dxfId="663" priority="19" operator="equal">
      <formula>"New"</formula>
    </cfRule>
  </conditionalFormatting>
  <conditionalFormatting sqref="A2:XFD3 A4 D4:XFD4 A1:B1 E1:XFD1 A5:XFD1048576">
    <cfRule type="cellIs" dxfId="662" priority="11" operator="equal">
      <formula>"n/a"</formula>
    </cfRule>
  </conditionalFormatting>
  <conditionalFormatting sqref="B4">
    <cfRule type="cellIs" dxfId="661" priority="10"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22"/>
  <sheetViews>
    <sheetView workbookViewId="0">
      <pane xSplit="4" ySplit="6" topLeftCell="L10" activePane="bottomRight" state="frozen"/>
      <selection activeCell="O8" sqref="O8"/>
      <selection pane="topRight" activeCell="O8" sqref="O8"/>
      <selection pane="bottomLeft" activeCell="O8" sqref="O8"/>
      <selection pane="bottomRight" activeCell="O12" sqref="O1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305</v>
      </c>
      <c r="C1" s="35"/>
      <c r="D1" s="26"/>
    </row>
    <row r="2" spans="1:16" s="27" customFormat="1" ht="18.5" x14ac:dyDescent="0.35">
      <c r="A2" s="25" t="s">
        <v>7</v>
      </c>
      <c r="B2" s="33">
        <v>6</v>
      </c>
      <c r="C2" s="32"/>
      <c r="D2" s="33"/>
    </row>
    <row r="3" spans="1:16" s="27" customFormat="1" ht="18.5" x14ac:dyDescent="0.35">
      <c r="A3" s="25" t="s">
        <v>43</v>
      </c>
      <c r="B3" s="33" t="s">
        <v>306</v>
      </c>
      <c r="C3" s="32"/>
      <c r="D3" s="33" t="s">
        <v>346</v>
      </c>
    </row>
    <row r="4" spans="1:16" s="27" customFormat="1" ht="18.5" x14ac:dyDescent="0.35">
      <c r="A4" s="25" t="s">
        <v>8</v>
      </c>
      <c r="B4" s="163" t="s">
        <v>46</v>
      </c>
      <c r="C4" s="163"/>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6.1</v>
      </c>
      <c r="C7" s="71" t="s">
        <v>39</v>
      </c>
      <c r="D7" s="48" t="s">
        <v>345</v>
      </c>
      <c r="E7" s="46" t="s">
        <v>115</v>
      </c>
      <c r="F7" s="46" t="s">
        <v>36</v>
      </c>
      <c r="G7" s="46" t="s">
        <v>36</v>
      </c>
      <c r="H7" s="46" t="s">
        <v>36</v>
      </c>
      <c r="I7" s="48" t="s">
        <v>9</v>
      </c>
      <c r="J7" s="46" t="s">
        <v>36</v>
      </c>
      <c r="K7" s="46" t="s">
        <v>36</v>
      </c>
      <c r="L7" s="46" t="s">
        <v>36</v>
      </c>
      <c r="M7" s="46" t="s">
        <v>36</v>
      </c>
      <c r="N7" s="46" t="s">
        <v>36</v>
      </c>
      <c r="O7" s="46" t="s">
        <v>36</v>
      </c>
    </row>
    <row r="8" spans="1:16" s="46" customFormat="1" ht="29" x14ac:dyDescent="0.35">
      <c r="A8" s="46">
        <v>2</v>
      </c>
      <c r="B8" s="46" t="str">
        <f t="shared" ref="B8:B9" si="0">CONCATENATE($B$2, ".", A8)</f>
        <v>6.2</v>
      </c>
      <c r="C8" s="71" t="s">
        <v>44</v>
      </c>
      <c r="D8" s="48" t="s">
        <v>36</v>
      </c>
      <c r="E8" s="48" t="s">
        <v>48</v>
      </c>
      <c r="F8" s="46" t="s">
        <v>36</v>
      </c>
      <c r="G8" s="46" t="s">
        <v>36</v>
      </c>
      <c r="H8" s="46" t="s">
        <v>36</v>
      </c>
      <c r="I8" s="48" t="s">
        <v>9</v>
      </c>
      <c r="J8" s="46" t="s">
        <v>36</v>
      </c>
      <c r="K8" s="46" t="s">
        <v>36</v>
      </c>
      <c r="L8" s="46" t="s">
        <v>36</v>
      </c>
      <c r="M8" s="46" t="s">
        <v>36</v>
      </c>
      <c r="N8" s="46" t="s">
        <v>36</v>
      </c>
      <c r="O8" s="46" t="s">
        <v>36</v>
      </c>
      <c r="P8" s="36" t="s">
        <v>360</v>
      </c>
    </row>
    <row r="9" spans="1:16" s="46" customFormat="1" ht="53" customHeight="1" x14ac:dyDescent="0.35">
      <c r="A9" s="46">
        <v>3</v>
      </c>
      <c r="B9" s="46" t="str">
        <f t="shared" si="0"/>
        <v>6.3</v>
      </c>
      <c r="C9" s="87" t="s">
        <v>39</v>
      </c>
      <c r="D9" s="48" t="s">
        <v>681</v>
      </c>
      <c r="E9" s="48" t="s">
        <v>28</v>
      </c>
      <c r="F9" s="46" t="s">
        <v>36</v>
      </c>
      <c r="G9" s="46" t="s">
        <v>36</v>
      </c>
      <c r="H9" s="46" t="s">
        <v>36</v>
      </c>
      <c r="I9" s="48" t="s">
        <v>9</v>
      </c>
      <c r="J9" s="46" t="s">
        <v>36</v>
      </c>
      <c r="K9" s="46" t="s">
        <v>36</v>
      </c>
      <c r="L9" s="46" t="s">
        <v>36</v>
      </c>
      <c r="M9" s="46" t="s">
        <v>36</v>
      </c>
      <c r="N9" s="46" t="s">
        <v>36</v>
      </c>
      <c r="O9" s="46" t="s">
        <v>36</v>
      </c>
      <c r="P9" s="36"/>
    </row>
    <row r="10" spans="1:16" s="36" customFormat="1" ht="174" x14ac:dyDescent="0.35">
      <c r="A10" s="46">
        <v>4</v>
      </c>
      <c r="B10" s="36" t="str">
        <f t="shared" ref="B10:B11" si="1">CONCATENATE($B$2, ".", A10)</f>
        <v>6.4</v>
      </c>
      <c r="C10" s="143" t="s">
        <v>39</v>
      </c>
      <c r="D10" s="44" t="s">
        <v>682</v>
      </c>
      <c r="E10" s="36" t="s">
        <v>33</v>
      </c>
      <c r="F10" s="36" t="s">
        <v>36</v>
      </c>
      <c r="G10" s="46" t="s">
        <v>36</v>
      </c>
      <c r="H10" s="38" t="s">
        <v>36</v>
      </c>
      <c r="I10" s="36" t="s">
        <v>9</v>
      </c>
      <c r="J10" s="37" t="s">
        <v>36</v>
      </c>
      <c r="K10" s="37" t="s">
        <v>36</v>
      </c>
      <c r="L10" s="37" t="s">
        <v>36</v>
      </c>
      <c r="M10" s="37" t="s">
        <v>36</v>
      </c>
      <c r="N10" s="37" t="s">
        <v>36</v>
      </c>
      <c r="O10" s="37" t="s">
        <v>36</v>
      </c>
    </row>
    <row r="11" spans="1:16" s="36" customFormat="1" ht="116" x14ac:dyDescent="0.35">
      <c r="A11" s="46">
        <v>5</v>
      </c>
      <c r="B11" s="36" t="str">
        <f t="shared" si="1"/>
        <v>6.5</v>
      </c>
      <c r="C11" s="45" t="s">
        <v>37</v>
      </c>
      <c r="D11" s="44" t="s">
        <v>683</v>
      </c>
      <c r="E11" s="36" t="s">
        <v>31</v>
      </c>
      <c r="F11" s="36" t="s">
        <v>684</v>
      </c>
      <c r="G11" s="48" t="s">
        <v>685</v>
      </c>
      <c r="H11" s="38" t="s">
        <v>36</v>
      </c>
      <c r="I11" s="36" t="s">
        <v>9</v>
      </c>
      <c r="J11" s="37" t="s">
        <v>495</v>
      </c>
      <c r="K11" s="36" t="s">
        <v>53</v>
      </c>
      <c r="L11" s="37" t="s">
        <v>902</v>
      </c>
      <c r="M11" s="37" t="s">
        <v>36</v>
      </c>
      <c r="N11" s="37" t="s">
        <v>36</v>
      </c>
      <c r="O11" s="36" t="s">
        <v>36</v>
      </c>
      <c r="P11" s="36" t="s">
        <v>903</v>
      </c>
    </row>
    <row r="12" spans="1:16" s="36" customFormat="1" ht="72.5" x14ac:dyDescent="0.35">
      <c r="A12" s="46">
        <v>6</v>
      </c>
      <c r="B12" s="36" t="str">
        <f t="shared" ref="B12:B13" si="2">CONCATENATE($B$2, ".", A12)</f>
        <v>6.6</v>
      </c>
      <c r="C12" s="45" t="s">
        <v>39</v>
      </c>
      <c r="D12" s="36" t="s">
        <v>57</v>
      </c>
      <c r="E12" s="36" t="s">
        <v>42</v>
      </c>
      <c r="F12" s="36" t="s">
        <v>36</v>
      </c>
      <c r="G12" s="36" t="s">
        <v>36</v>
      </c>
      <c r="H12" s="38" t="s">
        <v>36</v>
      </c>
      <c r="I12" s="36" t="s">
        <v>9</v>
      </c>
      <c r="J12" s="36" t="s">
        <v>36</v>
      </c>
      <c r="K12" s="36" t="s">
        <v>36</v>
      </c>
      <c r="L12" s="36" t="s">
        <v>36</v>
      </c>
      <c r="M12" s="36" t="s">
        <v>36</v>
      </c>
      <c r="N12" s="36" t="s">
        <v>36</v>
      </c>
      <c r="O12" s="36" t="s">
        <v>904</v>
      </c>
    </row>
    <row r="13" spans="1:16" s="36" customFormat="1" x14ac:dyDescent="0.35">
      <c r="A13" s="46">
        <v>7</v>
      </c>
      <c r="B13" s="36" t="str">
        <f t="shared" si="2"/>
        <v>6.7</v>
      </c>
      <c r="C13" s="45" t="s">
        <v>39</v>
      </c>
      <c r="D13" s="36" t="s">
        <v>56</v>
      </c>
      <c r="E13" s="36" t="s">
        <v>42</v>
      </c>
      <c r="F13" s="36" t="s">
        <v>36</v>
      </c>
      <c r="G13" s="36" t="s">
        <v>36</v>
      </c>
      <c r="H13" s="46" t="s">
        <v>36</v>
      </c>
      <c r="I13" s="36" t="s">
        <v>9</v>
      </c>
      <c r="J13" s="36" t="s">
        <v>36</v>
      </c>
      <c r="K13" s="36" t="s">
        <v>36</v>
      </c>
      <c r="L13" s="36" t="s">
        <v>36</v>
      </c>
      <c r="M13" s="36" t="s">
        <v>36</v>
      </c>
      <c r="N13" s="36" t="s">
        <v>36</v>
      </c>
      <c r="O13" s="36" t="s">
        <v>372</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sheetData>
  <mergeCells count="1">
    <mergeCell ref="B4:C4"/>
  </mergeCells>
  <conditionalFormatting sqref="C14:C1048576 C7:C12">
    <cfRule type="cellIs" dxfId="660" priority="33" operator="equal">
      <formula>"WIP (see comments)"</formula>
    </cfRule>
    <cfRule type="cellIs" dxfId="659" priority="34" operator="equal">
      <formula>"Removed"</formula>
    </cfRule>
    <cfRule type="cellIs" dxfId="658" priority="35" operator="equal">
      <formula>"Updated"</formula>
    </cfRule>
    <cfRule type="cellIs" dxfId="657" priority="36" operator="equal">
      <formula>"New"</formula>
    </cfRule>
  </conditionalFormatting>
  <conditionalFormatting sqref="A2:XFD3 A14:XFD1048576 A1:B1 D1:XFD1 A4:B4 D4:XFD4 A5:XFD7 Q8:XFD9 A10:A11 H13 A8:O9 E12:E13 A12:B13 G10 C10">
    <cfRule type="cellIs" dxfId="656" priority="28" operator="equal">
      <formula>"n/a"</formula>
    </cfRule>
  </conditionalFormatting>
  <conditionalFormatting sqref="C13">
    <cfRule type="cellIs" dxfId="655" priority="13" operator="equal">
      <formula>"WIP (see comments)"</formula>
    </cfRule>
    <cfRule type="cellIs" dxfId="654" priority="14" operator="equal">
      <formula>"Removed"</formula>
    </cfRule>
    <cfRule type="cellIs" dxfId="653" priority="15" operator="equal">
      <formula>"Updated"</formula>
    </cfRule>
    <cfRule type="cellIs" dxfId="652" priority="16" operator="equal">
      <formula>"New"</formula>
    </cfRule>
  </conditionalFormatting>
  <conditionalFormatting sqref="B11:I11 C12:D13 Q13:XFD13 F13:G13 I13:O13 F12:XFD12 L11:XFD11">
    <cfRule type="cellIs" dxfId="651" priority="12" operator="equal">
      <formula>"n/a"</formula>
    </cfRule>
  </conditionalFormatting>
  <conditionalFormatting sqref="B10 H10:XFD10 D10:F10">
    <cfRule type="cellIs" dxfId="650" priority="7" operator="equal">
      <formula>"n/a"</formula>
    </cfRule>
  </conditionalFormatting>
  <conditionalFormatting sqref="P8:P9">
    <cfRule type="cellIs" dxfId="649" priority="4" operator="equal">
      <formula>"n/a"</formula>
    </cfRule>
  </conditionalFormatting>
  <conditionalFormatting sqref="P13">
    <cfRule type="cellIs" dxfId="648" priority="3" operator="equal">
      <formula>"n/a"</formula>
    </cfRule>
  </conditionalFormatting>
  <conditionalFormatting sqref="J11">
    <cfRule type="cellIs" dxfId="647" priority="2" operator="equal">
      <formula>"n/a"</formula>
    </cfRule>
  </conditionalFormatting>
  <conditionalFormatting sqref="K11">
    <cfRule type="cellIs" dxfId="646"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Values'!$B$5:$B$11</xm:f>
          </x14:formula1>
          <xm:sqref>C7:C10 C14:C1048576</xm:sqref>
        </x14:dataValidation>
        <x14:dataValidation type="list" allowBlank="1" showInputMessage="1" showErrorMessage="1">
          <x14:formula1>
            <xm:f>'List Values'!$B$5:$B$12</xm:f>
          </x14:formula1>
          <xm:sqref>C11:C13</xm:sqref>
        </x14:dataValidation>
        <x14:dataValidation type="list" allowBlank="1" showInputMessage="1" showErrorMessage="1">
          <x14:formula1>
            <xm:f>'List Values'!$A$5:$A$36</xm:f>
          </x14:formula1>
          <xm:sqref>E7:E9</xm:sqref>
        </x14:dataValidation>
        <x14:dataValidation type="list" allowBlank="1" showInputMessage="1" showErrorMessage="1">
          <x14:formula1>
            <xm:f>'List Values'!$A$5:$A$35</xm:f>
          </x14:formula1>
          <xm:sqref>E10:E13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5.7265625" style="65" customWidth="1"/>
    <col min="4" max="4" width="45.1796875" style="5" customWidth="1"/>
    <col min="5" max="5" width="28.7265625" style="5" customWidth="1"/>
    <col min="6" max="6" width="34.26953125"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27" customFormat="1" ht="18.5" x14ac:dyDescent="0.35">
      <c r="A1" s="25" t="s">
        <v>6</v>
      </c>
      <c r="B1" s="162" t="s">
        <v>219</v>
      </c>
      <c r="C1" s="162"/>
      <c r="D1" s="26"/>
      <c r="H1" s="32"/>
    </row>
    <row r="2" spans="1:17" s="27" customFormat="1" ht="18.5" x14ac:dyDescent="0.35">
      <c r="A2" s="25" t="s">
        <v>7</v>
      </c>
      <c r="B2" s="33">
        <v>7</v>
      </c>
      <c r="C2" s="32"/>
      <c r="D2" s="33"/>
      <c r="H2" s="32"/>
    </row>
    <row r="3" spans="1:17" s="27" customFormat="1" ht="18.5" x14ac:dyDescent="0.35">
      <c r="A3" s="25" t="s">
        <v>43</v>
      </c>
      <c r="B3" s="33" t="s">
        <v>534</v>
      </c>
      <c r="C3" s="32"/>
      <c r="D3" s="33" t="s">
        <v>68</v>
      </c>
      <c r="H3" s="32"/>
    </row>
    <row r="4" spans="1:17" s="27" customFormat="1" ht="18.5" x14ac:dyDescent="0.35">
      <c r="A4" s="25" t="s">
        <v>8</v>
      </c>
      <c r="B4" s="27" t="s">
        <v>558</v>
      </c>
      <c r="H4" s="32"/>
    </row>
    <row r="5" spans="1:17" s="40" customFormat="1" x14ac:dyDescent="0.35">
      <c r="C5" s="41"/>
      <c r="H5" s="41"/>
    </row>
    <row r="6" spans="1:17"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35">
      <c r="A7" s="6">
        <v>1</v>
      </c>
      <c r="B7" s="6" t="str">
        <f>CONCATENATE($B$2, ".", A7)</f>
        <v>7.1</v>
      </c>
      <c r="C7" s="31" t="s">
        <v>44</v>
      </c>
      <c r="D7" s="36" t="s">
        <v>127</v>
      </c>
      <c r="E7" s="6" t="s">
        <v>28</v>
      </c>
      <c r="F7" s="6" t="s">
        <v>36</v>
      </c>
      <c r="G7" s="6" t="s">
        <v>36</v>
      </c>
      <c r="H7" s="31" t="s">
        <v>36</v>
      </c>
      <c r="I7" s="36" t="s">
        <v>9</v>
      </c>
      <c r="J7" s="5" t="s">
        <v>36</v>
      </c>
      <c r="K7" s="5" t="s">
        <v>36</v>
      </c>
      <c r="L7" s="5" t="s">
        <v>36</v>
      </c>
      <c r="M7" s="5" t="s">
        <v>36</v>
      </c>
      <c r="N7" s="5" t="s">
        <v>36</v>
      </c>
      <c r="O7" s="5" t="s">
        <v>36</v>
      </c>
    </row>
    <row r="8" spans="1:17" ht="30" customHeight="1" x14ac:dyDescent="0.35">
      <c r="A8" s="6">
        <v>2</v>
      </c>
      <c r="B8" s="6" t="str">
        <f t="shared" ref="B8:B13" si="0">CONCATENATE($B$2, ".", A8)</f>
        <v>7.2</v>
      </c>
      <c r="C8" s="31" t="s">
        <v>44</v>
      </c>
      <c r="D8" s="36" t="s">
        <v>36</v>
      </c>
      <c r="E8" s="36" t="s">
        <v>48</v>
      </c>
      <c r="F8" s="6" t="s">
        <v>36</v>
      </c>
      <c r="G8" s="6" t="s">
        <v>36</v>
      </c>
      <c r="H8" s="31" t="s">
        <v>36</v>
      </c>
      <c r="I8" s="36" t="s">
        <v>9</v>
      </c>
      <c r="J8" s="5" t="s">
        <v>36</v>
      </c>
      <c r="K8" s="5" t="s">
        <v>36</v>
      </c>
      <c r="L8" s="5" t="s">
        <v>36</v>
      </c>
      <c r="M8" s="5" t="s">
        <v>36</v>
      </c>
      <c r="N8" s="5" t="s">
        <v>36</v>
      </c>
      <c r="O8" s="5" t="s">
        <v>36</v>
      </c>
    </row>
    <row r="9" spans="1:17" ht="80.5" customHeight="1" x14ac:dyDescent="0.35">
      <c r="A9" s="6">
        <v>3</v>
      </c>
      <c r="B9" s="6" t="str">
        <f t="shared" si="0"/>
        <v>7.3</v>
      </c>
      <c r="C9" s="31" t="s">
        <v>44</v>
      </c>
      <c r="D9" s="36" t="s">
        <v>607</v>
      </c>
      <c r="E9" s="36" t="s">
        <v>33</v>
      </c>
      <c r="F9" s="6" t="s">
        <v>36</v>
      </c>
      <c r="G9" s="6" t="s">
        <v>36</v>
      </c>
      <c r="H9" s="31" t="s">
        <v>36</v>
      </c>
      <c r="I9" s="36" t="s">
        <v>9</v>
      </c>
      <c r="J9" s="5" t="s">
        <v>36</v>
      </c>
      <c r="K9" s="5" t="s">
        <v>36</v>
      </c>
      <c r="L9" s="5" t="s">
        <v>36</v>
      </c>
      <c r="M9" s="5" t="s">
        <v>36</v>
      </c>
      <c r="N9" s="5" t="s">
        <v>36</v>
      </c>
      <c r="O9" s="5" t="s">
        <v>36</v>
      </c>
    </row>
    <row r="10" spans="1:17" s="36" customFormat="1" ht="87" x14ac:dyDescent="0.35">
      <c r="A10" s="6">
        <v>4</v>
      </c>
      <c r="B10" s="6" t="str">
        <f t="shared" si="0"/>
        <v>7.4</v>
      </c>
      <c r="C10" s="31" t="s">
        <v>44</v>
      </c>
      <c r="D10" s="6" t="s">
        <v>36</v>
      </c>
      <c r="E10" s="6" t="s">
        <v>559</v>
      </c>
      <c r="F10" s="6" t="s">
        <v>36</v>
      </c>
      <c r="G10" s="6" t="s">
        <v>36</v>
      </c>
      <c r="H10" s="31" t="s">
        <v>36</v>
      </c>
      <c r="I10" s="36" t="s">
        <v>9</v>
      </c>
      <c r="J10" s="5" t="s">
        <v>36</v>
      </c>
      <c r="K10" s="5" t="s">
        <v>153</v>
      </c>
      <c r="L10" s="121" t="s">
        <v>679</v>
      </c>
      <c r="M10" s="5" t="s">
        <v>36</v>
      </c>
      <c r="N10" s="5" t="s">
        <v>36</v>
      </c>
      <c r="O10" s="37" t="s">
        <v>608</v>
      </c>
      <c r="P10" s="90" t="s">
        <v>562</v>
      </c>
      <c r="Q10" s="112" t="s">
        <v>563</v>
      </c>
    </row>
    <row r="11" spans="1:17" s="36" customFormat="1" ht="43.5" x14ac:dyDescent="0.35">
      <c r="A11" s="6">
        <v>5</v>
      </c>
      <c r="B11" s="6" t="str">
        <f t="shared" ref="B11" si="1">CONCATENATE($B$2, ".", A11)</f>
        <v>7.5</v>
      </c>
      <c r="C11" s="31" t="s">
        <v>37</v>
      </c>
      <c r="D11" s="36" t="s">
        <v>151</v>
      </c>
      <c r="E11" s="36" t="s">
        <v>29</v>
      </c>
      <c r="F11" s="36" t="s">
        <v>60</v>
      </c>
      <c r="G11" s="36" t="s">
        <v>36</v>
      </c>
      <c r="H11" s="45" t="s">
        <v>36</v>
      </c>
      <c r="I11" s="36" t="s">
        <v>9</v>
      </c>
      <c r="J11" s="36" t="s">
        <v>96</v>
      </c>
      <c r="K11" s="36" t="s">
        <v>36</v>
      </c>
      <c r="L11" s="36" t="s">
        <v>36</v>
      </c>
      <c r="M11" s="36" t="s">
        <v>36</v>
      </c>
      <c r="N11" s="36" t="s">
        <v>36</v>
      </c>
      <c r="O11" s="36" t="s">
        <v>610</v>
      </c>
      <c r="P11" s="5"/>
      <c r="Q11" s="112"/>
    </row>
    <row r="12" spans="1:17" ht="43.5" x14ac:dyDescent="0.35">
      <c r="A12" s="6">
        <v>6</v>
      </c>
      <c r="B12" s="6" t="str">
        <f t="shared" si="0"/>
        <v>7.6</v>
      </c>
      <c r="C12" s="31" t="s">
        <v>44</v>
      </c>
      <c r="D12" s="6" t="s">
        <v>56</v>
      </c>
      <c r="E12" s="6" t="s">
        <v>42</v>
      </c>
      <c r="F12" s="6" t="s">
        <v>36</v>
      </c>
      <c r="G12" s="6" t="s">
        <v>36</v>
      </c>
      <c r="H12" s="31" t="s">
        <v>36</v>
      </c>
      <c r="I12" s="36" t="s">
        <v>9</v>
      </c>
      <c r="J12" s="5" t="s">
        <v>36</v>
      </c>
      <c r="K12" s="5" t="s">
        <v>36</v>
      </c>
      <c r="L12" s="48" t="s">
        <v>36</v>
      </c>
      <c r="M12" s="5" t="s">
        <v>36</v>
      </c>
      <c r="N12" s="5" t="s">
        <v>36</v>
      </c>
      <c r="O12" s="37" t="s">
        <v>560</v>
      </c>
      <c r="P12" s="5" t="s">
        <v>561</v>
      </c>
    </row>
    <row r="13" spans="1:17" ht="30" customHeight="1" x14ac:dyDescent="0.35">
      <c r="A13" s="6">
        <v>7</v>
      </c>
      <c r="B13" s="6" t="str">
        <f t="shared" si="0"/>
        <v>7.7</v>
      </c>
      <c r="C13" s="31" t="s">
        <v>44</v>
      </c>
      <c r="D13" s="36" t="s">
        <v>57</v>
      </c>
      <c r="E13" s="36" t="s">
        <v>42</v>
      </c>
      <c r="F13" s="36" t="s">
        <v>36</v>
      </c>
      <c r="G13" s="36" t="s">
        <v>36</v>
      </c>
      <c r="H13" s="45" t="s">
        <v>36</v>
      </c>
      <c r="I13" s="36" t="s">
        <v>9</v>
      </c>
      <c r="J13" s="36" t="s">
        <v>36</v>
      </c>
      <c r="K13" s="36" t="s">
        <v>36</v>
      </c>
      <c r="L13" s="36" t="s">
        <v>36</v>
      </c>
      <c r="M13" s="36" t="s">
        <v>36</v>
      </c>
      <c r="N13" s="36" t="s">
        <v>36</v>
      </c>
      <c r="O13" s="36" t="s">
        <v>609</v>
      </c>
    </row>
    <row r="14" spans="1:17" x14ac:dyDescent="0.35">
      <c r="C14" s="5"/>
      <c r="H14" s="5"/>
    </row>
  </sheetData>
  <autoFilter ref="A6:P6"/>
  <mergeCells count="1">
    <mergeCell ref="B1:C1"/>
  </mergeCells>
  <conditionalFormatting sqref="C15:C1048576 C11:C13">
    <cfRule type="cellIs" dxfId="645" priority="43" operator="equal">
      <formula>"WIP (see comments)"</formula>
    </cfRule>
    <cfRule type="cellIs" dxfId="644" priority="44" operator="equal">
      <formula>"Removed"</formula>
    </cfRule>
    <cfRule type="cellIs" dxfId="643" priority="45" operator="equal">
      <formula>"Updated"</formula>
    </cfRule>
    <cfRule type="cellIs" dxfId="642" priority="46" operator="equal">
      <formula>"New"</formula>
    </cfRule>
  </conditionalFormatting>
  <conditionalFormatting sqref="A2:XFD3 A15:XFD1048576 A1:B1 E1:XFD1 A5:XFD6 A4:B4 D4:XFD4 P12:XFD13 Q14:XFD14 P11 D13:N13 D11 A11:C13 G11:N11">
    <cfRule type="cellIs" dxfId="641" priority="42" operator="equal">
      <formula>"n/a"</formula>
    </cfRule>
  </conditionalFormatting>
  <conditionalFormatting sqref="P7:XFD7">
    <cfRule type="cellIs" dxfId="640" priority="35" operator="equal">
      <formula>"n/a"</formula>
    </cfRule>
  </conditionalFormatting>
  <conditionalFormatting sqref="P8:XFD9">
    <cfRule type="cellIs" dxfId="639" priority="34" operator="equal">
      <formula>"n/a"</formula>
    </cfRule>
  </conditionalFormatting>
  <conditionalFormatting sqref="P10:XFD10 Q11:XFD11">
    <cfRule type="cellIs" dxfId="638" priority="24" operator="equal">
      <formula>"n/a"</formula>
    </cfRule>
  </conditionalFormatting>
  <conditionalFormatting sqref="D1">
    <cfRule type="cellIs" dxfId="637" priority="22" operator="equal">
      <formula>"n/a"</formula>
    </cfRule>
  </conditionalFormatting>
  <conditionalFormatting sqref="C7:C10">
    <cfRule type="cellIs" dxfId="636" priority="18" operator="equal">
      <formula>"WIP (see comments)"</formula>
    </cfRule>
    <cfRule type="cellIs" dxfId="635" priority="19" operator="equal">
      <formula>"Removed"</formula>
    </cfRule>
    <cfRule type="cellIs" dxfId="634" priority="20" operator="equal">
      <formula>"Updated"</formula>
    </cfRule>
    <cfRule type="cellIs" dxfId="633" priority="21" operator="equal">
      <formula>"New"</formula>
    </cfRule>
  </conditionalFormatting>
  <conditionalFormatting sqref="A10:J10 M10:N10 A7:O9 D12:J12 M12:N12">
    <cfRule type="cellIs" dxfId="632" priority="17" operator="equal">
      <formula>"n/a"</formula>
    </cfRule>
  </conditionalFormatting>
  <conditionalFormatting sqref="K10:L10 K12:L12">
    <cfRule type="cellIs" dxfId="631" priority="16" operator="equal">
      <formula>"n/a"</formula>
    </cfRule>
  </conditionalFormatting>
  <conditionalFormatting sqref="O10">
    <cfRule type="cellIs" dxfId="630" priority="15" operator="equal">
      <formula>"n/a"</formula>
    </cfRule>
  </conditionalFormatting>
  <conditionalFormatting sqref="O12">
    <cfRule type="cellIs" dxfId="629" priority="8" operator="equal">
      <formula>"n/a"</formula>
    </cfRule>
  </conditionalFormatting>
  <conditionalFormatting sqref="E11:F11">
    <cfRule type="cellIs" dxfId="628" priority="1" operator="equal">
      <formula>"n/a"</formula>
    </cfRule>
  </conditionalFormatting>
  <dataValidations count="2">
    <dataValidation type="list" allowBlank="1" showInputMessage="1" showErrorMessage="1" sqref="C15:C1048576">
      <formula1>$B$5:$B$10</formula1>
    </dataValidation>
    <dataValidation type="list" allowBlank="1" showInputMessage="1" showErrorMessage="1" sqref="E15:E1048576">
      <formula1>$A$5:$A$25</formula1>
    </dataValidation>
  </dataValidations>
  <hyperlinks>
    <hyperlink ref="Q10"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15" sqref="E15"/>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0" t="s">
        <v>235</v>
      </c>
      <c r="C1" s="160"/>
      <c r="D1" s="26"/>
    </row>
    <row r="2" spans="1:16" s="57" customFormat="1" ht="18.5" x14ac:dyDescent="0.35">
      <c r="A2" s="56" t="s">
        <v>7</v>
      </c>
      <c r="B2" s="58">
        <v>8</v>
      </c>
      <c r="C2" s="59"/>
      <c r="D2" s="58"/>
    </row>
    <row r="3" spans="1:16" s="57" customFormat="1" ht="18.5" x14ac:dyDescent="0.35">
      <c r="A3" s="56" t="s">
        <v>43</v>
      </c>
      <c r="B3" s="58" t="s">
        <v>308</v>
      </c>
      <c r="C3" s="59"/>
      <c r="D3" s="58" t="s">
        <v>869</v>
      </c>
    </row>
    <row r="4" spans="1:16" s="57" customFormat="1" ht="18.5" x14ac:dyDescent="0.35">
      <c r="A4" s="56" t="s">
        <v>8</v>
      </c>
      <c r="B4" s="161" t="s">
        <v>46</v>
      </c>
      <c r="C4" s="161"/>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9" si="0">CONCATENATE($B$2, ".", A7)</f>
        <v>8.1</v>
      </c>
      <c r="C7" s="45" t="s">
        <v>41</v>
      </c>
      <c r="D7" s="36" t="s">
        <v>474</v>
      </c>
      <c r="E7" s="36" t="s">
        <v>115</v>
      </c>
      <c r="F7" s="36" t="s">
        <v>36</v>
      </c>
      <c r="G7" s="36" t="s">
        <v>36</v>
      </c>
      <c r="H7" s="36" t="s">
        <v>36</v>
      </c>
      <c r="I7" s="36" t="s">
        <v>9</v>
      </c>
      <c r="J7" s="37" t="s">
        <v>36</v>
      </c>
      <c r="K7" s="37" t="s">
        <v>36</v>
      </c>
      <c r="L7" s="37" t="s">
        <v>36</v>
      </c>
      <c r="M7" s="37" t="s">
        <v>36</v>
      </c>
      <c r="N7" s="37" t="s">
        <v>36</v>
      </c>
      <c r="O7" s="37" t="s">
        <v>36</v>
      </c>
    </row>
    <row r="8" spans="1:16" x14ac:dyDescent="0.35">
      <c r="A8" s="36">
        <v>2</v>
      </c>
      <c r="B8" s="36" t="str">
        <f t="shared" si="0"/>
        <v>8.2</v>
      </c>
      <c r="C8" s="45" t="s">
        <v>41</v>
      </c>
      <c r="D8" s="36" t="s">
        <v>36</v>
      </c>
      <c r="E8" s="36" t="s">
        <v>48</v>
      </c>
      <c r="F8" s="36" t="s">
        <v>36</v>
      </c>
      <c r="G8" s="36" t="s">
        <v>36</v>
      </c>
      <c r="H8" s="36" t="s">
        <v>36</v>
      </c>
      <c r="I8" s="36" t="s">
        <v>9</v>
      </c>
      <c r="J8" s="37" t="s">
        <v>36</v>
      </c>
      <c r="K8" s="37" t="s">
        <v>36</v>
      </c>
      <c r="L8" s="37" t="s">
        <v>36</v>
      </c>
      <c r="M8" s="37" t="s">
        <v>36</v>
      </c>
      <c r="N8" s="37" t="s">
        <v>36</v>
      </c>
      <c r="O8" s="37" t="s">
        <v>36</v>
      </c>
    </row>
    <row r="9" spans="1:16" ht="43.5" x14ac:dyDescent="0.35">
      <c r="A9" s="36">
        <v>3</v>
      </c>
      <c r="B9" s="36" t="str">
        <f t="shared" si="0"/>
        <v>8.3</v>
      </c>
      <c r="C9" s="45" t="s">
        <v>41</v>
      </c>
      <c r="D9" s="36" t="s">
        <v>475</v>
      </c>
      <c r="E9" s="36" t="s">
        <v>32</v>
      </c>
      <c r="F9" s="36" t="s">
        <v>972</v>
      </c>
      <c r="G9" s="36" t="s">
        <v>36</v>
      </c>
      <c r="H9" s="38">
        <v>65</v>
      </c>
      <c r="I9" s="36" t="s">
        <v>9</v>
      </c>
      <c r="J9" s="37" t="s">
        <v>107</v>
      </c>
      <c r="K9" s="37" t="s">
        <v>53</v>
      </c>
      <c r="L9" s="37" t="s">
        <v>694</v>
      </c>
      <c r="M9" s="37" t="s">
        <v>483</v>
      </c>
      <c r="N9" s="37" t="s">
        <v>36</v>
      </c>
      <c r="O9" s="37" t="s">
        <v>657</v>
      </c>
    </row>
    <row r="10" spans="1:16" ht="29" x14ac:dyDescent="0.35">
      <c r="A10" s="36">
        <v>4</v>
      </c>
      <c r="B10" s="36" t="str">
        <f t="shared" ref="B10:B13" si="1">CONCATENATE($B$2, ".", A10)</f>
        <v>8.4</v>
      </c>
      <c r="C10" s="45" t="s">
        <v>41</v>
      </c>
      <c r="D10" s="36" t="s">
        <v>589</v>
      </c>
      <c r="E10" s="36" t="s">
        <v>32</v>
      </c>
      <c r="F10" s="36" t="s">
        <v>972</v>
      </c>
      <c r="G10" s="36" t="s">
        <v>36</v>
      </c>
      <c r="H10" s="38">
        <v>60</v>
      </c>
      <c r="I10" s="36" t="s">
        <v>9</v>
      </c>
      <c r="J10" s="37" t="s">
        <v>107</v>
      </c>
      <c r="K10" s="37" t="s">
        <v>83</v>
      </c>
      <c r="L10" s="37" t="s">
        <v>36</v>
      </c>
      <c r="M10" s="37" t="s">
        <v>483</v>
      </c>
      <c r="N10" s="37" t="s">
        <v>36</v>
      </c>
      <c r="O10" s="37" t="s">
        <v>657</v>
      </c>
    </row>
    <row r="11" spans="1:16" ht="72.5" x14ac:dyDescent="0.35">
      <c r="A11" s="36">
        <v>5</v>
      </c>
      <c r="B11" s="36" t="str">
        <f>CONCATENATE($B$2, ".", A11)</f>
        <v>8.5</v>
      </c>
      <c r="C11" s="89" t="s">
        <v>41</v>
      </c>
      <c r="D11" s="36" t="s">
        <v>488</v>
      </c>
      <c r="E11" s="36" t="s">
        <v>32</v>
      </c>
      <c r="F11" s="36" t="s">
        <v>50</v>
      </c>
      <c r="G11" s="36" t="s">
        <v>36</v>
      </c>
      <c r="H11" s="36" t="s">
        <v>54</v>
      </c>
      <c r="I11" s="36" t="s">
        <v>9</v>
      </c>
      <c r="J11" s="37" t="s">
        <v>107</v>
      </c>
      <c r="K11" s="36" t="s">
        <v>53</v>
      </c>
      <c r="L11" s="36" t="s">
        <v>695</v>
      </c>
      <c r="M11" s="36" t="s">
        <v>55</v>
      </c>
      <c r="N11" s="36" t="s">
        <v>36</v>
      </c>
      <c r="O11" s="37" t="s">
        <v>657</v>
      </c>
    </row>
    <row r="12" spans="1:16" ht="43.5" x14ac:dyDescent="0.35">
      <c r="A12" s="36">
        <v>6</v>
      </c>
      <c r="B12" s="36" t="str">
        <f>CONCATENATE($B$2, ".", A12)</f>
        <v>8.6</v>
      </c>
      <c r="C12" s="89" t="s">
        <v>41</v>
      </c>
      <c r="D12" s="36" t="s">
        <v>489</v>
      </c>
      <c r="E12" s="36" t="s">
        <v>32</v>
      </c>
      <c r="F12" s="36" t="s">
        <v>51</v>
      </c>
      <c r="G12" s="36" t="s">
        <v>36</v>
      </c>
      <c r="H12" s="36" t="s">
        <v>52</v>
      </c>
      <c r="I12" s="36" t="s">
        <v>9</v>
      </c>
      <c r="J12" s="37" t="s">
        <v>107</v>
      </c>
      <c r="K12" s="37" t="s">
        <v>53</v>
      </c>
      <c r="L12" s="37" t="s">
        <v>696</v>
      </c>
      <c r="M12" s="37" t="s">
        <v>100</v>
      </c>
      <c r="N12" s="37" t="s">
        <v>36</v>
      </c>
      <c r="O12" s="37" t="s">
        <v>657</v>
      </c>
    </row>
    <row r="13" spans="1:16" ht="145" x14ac:dyDescent="0.35">
      <c r="A13" s="36">
        <v>7</v>
      </c>
      <c r="B13" s="36" t="str">
        <f t="shared" si="1"/>
        <v>8.7</v>
      </c>
      <c r="C13" s="89" t="s">
        <v>41</v>
      </c>
      <c r="D13" s="36" t="s">
        <v>476</v>
      </c>
      <c r="E13" s="36" t="s">
        <v>74</v>
      </c>
      <c r="F13" s="36" t="s">
        <v>51</v>
      </c>
      <c r="G13" s="36" t="s">
        <v>891</v>
      </c>
      <c r="H13" s="38">
        <v>35</v>
      </c>
      <c r="I13" s="36" t="s">
        <v>9</v>
      </c>
      <c r="J13" s="37" t="s">
        <v>107</v>
      </c>
      <c r="K13" s="37" t="s">
        <v>477</v>
      </c>
      <c r="L13" s="37" t="s">
        <v>697</v>
      </c>
      <c r="M13" s="37" t="s">
        <v>36</v>
      </c>
      <c r="N13" s="37" t="s">
        <v>478</v>
      </c>
      <c r="O13" s="37" t="s">
        <v>852</v>
      </c>
    </row>
    <row r="14" spans="1:16" x14ac:dyDescent="0.35">
      <c r="A14" s="96" t="s">
        <v>860</v>
      </c>
      <c r="B14" s="92"/>
      <c r="C14" s="93"/>
      <c r="D14" s="92"/>
      <c r="E14" s="92"/>
      <c r="F14" s="92"/>
      <c r="G14" s="92"/>
      <c r="H14" s="94"/>
      <c r="I14" s="92"/>
      <c r="J14" s="95"/>
      <c r="K14" s="95"/>
      <c r="L14" s="95"/>
      <c r="M14" s="95"/>
      <c r="N14" s="95"/>
      <c r="O14" s="95"/>
      <c r="P14" s="92"/>
    </row>
    <row r="15" spans="1:16" ht="43.5" x14ac:dyDescent="0.35">
      <c r="A15" s="36">
        <v>8</v>
      </c>
      <c r="B15" s="36" t="str">
        <f t="shared" si="0"/>
        <v>8.8</v>
      </c>
      <c r="C15" s="89" t="s">
        <v>37</v>
      </c>
      <c r="D15" s="36" t="s">
        <v>479</v>
      </c>
      <c r="E15" s="36" t="s">
        <v>32</v>
      </c>
      <c r="F15" s="36" t="s">
        <v>972</v>
      </c>
      <c r="G15" s="36" t="s">
        <v>36</v>
      </c>
      <c r="H15" s="38">
        <v>10</v>
      </c>
      <c r="I15" s="36" t="s">
        <v>853</v>
      </c>
      <c r="J15" s="37" t="s">
        <v>107</v>
      </c>
      <c r="K15" s="37" t="s">
        <v>76</v>
      </c>
      <c r="L15" s="37" t="s">
        <v>698</v>
      </c>
      <c r="M15" s="37" t="s">
        <v>36</v>
      </c>
      <c r="N15" s="37" t="s">
        <v>36</v>
      </c>
      <c r="O15" s="37" t="s">
        <v>481</v>
      </c>
      <c r="P15" s="36" t="s">
        <v>732</v>
      </c>
    </row>
    <row r="16" spans="1:16" ht="43.5" x14ac:dyDescent="0.35">
      <c r="A16" s="36">
        <v>9</v>
      </c>
      <c r="B16" s="36" t="str">
        <f t="shared" si="0"/>
        <v>8.9</v>
      </c>
      <c r="C16" s="89" t="s">
        <v>37</v>
      </c>
      <c r="D16" s="36" t="s">
        <v>480</v>
      </c>
      <c r="E16" s="36" t="s">
        <v>32</v>
      </c>
      <c r="F16" s="36" t="s">
        <v>972</v>
      </c>
      <c r="G16" s="36" t="s">
        <v>36</v>
      </c>
      <c r="H16" s="38">
        <v>35</v>
      </c>
      <c r="I16" s="36" t="s">
        <v>853</v>
      </c>
      <c r="J16" s="37" t="s">
        <v>107</v>
      </c>
      <c r="K16" s="37" t="s">
        <v>76</v>
      </c>
      <c r="L16" s="37" t="s">
        <v>699</v>
      </c>
      <c r="M16" s="37" t="s">
        <v>36</v>
      </c>
      <c r="N16" s="37" t="s">
        <v>36</v>
      </c>
      <c r="O16" s="37" t="s">
        <v>481</v>
      </c>
      <c r="P16" s="36" t="s">
        <v>732</v>
      </c>
    </row>
    <row r="17" spans="1:16" ht="29" x14ac:dyDescent="0.35">
      <c r="A17" s="36">
        <v>10</v>
      </c>
      <c r="B17" s="36" t="str">
        <f t="shared" si="0"/>
        <v>8.10</v>
      </c>
      <c r="C17" s="89" t="s">
        <v>37</v>
      </c>
      <c r="D17" s="36" t="s">
        <v>70</v>
      </c>
      <c r="E17" s="36" t="s">
        <v>32</v>
      </c>
      <c r="F17" s="36" t="s">
        <v>972</v>
      </c>
      <c r="G17" s="36" t="s">
        <v>36</v>
      </c>
      <c r="H17" s="38">
        <v>10</v>
      </c>
      <c r="I17" s="36" t="s">
        <v>853</v>
      </c>
      <c r="J17" s="37" t="s">
        <v>107</v>
      </c>
      <c r="K17" s="37" t="s">
        <v>78</v>
      </c>
      <c r="L17" s="37" t="s">
        <v>36</v>
      </c>
      <c r="M17" s="37" t="s">
        <v>36</v>
      </c>
      <c r="N17" s="37" t="s">
        <v>36</v>
      </c>
      <c r="O17" s="37" t="s">
        <v>481</v>
      </c>
    </row>
    <row r="18" spans="1:16" ht="43.5" x14ac:dyDescent="0.35">
      <c r="A18" s="36">
        <v>11</v>
      </c>
      <c r="B18" s="36" t="str">
        <f t="shared" si="0"/>
        <v>8.11</v>
      </c>
      <c r="C18" s="89" t="s">
        <v>37</v>
      </c>
      <c r="D18" s="36" t="s">
        <v>71</v>
      </c>
      <c r="E18" s="36" t="s">
        <v>32</v>
      </c>
      <c r="F18" s="36" t="s">
        <v>972</v>
      </c>
      <c r="G18" s="36" t="s">
        <v>36</v>
      </c>
      <c r="H18" s="38">
        <v>20</v>
      </c>
      <c r="I18" s="36" t="s">
        <v>853</v>
      </c>
      <c r="J18" s="37" t="s">
        <v>107</v>
      </c>
      <c r="K18" s="37" t="s">
        <v>76</v>
      </c>
      <c r="L18" s="37" t="s">
        <v>700</v>
      </c>
      <c r="M18" s="37" t="s">
        <v>36</v>
      </c>
      <c r="N18" s="37" t="s">
        <v>36</v>
      </c>
      <c r="O18" s="37" t="s">
        <v>481</v>
      </c>
    </row>
    <row r="19" spans="1:16" ht="130.5" x14ac:dyDescent="0.35">
      <c r="A19" s="36">
        <v>12</v>
      </c>
      <c r="B19" s="36" t="str">
        <f t="shared" si="0"/>
        <v>8.12</v>
      </c>
      <c r="C19" s="89" t="s">
        <v>41</v>
      </c>
      <c r="D19" s="36" t="s">
        <v>72</v>
      </c>
      <c r="E19" s="36" t="s">
        <v>34</v>
      </c>
      <c r="F19" s="36" t="s">
        <v>51</v>
      </c>
      <c r="G19" s="36" t="s">
        <v>891</v>
      </c>
      <c r="H19" s="38">
        <v>15</v>
      </c>
      <c r="I19" s="36" t="s">
        <v>853</v>
      </c>
      <c r="J19" s="37" t="s">
        <v>107</v>
      </c>
      <c r="K19" s="37" t="s">
        <v>76</v>
      </c>
      <c r="L19" s="37" t="s">
        <v>701</v>
      </c>
      <c r="M19" s="37" t="s">
        <v>487</v>
      </c>
      <c r="N19" s="37" t="s">
        <v>889</v>
      </c>
      <c r="O19" s="37" t="s">
        <v>481</v>
      </c>
    </row>
    <row r="20" spans="1:16" ht="43.5" x14ac:dyDescent="0.35">
      <c r="A20" s="36">
        <v>13</v>
      </c>
      <c r="B20" s="36" t="str">
        <f>CONCATENATE($B$2, ".", A20)</f>
        <v>8.13</v>
      </c>
      <c r="C20" s="89" t="s">
        <v>41</v>
      </c>
      <c r="D20" s="36" t="s">
        <v>73</v>
      </c>
      <c r="E20" s="36" t="s">
        <v>32</v>
      </c>
      <c r="F20" s="36" t="s">
        <v>51</v>
      </c>
      <c r="G20" s="36" t="s">
        <v>36</v>
      </c>
      <c r="H20" s="38">
        <v>7</v>
      </c>
      <c r="I20" s="36" t="s">
        <v>853</v>
      </c>
      <c r="J20" s="37" t="s">
        <v>107</v>
      </c>
      <c r="K20" s="37" t="s">
        <v>76</v>
      </c>
      <c r="L20" s="37" t="s">
        <v>702</v>
      </c>
      <c r="M20" s="37" t="s">
        <v>483</v>
      </c>
      <c r="N20" s="37" t="s">
        <v>36</v>
      </c>
      <c r="O20" s="37" t="s">
        <v>481</v>
      </c>
    </row>
    <row r="21" spans="1:16" x14ac:dyDescent="0.35">
      <c r="A21" s="96" t="s">
        <v>851</v>
      </c>
      <c r="B21" s="92"/>
      <c r="C21" s="93"/>
      <c r="D21" s="92"/>
      <c r="E21" s="92"/>
      <c r="F21" s="92"/>
      <c r="G21" s="92"/>
      <c r="H21" s="94"/>
      <c r="I21" s="92"/>
      <c r="J21" s="95"/>
      <c r="K21" s="95"/>
      <c r="L21" s="95"/>
      <c r="M21" s="95"/>
      <c r="N21" s="95"/>
      <c r="O21" s="95"/>
      <c r="P21" s="92"/>
    </row>
    <row r="22" spans="1:16" ht="87" x14ac:dyDescent="0.35">
      <c r="A22" s="36">
        <v>14</v>
      </c>
      <c r="B22" s="36" t="str">
        <f t="shared" ref="B22" si="2">CONCATENATE($B$2, ".", A22)</f>
        <v>8.14</v>
      </c>
      <c r="C22" s="89" t="s">
        <v>37</v>
      </c>
      <c r="D22" s="36" t="s">
        <v>678</v>
      </c>
      <c r="E22" s="36" t="s">
        <v>31</v>
      </c>
      <c r="F22" s="36" t="s">
        <v>58</v>
      </c>
      <c r="G22" s="36" t="s">
        <v>36</v>
      </c>
      <c r="H22" s="38" t="s">
        <v>36</v>
      </c>
      <c r="I22" s="36" t="s">
        <v>9</v>
      </c>
      <c r="J22" s="37" t="s">
        <v>495</v>
      </c>
      <c r="K22" s="37" t="s">
        <v>83</v>
      </c>
      <c r="L22" s="37" t="s">
        <v>36</v>
      </c>
      <c r="M22" s="37" t="s">
        <v>36</v>
      </c>
      <c r="N22" s="37" t="s">
        <v>36</v>
      </c>
      <c r="O22" s="37" t="s">
        <v>863</v>
      </c>
    </row>
    <row r="23" spans="1:16" x14ac:dyDescent="0.35">
      <c r="A23" s="96" t="s">
        <v>861</v>
      </c>
      <c r="B23" s="92"/>
      <c r="C23" s="93"/>
      <c r="D23" s="92"/>
      <c r="E23" s="92"/>
      <c r="F23" s="92"/>
      <c r="G23" s="92"/>
      <c r="H23" s="94"/>
      <c r="I23" s="92"/>
      <c r="J23" s="95"/>
      <c r="K23" s="95"/>
      <c r="L23" s="95"/>
      <c r="M23" s="95"/>
      <c r="N23" s="95"/>
      <c r="O23" s="95"/>
      <c r="P23" s="92"/>
    </row>
    <row r="24" spans="1:16" ht="130.5" x14ac:dyDescent="0.35">
      <c r="A24" s="36">
        <v>15</v>
      </c>
      <c r="B24" s="36" t="str">
        <f t="shared" ref="B24" si="3">CONCATENATE($B$2, ".", A24)</f>
        <v>8.15</v>
      </c>
      <c r="C24" s="89" t="s">
        <v>37</v>
      </c>
      <c r="D24" s="36" t="s">
        <v>482</v>
      </c>
      <c r="E24" s="36" t="s">
        <v>74</v>
      </c>
      <c r="F24" s="36" t="s">
        <v>51</v>
      </c>
      <c r="G24" s="36" t="s">
        <v>36</v>
      </c>
      <c r="H24" s="38">
        <v>35</v>
      </c>
      <c r="I24" s="36" t="s">
        <v>486</v>
      </c>
      <c r="J24" s="37" t="s">
        <v>107</v>
      </c>
      <c r="K24" s="37" t="s">
        <v>865</v>
      </c>
      <c r="L24" s="37" t="s">
        <v>703</v>
      </c>
      <c r="M24" s="37" t="s">
        <v>36</v>
      </c>
      <c r="N24" s="37" t="s">
        <v>36</v>
      </c>
      <c r="O24" s="37" t="s">
        <v>864</v>
      </c>
    </row>
    <row r="25" spans="1:16" x14ac:dyDescent="0.35">
      <c r="A25" s="96" t="s">
        <v>862</v>
      </c>
      <c r="B25" s="92"/>
      <c r="C25" s="93"/>
      <c r="D25" s="92"/>
      <c r="E25" s="92"/>
      <c r="F25" s="92"/>
      <c r="G25" s="92"/>
      <c r="H25" s="94"/>
      <c r="I25" s="92"/>
      <c r="J25" s="95"/>
      <c r="K25" s="95"/>
      <c r="L25" s="95"/>
      <c r="M25" s="95"/>
      <c r="N25" s="95"/>
      <c r="O25" s="95"/>
      <c r="P25" s="92"/>
    </row>
    <row r="26" spans="1:16" ht="43.5" x14ac:dyDescent="0.35">
      <c r="A26" s="36">
        <v>16</v>
      </c>
      <c r="B26" s="36" t="str">
        <f>CONCATENATE($B$2, ".", A26)</f>
        <v>8.16</v>
      </c>
      <c r="C26" s="89" t="s">
        <v>37</v>
      </c>
      <c r="D26" s="36" t="s">
        <v>484</v>
      </c>
      <c r="E26" s="36" t="s">
        <v>32</v>
      </c>
      <c r="F26" s="36" t="s">
        <v>972</v>
      </c>
      <c r="G26" s="36" t="s">
        <v>36</v>
      </c>
      <c r="H26" s="38">
        <v>10</v>
      </c>
      <c r="I26" s="36" t="s">
        <v>853</v>
      </c>
      <c r="J26" s="37" t="s">
        <v>107</v>
      </c>
      <c r="K26" s="37" t="s">
        <v>76</v>
      </c>
      <c r="L26" s="37" t="s">
        <v>704</v>
      </c>
      <c r="M26" s="37" t="s">
        <v>36</v>
      </c>
      <c r="N26" s="37" t="s">
        <v>36</v>
      </c>
      <c r="O26" s="37" t="s">
        <v>658</v>
      </c>
      <c r="P26" s="36" t="s">
        <v>733</v>
      </c>
    </row>
    <row r="27" spans="1:16" ht="43.5" x14ac:dyDescent="0.35">
      <c r="A27" s="36">
        <v>17</v>
      </c>
      <c r="B27" s="36" t="str">
        <f t="shared" ref="B27:B30" si="4">CONCATENATE($B$2, ".", A27)</f>
        <v>8.17</v>
      </c>
      <c r="C27" s="134" t="s">
        <v>37</v>
      </c>
      <c r="D27" s="36" t="s">
        <v>485</v>
      </c>
      <c r="E27" s="36" t="s">
        <v>32</v>
      </c>
      <c r="F27" s="36" t="s">
        <v>972</v>
      </c>
      <c r="G27" s="36" t="s">
        <v>36</v>
      </c>
      <c r="H27" s="38">
        <v>35</v>
      </c>
      <c r="I27" s="36" t="s">
        <v>853</v>
      </c>
      <c r="J27" s="37" t="s">
        <v>107</v>
      </c>
      <c r="K27" s="37" t="s">
        <v>76</v>
      </c>
      <c r="L27" s="37" t="s">
        <v>705</v>
      </c>
      <c r="M27" s="37" t="s">
        <v>36</v>
      </c>
      <c r="N27" s="37" t="s">
        <v>36</v>
      </c>
      <c r="O27" s="37" t="s">
        <v>658</v>
      </c>
      <c r="P27" s="36" t="s">
        <v>733</v>
      </c>
    </row>
    <row r="28" spans="1:16" ht="29" x14ac:dyDescent="0.35">
      <c r="A28" s="36">
        <v>18</v>
      </c>
      <c r="B28" s="36" t="str">
        <f t="shared" si="4"/>
        <v>8.18</v>
      </c>
      <c r="C28" s="134" t="s">
        <v>37</v>
      </c>
      <c r="D28" s="36" t="s">
        <v>70</v>
      </c>
      <c r="E28" s="36" t="s">
        <v>32</v>
      </c>
      <c r="F28" s="36" t="s">
        <v>972</v>
      </c>
      <c r="G28" s="36" t="s">
        <v>36</v>
      </c>
      <c r="H28" s="38">
        <v>10</v>
      </c>
      <c r="I28" s="36" t="s">
        <v>853</v>
      </c>
      <c r="J28" s="37" t="s">
        <v>107</v>
      </c>
      <c r="K28" s="37" t="s">
        <v>78</v>
      </c>
      <c r="L28" s="37" t="s">
        <v>36</v>
      </c>
      <c r="M28" s="37" t="s">
        <v>36</v>
      </c>
      <c r="N28" s="37" t="s">
        <v>36</v>
      </c>
      <c r="O28" s="37" t="s">
        <v>658</v>
      </c>
    </row>
    <row r="29" spans="1:16" ht="43.5" x14ac:dyDescent="0.35">
      <c r="A29" s="36">
        <v>19</v>
      </c>
      <c r="B29" s="36" t="str">
        <f t="shared" si="4"/>
        <v>8.19</v>
      </c>
      <c r="C29" s="134" t="s">
        <v>37</v>
      </c>
      <c r="D29" s="36" t="s">
        <v>71</v>
      </c>
      <c r="E29" s="36" t="s">
        <v>32</v>
      </c>
      <c r="F29" s="36" t="s">
        <v>972</v>
      </c>
      <c r="G29" s="36" t="s">
        <v>36</v>
      </c>
      <c r="H29" s="38">
        <v>20</v>
      </c>
      <c r="I29" s="36" t="s">
        <v>853</v>
      </c>
      <c r="J29" s="37" t="s">
        <v>107</v>
      </c>
      <c r="K29" s="37" t="s">
        <v>76</v>
      </c>
      <c r="L29" s="37" t="s">
        <v>700</v>
      </c>
      <c r="M29" s="37" t="s">
        <v>36</v>
      </c>
      <c r="N29" s="37" t="s">
        <v>36</v>
      </c>
      <c r="O29" s="37" t="s">
        <v>658</v>
      </c>
    </row>
    <row r="30" spans="1:16" ht="87" x14ac:dyDescent="0.35">
      <c r="A30" s="36">
        <v>20</v>
      </c>
      <c r="B30" s="36" t="str">
        <f t="shared" si="4"/>
        <v>8.20</v>
      </c>
      <c r="C30" s="134" t="s">
        <v>37</v>
      </c>
      <c r="D30" s="36" t="s">
        <v>72</v>
      </c>
      <c r="E30" s="36" t="s">
        <v>34</v>
      </c>
      <c r="F30" s="36" t="s">
        <v>51</v>
      </c>
      <c r="G30" s="36" t="s">
        <v>36</v>
      </c>
      <c r="H30" s="38">
        <v>15</v>
      </c>
      <c r="I30" s="36" t="s">
        <v>853</v>
      </c>
      <c r="J30" s="37" t="s">
        <v>107</v>
      </c>
      <c r="K30" s="37" t="s">
        <v>477</v>
      </c>
      <c r="L30" s="37" t="s">
        <v>701</v>
      </c>
      <c r="M30" s="37" t="s">
        <v>734</v>
      </c>
      <c r="N30" s="37" t="s">
        <v>36</v>
      </c>
      <c r="O30" s="37" t="s">
        <v>658</v>
      </c>
    </row>
    <row r="31" spans="1:16" ht="43.5" x14ac:dyDescent="0.35">
      <c r="A31" s="36">
        <v>21</v>
      </c>
      <c r="B31" s="36" t="str">
        <f>CONCATENATE($B$2, ".", A31)</f>
        <v>8.21</v>
      </c>
      <c r="C31" s="134" t="s">
        <v>37</v>
      </c>
      <c r="D31" s="36" t="s">
        <v>73</v>
      </c>
      <c r="E31" s="36" t="s">
        <v>32</v>
      </c>
      <c r="F31" s="36" t="s">
        <v>51</v>
      </c>
      <c r="G31" s="36" t="s">
        <v>36</v>
      </c>
      <c r="H31" s="38">
        <v>7</v>
      </c>
      <c r="I31" s="36" t="s">
        <v>853</v>
      </c>
      <c r="J31" s="37" t="s">
        <v>107</v>
      </c>
      <c r="K31" s="37" t="s">
        <v>76</v>
      </c>
      <c r="L31" s="37" t="s">
        <v>702</v>
      </c>
      <c r="M31" s="37" t="s">
        <v>36</v>
      </c>
      <c r="N31" s="37" t="s">
        <v>36</v>
      </c>
      <c r="O31" s="37" t="s">
        <v>658</v>
      </c>
    </row>
    <row r="32" spans="1:16" x14ac:dyDescent="0.35">
      <c r="A32" s="96"/>
      <c r="B32" s="92"/>
      <c r="C32" s="93"/>
      <c r="D32" s="92"/>
      <c r="E32" s="92"/>
      <c r="F32" s="92"/>
      <c r="G32" s="92"/>
      <c r="H32" s="94"/>
      <c r="I32" s="92"/>
      <c r="J32" s="95"/>
      <c r="K32" s="95"/>
      <c r="L32" s="95"/>
      <c r="M32" s="95"/>
      <c r="N32" s="95"/>
      <c r="O32" s="95"/>
      <c r="P32" s="92"/>
    </row>
    <row r="33" spans="1:15" ht="29" x14ac:dyDescent="0.35">
      <c r="A33" s="36">
        <v>22</v>
      </c>
      <c r="B33" s="36" t="str">
        <f t="shared" ref="B33:B34" si="5">CONCATENATE($B$2, ".", A33)</f>
        <v>8.22</v>
      </c>
      <c r="C33" s="45" t="s">
        <v>41</v>
      </c>
      <c r="D33" s="36" t="s">
        <v>57</v>
      </c>
      <c r="E33" s="36" t="s">
        <v>42</v>
      </c>
      <c r="F33" s="36" t="s">
        <v>36</v>
      </c>
      <c r="G33" s="36" t="s">
        <v>36</v>
      </c>
      <c r="H33" s="36" t="s">
        <v>36</v>
      </c>
      <c r="I33" s="36" t="s">
        <v>9</v>
      </c>
      <c r="J33" s="36" t="s">
        <v>36</v>
      </c>
      <c r="K33" s="36" t="s">
        <v>36</v>
      </c>
      <c r="L33" s="36" t="s">
        <v>36</v>
      </c>
      <c r="M33" s="36" t="s">
        <v>36</v>
      </c>
      <c r="N33" s="36" t="s">
        <v>36</v>
      </c>
      <c r="O33" s="37" t="s">
        <v>491</v>
      </c>
    </row>
    <row r="34" spans="1:15" ht="29" x14ac:dyDescent="0.35">
      <c r="A34" s="36">
        <v>23</v>
      </c>
      <c r="B34" s="36" t="str">
        <f t="shared" si="5"/>
        <v>8.23</v>
      </c>
      <c r="C34" s="45" t="s">
        <v>41</v>
      </c>
      <c r="D34" s="36" t="s">
        <v>56</v>
      </c>
      <c r="E34" s="36" t="s">
        <v>42</v>
      </c>
      <c r="F34" s="36" t="s">
        <v>36</v>
      </c>
      <c r="G34" s="36" t="s">
        <v>36</v>
      </c>
      <c r="H34" s="36" t="s">
        <v>36</v>
      </c>
      <c r="I34" s="36" t="s">
        <v>9</v>
      </c>
      <c r="J34" s="36" t="s">
        <v>36</v>
      </c>
      <c r="K34" s="36" t="s">
        <v>36</v>
      </c>
      <c r="L34" s="36" t="s">
        <v>36</v>
      </c>
      <c r="M34" s="36" t="s">
        <v>36</v>
      </c>
      <c r="N34" s="36" t="s">
        <v>36</v>
      </c>
      <c r="O34" s="37" t="s">
        <v>492</v>
      </c>
    </row>
  </sheetData>
  <mergeCells count="2">
    <mergeCell ref="B1:C1"/>
    <mergeCell ref="B4:C4"/>
  </mergeCells>
  <conditionalFormatting sqref="C33:C1048576 C26:C31 C7:C14">
    <cfRule type="cellIs" dxfId="627" priority="114" operator="equal">
      <formula>"WIP (see comments)"</formula>
    </cfRule>
    <cfRule type="cellIs" dxfId="626" priority="115" operator="equal">
      <formula>"Removed"</formula>
    </cfRule>
    <cfRule type="cellIs" dxfId="625" priority="116" operator="equal">
      <formula>"Updated"</formula>
    </cfRule>
    <cfRule type="cellIs" dxfId="624" priority="117" operator="equal">
      <formula>"New"</formula>
    </cfRule>
  </conditionalFormatting>
  <conditionalFormatting sqref="A1:B1 E1:XFD1 A2:XFD3 A4:B4 D4:XFD4 Q15:XFD20 A35:XFD1048576 Q24:XFD24 C33:XFD34 Q11:XFD12 Q26:XFD26 A5:XFD10 J26:N26 C27:C31 D13:XFD14 B11:C14 B26:H26">
    <cfRule type="cellIs" dxfId="623" priority="101" operator="equal">
      <formula>"n/a"</formula>
    </cfRule>
  </conditionalFormatting>
  <conditionalFormatting sqref="D1">
    <cfRule type="cellIs" dxfId="622" priority="88" operator="equal">
      <formula>"n/a"</formula>
    </cfRule>
  </conditionalFormatting>
  <conditionalFormatting sqref="B15:B20 D19:P20 D15:E18 G15:P18">
    <cfRule type="cellIs" dxfId="621" priority="87" operator="equal">
      <formula>"n/a"</formula>
    </cfRule>
  </conditionalFormatting>
  <conditionalFormatting sqref="C15:C20">
    <cfRule type="cellIs" dxfId="620" priority="83" operator="equal">
      <formula>"WIP (see comments)"</formula>
    </cfRule>
    <cfRule type="cellIs" dxfId="619" priority="84" operator="equal">
      <formula>"Removed"</formula>
    </cfRule>
    <cfRule type="cellIs" dxfId="618" priority="85" operator="equal">
      <formula>"Updated"</formula>
    </cfRule>
    <cfRule type="cellIs" dxfId="617" priority="86" operator="equal">
      <formula>"New"</formula>
    </cfRule>
  </conditionalFormatting>
  <conditionalFormatting sqref="C15:C20">
    <cfRule type="cellIs" dxfId="616" priority="82" operator="equal">
      <formula>"n/a"</formula>
    </cfRule>
  </conditionalFormatting>
  <conditionalFormatting sqref="Q27:XFD31">
    <cfRule type="cellIs" dxfId="615" priority="81" operator="equal">
      <formula>"n/a"</formula>
    </cfRule>
  </conditionalFormatting>
  <conditionalFormatting sqref="B27:B31 B33:B34 J27:N29 P28:P31 J31:N31 J30 D30:H31 N30 D27:E29 G27:H29">
    <cfRule type="cellIs" dxfId="614" priority="80" operator="equal">
      <formula>"n/a"</formula>
    </cfRule>
  </conditionalFormatting>
  <conditionalFormatting sqref="P25:XFD25">
    <cfRule type="cellIs" dxfId="613" priority="68" operator="equal">
      <formula>"n/a"</formula>
    </cfRule>
  </conditionalFormatting>
  <conditionalFormatting sqref="D25:O25 B25">
    <cfRule type="cellIs" dxfId="612" priority="67" operator="equal">
      <formula>"n/a"</formula>
    </cfRule>
  </conditionalFormatting>
  <conditionalFormatting sqref="C25">
    <cfRule type="cellIs" dxfId="611" priority="63" operator="equal">
      <formula>"WIP (see comments)"</formula>
    </cfRule>
    <cfRule type="cellIs" dxfId="610" priority="64" operator="equal">
      <formula>"Removed"</formula>
    </cfRule>
    <cfRule type="cellIs" dxfId="609" priority="65" operator="equal">
      <formula>"Updated"</formula>
    </cfRule>
    <cfRule type="cellIs" dxfId="608" priority="66" operator="equal">
      <formula>"New"</formula>
    </cfRule>
  </conditionalFormatting>
  <conditionalFormatting sqref="C25">
    <cfRule type="cellIs" dxfId="607" priority="62" operator="equal">
      <formula>"n/a"</formula>
    </cfRule>
  </conditionalFormatting>
  <conditionalFormatting sqref="C24">
    <cfRule type="cellIs" dxfId="606" priority="48" operator="equal">
      <formula>"n/a"</formula>
    </cfRule>
  </conditionalFormatting>
  <conditionalFormatting sqref="C22">
    <cfRule type="cellIs" dxfId="605" priority="40" operator="equal">
      <formula>"n/a"</formula>
    </cfRule>
  </conditionalFormatting>
  <conditionalFormatting sqref="P21:XFD21">
    <cfRule type="cellIs" dxfId="604" priority="61" operator="equal">
      <formula>"n/a"</formula>
    </cfRule>
  </conditionalFormatting>
  <conditionalFormatting sqref="D21:O21 B21">
    <cfRule type="cellIs" dxfId="603" priority="60" operator="equal">
      <formula>"n/a"</formula>
    </cfRule>
  </conditionalFormatting>
  <conditionalFormatting sqref="C21">
    <cfRule type="cellIs" dxfId="602" priority="56" operator="equal">
      <formula>"WIP (see comments)"</formula>
    </cfRule>
    <cfRule type="cellIs" dxfId="601" priority="57" operator="equal">
      <formula>"Removed"</formula>
    </cfRule>
    <cfRule type="cellIs" dxfId="600" priority="58" operator="equal">
      <formula>"Updated"</formula>
    </cfRule>
    <cfRule type="cellIs" dxfId="599" priority="59" operator="equal">
      <formula>"New"</formula>
    </cfRule>
  </conditionalFormatting>
  <conditionalFormatting sqref="C21">
    <cfRule type="cellIs" dxfId="598" priority="55" operator="equal">
      <formula>"n/a"</formula>
    </cfRule>
  </conditionalFormatting>
  <conditionalFormatting sqref="P24">
    <cfRule type="cellIs" dxfId="597" priority="54" operator="equal">
      <formula>"n/a"</formula>
    </cfRule>
  </conditionalFormatting>
  <conditionalFormatting sqref="B24 D24:O24">
    <cfRule type="cellIs" dxfId="596" priority="53" operator="equal">
      <formula>"n/a"</formula>
    </cfRule>
  </conditionalFormatting>
  <conditionalFormatting sqref="C24">
    <cfRule type="cellIs" dxfId="595" priority="49" operator="equal">
      <formula>"WIP (see comments)"</formula>
    </cfRule>
    <cfRule type="cellIs" dxfId="594" priority="50" operator="equal">
      <formula>"Removed"</formula>
    </cfRule>
    <cfRule type="cellIs" dxfId="593" priority="51" operator="equal">
      <formula>"Updated"</formula>
    </cfRule>
    <cfRule type="cellIs" dxfId="592" priority="52" operator="equal">
      <formula>"New"</formula>
    </cfRule>
  </conditionalFormatting>
  <conditionalFormatting sqref="O11">
    <cfRule type="cellIs" dxfId="591" priority="18" operator="equal">
      <formula>"n/a"</formula>
    </cfRule>
  </conditionalFormatting>
  <conditionalFormatting sqref="Q22:XFD22">
    <cfRule type="cellIs" dxfId="590" priority="47" operator="equal">
      <formula>"n/a"</formula>
    </cfRule>
  </conditionalFormatting>
  <conditionalFormatting sqref="P22">
    <cfRule type="cellIs" dxfId="589" priority="46" operator="equal">
      <formula>"n/a"</formula>
    </cfRule>
  </conditionalFormatting>
  <conditionalFormatting sqref="D22:O22 B22">
    <cfRule type="cellIs" dxfId="588" priority="45" operator="equal">
      <formula>"n/a"</formula>
    </cfRule>
  </conditionalFormatting>
  <conditionalFormatting sqref="C22">
    <cfRule type="cellIs" dxfId="587" priority="41" operator="equal">
      <formula>"WIP (see comments)"</formula>
    </cfRule>
    <cfRule type="cellIs" dxfId="586" priority="42" operator="equal">
      <formula>"Removed"</formula>
    </cfRule>
    <cfRule type="cellIs" dxfId="585" priority="43" operator="equal">
      <formula>"Updated"</formula>
    </cfRule>
    <cfRule type="cellIs" dxfId="584" priority="44" operator="equal">
      <formula>"New"</formula>
    </cfRule>
  </conditionalFormatting>
  <conditionalFormatting sqref="P23:XFD23">
    <cfRule type="cellIs" dxfId="583" priority="39" operator="equal">
      <formula>"n/a"</formula>
    </cfRule>
  </conditionalFormatting>
  <conditionalFormatting sqref="D23:O23 B23">
    <cfRule type="cellIs" dxfId="582" priority="38" operator="equal">
      <formula>"n/a"</formula>
    </cfRule>
  </conditionalFormatting>
  <conditionalFormatting sqref="C23">
    <cfRule type="cellIs" dxfId="581" priority="34" operator="equal">
      <formula>"WIP (see comments)"</formula>
    </cfRule>
    <cfRule type="cellIs" dxfId="580" priority="35" operator="equal">
      <formula>"Removed"</formula>
    </cfRule>
    <cfRule type="cellIs" dxfId="579" priority="36" operator="equal">
      <formula>"Updated"</formula>
    </cfRule>
    <cfRule type="cellIs" dxfId="578" priority="37" operator="equal">
      <formula>"New"</formula>
    </cfRule>
  </conditionalFormatting>
  <conditionalFormatting sqref="C23">
    <cfRule type="cellIs" dxfId="577" priority="33" operator="equal">
      <formula>"n/a"</formula>
    </cfRule>
  </conditionalFormatting>
  <conditionalFormatting sqref="P32:XFD32">
    <cfRule type="cellIs" dxfId="576" priority="27" operator="equal">
      <formula>"n/a"</formula>
    </cfRule>
  </conditionalFormatting>
  <conditionalFormatting sqref="D32:O32 B32">
    <cfRule type="cellIs" dxfId="575" priority="26" operator="equal">
      <formula>"n/a"</formula>
    </cfRule>
  </conditionalFormatting>
  <conditionalFormatting sqref="C32">
    <cfRule type="cellIs" dxfId="574" priority="22" operator="equal">
      <formula>"WIP (see comments)"</formula>
    </cfRule>
    <cfRule type="cellIs" dxfId="573" priority="23" operator="equal">
      <formula>"Removed"</formula>
    </cfRule>
    <cfRule type="cellIs" dxfId="572" priority="24" operator="equal">
      <formula>"Updated"</formula>
    </cfRule>
    <cfRule type="cellIs" dxfId="571" priority="25" operator="equal">
      <formula>"New"</formula>
    </cfRule>
  </conditionalFormatting>
  <conditionalFormatting sqref="C32">
    <cfRule type="cellIs" dxfId="570" priority="21" operator="equal">
      <formula>"n/a"</formula>
    </cfRule>
  </conditionalFormatting>
  <conditionalFormatting sqref="D11:N11 P11">
    <cfRule type="cellIs" dxfId="569" priority="20" operator="equal">
      <formula>"n/a"</formula>
    </cfRule>
  </conditionalFormatting>
  <conditionalFormatting sqref="D12:P12">
    <cfRule type="cellIs" dxfId="568" priority="19" operator="equal">
      <formula>"n/a"</formula>
    </cfRule>
  </conditionalFormatting>
  <conditionalFormatting sqref="P26:P27">
    <cfRule type="cellIs" dxfId="567" priority="17" operator="equal">
      <formula>"n/a"</formula>
    </cfRule>
  </conditionalFormatting>
  <conditionalFormatting sqref="O26:O31">
    <cfRule type="cellIs" dxfId="566" priority="11" operator="equal">
      <formula>"n/a"</formula>
    </cfRule>
  </conditionalFormatting>
  <conditionalFormatting sqref="I26:I31">
    <cfRule type="cellIs" dxfId="565" priority="10" operator="equal">
      <formula>"n/a"</formula>
    </cfRule>
  </conditionalFormatting>
  <conditionalFormatting sqref="K30">
    <cfRule type="cellIs" dxfId="564" priority="9" operator="equal">
      <formula>"n/a"</formula>
    </cfRule>
  </conditionalFormatting>
  <conditionalFormatting sqref="L30:M30">
    <cfRule type="cellIs" dxfId="563" priority="8" operator="equal">
      <formula>"n/a"</formula>
    </cfRule>
  </conditionalFormatting>
  <conditionalFormatting sqref="F15">
    <cfRule type="cellIs" dxfId="562" priority="7" operator="equal">
      <formula>"n/a"</formula>
    </cfRule>
  </conditionalFormatting>
  <conditionalFormatting sqref="F16">
    <cfRule type="cellIs" dxfId="561" priority="6" operator="equal">
      <formula>"n/a"</formula>
    </cfRule>
  </conditionalFormatting>
  <conditionalFormatting sqref="F17">
    <cfRule type="cellIs" dxfId="560" priority="5" operator="equal">
      <formula>"n/a"</formula>
    </cfRule>
  </conditionalFormatting>
  <conditionalFormatting sqref="F18">
    <cfRule type="cellIs" dxfId="559" priority="4" operator="equal">
      <formula>"n/a"</formula>
    </cfRule>
  </conditionalFormatting>
  <conditionalFormatting sqref="F27">
    <cfRule type="cellIs" dxfId="558" priority="3" operator="equal">
      <formula>"n/a"</formula>
    </cfRule>
  </conditionalFormatting>
  <conditionalFormatting sqref="F28">
    <cfRule type="cellIs" dxfId="557" priority="2" operator="equal">
      <formula>"n/a"</formula>
    </cfRule>
  </conditionalFormatting>
  <conditionalFormatting sqref="F29">
    <cfRule type="cellIs" dxfId="55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C33:C1048576 C7:C10</xm:sqref>
        </x14:dataValidation>
        <x14:dataValidation type="list" allowBlank="1" showInputMessage="1" showErrorMessage="1">
          <x14:formula1>
            <xm:f>'List Values'!$B$5:$B$11</xm:f>
          </x14:formula1>
          <xm:sqref>C11:C32</xm:sqref>
        </x14:dataValidation>
        <x14:dataValidation type="list" allowBlank="1" showInputMessage="1" showErrorMessage="1">
          <x14:formula1>
            <xm:f>'List Values'!$A$5:$A$35</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60" t="s">
        <v>220</v>
      </c>
      <c r="C1" s="160"/>
      <c r="D1" s="160"/>
    </row>
    <row r="2" spans="1:16" s="57" customFormat="1" ht="18.5" x14ac:dyDescent="0.35">
      <c r="A2" s="56" t="s">
        <v>7</v>
      </c>
      <c r="B2" s="58">
        <v>9</v>
      </c>
      <c r="C2" s="59"/>
      <c r="D2" s="58"/>
    </row>
    <row r="3" spans="1:16" s="57" customFormat="1" ht="18.5" x14ac:dyDescent="0.35">
      <c r="A3" s="56" t="s">
        <v>43</v>
      </c>
      <c r="B3" s="58" t="s">
        <v>490</v>
      </c>
      <c r="C3" s="59"/>
      <c r="D3" s="58" t="s">
        <v>870</v>
      </c>
    </row>
    <row r="4" spans="1:16" s="57" customFormat="1" ht="18.5" x14ac:dyDescent="0.35">
      <c r="A4" s="56" t="s">
        <v>8</v>
      </c>
      <c r="B4" s="161" t="s">
        <v>46</v>
      </c>
      <c r="C4" s="161"/>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2" si="0">CONCATENATE($B$2, ".", A7)</f>
        <v>9.1</v>
      </c>
      <c r="C7" s="45" t="s">
        <v>41</v>
      </c>
      <c r="D7" s="36" t="s">
        <v>220</v>
      </c>
      <c r="E7" s="36" t="s">
        <v>115</v>
      </c>
      <c r="F7" s="36" t="s">
        <v>36</v>
      </c>
      <c r="G7" s="36" t="s">
        <v>36</v>
      </c>
      <c r="H7" s="36" t="s">
        <v>36</v>
      </c>
      <c r="I7" s="36" t="s">
        <v>9</v>
      </c>
      <c r="J7" s="37" t="s">
        <v>36</v>
      </c>
      <c r="K7" s="37" t="s">
        <v>36</v>
      </c>
      <c r="L7" s="37" t="s">
        <v>36</v>
      </c>
      <c r="M7" s="37" t="s">
        <v>36</v>
      </c>
      <c r="N7" s="37" t="s">
        <v>36</v>
      </c>
      <c r="O7" s="37" t="s">
        <v>36</v>
      </c>
    </row>
    <row r="8" spans="1:16" x14ac:dyDescent="0.35">
      <c r="A8" s="36">
        <v>2</v>
      </c>
      <c r="B8" s="36" t="str">
        <f t="shared" si="0"/>
        <v>9.2</v>
      </c>
      <c r="C8" s="45" t="s">
        <v>41</v>
      </c>
      <c r="D8" s="36" t="s">
        <v>36</v>
      </c>
      <c r="E8" s="36" t="s">
        <v>48</v>
      </c>
      <c r="F8" s="36" t="s">
        <v>36</v>
      </c>
      <c r="G8" s="36" t="s">
        <v>36</v>
      </c>
      <c r="H8" s="36" t="s">
        <v>36</v>
      </c>
      <c r="I8" s="36" t="s">
        <v>9</v>
      </c>
      <c r="J8" s="37" t="s">
        <v>36</v>
      </c>
      <c r="K8" s="37" t="s">
        <v>36</v>
      </c>
      <c r="L8" s="37" t="s">
        <v>36</v>
      </c>
      <c r="M8" s="37" t="s">
        <v>36</v>
      </c>
      <c r="N8" s="37" t="s">
        <v>36</v>
      </c>
      <c r="O8" s="37" t="s">
        <v>36</v>
      </c>
      <c r="P8" s="36" t="s">
        <v>458</v>
      </c>
    </row>
    <row r="9" spans="1:16" ht="145" x14ac:dyDescent="0.35">
      <c r="A9" s="36">
        <v>3</v>
      </c>
      <c r="B9" s="36" t="str">
        <f t="shared" si="0"/>
        <v>9.3</v>
      </c>
      <c r="C9" s="45" t="s">
        <v>41</v>
      </c>
      <c r="D9" s="36" t="s">
        <v>493</v>
      </c>
      <c r="E9" s="36" t="s">
        <v>31</v>
      </c>
      <c r="F9" s="36" t="s">
        <v>494</v>
      </c>
      <c r="G9" s="36" t="s">
        <v>496</v>
      </c>
      <c r="H9" s="36" t="s">
        <v>36</v>
      </c>
      <c r="I9" s="36" t="s">
        <v>9</v>
      </c>
      <c r="J9" s="37" t="s">
        <v>495</v>
      </c>
      <c r="K9" s="37" t="s">
        <v>53</v>
      </c>
      <c r="L9" s="37" t="s">
        <v>706</v>
      </c>
      <c r="M9" s="37" t="s">
        <v>36</v>
      </c>
      <c r="N9" s="37" t="s">
        <v>36</v>
      </c>
      <c r="O9" s="37" t="s">
        <v>36</v>
      </c>
      <c r="P9" s="36" t="s">
        <v>522</v>
      </c>
    </row>
    <row r="10" spans="1:16" x14ac:dyDescent="0.35">
      <c r="A10" s="36">
        <v>4</v>
      </c>
      <c r="B10" s="36" t="str">
        <f t="shared" ref="B10" si="1">CONCATENATE($B$2, ".", A10)</f>
        <v>9.4</v>
      </c>
      <c r="C10" s="45" t="s">
        <v>41</v>
      </c>
      <c r="D10" s="36" t="s">
        <v>618</v>
      </c>
      <c r="E10" s="36" t="s">
        <v>28</v>
      </c>
      <c r="F10" s="36" t="s">
        <v>36</v>
      </c>
      <c r="G10" s="36" t="s">
        <v>36</v>
      </c>
      <c r="H10" s="36" t="s">
        <v>36</v>
      </c>
      <c r="I10" s="36" t="s">
        <v>9</v>
      </c>
      <c r="J10" s="37" t="s">
        <v>36</v>
      </c>
      <c r="K10" s="37" t="s">
        <v>36</v>
      </c>
      <c r="L10" s="37" t="s">
        <v>36</v>
      </c>
      <c r="M10" s="37" t="s">
        <v>36</v>
      </c>
      <c r="N10" s="37" t="s">
        <v>36</v>
      </c>
      <c r="O10" s="37" t="s">
        <v>36</v>
      </c>
    </row>
    <row r="11" spans="1:16" ht="87" x14ac:dyDescent="0.35">
      <c r="A11" s="36">
        <v>5</v>
      </c>
      <c r="B11" s="36" t="str">
        <f t="shared" si="0"/>
        <v>9.5</v>
      </c>
      <c r="C11" s="45" t="s">
        <v>41</v>
      </c>
      <c r="D11" s="36" t="s">
        <v>497</v>
      </c>
      <c r="E11" s="36" t="s">
        <v>34</v>
      </c>
      <c r="F11" s="36" t="s">
        <v>615</v>
      </c>
      <c r="G11" s="36" t="s">
        <v>506</v>
      </c>
      <c r="H11" s="36" t="s">
        <v>36</v>
      </c>
      <c r="I11" s="36" t="s">
        <v>9</v>
      </c>
      <c r="J11" s="37" t="s">
        <v>495</v>
      </c>
      <c r="K11" s="37" t="s">
        <v>53</v>
      </c>
      <c r="L11" s="37" t="s">
        <v>707</v>
      </c>
      <c r="M11" s="37" t="s">
        <v>621</v>
      </c>
      <c r="N11" s="37" t="s">
        <v>36</v>
      </c>
      <c r="O11" s="37" t="s">
        <v>674</v>
      </c>
    </row>
    <row r="12" spans="1:16" ht="87" x14ac:dyDescent="0.35">
      <c r="A12" s="36">
        <v>6</v>
      </c>
      <c r="B12" s="36" t="str">
        <f t="shared" si="0"/>
        <v>9.6</v>
      </c>
      <c r="C12" s="45" t="s">
        <v>41</v>
      </c>
      <c r="D12" s="36" t="s">
        <v>611</v>
      </c>
      <c r="E12" s="36" t="s">
        <v>34</v>
      </c>
      <c r="F12" s="36" t="s">
        <v>616</v>
      </c>
      <c r="G12" s="36" t="s">
        <v>612</v>
      </c>
      <c r="H12" s="36" t="s">
        <v>36</v>
      </c>
      <c r="I12" s="36" t="s">
        <v>9</v>
      </c>
      <c r="J12" s="37" t="s">
        <v>495</v>
      </c>
      <c r="K12" s="37" t="s">
        <v>53</v>
      </c>
      <c r="L12" s="37" t="s">
        <v>708</v>
      </c>
      <c r="M12" s="37" t="s">
        <v>622</v>
      </c>
      <c r="N12" s="37" t="s">
        <v>36</v>
      </c>
      <c r="O12" s="37" t="s">
        <v>624</v>
      </c>
    </row>
    <row r="13" spans="1:16" ht="87" x14ac:dyDescent="0.35">
      <c r="A13" s="36">
        <v>7</v>
      </c>
      <c r="B13" s="36" t="str">
        <f t="shared" ref="B13" si="2">CONCATENATE($B$2, ".", A13)</f>
        <v>9.7</v>
      </c>
      <c r="C13" s="45" t="s">
        <v>41</v>
      </c>
      <c r="D13" s="36" t="s">
        <v>498</v>
      </c>
      <c r="E13" s="36" t="s">
        <v>34</v>
      </c>
      <c r="F13" s="36" t="s">
        <v>617</v>
      </c>
      <c r="G13" s="36" t="s">
        <v>507</v>
      </c>
      <c r="H13" s="36" t="s">
        <v>36</v>
      </c>
      <c r="I13" s="36" t="s">
        <v>9</v>
      </c>
      <c r="J13" s="37" t="s">
        <v>495</v>
      </c>
      <c r="K13" s="37" t="s">
        <v>53</v>
      </c>
      <c r="L13" s="37" t="s">
        <v>709</v>
      </c>
      <c r="M13" s="37" t="s">
        <v>623</v>
      </c>
      <c r="N13" s="37" t="s">
        <v>36</v>
      </c>
      <c r="O13" s="37" t="s">
        <v>630</v>
      </c>
    </row>
    <row r="14" spans="1:16" x14ac:dyDescent="0.35">
      <c r="A14" s="36">
        <v>8</v>
      </c>
      <c r="B14" s="36" t="str">
        <f t="shared" ref="B14" si="3">CONCATENATE($B$2, ".", A14)</f>
        <v>9.8</v>
      </c>
      <c r="C14" s="45" t="s">
        <v>41</v>
      </c>
      <c r="D14" s="36" t="s">
        <v>619</v>
      </c>
      <c r="E14" s="36" t="s">
        <v>28</v>
      </c>
      <c r="F14" s="36" t="s">
        <v>36</v>
      </c>
      <c r="G14" s="36" t="s">
        <v>36</v>
      </c>
      <c r="H14" s="36" t="s">
        <v>36</v>
      </c>
      <c r="I14" s="36" t="s">
        <v>9</v>
      </c>
      <c r="J14" s="37" t="s">
        <v>36</v>
      </c>
      <c r="K14" s="37" t="s">
        <v>36</v>
      </c>
      <c r="L14" s="37" t="s">
        <v>36</v>
      </c>
      <c r="M14" s="37" t="s">
        <v>36</v>
      </c>
      <c r="N14" s="37" t="s">
        <v>36</v>
      </c>
      <c r="O14" s="37" t="s">
        <v>36</v>
      </c>
    </row>
    <row r="15" spans="1:16" ht="29" x14ac:dyDescent="0.35">
      <c r="A15" s="36">
        <v>9</v>
      </c>
      <c r="B15" s="36" t="str">
        <f t="shared" ref="B15:B17" si="4">CONCATENATE($B$2, ".", A15)</f>
        <v>9.9</v>
      </c>
      <c r="C15" s="45" t="s">
        <v>41</v>
      </c>
      <c r="D15" s="36" t="s">
        <v>499</v>
      </c>
      <c r="E15" s="36" t="s">
        <v>32</v>
      </c>
      <c r="F15" s="36" t="s">
        <v>500</v>
      </c>
      <c r="G15" s="36" t="s">
        <v>36</v>
      </c>
      <c r="H15" s="36" t="s">
        <v>501</v>
      </c>
      <c r="I15" s="36" t="s">
        <v>9</v>
      </c>
      <c r="J15" s="36" t="s">
        <v>107</v>
      </c>
      <c r="K15" s="36" t="s">
        <v>83</v>
      </c>
      <c r="L15" s="36" t="s">
        <v>36</v>
      </c>
      <c r="M15" s="36" t="s">
        <v>394</v>
      </c>
      <c r="N15" s="36" t="s">
        <v>36</v>
      </c>
      <c r="O15" s="37" t="s">
        <v>502</v>
      </c>
    </row>
    <row r="16" spans="1:16" ht="58" x14ac:dyDescent="0.35">
      <c r="A16" s="36">
        <v>10</v>
      </c>
      <c r="B16" s="36" t="str">
        <f t="shared" si="4"/>
        <v>9.10</v>
      </c>
      <c r="C16" s="45" t="s">
        <v>37</v>
      </c>
      <c r="D16" s="36" t="s">
        <v>505</v>
      </c>
      <c r="E16" s="36" t="s">
        <v>32</v>
      </c>
      <c r="F16" s="36" t="s">
        <v>974</v>
      </c>
      <c r="G16" s="36" t="s">
        <v>738</v>
      </c>
      <c r="H16" s="36" t="s">
        <v>36</v>
      </c>
      <c r="I16" s="36" t="s">
        <v>9</v>
      </c>
      <c r="J16" s="36" t="s">
        <v>36</v>
      </c>
      <c r="K16" s="36" t="s">
        <v>83</v>
      </c>
      <c r="L16" s="36" t="s">
        <v>36</v>
      </c>
      <c r="M16" s="36" t="s">
        <v>975</v>
      </c>
      <c r="N16" s="36" t="s">
        <v>739</v>
      </c>
      <c r="O16" s="36" t="s">
        <v>36</v>
      </c>
      <c r="P16" s="36" t="s">
        <v>976</v>
      </c>
    </row>
    <row r="17" spans="1:16" x14ac:dyDescent="0.35">
      <c r="A17" s="36">
        <v>11</v>
      </c>
      <c r="B17" s="36" t="str">
        <f t="shared" si="4"/>
        <v>9.11</v>
      </c>
      <c r="C17" s="45" t="s">
        <v>41</v>
      </c>
      <c r="D17" s="36" t="s">
        <v>508</v>
      </c>
      <c r="E17" s="36" t="s">
        <v>28</v>
      </c>
      <c r="F17" s="36" t="s">
        <v>36</v>
      </c>
      <c r="G17" s="36" t="s">
        <v>36</v>
      </c>
      <c r="H17" s="36" t="s">
        <v>36</v>
      </c>
      <c r="I17" s="36" t="s">
        <v>9</v>
      </c>
      <c r="J17" s="36" t="s">
        <v>36</v>
      </c>
      <c r="K17" s="36" t="s">
        <v>36</v>
      </c>
      <c r="L17" s="36" t="s">
        <v>36</v>
      </c>
      <c r="M17" s="36" t="s">
        <v>36</v>
      </c>
      <c r="N17" s="36" t="s">
        <v>36</v>
      </c>
      <c r="O17" s="36" t="s">
        <v>36</v>
      </c>
    </row>
    <row r="18" spans="1:16" ht="145" x14ac:dyDescent="0.35">
      <c r="A18" s="36">
        <v>12</v>
      </c>
      <c r="B18" s="36" t="str">
        <f t="shared" ref="B18" si="5">CONCATENATE($B$2, ".", A18)</f>
        <v>9.12</v>
      </c>
      <c r="C18" s="45" t="s">
        <v>41</v>
      </c>
      <c r="D18" s="36" t="s">
        <v>509</v>
      </c>
      <c r="E18" s="36" t="s">
        <v>34</v>
      </c>
      <c r="F18" s="36" t="s">
        <v>510</v>
      </c>
      <c r="G18" s="36" t="s">
        <v>892</v>
      </c>
      <c r="H18" s="36" t="s">
        <v>36</v>
      </c>
      <c r="I18" s="36" t="s">
        <v>9</v>
      </c>
      <c r="J18" s="36" t="s">
        <v>495</v>
      </c>
      <c r="K18" s="36" t="s">
        <v>366</v>
      </c>
      <c r="L18" s="36" t="s">
        <v>710</v>
      </c>
      <c r="M18" s="37" t="s">
        <v>487</v>
      </c>
      <c r="N18" s="37" t="s">
        <v>889</v>
      </c>
      <c r="O18" s="36" t="s">
        <v>513</v>
      </c>
    </row>
    <row r="19" spans="1:16" ht="87" x14ac:dyDescent="0.35">
      <c r="A19" s="36">
        <v>13</v>
      </c>
      <c r="B19" s="36" t="str">
        <f t="shared" ref="B19" si="6">CONCATENATE($B$2, ".", A19)</f>
        <v>9.13</v>
      </c>
      <c r="C19" s="45" t="s">
        <v>41</v>
      </c>
      <c r="D19" s="36" t="s">
        <v>511</v>
      </c>
      <c r="E19" s="36" t="s">
        <v>32</v>
      </c>
      <c r="F19" s="36" t="s">
        <v>51</v>
      </c>
      <c r="G19" s="36" t="s">
        <v>512</v>
      </c>
      <c r="H19" s="38">
        <v>20</v>
      </c>
      <c r="I19" s="36" t="s">
        <v>9</v>
      </c>
      <c r="J19" s="36" t="s">
        <v>107</v>
      </c>
      <c r="K19" s="36" t="s">
        <v>366</v>
      </c>
      <c r="L19" s="36" t="s">
        <v>711</v>
      </c>
      <c r="M19" s="36" t="s">
        <v>394</v>
      </c>
      <c r="N19" s="36" t="s">
        <v>979</v>
      </c>
      <c r="O19" s="36" t="s">
        <v>514</v>
      </c>
      <c r="P19" s="36" t="s">
        <v>516</v>
      </c>
    </row>
    <row r="20" spans="1:16" ht="159.5" x14ac:dyDescent="0.35">
      <c r="A20" s="36">
        <v>14</v>
      </c>
      <c r="B20" s="36" t="str">
        <f t="shared" ref="B20:B22" si="7">CONCATENATE($B$2, ".", A20)</f>
        <v>9.14</v>
      </c>
      <c r="C20" s="45" t="s">
        <v>41</v>
      </c>
      <c r="D20" s="36" t="s">
        <v>515</v>
      </c>
      <c r="E20" s="36" t="s">
        <v>31</v>
      </c>
      <c r="F20" s="36" t="s">
        <v>58</v>
      </c>
      <c r="G20" s="36" t="s">
        <v>893</v>
      </c>
      <c r="H20" s="36" t="s">
        <v>36</v>
      </c>
      <c r="I20" s="36" t="s">
        <v>9</v>
      </c>
      <c r="J20" s="36" t="s">
        <v>495</v>
      </c>
      <c r="K20" s="36" t="s">
        <v>53</v>
      </c>
      <c r="L20" s="36" t="s">
        <v>712</v>
      </c>
      <c r="M20" s="36" t="s">
        <v>36</v>
      </c>
      <c r="N20" s="36" t="s">
        <v>36</v>
      </c>
      <c r="O20" s="36" t="s">
        <v>613</v>
      </c>
    </row>
    <row r="21" spans="1:16" ht="246.5" x14ac:dyDescent="0.35">
      <c r="A21" s="36">
        <v>15</v>
      </c>
      <c r="B21" s="36" t="str">
        <f t="shared" si="7"/>
        <v>9.15</v>
      </c>
      <c r="C21" s="45" t="s">
        <v>41</v>
      </c>
      <c r="D21" s="36" t="s">
        <v>517</v>
      </c>
      <c r="E21" s="36" t="s">
        <v>34</v>
      </c>
      <c r="F21" s="36" t="s">
        <v>510</v>
      </c>
      <c r="G21" s="36" t="s">
        <v>36</v>
      </c>
      <c r="H21" s="36" t="s">
        <v>36</v>
      </c>
      <c r="I21" s="36" t="s">
        <v>518</v>
      </c>
      <c r="J21" s="36" t="s">
        <v>495</v>
      </c>
      <c r="K21" s="36" t="s">
        <v>366</v>
      </c>
      <c r="L21" s="36" t="s">
        <v>713</v>
      </c>
      <c r="M21" s="37" t="s">
        <v>977</v>
      </c>
      <c r="N21" s="37" t="s">
        <v>978</v>
      </c>
      <c r="O21" s="36" t="s">
        <v>614</v>
      </c>
    </row>
    <row r="22" spans="1:16" ht="58" x14ac:dyDescent="0.35">
      <c r="A22" s="36">
        <v>16</v>
      </c>
      <c r="B22" s="36" t="str">
        <f t="shared" si="7"/>
        <v>9.16</v>
      </c>
      <c r="C22" s="45" t="s">
        <v>41</v>
      </c>
      <c r="D22" s="36" t="s">
        <v>511</v>
      </c>
      <c r="E22" s="36" t="s">
        <v>32</v>
      </c>
      <c r="F22" s="36" t="s">
        <v>51</v>
      </c>
      <c r="G22" s="36" t="s">
        <v>36</v>
      </c>
      <c r="H22" s="38">
        <v>20</v>
      </c>
      <c r="I22" s="36" t="s">
        <v>518</v>
      </c>
      <c r="J22" s="36" t="s">
        <v>107</v>
      </c>
      <c r="K22" s="36" t="s">
        <v>366</v>
      </c>
      <c r="L22" s="36" t="s">
        <v>714</v>
      </c>
      <c r="M22" s="36" t="s">
        <v>394</v>
      </c>
      <c r="N22" s="36" t="s">
        <v>36</v>
      </c>
      <c r="O22" s="36" t="s">
        <v>614</v>
      </c>
      <c r="P22" s="36" t="s">
        <v>516</v>
      </c>
    </row>
    <row r="23" spans="1:16" ht="101.5" x14ac:dyDescent="0.35">
      <c r="A23" s="36">
        <v>17</v>
      </c>
      <c r="B23" s="36" t="str">
        <f t="shared" ref="B23" si="8">CONCATENATE($B$2, ".", A23)</f>
        <v>9.17</v>
      </c>
      <c r="C23" s="45" t="s">
        <v>41</v>
      </c>
      <c r="D23" s="36" t="s">
        <v>520</v>
      </c>
      <c r="E23" s="36" t="s">
        <v>32</v>
      </c>
      <c r="F23" s="36" t="s">
        <v>51</v>
      </c>
      <c r="G23" s="36" t="s">
        <v>519</v>
      </c>
      <c r="H23" s="38">
        <v>15</v>
      </c>
      <c r="I23" s="36" t="s">
        <v>9</v>
      </c>
      <c r="J23" s="36" t="s">
        <v>107</v>
      </c>
      <c r="K23" s="36" t="s">
        <v>83</v>
      </c>
      <c r="L23" s="36" t="s">
        <v>36</v>
      </c>
      <c r="M23" s="36" t="s">
        <v>394</v>
      </c>
      <c r="N23" s="36" t="s">
        <v>36</v>
      </c>
      <c r="O23" s="36" t="s">
        <v>36</v>
      </c>
    </row>
    <row r="24" spans="1:16" ht="43.5" x14ac:dyDescent="0.35">
      <c r="A24" s="36">
        <v>18</v>
      </c>
      <c r="B24" s="36" t="str">
        <f t="shared" ref="B24:B25" si="9">CONCATENATE($B$2, ".", A24)</f>
        <v>9.18</v>
      </c>
      <c r="C24" s="45" t="s">
        <v>41</v>
      </c>
      <c r="D24" s="36" t="s">
        <v>57</v>
      </c>
      <c r="E24" s="36" t="s">
        <v>42</v>
      </c>
      <c r="F24" s="36" t="s">
        <v>36</v>
      </c>
      <c r="G24" s="36" t="s">
        <v>36</v>
      </c>
      <c r="H24" s="36" t="s">
        <v>36</v>
      </c>
      <c r="I24" s="36" t="s">
        <v>9</v>
      </c>
      <c r="J24" s="36" t="s">
        <v>36</v>
      </c>
      <c r="K24" s="36" t="s">
        <v>36</v>
      </c>
      <c r="L24" s="36" t="s">
        <v>36</v>
      </c>
      <c r="M24" s="36" t="s">
        <v>36</v>
      </c>
      <c r="N24" s="36" t="s">
        <v>36</v>
      </c>
      <c r="O24" s="37" t="s">
        <v>659</v>
      </c>
      <c r="P24" s="36" t="s">
        <v>660</v>
      </c>
    </row>
    <row r="25" spans="1:16" x14ac:dyDescent="0.35">
      <c r="A25" s="36">
        <v>19</v>
      </c>
      <c r="B25" s="36" t="str">
        <f t="shared" si="9"/>
        <v>9.19</v>
      </c>
      <c r="C25" s="45" t="s">
        <v>41</v>
      </c>
      <c r="D25" s="36" t="s">
        <v>56</v>
      </c>
      <c r="E25" s="36" t="s">
        <v>42</v>
      </c>
      <c r="F25" s="36" t="s">
        <v>36</v>
      </c>
      <c r="G25" s="36" t="s">
        <v>36</v>
      </c>
      <c r="H25" s="36" t="s">
        <v>36</v>
      </c>
      <c r="I25" s="36" t="s">
        <v>9</v>
      </c>
      <c r="J25" s="36" t="s">
        <v>36</v>
      </c>
      <c r="K25" s="36" t="s">
        <v>36</v>
      </c>
      <c r="L25" s="36" t="s">
        <v>36</v>
      </c>
      <c r="M25" s="36" t="s">
        <v>36</v>
      </c>
      <c r="N25" s="36" t="s">
        <v>36</v>
      </c>
      <c r="O25" s="37" t="s">
        <v>521</v>
      </c>
    </row>
  </sheetData>
  <mergeCells count="2">
    <mergeCell ref="B4:C4"/>
    <mergeCell ref="B1:D1"/>
  </mergeCells>
  <conditionalFormatting sqref="C8:C1048576">
    <cfRule type="cellIs" dxfId="555" priority="9" operator="equal">
      <formula>"WIP (see comments)"</formula>
    </cfRule>
    <cfRule type="cellIs" dxfId="554" priority="10" operator="equal">
      <formula>"Removed"</formula>
    </cfRule>
    <cfRule type="cellIs" dxfId="553" priority="11" operator="equal">
      <formula>"Updated"</formula>
    </cfRule>
    <cfRule type="cellIs" dxfId="552" priority="12" operator="equal">
      <formula>"New"</formula>
    </cfRule>
  </conditionalFormatting>
  <conditionalFormatting sqref="C7:C25">
    <cfRule type="cellIs" dxfId="551" priority="5" operator="equal">
      <formula>"WIP (see comments)"</formula>
    </cfRule>
    <cfRule type="cellIs" dxfId="550" priority="6" operator="equal">
      <formula>"Removed"</formula>
    </cfRule>
    <cfRule type="cellIs" dxfId="549" priority="7" operator="equal">
      <formula>"Updated"</formula>
    </cfRule>
    <cfRule type="cellIs" dxfId="548" priority="8" operator="equal">
      <formula>"New"</formula>
    </cfRule>
  </conditionalFormatting>
  <conditionalFormatting sqref="A1:B1 E1:XFD1 A2:XFD3 A4:B4 D4:XFD4 A27:XFD1048576 A26:N26 P26:XFD26 A5:XFD17 A19:XFD20 A18:L18 O18:XFD18 A22:XFD25 A21:L21 O21:XFD21">
    <cfRule type="cellIs" dxfId="547" priority="4" operator="equal">
      <formula>"n/a"</formula>
    </cfRule>
  </conditionalFormatting>
  <conditionalFormatting sqref="M18:N18">
    <cfRule type="cellIs" dxfId="546" priority="2" operator="equal">
      <formula>"n/a"</formula>
    </cfRule>
  </conditionalFormatting>
  <conditionalFormatting sqref="M21:N21">
    <cfRule type="cellIs" dxfId="54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4"/>
  <sheetViews>
    <sheetView workbookViewId="0">
      <pane xSplit="4" ySplit="6" topLeftCell="L7" activePane="bottomRight" state="frozen"/>
      <selection activeCell="O8" sqref="O8"/>
      <selection pane="topRight" activeCell="O8" sqref="O8"/>
      <selection pane="bottomLeft" activeCell="O8" sqref="O8"/>
      <selection pane="bottomRight" activeCell="D11" sqref="D11"/>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222</v>
      </c>
      <c r="C1" s="162"/>
      <c r="D1" s="162"/>
    </row>
    <row r="2" spans="1:16" s="27" customFormat="1" ht="18.5" x14ac:dyDescent="0.35">
      <c r="A2" s="25" t="s">
        <v>7</v>
      </c>
      <c r="B2" s="33">
        <v>10</v>
      </c>
      <c r="C2" s="32"/>
      <c r="D2" s="33"/>
    </row>
    <row r="3" spans="1:16" s="27" customFormat="1" ht="18.5" x14ac:dyDescent="0.35">
      <c r="A3" s="25" t="s">
        <v>43</v>
      </c>
      <c r="B3" s="33" t="s">
        <v>274</v>
      </c>
      <c r="C3" s="32"/>
      <c r="D3" s="81" t="s">
        <v>280</v>
      </c>
    </row>
    <row r="4" spans="1:16" s="27" customFormat="1" ht="18.5" x14ac:dyDescent="0.35">
      <c r="A4" s="25" t="s">
        <v>8</v>
      </c>
      <c r="B4" s="163" t="s">
        <v>46</v>
      </c>
      <c r="C4" s="163"/>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10.1</v>
      </c>
      <c r="C7" s="47" t="s">
        <v>37</v>
      </c>
      <c r="D7" s="48" t="s">
        <v>345</v>
      </c>
      <c r="E7" s="46" t="s">
        <v>28</v>
      </c>
      <c r="F7" s="46" t="s">
        <v>36</v>
      </c>
      <c r="G7" s="46" t="s">
        <v>36</v>
      </c>
      <c r="H7" s="46" t="s">
        <v>36</v>
      </c>
      <c r="I7" s="48" t="s">
        <v>9</v>
      </c>
      <c r="J7" s="46" t="s">
        <v>36</v>
      </c>
      <c r="K7" s="46" t="s">
        <v>36</v>
      </c>
      <c r="L7" s="46" t="s">
        <v>36</v>
      </c>
      <c r="M7" s="46" t="s">
        <v>36</v>
      </c>
      <c r="N7" s="46" t="s">
        <v>36</v>
      </c>
      <c r="O7" s="46" t="s">
        <v>36</v>
      </c>
    </row>
    <row r="8" spans="1:16" s="46" customFormat="1" ht="29" x14ac:dyDescent="0.35">
      <c r="A8" s="46">
        <v>2</v>
      </c>
      <c r="B8" s="46" t="str">
        <f t="shared" ref="B8:B13" si="0">CONCATENATE($B$2, ".", A8)</f>
        <v>10.2</v>
      </c>
      <c r="C8" s="83" t="s">
        <v>44</v>
      </c>
      <c r="D8" s="48" t="s">
        <v>36</v>
      </c>
      <c r="E8" s="48" t="s">
        <v>48</v>
      </c>
      <c r="F8" s="46" t="s">
        <v>36</v>
      </c>
      <c r="G8" s="46" t="s">
        <v>36</v>
      </c>
      <c r="H8" s="46" t="s">
        <v>36</v>
      </c>
      <c r="I8" s="48" t="s">
        <v>9</v>
      </c>
      <c r="J8" s="46" t="s">
        <v>36</v>
      </c>
      <c r="K8" s="46" t="s">
        <v>36</v>
      </c>
      <c r="L8" s="46" t="s">
        <v>36</v>
      </c>
      <c r="M8" s="46" t="s">
        <v>36</v>
      </c>
      <c r="N8" s="46" t="s">
        <v>36</v>
      </c>
      <c r="O8" s="46" t="s">
        <v>36</v>
      </c>
      <c r="P8" s="46" t="s">
        <v>433</v>
      </c>
    </row>
    <row r="9" spans="1:16" s="46" customFormat="1" ht="84.75" customHeight="1" x14ac:dyDescent="0.35">
      <c r="A9" s="46">
        <v>3</v>
      </c>
      <c r="B9" s="46" t="str">
        <f t="shared" si="0"/>
        <v>10.3</v>
      </c>
      <c r="C9" s="83" t="s">
        <v>37</v>
      </c>
      <c r="D9" s="48" t="s">
        <v>446</v>
      </c>
      <c r="E9" s="48" t="s">
        <v>33</v>
      </c>
      <c r="F9" s="46" t="s">
        <v>36</v>
      </c>
      <c r="G9" s="46" t="s">
        <v>36</v>
      </c>
      <c r="H9" s="46" t="s">
        <v>36</v>
      </c>
      <c r="I9" s="48" t="s">
        <v>9</v>
      </c>
      <c r="J9" s="46" t="s">
        <v>36</v>
      </c>
      <c r="K9" s="46" t="s">
        <v>36</v>
      </c>
      <c r="L9" s="46" t="s">
        <v>36</v>
      </c>
      <c r="M9" s="46" t="s">
        <v>36</v>
      </c>
      <c r="N9" s="46" t="s">
        <v>36</v>
      </c>
      <c r="O9" s="46" t="s">
        <v>36</v>
      </c>
    </row>
    <row r="10" spans="1:16" ht="99" customHeight="1" x14ac:dyDescent="0.35">
      <c r="A10" s="6">
        <v>4</v>
      </c>
      <c r="B10" s="46" t="str">
        <f t="shared" si="0"/>
        <v>10.4</v>
      </c>
      <c r="C10" s="83" t="s">
        <v>39</v>
      </c>
      <c r="D10" s="6" t="s">
        <v>36</v>
      </c>
      <c r="E10" s="6" t="s">
        <v>150</v>
      </c>
      <c r="F10" s="46" t="s">
        <v>36</v>
      </c>
      <c r="G10" s="46" t="s">
        <v>36</v>
      </c>
      <c r="H10" s="46" t="s">
        <v>36</v>
      </c>
      <c r="I10" s="48" t="s">
        <v>9</v>
      </c>
      <c r="J10" s="46" t="s">
        <v>36</v>
      </c>
      <c r="K10" s="164" t="s">
        <v>153</v>
      </c>
      <c r="L10" s="165" t="s">
        <v>154</v>
      </c>
      <c r="M10" s="46" t="s">
        <v>36</v>
      </c>
      <c r="N10" s="46" t="s">
        <v>36</v>
      </c>
      <c r="O10" s="37" t="s">
        <v>155</v>
      </c>
    </row>
    <row r="11" spans="1:16" ht="57.75" customHeight="1" x14ac:dyDescent="0.35">
      <c r="A11" s="6">
        <v>5</v>
      </c>
      <c r="B11" s="6" t="str">
        <f t="shared" si="0"/>
        <v>10.5</v>
      </c>
      <c r="C11" s="83" t="s">
        <v>37</v>
      </c>
      <c r="D11" s="36" t="s">
        <v>736</v>
      </c>
      <c r="E11" s="6" t="s">
        <v>29</v>
      </c>
      <c r="F11" s="6" t="s">
        <v>60</v>
      </c>
      <c r="G11" s="46" t="s">
        <v>36</v>
      </c>
      <c r="H11" s="46" t="s">
        <v>36</v>
      </c>
      <c r="I11" s="48" t="s">
        <v>9</v>
      </c>
      <c r="J11" s="5" t="s">
        <v>152</v>
      </c>
      <c r="K11" s="164"/>
      <c r="L11" s="165"/>
      <c r="M11" s="46" t="s">
        <v>36</v>
      </c>
      <c r="N11" s="46" t="s">
        <v>36</v>
      </c>
      <c r="O11" s="37" t="s">
        <v>156</v>
      </c>
    </row>
    <row r="12" spans="1:16" ht="57.75" customHeight="1" x14ac:dyDescent="0.35">
      <c r="A12" s="6">
        <v>6</v>
      </c>
      <c r="B12" s="6" t="str">
        <f t="shared" si="0"/>
        <v>10.6</v>
      </c>
      <c r="C12" s="83" t="s">
        <v>39</v>
      </c>
      <c r="D12" s="6" t="s">
        <v>178</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35">
      <c r="A13" s="6">
        <v>7</v>
      </c>
      <c r="B13" s="6" t="str">
        <f t="shared" si="0"/>
        <v>10.7</v>
      </c>
      <c r="C13" s="83" t="s">
        <v>39</v>
      </c>
      <c r="D13" s="6" t="s">
        <v>198</v>
      </c>
      <c r="E13" s="6" t="s">
        <v>114</v>
      </c>
      <c r="F13" s="6" t="s">
        <v>36</v>
      </c>
      <c r="G13" s="46" t="s">
        <v>36</v>
      </c>
      <c r="H13" s="46" t="s">
        <v>36</v>
      </c>
      <c r="I13" s="48" t="s">
        <v>9</v>
      </c>
      <c r="J13" s="5" t="s">
        <v>36</v>
      </c>
      <c r="K13" s="5" t="s">
        <v>36</v>
      </c>
      <c r="L13" s="5" t="s">
        <v>36</v>
      </c>
      <c r="M13" s="5" t="s">
        <v>36</v>
      </c>
      <c r="N13" s="5" t="s">
        <v>36</v>
      </c>
      <c r="O13" s="5" t="s">
        <v>36</v>
      </c>
    </row>
    <row r="14" spans="1:16" ht="29" x14ac:dyDescent="0.35">
      <c r="A14" s="6">
        <v>8</v>
      </c>
      <c r="B14" s="6" t="str">
        <f>CONCATENATE($B$2, ".", A14)</f>
        <v>10.8</v>
      </c>
      <c r="C14" s="83" t="s">
        <v>39</v>
      </c>
      <c r="D14" s="6" t="s">
        <v>57</v>
      </c>
      <c r="E14" s="6" t="s">
        <v>42</v>
      </c>
      <c r="F14" s="6" t="s">
        <v>36</v>
      </c>
      <c r="G14" s="6" t="s">
        <v>36</v>
      </c>
      <c r="H14" s="6" t="s">
        <v>36</v>
      </c>
      <c r="I14" s="6" t="s">
        <v>9</v>
      </c>
      <c r="J14" s="6" t="s">
        <v>36</v>
      </c>
      <c r="K14" s="6" t="s">
        <v>36</v>
      </c>
      <c r="L14" s="6" t="s">
        <v>36</v>
      </c>
      <c r="M14" s="6" t="s">
        <v>36</v>
      </c>
      <c r="N14" s="6" t="s">
        <v>36</v>
      </c>
      <c r="O14" s="6" t="s">
        <v>279</v>
      </c>
    </row>
    <row r="15" spans="1:16" ht="29" x14ac:dyDescent="0.35">
      <c r="A15" s="6">
        <v>9</v>
      </c>
      <c r="B15" s="6" t="str">
        <f t="shared" ref="B15" si="1">CONCATENATE($B$2, ".", A15)</f>
        <v>10.9</v>
      </c>
      <c r="C15" s="83" t="s">
        <v>39</v>
      </c>
      <c r="D15" s="6" t="s">
        <v>56</v>
      </c>
      <c r="E15" s="6" t="s">
        <v>42</v>
      </c>
      <c r="F15" s="6" t="s">
        <v>36</v>
      </c>
      <c r="G15" s="6" t="s">
        <v>36</v>
      </c>
      <c r="H15" s="6" t="s">
        <v>36</v>
      </c>
      <c r="I15" s="6" t="s">
        <v>9</v>
      </c>
      <c r="J15" s="6" t="s">
        <v>36</v>
      </c>
      <c r="K15" s="6" t="s">
        <v>36</v>
      </c>
      <c r="L15" s="6" t="s">
        <v>36</v>
      </c>
      <c r="M15" s="6" t="s">
        <v>36</v>
      </c>
      <c r="N15" s="6" t="s">
        <v>36</v>
      </c>
      <c r="O15" s="6" t="s">
        <v>276</v>
      </c>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row r="23" spans="9:15" x14ac:dyDescent="0.35">
      <c r="I23" s="36"/>
      <c r="J23" s="5"/>
      <c r="K23" s="5"/>
      <c r="L23" s="37"/>
      <c r="M23" s="37"/>
      <c r="N23" s="37"/>
      <c r="O23" s="37"/>
    </row>
    <row r="24" spans="9:15" x14ac:dyDescent="0.35">
      <c r="I24" s="36"/>
      <c r="J24" s="5"/>
      <c r="K24" s="5"/>
      <c r="L24" s="37"/>
      <c r="M24" s="37"/>
      <c r="N24" s="37"/>
      <c r="O24" s="37"/>
    </row>
  </sheetData>
  <mergeCells count="4">
    <mergeCell ref="K10:K11"/>
    <mergeCell ref="L10:L11"/>
    <mergeCell ref="B1:D1"/>
    <mergeCell ref="B4:C4"/>
  </mergeCells>
  <conditionalFormatting sqref="C16:C1048576">
    <cfRule type="cellIs" dxfId="544" priority="48" operator="equal">
      <formula>"WIP (see comments)"</formula>
    </cfRule>
    <cfRule type="cellIs" dxfId="543" priority="49" operator="equal">
      <formula>"Removed"</formula>
    </cfRule>
    <cfRule type="cellIs" dxfId="542" priority="50" operator="equal">
      <formula>"Updated"</formula>
    </cfRule>
    <cfRule type="cellIs" dxfId="541" priority="51" operator="equal">
      <formula>"New"</formula>
    </cfRule>
  </conditionalFormatting>
  <conditionalFormatting sqref="C7:C15">
    <cfRule type="cellIs" dxfId="540" priority="32" operator="equal">
      <formula>"WIP (see comments)"</formula>
    </cfRule>
    <cfRule type="cellIs" dxfId="539" priority="33" operator="equal">
      <formula>"Removed"</formula>
    </cfRule>
    <cfRule type="cellIs" dxfId="538" priority="34" operator="equal">
      <formula>"Updated"</formula>
    </cfRule>
    <cfRule type="cellIs" dxfId="537" priority="35" operator="equal">
      <formula>"New"</formula>
    </cfRule>
  </conditionalFormatting>
  <conditionalFormatting sqref="A2:XFD2 A16:XFD1048576 M11:XFD11 D11:J11 A8:B13 D8:XFD10 P12:XFD13 A1:B1 E1:XFD1 A5:XFD7 A4:B4 D4:XFD4 C8:C15 A3:C3 E3:XFD3">
    <cfRule type="cellIs" dxfId="536" priority="30" operator="equal">
      <formula>"n/a"</formula>
    </cfRule>
  </conditionalFormatting>
  <conditionalFormatting sqref="A14:B15 D14:XFD15">
    <cfRule type="cellIs" dxfId="535" priority="16" operator="equal">
      <formula>"n/a"</formula>
    </cfRule>
  </conditionalFormatting>
  <conditionalFormatting sqref="J13:K13 J12 D12:I13">
    <cfRule type="cellIs" dxfId="534" priority="11" operator="equal">
      <formula>"n/a"</formula>
    </cfRule>
  </conditionalFormatting>
  <conditionalFormatting sqref="K12">
    <cfRule type="cellIs" dxfId="533" priority="10" operator="equal">
      <formula>"n/a"</formula>
    </cfRule>
  </conditionalFormatting>
  <conditionalFormatting sqref="L13">
    <cfRule type="cellIs" dxfId="532" priority="9" operator="equal">
      <formula>"n/a"</formula>
    </cfRule>
  </conditionalFormatting>
  <conditionalFormatting sqref="L12">
    <cfRule type="cellIs" dxfId="531" priority="8" operator="equal">
      <formula>"n/a"</formula>
    </cfRule>
  </conditionalFormatting>
  <conditionalFormatting sqref="M13">
    <cfRule type="cellIs" dxfId="530" priority="7" operator="equal">
      <formula>"n/a"</formula>
    </cfRule>
  </conditionalFormatting>
  <conditionalFormatting sqref="M12">
    <cfRule type="cellIs" dxfId="529" priority="6" operator="equal">
      <formula>"n/a"</formula>
    </cfRule>
  </conditionalFormatting>
  <conditionalFormatting sqref="N13">
    <cfRule type="cellIs" dxfId="528" priority="5" operator="equal">
      <formula>"n/a"</formula>
    </cfRule>
  </conditionalFormatting>
  <conditionalFormatting sqref="N12">
    <cfRule type="cellIs" dxfId="527" priority="4" operator="equal">
      <formula>"n/a"</formula>
    </cfRule>
  </conditionalFormatting>
  <conditionalFormatting sqref="O13">
    <cfRule type="cellIs" dxfId="526" priority="3" operator="equal">
      <formula>"n/a"</formula>
    </cfRule>
  </conditionalFormatting>
  <conditionalFormatting sqref="O12">
    <cfRule type="cellIs" dxfId="525" priority="2" operator="equal">
      <formula>"n/a"</formula>
    </cfRule>
  </conditionalFormatting>
  <conditionalFormatting sqref="D3">
    <cfRule type="cellIs" dxfId="52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Values'!$A$5:$A$36</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35"/>
  <sheetViews>
    <sheetView workbookViewId="0">
      <pane xSplit="4" ySplit="6" topLeftCell="E10"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221</v>
      </c>
      <c r="C1" s="162"/>
      <c r="D1" s="26"/>
    </row>
    <row r="2" spans="1:16" s="27" customFormat="1" ht="18.5" x14ac:dyDescent="0.35">
      <c r="A2" s="25" t="s">
        <v>7</v>
      </c>
      <c r="B2" s="33">
        <v>11</v>
      </c>
      <c r="C2" s="32"/>
      <c r="D2" s="33"/>
    </row>
    <row r="3" spans="1:16" s="27" customFormat="1" ht="18.5" x14ac:dyDescent="0.35">
      <c r="A3" s="25" t="s">
        <v>43</v>
      </c>
      <c r="B3" s="33" t="s">
        <v>275</v>
      </c>
      <c r="C3" s="32"/>
      <c r="D3" s="81" t="s">
        <v>281</v>
      </c>
    </row>
    <row r="4" spans="1:16" s="27" customFormat="1" ht="18.5" x14ac:dyDescent="0.35">
      <c r="A4" s="25" t="s">
        <v>8</v>
      </c>
      <c r="B4" s="163" t="s">
        <v>46</v>
      </c>
      <c r="C4" s="163"/>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6" si="0">CONCATENATE($B$2, ".", A7)</f>
        <v>11.1</v>
      </c>
      <c r="C7" s="83" t="s">
        <v>37</v>
      </c>
      <c r="D7" s="36" t="s">
        <v>448</v>
      </c>
      <c r="E7" s="36" t="s">
        <v>28</v>
      </c>
      <c r="F7" s="36" t="s">
        <v>36</v>
      </c>
      <c r="G7" s="36" t="s">
        <v>36</v>
      </c>
      <c r="H7" s="36" t="s">
        <v>36</v>
      </c>
      <c r="I7" s="36" t="s">
        <v>9</v>
      </c>
      <c r="J7" s="37" t="s">
        <v>36</v>
      </c>
      <c r="K7" s="37" t="s">
        <v>36</v>
      </c>
      <c r="L7" s="37" t="s">
        <v>36</v>
      </c>
      <c r="M7" s="37" t="s">
        <v>36</v>
      </c>
      <c r="N7" s="37" t="s">
        <v>36</v>
      </c>
      <c r="O7" s="37" t="s">
        <v>36</v>
      </c>
    </row>
    <row r="8" spans="1:16" s="36" customFormat="1" ht="29" x14ac:dyDescent="0.35">
      <c r="A8" s="36">
        <v>2</v>
      </c>
      <c r="B8" s="36" t="str">
        <f t="shared" si="0"/>
        <v>11.2</v>
      </c>
      <c r="C8" s="83" t="s">
        <v>44</v>
      </c>
      <c r="D8" s="36" t="s">
        <v>36</v>
      </c>
      <c r="E8" s="36" t="s">
        <v>48</v>
      </c>
      <c r="F8" s="36" t="s">
        <v>36</v>
      </c>
      <c r="G8" s="36" t="s">
        <v>36</v>
      </c>
      <c r="H8" s="36" t="s">
        <v>36</v>
      </c>
      <c r="I8" s="36" t="s">
        <v>9</v>
      </c>
      <c r="J8" s="37" t="s">
        <v>36</v>
      </c>
      <c r="K8" s="37" t="s">
        <v>36</v>
      </c>
      <c r="L8" s="37" t="s">
        <v>36</v>
      </c>
      <c r="M8" s="37" t="s">
        <v>36</v>
      </c>
      <c r="N8" s="37" t="s">
        <v>36</v>
      </c>
      <c r="O8" s="37" t="s">
        <v>36</v>
      </c>
      <c r="P8" s="36" t="s">
        <v>433</v>
      </c>
    </row>
    <row r="9" spans="1:16" s="36" customFormat="1" ht="58" x14ac:dyDescent="0.35">
      <c r="A9" s="36">
        <v>3</v>
      </c>
      <c r="B9" s="36" t="str">
        <f t="shared" si="0"/>
        <v>11.3</v>
      </c>
      <c r="C9" s="83" t="s">
        <v>37</v>
      </c>
      <c r="D9" s="36" t="s">
        <v>102</v>
      </c>
      <c r="E9" s="36" t="s">
        <v>32</v>
      </c>
      <c r="F9" s="36" t="s">
        <v>972</v>
      </c>
      <c r="G9" s="36" t="s">
        <v>36</v>
      </c>
      <c r="H9" s="38">
        <v>50</v>
      </c>
      <c r="I9" s="36" t="s">
        <v>9</v>
      </c>
      <c r="J9" s="37" t="s">
        <v>63</v>
      </c>
      <c r="K9" s="37" t="s">
        <v>53</v>
      </c>
      <c r="L9" s="37" t="s">
        <v>65</v>
      </c>
      <c r="M9" s="37" t="s">
        <v>36</v>
      </c>
      <c r="N9" s="37" t="s">
        <v>36</v>
      </c>
      <c r="O9" s="37" t="s">
        <v>67</v>
      </c>
      <c r="P9" s="36" t="s">
        <v>964</v>
      </c>
    </row>
    <row r="10" spans="1:16" s="36" customFormat="1" ht="58" x14ac:dyDescent="0.35">
      <c r="A10" s="36">
        <v>4</v>
      </c>
      <c r="B10" s="36" t="str">
        <f t="shared" si="0"/>
        <v>11.4</v>
      </c>
      <c r="C10" s="83" t="s">
        <v>37</v>
      </c>
      <c r="D10" s="36" t="s">
        <v>103</v>
      </c>
      <c r="E10" s="36" t="s">
        <v>32</v>
      </c>
      <c r="F10" s="36" t="s">
        <v>972</v>
      </c>
      <c r="G10" s="36" t="s">
        <v>36</v>
      </c>
      <c r="H10" s="38">
        <v>50</v>
      </c>
      <c r="I10" s="36" t="s">
        <v>9</v>
      </c>
      <c r="J10" s="37" t="s">
        <v>64</v>
      </c>
      <c r="K10" s="37" t="s">
        <v>53</v>
      </c>
      <c r="L10" s="37" t="s">
        <v>66</v>
      </c>
      <c r="M10" s="37" t="s">
        <v>36</v>
      </c>
      <c r="N10" s="37" t="s">
        <v>36</v>
      </c>
      <c r="O10" s="37" t="s">
        <v>67</v>
      </c>
      <c r="P10" s="36" t="s">
        <v>964</v>
      </c>
    </row>
    <row r="11" spans="1:16" s="36" customFormat="1" ht="128.25" customHeight="1" x14ac:dyDescent="0.35">
      <c r="A11" s="36">
        <v>5</v>
      </c>
      <c r="B11" s="36" t="str">
        <f t="shared" si="0"/>
        <v>11.5</v>
      </c>
      <c r="C11" s="83" t="s">
        <v>39</v>
      </c>
      <c r="D11" s="36" t="s">
        <v>104</v>
      </c>
      <c r="E11" s="36" t="s">
        <v>74</v>
      </c>
      <c r="F11" s="36" t="s">
        <v>51</v>
      </c>
      <c r="G11" s="36" t="s">
        <v>36</v>
      </c>
      <c r="H11" s="38">
        <v>35</v>
      </c>
      <c r="I11" s="36" t="s">
        <v>9</v>
      </c>
      <c r="J11" s="37" t="s">
        <v>69</v>
      </c>
      <c r="K11" s="37" t="s">
        <v>77</v>
      </c>
      <c r="L11" s="37" t="s">
        <v>715</v>
      </c>
      <c r="M11" s="37" t="s">
        <v>36</v>
      </c>
      <c r="N11" s="37" t="s">
        <v>190</v>
      </c>
      <c r="O11" s="37" t="s">
        <v>182</v>
      </c>
    </row>
    <row r="12" spans="1:16" s="36" customFormat="1" ht="72.5" x14ac:dyDescent="0.35">
      <c r="A12" s="36">
        <v>6</v>
      </c>
      <c r="B12" s="36" t="str">
        <f t="shared" si="0"/>
        <v>11.6</v>
      </c>
      <c r="C12" s="83" t="s">
        <v>39</v>
      </c>
      <c r="D12" s="36" t="s">
        <v>75</v>
      </c>
      <c r="E12" s="36" t="s">
        <v>32</v>
      </c>
      <c r="F12" s="36" t="s">
        <v>972</v>
      </c>
      <c r="G12" s="36" t="s">
        <v>36</v>
      </c>
      <c r="H12" s="38">
        <v>10</v>
      </c>
      <c r="I12" s="36" t="s">
        <v>451</v>
      </c>
      <c r="J12" s="37" t="s">
        <v>107</v>
      </c>
      <c r="K12" s="37" t="s">
        <v>76</v>
      </c>
      <c r="L12" s="37" t="s">
        <v>716</v>
      </c>
      <c r="M12" s="37" t="s">
        <v>36</v>
      </c>
      <c r="N12" s="37" t="s">
        <v>36</v>
      </c>
      <c r="O12" s="37"/>
    </row>
    <row r="13" spans="1:16" s="36" customFormat="1" ht="72.5" x14ac:dyDescent="0.35">
      <c r="A13" s="36">
        <v>7</v>
      </c>
      <c r="B13" s="36" t="str">
        <f t="shared" si="0"/>
        <v>11.7</v>
      </c>
      <c r="C13" s="83" t="s">
        <v>39</v>
      </c>
      <c r="D13" s="36" t="s">
        <v>108</v>
      </c>
      <c r="E13" s="36" t="s">
        <v>32</v>
      </c>
      <c r="F13" s="36" t="s">
        <v>972</v>
      </c>
      <c r="G13" s="36" t="s">
        <v>36</v>
      </c>
      <c r="H13" s="38">
        <v>35</v>
      </c>
      <c r="I13" s="36" t="s">
        <v>451</v>
      </c>
      <c r="J13" s="37" t="s">
        <v>107</v>
      </c>
      <c r="K13" s="37" t="s">
        <v>76</v>
      </c>
      <c r="L13" s="37" t="s">
        <v>717</v>
      </c>
      <c r="M13" s="37" t="s">
        <v>36</v>
      </c>
      <c r="N13" s="37" t="s">
        <v>36</v>
      </c>
      <c r="O13" s="37"/>
    </row>
    <row r="14" spans="1:16" s="36" customFormat="1" ht="58" x14ac:dyDescent="0.35">
      <c r="A14" s="36">
        <v>8</v>
      </c>
      <c r="B14" s="36" t="str">
        <f t="shared" si="0"/>
        <v>11.8</v>
      </c>
      <c r="C14" s="83" t="s">
        <v>39</v>
      </c>
      <c r="D14" s="36" t="s">
        <v>70</v>
      </c>
      <c r="E14" s="36" t="s">
        <v>32</v>
      </c>
      <c r="F14" s="36" t="s">
        <v>972</v>
      </c>
      <c r="G14" s="36" t="s">
        <v>36</v>
      </c>
      <c r="H14" s="38">
        <v>10</v>
      </c>
      <c r="I14" s="36" t="s">
        <v>451</v>
      </c>
      <c r="J14" s="37" t="s">
        <v>107</v>
      </c>
      <c r="K14" s="37" t="s">
        <v>78</v>
      </c>
      <c r="L14" s="37" t="s">
        <v>36</v>
      </c>
      <c r="M14" s="37" t="s">
        <v>36</v>
      </c>
      <c r="N14" s="37" t="s">
        <v>36</v>
      </c>
      <c r="O14" s="37"/>
    </row>
    <row r="15" spans="1:16" s="36" customFormat="1" ht="72.5" x14ac:dyDescent="0.35">
      <c r="A15" s="36">
        <v>9</v>
      </c>
      <c r="B15" s="36" t="str">
        <f t="shared" si="0"/>
        <v>11.9</v>
      </c>
      <c r="C15" s="83" t="s">
        <v>39</v>
      </c>
      <c r="D15" s="36" t="s">
        <v>71</v>
      </c>
      <c r="E15" s="36" t="s">
        <v>32</v>
      </c>
      <c r="F15" s="36" t="s">
        <v>972</v>
      </c>
      <c r="G15" s="36" t="s">
        <v>36</v>
      </c>
      <c r="H15" s="38">
        <v>20</v>
      </c>
      <c r="I15" s="36" t="s">
        <v>451</v>
      </c>
      <c r="J15" s="37" t="s">
        <v>107</v>
      </c>
      <c r="K15" s="37" t="s">
        <v>76</v>
      </c>
      <c r="L15" s="37" t="s">
        <v>700</v>
      </c>
      <c r="M15" s="37" t="s">
        <v>36</v>
      </c>
      <c r="N15" s="37" t="s">
        <v>36</v>
      </c>
      <c r="O15" s="37"/>
    </row>
    <row r="16" spans="1:16" s="36" customFormat="1" ht="116" customHeight="1" x14ac:dyDescent="0.35">
      <c r="A16" s="36">
        <v>10</v>
      </c>
      <c r="B16" s="36" t="str">
        <f t="shared" si="0"/>
        <v>11.10</v>
      </c>
      <c r="C16" s="83" t="s">
        <v>39</v>
      </c>
      <c r="D16" s="36" t="s">
        <v>72</v>
      </c>
      <c r="E16" s="36" t="s">
        <v>34</v>
      </c>
      <c r="F16" s="36" t="s">
        <v>51</v>
      </c>
      <c r="G16" s="36" t="s">
        <v>36</v>
      </c>
      <c r="H16" s="38">
        <v>15</v>
      </c>
      <c r="I16" s="36" t="s">
        <v>451</v>
      </c>
      <c r="J16" s="37" t="s">
        <v>107</v>
      </c>
      <c r="K16" s="37" t="s">
        <v>76</v>
      </c>
      <c r="L16" s="37" t="s">
        <v>701</v>
      </c>
      <c r="M16" s="37" t="s">
        <v>79</v>
      </c>
      <c r="N16" s="37" t="s">
        <v>109</v>
      </c>
      <c r="O16" s="37"/>
    </row>
    <row r="17" spans="1:15" s="36" customFormat="1" ht="58" x14ac:dyDescent="0.35">
      <c r="A17" s="36">
        <v>11</v>
      </c>
      <c r="B17" s="36" t="str">
        <f>CONCATENATE($B$2, ".", A17)</f>
        <v>11.11</v>
      </c>
      <c r="C17" s="83" t="s">
        <v>39</v>
      </c>
      <c r="D17" s="36" t="s">
        <v>73</v>
      </c>
      <c r="E17" s="36" t="s">
        <v>32</v>
      </c>
      <c r="F17" s="36" t="s">
        <v>51</v>
      </c>
      <c r="G17" s="36" t="s">
        <v>36</v>
      </c>
      <c r="H17" s="38">
        <v>7</v>
      </c>
      <c r="I17" s="36" t="s">
        <v>451</v>
      </c>
      <c r="J17" s="37" t="s">
        <v>107</v>
      </c>
      <c r="K17" s="37" t="s">
        <v>76</v>
      </c>
      <c r="L17" s="37" t="s">
        <v>702</v>
      </c>
      <c r="M17" s="37" t="s">
        <v>36</v>
      </c>
      <c r="N17" s="37" t="s">
        <v>36</v>
      </c>
      <c r="O17" s="37"/>
    </row>
    <row r="18" spans="1:15" s="36" customFormat="1" ht="66" customHeight="1" x14ac:dyDescent="0.35">
      <c r="A18" s="36">
        <v>12</v>
      </c>
      <c r="B18" s="36" t="str">
        <f t="shared" ref="B18:B24" si="1">CONCATENATE($B$2, ".", A18)</f>
        <v>11.12</v>
      </c>
      <c r="C18" s="83" t="s">
        <v>39</v>
      </c>
      <c r="D18" s="36" t="s">
        <v>80</v>
      </c>
      <c r="E18" s="36" t="s">
        <v>31</v>
      </c>
      <c r="F18" s="36" t="s">
        <v>58</v>
      </c>
      <c r="G18" s="36" t="s">
        <v>36</v>
      </c>
      <c r="H18" s="36" t="s">
        <v>36</v>
      </c>
      <c r="I18" s="36" t="s">
        <v>9</v>
      </c>
      <c r="J18" s="37" t="s">
        <v>62</v>
      </c>
      <c r="K18" s="37" t="s">
        <v>53</v>
      </c>
      <c r="L18" s="37" t="s">
        <v>81</v>
      </c>
      <c r="M18" s="37" t="s">
        <v>36</v>
      </c>
      <c r="N18" s="37" t="s">
        <v>36</v>
      </c>
      <c r="O18" s="37" t="s">
        <v>36</v>
      </c>
    </row>
    <row r="19" spans="1:15" s="36" customFormat="1" ht="81.75" customHeight="1" x14ac:dyDescent="0.35">
      <c r="A19" s="36">
        <v>13</v>
      </c>
      <c r="B19" s="36" t="str">
        <f t="shared" si="1"/>
        <v>11.13</v>
      </c>
      <c r="C19" s="83" t="s">
        <v>39</v>
      </c>
      <c r="D19" s="36" t="s">
        <v>105</v>
      </c>
      <c r="E19" s="36" t="s">
        <v>74</v>
      </c>
      <c r="F19" s="36" t="s">
        <v>51</v>
      </c>
      <c r="G19" s="36" t="s">
        <v>36</v>
      </c>
      <c r="H19" s="38">
        <v>35</v>
      </c>
      <c r="I19" s="36" t="s">
        <v>449</v>
      </c>
      <c r="J19" s="37" t="s">
        <v>107</v>
      </c>
      <c r="K19" s="37" t="s">
        <v>199</v>
      </c>
      <c r="L19" s="37" t="s">
        <v>718</v>
      </c>
      <c r="M19" s="37" t="s">
        <v>36</v>
      </c>
      <c r="N19" s="37" t="s">
        <v>36</v>
      </c>
      <c r="O19" s="37" t="s">
        <v>183</v>
      </c>
    </row>
    <row r="20" spans="1:15" s="36" customFormat="1" ht="58.5" customHeight="1" x14ac:dyDescent="0.35">
      <c r="A20" s="36">
        <v>14</v>
      </c>
      <c r="B20" s="36" t="str">
        <f t="shared" si="1"/>
        <v>11.14</v>
      </c>
      <c r="C20" s="83" t="s">
        <v>39</v>
      </c>
      <c r="D20" s="36" t="s">
        <v>75</v>
      </c>
      <c r="E20" s="36" t="s">
        <v>32</v>
      </c>
      <c r="F20" s="36" t="s">
        <v>972</v>
      </c>
      <c r="G20" s="36" t="s">
        <v>36</v>
      </c>
      <c r="H20" s="38">
        <v>10</v>
      </c>
      <c r="I20" s="36" t="s">
        <v>450</v>
      </c>
      <c r="J20" s="37" t="s">
        <v>107</v>
      </c>
      <c r="K20" s="37" t="s">
        <v>78</v>
      </c>
      <c r="L20" s="37" t="s">
        <v>36</v>
      </c>
      <c r="M20" s="37" t="s">
        <v>36</v>
      </c>
      <c r="N20" s="37" t="s">
        <v>36</v>
      </c>
      <c r="O20" s="37"/>
    </row>
    <row r="21" spans="1:15" s="36" customFormat="1" ht="57" customHeight="1" x14ac:dyDescent="0.35">
      <c r="A21" s="36">
        <v>15</v>
      </c>
      <c r="B21" s="36" t="str">
        <f t="shared" si="1"/>
        <v>11.15</v>
      </c>
      <c r="C21" s="83" t="s">
        <v>39</v>
      </c>
      <c r="D21" s="36" t="s">
        <v>108</v>
      </c>
      <c r="E21" s="36" t="s">
        <v>32</v>
      </c>
      <c r="F21" s="36" t="s">
        <v>972</v>
      </c>
      <c r="G21" s="36" t="s">
        <v>36</v>
      </c>
      <c r="H21" s="38">
        <v>35</v>
      </c>
      <c r="I21" s="36" t="s">
        <v>450</v>
      </c>
      <c r="J21" s="37" t="s">
        <v>107</v>
      </c>
      <c r="K21" s="37" t="s">
        <v>76</v>
      </c>
      <c r="L21" s="37" t="s">
        <v>717</v>
      </c>
      <c r="M21" s="37" t="s">
        <v>36</v>
      </c>
      <c r="N21" s="37" t="s">
        <v>36</v>
      </c>
      <c r="O21" s="37"/>
    </row>
    <row r="22" spans="1:15" s="36" customFormat="1" ht="60" customHeight="1" x14ac:dyDescent="0.35">
      <c r="A22" s="36">
        <v>16</v>
      </c>
      <c r="B22" s="36" t="str">
        <f t="shared" si="1"/>
        <v>11.16</v>
      </c>
      <c r="C22" s="83" t="s">
        <v>39</v>
      </c>
      <c r="D22" s="36" t="s">
        <v>70</v>
      </c>
      <c r="E22" s="36" t="s">
        <v>32</v>
      </c>
      <c r="F22" s="36" t="s">
        <v>972</v>
      </c>
      <c r="G22" s="36" t="s">
        <v>36</v>
      </c>
      <c r="H22" s="38">
        <v>10</v>
      </c>
      <c r="I22" s="36" t="s">
        <v>450</v>
      </c>
      <c r="J22" s="37" t="s">
        <v>107</v>
      </c>
      <c r="K22" s="37" t="s">
        <v>78</v>
      </c>
      <c r="L22" s="37" t="s">
        <v>36</v>
      </c>
      <c r="M22" s="37" t="s">
        <v>36</v>
      </c>
      <c r="N22" s="37" t="s">
        <v>36</v>
      </c>
      <c r="O22" s="37"/>
    </row>
    <row r="23" spans="1:15" s="36" customFormat="1" ht="59" customHeight="1" x14ac:dyDescent="0.35">
      <c r="A23" s="36">
        <v>17</v>
      </c>
      <c r="B23" s="36" t="str">
        <f t="shared" si="1"/>
        <v>11.17</v>
      </c>
      <c r="C23" s="83" t="s">
        <v>39</v>
      </c>
      <c r="D23" s="36" t="s">
        <v>71</v>
      </c>
      <c r="E23" s="36" t="s">
        <v>32</v>
      </c>
      <c r="F23" s="36" t="s">
        <v>972</v>
      </c>
      <c r="G23" s="36" t="s">
        <v>36</v>
      </c>
      <c r="H23" s="38">
        <v>20</v>
      </c>
      <c r="I23" s="36" t="s">
        <v>450</v>
      </c>
      <c r="J23" s="37" t="s">
        <v>107</v>
      </c>
      <c r="K23" s="37" t="s">
        <v>76</v>
      </c>
      <c r="L23" s="37" t="s">
        <v>700</v>
      </c>
      <c r="M23" s="37" t="s">
        <v>36</v>
      </c>
      <c r="N23" s="37" t="s">
        <v>36</v>
      </c>
      <c r="O23" s="37"/>
    </row>
    <row r="24" spans="1:15" s="36" customFormat="1" ht="72.5" x14ac:dyDescent="0.35">
      <c r="A24" s="36">
        <v>18</v>
      </c>
      <c r="B24" s="36" t="str">
        <f t="shared" si="1"/>
        <v>11.18</v>
      </c>
      <c r="C24" s="83" t="s">
        <v>39</v>
      </c>
      <c r="D24" s="36" t="s">
        <v>72</v>
      </c>
      <c r="E24" s="36" t="s">
        <v>34</v>
      </c>
      <c r="F24" s="36" t="s">
        <v>51</v>
      </c>
      <c r="G24" s="36" t="s">
        <v>36</v>
      </c>
      <c r="H24" s="38">
        <v>15</v>
      </c>
      <c r="I24" s="36" t="s">
        <v>450</v>
      </c>
      <c r="J24" s="37" t="s">
        <v>107</v>
      </c>
      <c r="K24" s="37" t="s">
        <v>76</v>
      </c>
      <c r="L24" s="37" t="s">
        <v>701</v>
      </c>
      <c r="M24" s="37" t="s">
        <v>140</v>
      </c>
      <c r="N24" s="37"/>
      <c r="O24" s="37"/>
    </row>
    <row r="25" spans="1:15" s="36" customFormat="1" ht="72.5" x14ac:dyDescent="0.35">
      <c r="A25" s="36">
        <v>19</v>
      </c>
      <c r="B25" s="36" t="str">
        <f>CONCATENATE($B$2, ".", A25)</f>
        <v>11.19</v>
      </c>
      <c r="C25" s="83" t="s">
        <v>39</v>
      </c>
      <c r="D25" s="36" t="s">
        <v>73</v>
      </c>
      <c r="E25" s="36" t="s">
        <v>32</v>
      </c>
      <c r="F25" s="36" t="s">
        <v>51</v>
      </c>
      <c r="G25" s="36" t="s">
        <v>36</v>
      </c>
      <c r="H25" s="38">
        <v>7</v>
      </c>
      <c r="I25" s="36" t="s">
        <v>450</v>
      </c>
      <c r="J25" s="37" t="s">
        <v>107</v>
      </c>
      <c r="K25" s="37" t="s">
        <v>76</v>
      </c>
      <c r="L25" s="37" t="s">
        <v>702</v>
      </c>
      <c r="M25" s="37" t="s">
        <v>36</v>
      </c>
      <c r="N25" s="37" t="s">
        <v>36</v>
      </c>
      <c r="O25" s="37"/>
    </row>
    <row r="26" spans="1:15" s="36" customFormat="1" ht="58" x14ac:dyDescent="0.35">
      <c r="A26" s="36">
        <v>20</v>
      </c>
      <c r="B26" s="36" t="str">
        <f t="shared" ref="B26:B32" si="2">CONCATENATE($B$2, ".", A26)</f>
        <v>11.20</v>
      </c>
      <c r="C26" s="83" t="s">
        <v>39</v>
      </c>
      <c r="D26" s="36" t="s">
        <v>163</v>
      </c>
      <c r="E26" s="36" t="s">
        <v>31</v>
      </c>
      <c r="F26" s="36" t="s">
        <v>58</v>
      </c>
      <c r="G26" s="36" t="s">
        <v>36</v>
      </c>
      <c r="H26" s="36" t="s">
        <v>36</v>
      </c>
      <c r="I26" s="36" t="s">
        <v>9</v>
      </c>
      <c r="J26" s="37" t="s">
        <v>62</v>
      </c>
      <c r="K26" s="37" t="s">
        <v>53</v>
      </c>
      <c r="L26" s="37" t="s">
        <v>106</v>
      </c>
      <c r="M26" s="37" t="s">
        <v>36</v>
      </c>
      <c r="N26" s="37" t="s">
        <v>36</v>
      </c>
      <c r="O26" s="37" t="s">
        <v>36</v>
      </c>
    </row>
    <row r="27" spans="1:15" s="36" customFormat="1" ht="81.75" customHeight="1" x14ac:dyDescent="0.35">
      <c r="A27" s="36">
        <v>21</v>
      </c>
      <c r="B27" s="36" t="str">
        <f t="shared" si="2"/>
        <v>11.21</v>
      </c>
      <c r="C27" s="83" t="s">
        <v>39</v>
      </c>
      <c r="D27" s="36" t="s">
        <v>82</v>
      </c>
      <c r="E27" s="36" t="s">
        <v>74</v>
      </c>
      <c r="F27" s="36" t="s">
        <v>51</v>
      </c>
      <c r="G27" s="36" t="s">
        <v>36</v>
      </c>
      <c r="H27" s="38">
        <v>35</v>
      </c>
      <c r="I27" s="36" t="s">
        <v>452</v>
      </c>
      <c r="J27" s="37" t="s">
        <v>107</v>
      </c>
      <c r="K27" s="37" t="s">
        <v>200</v>
      </c>
      <c r="L27" s="37" t="s">
        <v>719</v>
      </c>
      <c r="M27" s="37" t="s">
        <v>36</v>
      </c>
      <c r="N27" s="37" t="s">
        <v>36</v>
      </c>
      <c r="O27" s="37" t="s">
        <v>184</v>
      </c>
    </row>
    <row r="28" spans="1:15" s="36" customFormat="1" ht="60" customHeight="1" x14ac:dyDescent="0.35">
      <c r="A28" s="36">
        <v>22</v>
      </c>
      <c r="B28" s="36" t="str">
        <f t="shared" si="2"/>
        <v>11.22</v>
      </c>
      <c r="C28" s="83" t="s">
        <v>39</v>
      </c>
      <c r="D28" s="36" t="s">
        <v>75</v>
      </c>
      <c r="E28" s="36" t="s">
        <v>32</v>
      </c>
      <c r="F28" s="36" t="s">
        <v>972</v>
      </c>
      <c r="G28" s="36" t="s">
        <v>36</v>
      </c>
      <c r="H28" s="38">
        <v>10</v>
      </c>
      <c r="I28" s="36" t="s">
        <v>453</v>
      </c>
      <c r="J28" s="37" t="s">
        <v>107</v>
      </c>
      <c r="K28" s="38" t="s">
        <v>83</v>
      </c>
      <c r="L28" s="38" t="s">
        <v>36</v>
      </c>
      <c r="M28" s="37" t="s">
        <v>36</v>
      </c>
      <c r="N28" s="37" t="s">
        <v>36</v>
      </c>
      <c r="O28" s="37"/>
    </row>
    <row r="29" spans="1:15" s="36" customFormat="1" ht="67" customHeight="1" x14ac:dyDescent="0.35">
      <c r="A29" s="36">
        <v>23</v>
      </c>
      <c r="B29" s="36" t="str">
        <f t="shared" si="2"/>
        <v>11.23</v>
      </c>
      <c r="C29" s="83" t="s">
        <v>39</v>
      </c>
      <c r="D29" s="36" t="s">
        <v>110</v>
      </c>
      <c r="E29" s="36" t="s">
        <v>32</v>
      </c>
      <c r="F29" s="36" t="s">
        <v>972</v>
      </c>
      <c r="G29" s="36" t="s">
        <v>36</v>
      </c>
      <c r="H29" s="38">
        <v>35</v>
      </c>
      <c r="I29" s="36" t="s">
        <v>453</v>
      </c>
      <c r="J29" s="37" t="s">
        <v>107</v>
      </c>
      <c r="K29" s="37" t="s">
        <v>76</v>
      </c>
      <c r="L29" s="37" t="s">
        <v>720</v>
      </c>
      <c r="M29" s="37" t="s">
        <v>36</v>
      </c>
      <c r="N29" s="37" t="s">
        <v>36</v>
      </c>
      <c r="O29" s="37"/>
    </row>
    <row r="30" spans="1:15" s="36" customFormat="1" ht="63.5" customHeight="1" x14ac:dyDescent="0.35">
      <c r="A30" s="36">
        <v>24</v>
      </c>
      <c r="B30" s="36" t="str">
        <f t="shared" si="2"/>
        <v>11.24</v>
      </c>
      <c r="C30" s="83" t="s">
        <v>39</v>
      </c>
      <c r="D30" s="36" t="s">
        <v>70</v>
      </c>
      <c r="E30" s="36" t="s">
        <v>32</v>
      </c>
      <c r="F30" s="36" t="s">
        <v>972</v>
      </c>
      <c r="G30" s="36" t="s">
        <v>36</v>
      </c>
      <c r="H30" s="38">
        <v>10</v>
      </c>
      <c r="I30" s="36" t="s">
        <v>453</v>
      </c>
      <c r="J30" s="37" t="s">
        <v>107</v>
      </c>
      <c r="K30" s="37" t="s">
        <v>78</v>
      </c>
      <c r="L30" s="37" t="s">
        <v>36</v>
      </c>
      <c r="M30" s="37" t="s">
        <v>36</v>
      </c>
      <c r="N30" s="37" t="s">
        <v>36</v>
      </c>
      <c r="O30" s="37"/>
    </row>
    <row r="31" spans="1:15" s="36" customFormat="1" ht="57" customHeight="1" x14ac:dyDescent="0.35">
      <c r="A31" s="36">
        <v>25</v>
      </c>
      <c r="B31" s="36" t="str">
        <f t="shared" si="2"/>
        <v>11.25</v>
      </c>
      <c r="C31" s="83" t="s">
        <v>39</v>
      </c>
      <c r="D31" s="36" t="s">
        <v>71</v>
      </c>
      <c r="E31" s="36" t="s">
        <v>32</v>
      </c>
      <c r="F31" s="36" t="s">
        <v>972</v>
      </c>
      <c r="G31" s="36" t="s">
        <v>36</v>
      </c>
      <c r="H31" s="38">
        <v>20</v>
      </c>
      <c r="I31" s="36" t="s">
        <v>453</v>
      </c>
      <c r="J31" s="37" t="s">
        <v>107</v>
      </c>
      <c r="K31" s="37" t="s">
        <v>76</v>
      </c>
      <c r="L31" s="37" t="s">
        <v>700</v>
      </c>
      <c r="M31" s="37" t="s">
        <v>36</v>
      </c>
      <c r="N31" s="37" t="s">
        <v>36</v>
      </c>
      <c r="O31" s="37"/>
    </row>
    <row r="32" spans="1:15" s="36" customFormat="1" ht="72.5" x14ac:dyDescent="0.35">
      <c r="A32" s="36">
        <v>26</v>
      </c>
      <c r="B32" s="36" t="str">
        <f t="shared" si="2"/>
        <v>11.26</v>
      </c>
      <c r="C32" s="83" t="s">
        <v>39</v>
      </c>
      <c r="D32" s="36" t="s">
        <v>72</v>
      </c>
      <c r="E32" s="36" t="s">
        <v>34</v>
      </c>
      <c r="F32" s="36" t="s">
        <v>51</v>
      </c>
      <c r="G32" s="36" t="s">
        <v>36</v>
      </c>
      <c r="H32" s="38">
        <v>15</v>
      </c>
      <c r="I32" s="36" t="s">
        <v>453</v>
      </c>
      <c r="J32" s="37" t="s">
        <v>107</v>
      </c>
      <c r="K32" s="37" t="s">
        <v>76</v>
      </c>
      <c r="L32" s="37" t="s">
        <v>721</v>
      </c>
      <c r="M32" s="37" t="s">
        <v>141</v>
      </c>
      <c r="N32" s="37" t="s">
        <v>36</v>
      </c>
      <c r="O32" s="37"/>
    </row>
    <row r="33" spans="1:15" s="36" customFormat="1" ht="72.5" x14ac:dyDescent="0.35">
      <c r="A33" s="36">
        <v>27</v>
      </c>
      <c r="B33" s="36" t="str">
        <f>CONCATENATE($B$2, ".", A33)</f>
        <v>11.27</v>
      </c>
      <c r="C33" s="83" t="s">
        <v>39</v>
      </c>
      <c r="D33" s="36" t="s">
        <v>73</v>
      </c>
      <c r="E33" s="36" t="s">
        <v>32</v>
      </c>
      <c r="F33" s="36" t="s">
        <v>51</v>
      </c>
      <c r="G33" s="36" t="s">
        <v>36</v>
      </c>
      <c r="H33" s="38">
        <v>7</v>
      </c>
      <c r="I33" s="36" t="s">
        <v>453</v>
      </c>
      <c r="J33" s="37" t="s">
        <v>107</v>
      </c>
      <c r="K33" s="37" t="s">
        <v>76</v>
      </c>
      <c r="L33" s="37" t="s">
        <v>702</v>
      </c>
      <c r="M33" s="37"/>
      <c r="N33" s="37"/>
      <c r="O33" s="37"/>
    </row>
    <row r="34" spans="1:15" ht="29" x14ac:dyDescent="0.35">
      <c r="A34" s="36">
        <v>28</v>
      </c>
      <c r="B34" s="36" t="str">
        <f t="shared" ref="B34:B35" si="3">CONCATENATE($B$2, ".", A34)</f>
        <v>11.28</v>
      </c>
      <c r="C34" s="83" t="s">
        <v>39</v>
      </c>
      <c r="D34" s="6" t="s">
        <v>57</v>
      </c>
      <c r="E34" s="36" t="s">
        <v>42</v>
      </c>
      <c r="F34" s="6" t="s">
        <v>36</v>
      </c>
      <c r="G34" s="6" t="s">
        <v>36</v>
      </c>
      <c r="H34" s="6" t="s">
        <v>36</v>
      </c>
      <c r="I34" s="6" t="s">
        <v>9</v>
      </c>
      <c r="J34" s="6" t="s">
        <v>36</v>
      </c>
      <c r="K34" s="6" t="s">
        <v>36</v>
      </c>
      <c r="L34" s="6" t="s">
        <v>36</v>
      </c>
      <c r="M34" s="6" t="s">
        <v>36</v>
      </c>
      <c r="N34" s="6" t="s">
        <v>36</v>
      </c>
      <c r="O34" s="6" t="s">
        <v>278</v>
      </c>
    </row>
    <row r="35" spans="1:15" x14ac:dyDescent="0.35">
      <c r="A35" s="36">
        <v>29</v>
      </c>
      <c r="B35" s="36" t="str">
        <f t="shared" si="3"/>
        <v>11.29</v>
      </c>
      <c r="C35" s="83" t="s">
        <v>39</v>
      </c>
      <c r="D35" s="6" t="s">
        <v>56</v>
      </c>
      <c r="E35" s="36" t="s">
        <v>42</v>
      </c>
      <c r="F35" s="6" t="s">
        <v>36</v>
      </c>
      <c r="G35" s="6" t="s">
        <v>36</v>
      </c>
      <c r="H35" s="6" t="s">
        <v>36</v>
      </c>
      <c r="I35" s="6" t="s">
        <v>9</v>
      </c>
      <c r="J35" s="6" t="s">
        <v>36</v>
      </c>
      <c r="K35" s="6" t="s">
        <v>36</v>
      </c>
      <c r="L35" s="6" t="s">
        <v>36</v>
      </c>
      <c r="M35" s="6" t="s">
        <v>36</v>
      </c>
      <c r="N35" s="6" t="s">
        <v>36</v>
      </c>
      <c r="O35" s="6" t="s">
        <v>277</v>
      </c>
    </row>
  </sheetData>
  <mergeCells count="2">
    <mergeCell ref="B1:C1"/>
    <mergeCell ref="B4:C4"/>
  </mergeCells>
  <conditionalFormatting sqref="C36:C1048576">
    <cfRule type="cellIs" dxfId="523" priority="47" operator="equal">
      <formula>"WIP (see comments)"</formula>
    </cfRule>
    <cfRule type="cellIs" dxfId="522" priority="48" operator="equal">
      <formula>"Removed"</formula>
    </cfRule>
    <cfRule type="cellIs" dxfId="521" priority="49" operator="equal">
      <formula>"Updated"</formula>
    </cfRule>
    <cfRule type="cellIs" dxfId="520" priority="50" operator="equal">
      <formula>"New"</formula>
    </cfRule>
  </conditionalFormatting>
  <conditionalFormatting sqref="B11:B35 D11:XFD11 E34:E35 D16:XFD19 D12:E15 G12:XFD15 D24:XFD27 D20:E23 G20:XFD23 D32:XFD33 D28:E31 G28:XFD31">
    <cfRule type="cellIs" dxfId="519" priority="22" operator="equal">
      <formula>"n/a"</formula>
    </cfRule>
  </conditionalFormatting>
  <conditionalFormatting sqref="C7:C35">
    <cfRule type="cellIs" dxfId="518" priority="8" operator="equal">
      <formula>"WIP (see comments)"</formula>
    </cfRule>
    <cfRule type="cellIs" dxfId="517" priority="9" operator="equal">
      <formula>"Removed"</formula>
    </cfRule>
    <cfRule type="cellIs" dxfId="516" priority="10" operator="equal">
      <formula>"Updated"</formula>
    </cfRule>
    <cfRule type="cellIs" dxfId="515" priority="11" operator="equal">
      <formula>"New"</formula>
    </cfRule>
  </conditionalFormatting>
  <conditionalFormatting sqref="C7:C35">
    <cfRule type="cellIs" dxfId="514" priority="7" operator="equal">
      <formula>"n/a"</formula>
    </cfRule>
  </conditionalFormatting>
  <conditionalFormatting sqref="D34:D35 F34:O35">
    <cfRule type="cellIs" dxfId="513" priority="2" operator="equal">
      <formula>"n/a"</formula>
    </cfRule>
  </conditionalFormatting>
  <conditionalFormatting sqref="D3">
    <cfRule type="cellIs" dxfId="512" priority="1"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Values'!$A$5:$A$35</xm:f>
          </x14:formula1>
          <xm:sqref>E7:E35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1"/>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223</v>
      </c>
      <c r="C1" s="162"/>
      <c r="D1" s="162"/>
    </row>
    <row r="2" spans="1:16" s="27" customFormat="1" ht="18.5" x14ac:dyDescent="0.35">
      <c r="A2" s="25" t="s">
        <v>7</v>
      </c>
      <c r="B2" s="33">
        <v>12</v>
      </c>
      <c r="C2" s="32"/>
      <c r="D2" s="33"/>
    </row>
    <row r="3" spans="1:16" s="27" customFormat="1" ht="18.5" x14ac:dyDescent="0.35">
      <c r="A3" s="25" t="s">
        <v>43</v>
      </c>
      <c r="B3" s="33" t="s">
        <v>282</v>
      </c>
      <c r="C3" s="32"/>
      <c r="D3" s="81" t="s">
        <v>283</v>
      </c>
      <c r="E3" s="27" t="s">
        <v>68</v>
      </c>
    </row>
    <row r="4" spans="1:16" s="27" customFormat="1" ht="18.5" x14ac:dyDescent="0.35">
      <c r="A4" s="25" t="s">
        <v>8</v>
      </c>
      <c r="B4" s="163" t="s">
        <v>46</v>
      </c>
      <c r="C4" s="163"/>
      <c r="D4" s="27" t="s">
        <v>455</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3" si="0">CONCATENATE($B$2, ".", A7)</f>
        <v>12.1</v>
      </c>
      <c r="C7" s="83" t="s">
        <v>37</v>
      </c>
      <c r="D7" s="36" t="s">
        <v>186</v>
      </c>
      <c r="E7" s="36" t="s">
        <v>28</v>
      </c>
      <c r="F7" s="36" t="s">
        <v>36</v>
      </c>
      <c r="G7" s="36" t="s">
        <v>36</v>
      </c>
      <c r="H7" s="36" t="s">
        <v>36</v>
      </c>
      <c r="I7" s="36" t="s">
        <v>9</v>
      </c>
      <c r="J7" s="37" t="s">
        <v>36</v>
      </c>
      <c r="K7" s="37" t="s">
        <v>36</v>
      </c>
      <c r="L7" s="37" t="s">
        <v>36</v>
      </c>
      <c r="M7" s="37" t="s">
        <v>36</v>
      </c>
      <c r="N7" s="37" t="s">
        <v>36</v>
      </c>
      <c r="O7" s="37" t="s">
        <v>36</v>
      </c>
    </row>
    <row r="8" spans="1:16" s="36" customFormat="1" ht="29" x14ac:dyDescent="0.35">
      <c r="A8" s="36">
        <v>2</v>
      </c>
      <c r="B8" s="36" t="str">
        <f t="shared" si="0"/>
        <v>12.2</v>
      </c>
      <c r="C8" s="83" t="s">
        <v>44</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35">
      <c r="A9" s="36">
        <v>3</v>
      </c>
      <c r="B9" s="36" t="str">
        <f t="shared" si="0"/>
        <v>12.3</v>
      </c>
      <c r="C9" s="83" t="s">
        <v>39</v>
      </c>
      <c r="D9" s="36" t="s">
        <v>147</v>
      </c>
      <c r="E9" s="36" t="s">
        <v>85</v>
      </c>
      <c r="F9" s="36" t="s">
        <v>86</v>
      </c>
      <c r="G9" s="36" t="s">
        <v>131</v>
      </c>
      <c r="H9" s="36" t="s">
        <v>36</v>
      </c>
      <c r="I9" s="36" t="s">
        <v>9</v>
      </c>
      <c r="J9" s="37" t="s">
        <v>88</v>
      </c>
      <c r="K9" s="37" t="s">
        <v>53</v>
      </c>
      <c r="L9" s="37" t="s">
        <v>722</v>
      </c>
      <c r="M9" s="37" t="s">
        <v>89</v>
      </c>
      <c r="N9" s="37" t="s">
        <v>90</v>
      </c>
      <c r="O9" s="37" t="s">
        <v>91</v>
      </c>
    </row>
    <row r="10" spans="1:16" s="36" customFormat="1" ht="102.75" customHeight="1" x14ac:dyDescent="0.35">
      <c r="A10" s="36">
        <v>4</v>
      </c>
      <c r="B10" s="36" t="str">
        <f t="shared" si="0"/>
        <v>12.4</v>
      </c>
      <c r="C10" s="83" t="s">
        <v>39</v>
      </c>
      <c r="D10" s="36" t="s">
        <v>84</v>
      </c>
      <c r="E10" s="36" t="s">
        <v>32</v>
      </c>
      <c r="F10" s="36" t="s">
        <v>87</v>
      </c>
      <c r="G10" s="36" t="s">
        <v>130</v>
      </c>
      <c r="H10" s="38">
        <v>9</v>
      </c>
      <c r="I10" s="36" t="s">
        <v>9</v>
      </c>
      <c r="J10" s="37" t="s">
        <v>36</v>
      </c>
      <c r="K10" s="37" t="s">
        <v>83</v>
      </c>
      <c r="L10" s="36" t="s">
        <v>36</v>
      </c>
      <c r="M10" s="37" t="s">
        <v>132</v>
      </c>
      <c r="N10" s="37" t="s">
        <v>179</v>
      </c>
      <c r="O10" s="37" t="s">
        <v>36</v>
      </c>
    </row>
    <row r="11" spans="1:16" s="36" customFormat="1" ht="114" customHeight="1" x14ac:dyDescent="0.35">
      <c r="A11" s="36">
        <v>5</v>
      </c>
      <c r="B11" s="36" t="str">
        <f t="shared" si="0"/>
        <v>12.5</v>
      </c>
      <c r="C11" s="83" t="s">
        <v>39</v>
      </c>
      <c r="D11" s="36" t="s">
        <v>93</v>
      </c>
      <c r="E11" s="36" t="s">
        <v>74</v>
      </c>
      <c r="F11" s="36" t="s">
        <v>51</v>
      </c>
      <c r="G11" s="36" t="s">
        <v>149</v>
      </c>
      <c r="H11" s="45">
        <v>200</v>
      </c>
      <c r="I11" s="36" t="s">
        <v>9</v>
      </c>
      <c r="J11" s="37" t="s">
        <v>92</v>
      </c>
      <c r="K11" s="37" t="s">
        <v>53</v>
      </c>
      <c r="L11" s="37" t="s">
        <v>723</v>
      </c>
      <c r="M11" s="37" t="s">
        <v>94</v>
      </c>
      <c r="N11" s="37" t="s">
        <v>36</v>
      </c>
      <c r="O11" s="37" t="s">
        <v>148</v>
      </c>
      <c r="P11" s="36" t="s">
        <v>454</v>
      </c>
    </row>
    <row r="12" spans="1:16" s="36" customFormat="1" ht="29" x14ac:dyDescent="0.35">
      <c r="A12" s="36">
        <v>6</v>
      </c>
      <c r="B12" s="36" t="str">
        <f>CONCATENATE($B$2, ".", A12)</f>
        <v>12.6</v>
      </c>
      <c r="C12" s="83" t="s">
        <v>39</v>
      </c>
      <c r="D12" s="36" t="s">
        <v>57</v>
      </c>
      <c r="E12" s="36" t="s">
        <v>42</v>
      </c>
      <c r="F12" s="36" t="s">
        <v>36</v>
      </c>
      <c r="G12" s="36" t="s">
        <v>36</v>
      </c>
      <c r="H12" s="36" t="s">
        <v>36</v>
      </c>
      <c r="I12" s="36" t="s">
        <v>9</v>
      </c>
      <c r="J12" s="36" t="s">
        <v>36</v>
      </c>
      <c r="K12" s="36" t="s">
        <v>36</v>
      </c>
      <c r="L12" s="36" t="s">
        <v>36</v>
      </c>
      <c r="M12" s="36" t="s">
        <v>36</v>
      </c>
      <c r="N12" s="36" t="s">
        <v>36</v>
      </c>
      <c r="O12" s="36" t="s">
        <v>284</v>
      </c>
    </row>
    <row r="13" spans="1:16" s="36" customFormat="1" ht="29" x14ac:dyDescent="0.35">
      <c r="A13" s="36">
        <v>7</v>
      </c>
      <c r="B13" s="36" t="str">
        <f t="shared" si="0"/>
        <v>12.7</v>
      </c>
      <c r="C13" s="83" t="s">
        <v>39</v>
      </c>
      <c r="D13" s="36" t="s">
        <v>56</v>
      </c>
      <c r="E13" s="36" t="s">
        <v>42</v>
      </c>
      <c r="F13" s="36" t="s">
        <v>36</v>
      </c>
      <c r="G13" s="36" t="s">
        <v>36</v>
      </c>
      <c r="H13" s="36" t="s">
        <v>36</v>
      </c>
      <c r="I13" s="36" t="s">
        <v>9</v>
      </c>
      <c r="J13" s="36" t="s">
        <v>36</v>
      </c>
      <c r="K13" s="36" t="s">
        <v>36</v>
      </c>
      <c r="L13" s="36" t="s">
        <v>36</v>
      </c>
      <c r="M13" s="36" t="s">
        <v>36</v>
      </c>
      <c r="N13" s="36" t="s">
        <v>36</v>
      </c>
      <c r="O13" s="36" t="s">
        <v>279</v>
      </c>
    </row>
    <row r="14" spans="1:16" x14ac:dyDescent="0.35">
      <c r="I14" s="36"/>
      <c r="J14" s="5"/>
      <c r="K14" s="5"/>
      <c r="L14" s="37"/>
      <c r="M14" s="37"/>
      <c r="N14" s="37"/>
      <c r="O14" s="37"/>
    </row>
    <row r="15" spans="1:16" x14ac:dyDescent="0.35">
      <c r="D15" s="6" t="s">
        <v>68</v>
      </c>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sheetData>
  <autoFilter ref="A6:P13"/>
  <mergeCells count="2">
    <mergeCell ref="B1:D1"/>
    <mergeCell ref="B4:C4"/>
  </mergeCells>
  <conditionalFormatting sqref="C14:C1048576">
    <cfRule type="cellIs" dxfId="511" priority="21" operator="equal">
      <formula>"WIP (see comments)"</formula>
    </cfRule>
    <cfRule type="cellIs" dxfId="510" priority="22" operator="equal">
      <formula>"Removed"</formula>
    </cfRule>
    <cfRule type="cellIs" dxfId="509" priority="23" operator="equal">
      <formula>"Updated"</formula>
    </cfRule>
    <cfRule type="cellIs" dxfId="508" priority="24" operator="equal">
      <formula>"New"</formula>
    </cfRule>
  </conditionalFormatting>
  <conditionalFormatting sqref="B4">
    <cfRule type="cellIs" dxfId="507" priority="8" operator="equal">
      <formula>"n/a"</formula>
    </cfRule>
  </conditionalFormatting>
  <conditionalFormatting sqref="D11:O11">
    <cfRule type="cellIs" dxfId="506" priority="7" operator="equal">
      <formula>"n/a"</formula>
    </cfRule>
  </conditionalFormatting>
  <conditionalFormatting sqref="D3">
    <cfRule type="cellIs" dxfId="505" priority="6" operator="equal">
      <formula>"n/a"</formula>
    </cfRule>
  </conditionalFormatting>
  <conditionalFormatting sqref="C7:C13">
    <cfRule type="cellIs" dxfId="504" priority="2" operator="equal">
      <formula>"WIP (see comments)"</formula>
    </cfRule>
    <cfRule type="cellIs" dxfId="503" priority="3" operator="equal">
      <formula>"Removed"</formula>
    </cfRule>
    <cfRule type="cellIs" dxfId="502" priority="4" operator="equal">
      <formula>"Updated"</formula>
    </cfRule>
    <cfRule type="cellIs" dxfId="501" priority="5" operator="equal">
      <formula>"New"</formula>
    </cfRule>
  </conditionalFormatting>
  <conditionalFormatting sqref="C7:C13">
    <cfRule type="cellIs" dxfId="500"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Values'!$A$5:$A$35</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3"/>
  <sheetViews>
    <sheetView workbookViewId="0">
      <pane xSplit="4" ySplit="6" topLeftCell="E10" activePane="bottomRight" state="frozen"/>
      <selection pane="topRight" activeCell="E1" sqref="E1"/>
      <selection pane="bottomLeft" activeCell="A7" sqref="A7"/>
      <selection pane="bottomRight" activeCell="F11" sqref="F11"/>
    </sheetView>
  </sheetViews>
  <sheetFormatPr defaultColWidth="9.1796875" defaultRowHeight="14.5" x14ac:dyDescent="0.35"/>
  <cols>
    <col min="1" max="1" width="14.7265625" style="5" customWidth="1"/>
    <col min="2" max="2" width="12.54296875" style="5" customWidth="1"/>
    <col min="3" max="3" width="13" style="142" customWidth="1"/>
    <col min="4" max="4" width="45.1796875" style="5" customWidth="1"/>
    <col min="5" max="5" width="28.7265625" style="5" customWidth="1"/>
    <col min="6" max="6" width="37" style="5" customWidth="1"/>
    <col min="7" max="7" width="29.26953125" style="5" customWidth="1"/>
    <col min="8" max="8" width="11.54296875" style="14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963</v>
      </c>
      <c r="C1" s="29"/>
      <c r="D1" s="26"/>
      <c r="H1" s="32"/>
    </row>
    <row r="2" spans="1:16" s="27" customFormat="1" ht="18.5" x14ac:dyDescent="0.35">
      <c r="A2" s="25" t="s">
        <v>7</v>
      </c>
      <c r="B2" s="141" t="s">
        <v>905</v>
      </c>
      <c r="C2" s="32"/>
      <c r="D2" s="141"/>
      <c r="H2" s="32"/>
    </row>
    <row r="3" spans="1:16" s="27" customFormat="1" ht="18.5" x14ac:dyDescent="0.35">
      <c r="A3" s="25" t="s">
        <v>43</v>
      </c>
      <c r="B3" s="141" t="s">
        <v>962</v>
      </c>
      <c r="C3" s="32"/>
      <c r="D3" s="141"/>
      <c r="H3" s="32"/>
    </row>
    <row r="4" spans="1:16" s="27" customFormat="1" ht="18.5" x14ac:dyDescent="0.35">
      <c r="A4" s="25" t="s">
        <v>8</v>
      </c>
      <c r="B4" s="27" t="s">
        <v>46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x14ac:dyDescent="0.35">
      <c r="A7" s="5">
        <v>1</v>
      </c>
      <c r="B7" s="5" t="str">
        <f t="shared" ref="B7:B13" si="0">CONCATENATE($B$2, ".", A7)</f>
        <v>12a.1</v>
      </c>
      <c r="C7" s="142" t="s">
        <v>41</v>
      </c>
      <c r="D7" s="6" t="s">
        <v>895</v>
      </c>
      <c r="E7" s="6" t="s">
        <v>115</v>
      </c>
      <c r="F7" s="6" t="s">
        <v>36</v>
      </c>
      <c r="G7" s="6" t="s">
        <v>36</v>
      </c>
      <c r="H7" s="31" t="s">
        <v>36</v>
      </c>
      <c r="I7" s="6" t="s">
        <v>9</v>
      </c>
      <c r="J7" s="6" t="s">
        <v>36</v>
      </c>
      <c r="K7" s="6" t="s">
        <v>36</v>
      </c>
      <c r="L7" s="6" t="s">
        <v>36</v>
      </c>
      <c r="M7" s="6" t="s">
        <v>36</v>
      </c>
      <c r="N7" s="6" t="s">
        <v>36</v>
      </c>
    </row>
    <row r="8" spans="1:16" s="6" customFormat="1" ht="29" x14ac:dyDescent="0.35">
      <c r="A8" s="36">
        <v>2</v>
      </c>
      <c r="B8" s="36" t="str">
        <f t="shared" si="0"/>
        <v>12a.2</v>
      </c>
      <c r="C8" s="145" t="s">
        <v>44</v>
      </c>
      <c r="D8" s="36" t="s">
        <v>36</v>
      </c>
      <c r="E8" s="36" t="s">
        <v>48</v>
      </c>
      <c r="F8" s="36" t="s">
        <v>36</v>
      </c>
      <c r="G8" s="36" t="s">
        <v>36</v>
      </c>
      <c r="H8" s="45" t="s">
        <v>36</v>
      </c>
      <c r="I8" s="36" t="s">
        <v>9</v>
      </c>
      <c r="J8" s="37" t="s">
        <v>36</v>
      </c>
      <c r="K8" s="37" t="s">
        <v>36</v>
      </c>
      <c r="L8" s="37" t="s">
        <v>36</v>
      </c>
      <c r="M8" s="37" t="s">
        <v>36</v>
      </c>
      <c r="N8" s="37" t="s">
        <v>36</v>
      </c>
      <c r="O8" s="37" t="s">
        <v>36</v>
      </c>
      <c r="P8" s="36" t="s">
        <v>433</v>
      </c>
    </row>
    <row r="9" spans="1:16" s="6" customFormat="1" ht="144.75" customHeight="1" x14ac:dyDescent="0.35">
      <c r="A9" s="5">
        <v>3</v>
      </c>
      <c r="B9" s="5" t="str">
        <f t="shared" si="0"/>
        <v>12a.3</v>
      </c>
      <c r="C9" s="142" t="s">
        <v>41</v>
      </c>
      <c r="D9" s="6" t="s">
        <v>896</v>
      </c>
      <c r="E9" s="6" t="s">
        <v>33</v>
      </c>
      <c r="F9" s="6" t="s">
        <v>36</v>
      </c>
      <c r="G9" s="6" t="s">
        <v>36</v>
      </c>
      <c r="H9" s="31" t="s">
        <v>36</v>
      </c>
      <c r="I9" s="6" t="s">
        <v>9</v>
      </c>
      <c r="J9" s="6" t="s">
        <v>36</v>
      </c>
      <c r="K9" s="6" t="s">
        <v>36</v>
      </c>
      <c r="L9" s="6" t="s">
        <v>36</v>
      </c>
      <c r="M9" s="6" t="s">
        <v>36</v>
      </c>
      <c r="N9" s="6" t="s">
        <v>36</v>
      </c>
    </row>
    <row r="10" spans="1:16" s="6" customFormat="1" ht="185.25" customHeight="1" x14ac:dyDescent="0.35">
      <c r="A10" s="5">
        <v>4</v>
      </c>
      <c r="B10" s="5" t="str">
        <f t="shared" si="0"/>
        <v>12a.4</v>
      </c>
      <c r="C10" s="142" t="s">
        <v>41</v>
      </c>
      <c r="D10" s="6" t="s">
        <v>906</v>
      </c>
      <c r="E10" s="6" t="s">
        <v>34</v>
      </c>
      <c r="F10" s="6" t="s">
        <v>897</v>
      </c>
      <c r="G10" s="6" t="s">
        <v>898</v>
      </c>
      <c r="H10" s="31" t="s">
        <v>36</v>
      </c>
      <c r="I10" s="6" t="s">
        <v>9</v>
      </c>
      <c r="J10" s="6" t="s">
        <v>92</v>
      </c>
      <c r="K10" s="6" t="s">
        <v>53</v>
      </c>
      <c r="L10" s="6" t="s">
        <v>899</v>
      </c>
      <c r="M10" s="6" t="s">
        <v>36</v>
      </c>
      <c r="N10" s="6" t="s">
        <v>36</v>
      </c>
      <c r="O10" s="6" t="s">
        <v>36</v>
      </c>
    </row>
    <row r="11" spans="1:16" ht="159.5" x14ac:dyDescent="0.35">
      <c r="A11" s="5">
        <v>5</v>
      </c>
      <c r="B11" s="5" t="str">
        <f t="shared" si="0"/>
        <v>12a.5</v>
      </c>
      <c r="C11" s="142" t="s">
        <v>41</v>
      </c>
      <c r="D11" s="6" t="s">
        <v>907</v>
      </c>
      <c r="E11" s="6" t="s">
        <v>32</v>
      </c>
      <c r="F11" s="6" t="s">
        <v>961</v>
      </c>
      <c r="G11" s="6" t="s">
        <v>36</v>
      </c>
      <c r="H11" s="31">
        <v>30</v>
      </c>
      <c r="I11" s="6" t="s">
        <v>9</v>
      </c>
      <c r="J11" s="6" t="s">
        <v>92</v>
      </c>
      <c r="K11" s="6" t="s">
        <v>53</v>
      </c>
      <c r="L11" s="6" t="s">
        <v>900</v>
      </c>
      <c r="M11" s="6" t="s">
        <v>36</v>
      </c>
      <c r="N11" s="6" t="s">
        <v>36</v>
      </c>
      <c r="O11" s="6" t="s">
        <v>901</v>
      </c>
      <c r="P11" s="6"/>
    </row>
    <row r="12" spans="1:16" ht="29" x14ac:dyDescent="0.35">
      <c r="A12" s="5">
        <v>6</v>
      </c>
      <c r="B12" s="5" t="str">
        <f t="shared" si="0"/>
        <v>12a.6</v>
      </c>
      <c r="C12" s="142" t="s">
        <v>41</v>
      </c>
      <c r="D12" s="37" t="s">
        <v>57</v>
      </c>
      <c r="E12" s="5" t="s">
        <v>42</v>
      </c>
      <c r="F12" s="5" t="s">
        <v>36</v>
      </c>
      <c r="G12" s="5" t="s">
        <v>36</v>
      </c>
      <c r="H12" s="142" t="s">
        <v>36</v>
      </c>
      <c r="I12" s="37" t="s">
        <v>9</v>
      </c>
      <c r="J12" s="5" t="s">
        <v>36</v>
      </c>
      <c r="K12" s="5" t="s">
        <v>36</v>
      </c>
      <c r="L12" s="5" t="s">
        <v>36</v>
      </c>
      <c r="M12" s="5" t="s">
        <v>36</v>
      </c>
      <c r="N12" s="5" t="s">
        <v>36</v>
      </c>
      <c r="O12" s="36" t="s">
        <v>909</v>
      </c>
    </row>
    <row r="13" spans="1:16" x14ac:dyDescent="0.35">
      <c r="A13" s="5">
        <v>7</v>
      </c>
      <c r="B13" s="5" t="str">
        <f t="shared" si="0"/>
        <v>12a.7</v>
      </c>
      <c r="C13" s="144" t="s">
        <v>41</v>
      </c>
      <c r="D13" s="37" t="s">
        <v>56</v>
      </c>
      <c r="E13" s="5" t="s">
        <v>42</v>
      </c>
      <c r="F13" s="5" t="s">
        <v>36</v>
      </c>
      <c r="G13" s="5" t="s">
        <v>36</v>
      </c>
      <c r="H13" s="144" t="s">
        <v>36</v>
      </c>
      <c r="I13" s="37" t="s">
        <v>9</v>
      </c>
      <c r="J13" s="5" t="s">
        <v>36</v>
      </c>
      <c r="K13" s="5" t="s">
        <v>36</v>
      </c>
      <c r="L13" s="5" t="s">
        <v>36</v>
      </c>
      <c r="M13" s="5" t="s">
        <v>36</v>
      </c>
      <c r="N13" s="5" t="s">
        <v>36</v>
      </c>
      <c r="O13" s="36" t="s">
        <v>908</v>
      </c>
    </row>
  </sheetData>
  <autoFilter ref="A6:P6"/>
  <conditionalFormatting sqref="A1:XFD6 F7:N7 A7:C7 Q10:XFD1048576 D11:H11 A9:C11 F9:N9 A12:P1048576 J11:P11">
    <cfRule type="cellIs" dxfId="499" priority="9" operator="equal">
      <formula>"n/a"</formula>
    </cfRule>
  </conditionalFormatting>
  <conditionalFormatting sqref="C1:C7 C9:C1048576">
    <cfRule type="cellIs" dxfId="498" priority="10" operator="equal">
      <formula>"WIP (see comments)"</formula>
    </cfRule>
    <cfRule type="cellIs" dxfId="497" priority="11" operator="equal">
      <formula>"Removed"</formula>
    </cfRule>
    <cfRule type="cellIs" dxfId="496" priority="12" operator="equal">
      <formula>"Updated"</formula>
    </cfRule>
    <cfRule type="cellIs" dxfId="495" priority="13" operator="equal">
      <formula>"New"</formula>
    </cfRule>
  </conditionalFormatting>
  <conditionalFormatting sqref="D10:E10 Q9:XFD9">
    <cfRule type="cellIs" dxfId="494" priority="8" operator="equal">
      <formula>"n/a"</formula>
    </cfRule>
  </conditionalFormatting>
  <conditionalFormatting sqref="F10:P10 I11">
    <cfRule type="cellIs" dxfId="493" priority="7" operator="equal">
      <formula>"n/a"</formula>
    </cfRule>
  </conditionalFormatting>
  <conditionalFormatting sqref="A8:B8 D8:P8">
    <cfRule type="cellIs" dxfId="492" priority="6" operator="equal">
      <formula>"n/a"</formula>
    </cfRule>
  </conditionalFormatting>
  <conditionalFormatting sqref="C8">
    <cfRule type="cellIs" dxfId="491" priority="2" operator="equal">
      <formula>"WIP (see comments)"</formula>
    </cfRule>
    <cfRule type="cellIs" dxfId="490" priority="3" operator="equal">
      <formula>"Removed"</formula>
    </cfRule>
    <cfRule type="cellIs" dxfId="489" priority="4" operator="equal">
      <formula>"Updated"</formula>
    </cfRule>
    <cfRule type="cellIs" dxfId="488" priority="5" operator="equal">
      <formula>"New"</formula>
    </cfRule>
  </conditionalFormatting>
  <conditionalFormatting sqref="C8">
    <cfRule type="cellIs" dxfId="48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Values'!$A$5:$A$34</xm:f>
          </x14:formula1>
          <xm:sqref>E7:E13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224</v>
      </c>
      <c r="C1" s="29"/>
      <c r="D1" s="26"/>
      <c r="H1" s="32"/>
    </row>
    <row r="2" spans="1:16" s="27" customFormat="1" ht="18.5" x14ac:dyDescent="0.35">
      <c r="A2" s="25" t="s">
        <v>7</v>
      </c>
      <c r="B2" s="33">
        <v>13</v>
      </c>
      <c r="C2" s="32"/>
      <c r="D2" s="33" t="s">
        <v>967</v>
      </c>
      <c r="H2" s="32"/>
    </row>
    <row r="3" spans="1:16" s="27" customFormat="1" ht="18.5" x14ac:dyDescent="0.35">
      <c r="A3" s="25" t="s">
        <v>43</v>
      </c>
      <c r="B3" s="33" t="s">
        <v>285</v>
      </c>
      <c r="C3" s="32"/>
      <c r="D3" s="81" t="s">
        <v>287</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17" si="0">CONCATENATE($B$2, ".", A7)</f>
        <v>13.1</v>
      </c>
      <c r="C7" s="83" t="s">
        <v>39</v>
      </c>
      <c r="D7" s="36" t="s">
        <v>344</v>
      </c>
      <c r="E7" s="36" t="s">
        <v>115</v>
      </c>
      <c r="F7" s="36" t="s">
        <v>36</v>
      </c>
      <c r="G7" s="36" t="s">
        <v>36</v>
      </c>
      <c r="H7" s="45" t="s">
        <v>36</v>
      </c>
      <c r="I7" s="36" t="s">
        <v>9</v>
      </c>
      <c r="J7" s="37" t="s">
        <v>36</v>
      </c>
      <c r="K7" s="37" t="s">
        <v>36</v>
      </c>
      <c r="L7" s="37" t="s">
        <v>36</v>
      </c>
      <c r="M7" s="37" t="s">
        <v>36</v>
      </c>
      <c r="N7" s="37" t="s">
        <v>36</v>
      </c>
      <c r="O7" s="37" t="s">
        <v>36</v>
      </c>
    </row>
    <row r="8" spans="1:16" s="36" customFormat="1" ht="29" x14ac:dyDescent="0.35">
      <c r="A8" s="36">
        <v>2</v>
      </c>
      <c r="B8" s="36" t="str">
        <f t="shared" si="0"/>
        <v>13.2</v>
      </c>
      <c r="C8" s="83" t="s">
        <v>44</v>
      </c>
      <c r="D8" s="36" t="s">
        <v>36</v>
      </c>
      <c r="E8" s="36" t="s">
        <v>48</v>
      </c>
      <c r="F8" s="36" t="s">
        <v>36</v>
      </c>
      <c r="G8" s="36" t="s">
        <v>36</v>
      </c>
      <c r="H8" s="45" t="s">
        <v>36</v>
      </c>
      <c r="I8" s="36" t="s">
        <v>9</v>
      </c>
      <c r="J8" s="37" t="s">
        <v>36</v>
      </c>
      <c r="K8" s="37" t="s">
        <v>36</v>
      </c>
      <c r="L8" s="37" t="s">
        <v>36</v>
      </c>
      <c r="M8" s="37" t="s">
        <v>36</v>
      </c>
      <c r="N8" s="37" t="s">
        <v>36</v>
      </c>
      <c r="O8" s="37" t="s">
        <v>36</v>
      </c>
      <c r="P8" s="36" t="s">
        <v>433</v>
      </c>
    </row>
    <row r="9" spans="1:16" s="36" customFormat="1" ht="72.5" x14ac:dyDescent="0.35">
      <c r="A9" s="36">
        <v>3</v>
      </c>
      <c r="B9" s="36" t="str">
        <f t="shared" si="0"/>
        <v>13.3</v>
      </c>
      <c r="C9" s="149" t="s">
        <v>41</v>
      </c>
      <c r="D9" s="36" t="s">
        <v>949</v>
      </c>
      <c r="E9" s="36" t="s">
        <v>31</v>
      </c>
      <c r="F9" s="36" t="s">
        <v>58</v>
      </c>
      <c r="G9" s="36" t="s">
        <v>959</v>
      </c>
      <c r="H9" s="45" t="s">
        <v>36</v>
      </c>
      <c r="I9" s="36" t="s">
        <v>9</v>
      </c>
      <c r="J9" s="37" t="s">
        <v>495</v>
      </c>
      <c r="K9" s="37" t="s">
        <v>53</v>
      </c>
      <c r="L9" s="37" t="s">
        <v>958</v>
      </c>
      <c r="M9" s="37" t="s">
        <v>36</v>
      </c>
      <c r="N9" s="37" t="s">
        <v>36</v>
      </c>
      <c r="O9" s="37" t="s">
        <v>36</v>
      </c>
    </row>
    <row r="10" spans="1:16" s="36" customFormat="1" ht="72.5" x14ac:dyDescent="0.35">
      <c r="A10" s="36">
        <v>4</v>
      </c>
      <c r="B10" s="36" t="str">
        <f t="shared" si="0"/>
        <v>13.4</v>
      </c>
      <c r="C10" s="149" t="s">
        <v>44</v>
      </c>
      <c r="D10" s="36" t="s">
        <v>960</v>
      </c>
      <c r="E10" s="36" t="s">
        <v>99</v>
      </c>
      <c r="F10" s="36" t="s">
        <v>36</v>
      </c>
      <c r="G10" s="36" t="s">
        <v>36</v>
      </c>
      <c r="H10" s="45" t="s">
        <v>36</v>
      </c>
      <c r="I10" s="36" t="s">
        <v>953</v>
      </c>
      <c r="J10" s="37" t="s">
        <v>36</v>
      </c>
      <c r="K10" s="37" t="s">
        <v>36</v>
      </c>
      <c r="L10" s="37" t="s">
        <v>36</v>
      </c>
      <c r="M10" s="37" t="s">
        <v>36</v>
      </c>
      <c r="N10" s="37" t="s">
        <v>36</v>
      </c>
      <c r="O10" s="37" t="s">
        <v>956</v>
      </c>
      <c r="P10" s="36" t="s">
        <v>954</v>
      </c>
    </row>
    <row r="11" spans="1:16" s="36" customFormat="1" ht="29" x14ac:dyDescent="0.35">
      <c r="A11" s="36">
        <v>5</v>
      </c>
      <c r="B11" s="36" t="str">
        <f>CONCATENATE($B$2, ".", A11)</f>
        <v>13.5</v>
      </c>
      <c r="C11" s="83" t="s">
        <v>37</v>
      </c>
      <c r="D11" s="36" t="s">
        <v>950</v>
      </c>
      <c r="E11" s="36" t="s">
        <v>35</v>
      </c>
      <c r="F11" s="36" t="s">
        <v>36</v>
      </c>
      <c r="G11" s="36" t="s">
        <v>36</v>
      </c>
      <c r="H11" s="45" t="s">
        <v>36</v>
      </c>
      <c r="I11" s="36" t="s">
        <v>9</v>
      </c>
      <c r="J11" s="37" t="s">
        <v>36</v>
      </c>
      <c r="K11" s="37" t="s">
        <v>36</v>
      </c>
      <c r="L11" s="37" t="s">
        <v>36</v>
      </c>
      <c r="M11" s="37" t="s">
        <v>36</v>
      </c>
      <c r="N11" s="37" t="s">
        <v>36</v>
      </c>
      <c r="O11" s="37" t="s">
        <v>951</v>
      </c>
      <c r="P11" s="36" t="s">
        <v>952</v>
      </c>
    </row>
    <row r="12" spans="1:16" s="36" customFormat="1" ht="29" x14ac:dyDescent="0.35">
      <c r="A12" s="36">
        <v>6</v>
      </c>
      <c r="B12" s="36" t="str">
        <f t="shared" ref="B12:B14" si="1">CONCATENATE($B$2, ".", A12)</f>
        <v>13.6</v>
      </c>
      <c r="C12" s="83" t="s">
        <v>39</v>
      </c>
      <c r="D12" s="44" t="s">
        <v>142</v>
      </c>
      <c r="E12" s="36" t="s">
        <v>33</v>
      </c>
      <c r="F12" s="36" t="s">
        <v>36</v>
      </c>
      <c r="G12" s="36" t="s">
        <v>145</v>
      </c>
      <c r="H12" s="45" t="s">
        <v>36</v>
      </c>
      <c r="I12" s="36" t="s">
        <v>9</v>
      </c>
      <c r="J12" s="37" t="s">
        <v>36</v>
      </c>
      <c r="K12" s="37" t="s">
        <v>36</v>
      </c>
      <c r="L12" s="37" t="s">
        <v>36</v>
      </c>
      <c r="M12" s="37" t="s">
        <v>36</v>
      </c>
      <c r="N12" s="37" t="s">
        <v>36</v>
      </c>
      <c r="O12" s="37"/>
    </row>
    <row r="13" spans="1:16" s="36" customFormat="1" ht="43.5" x14ac:dyDescent="0.35">
      <c r="A13" s="36">
        <v>7</v>
      </c>
      <c r="B13" s="36" t="str">
        <f t="shared" si="1"/>
        <v>13.7</v>
      </c>
      <c r="C13" s="83" t="s">
        <v>39</v>
      </c>
      <c r="D13" s="44" t="s">
        <v>143</v>
      </c>
      <c r="E13" s="36" t="s">
        <v>33</v>
      </c>
      <c r="F13" s="36" t="s">
        <v>36</v>
      </c>
      <c r="G13" s="36" t="s">
        <v>456</v>
      </c>
      <c r="H13" s="45" t="s">
        <v>36</v>
      </c>
      <c r="I13" s="36" t="s">
        <v>9</v>
      </c>
      <c r="J13" s="37" t="s">
        <v>36</v>
      </c>
      <c r="K13" s="37" t="s">
        <v>36</v>
      </c>
      <c r="L13" s="37" t="s">
        <v>36</v>
      </c>
      <c r="M13" s="37" t="s">
        <v>36</v>
      </c>
      <c r="N13" s="37" t="s">
        <v>36</v>
      </c>
      <c r="O13" s="37"/>
    </row>
    <row r="14" spans="1:16" s="36" customFormat="1" ht="43.5" x14ac:dyDescent="0.35">
      <c r="A14" s="36">
        <v>8</v>
      </c>
      <c r="B14" s="36" t="str">
        <f t="shared" si="1"/>
        <v>13.8</v>
      </c>
      <c r="C14" s="83" t="s">
        <v>39</v>
      </c>
      <c r="D14" s="44" t="s">
        <v>144</v>
      </c>
      <c r="E14" s="36" t="s">
        <v>33</v>
      </c>
      <c r="F14" s="36" t="s">
        <v>36</v>
      </c>
      <c r="G14" s="36" t="s">
        <v>457</v>
      </c>
      <c r="H14" s="45" t="s">
        <v>36</v>
      </c>
      <c r="I14" s="36" t="s">
        <v>9</v>
      </c>
      <c r="J14" s="37" t="s">
        <v>36</v>
      </c>
      <c r="K14" s="37" t="s">
        <v>36</v>
      </c>
      <c r="L14" s="37" t="s">
        <v>36</v>
      </c>
      <c r="M14" s="37" t="s">
        <v>36</v>
      </c>
      <c r="N14" s="37" t="s">
        <v>36</v>
      </c>
      <c r="O14" s="37"/>
    </row>
    <row r="15" spans="1:16" s="36" customFormat="1" ht="89" customHeight="1" x14ac:dyDescent="0.35">
      <c r="A15" s="36">
        <v>9</v>
      </c>
      <c r="B15" s="36" t="str">
        <f t="shared" si="0"/>
        <v>13.9</v>
      </c>
      <c r="C15" s="83" t="s">
        <v>37</v>
      </c>
      <c r="D15" s="36" t="s">
        <v>957</v>
      </c>
      <c r="E15" s="36" t="s">
        <v>29</v>
      </c>
      <c r="F15" s="36" t="s">
        <v>60</v>
      </c>
      <c r="G15" s="36" t="s">
        <v>36</v>
      </c>
      <c r="H15" s="45" t="s">
        <v>36</v>
      </c>
      <c r="I15" s="36" t="s">
        <v>9</v>
      </c>
      <c r="J15" s="37" t="s">
        <v>96</v>
      </c>
      <c r="K15" s="37" t="s">
        <v>53</v>
      </c>
      <c r="L15" s="37" t="s">
        <v>97</v>
      </c>
      <c r="M15" s="37" t="s">
        <v>36</v>
      </c>
      <c r="N15" s="37" t="s">
        <v>36</v>
      </c>
      <c r="O15" s="37" t="s">
        <v>955</v>
      </c>
      <c r="P15" s="36" t="s">
        <v>952</v>
      </c>
    </row>
    <row r="16" spans="1:16" s="36" customFormat="1" x14ac:dyDescent="0.35">
      <c r="A16" s="36">
        <v>10</v>
      </c>
      <c r="B16" s="36" t="str">
        <f>CONCATENATE($B$2, ".", A16)</f>
        <v>13.10</v>
      </c>
      <c r="C16" s="83" t="s">
        <v>39</v>
      </c>
      <c r="D16" s="36" t="s">
        <v>57</v>
      </c>
      <c r="E16" s="36" t="s">
        <v>42</v>
      </c>
      <c r="F16" s="36" t="s">
        <v>36</v>
      </c>
      <c r="G16" s="36" t="s">
        <v>36</v>
      </c>
      <c r="H16" s="45" t="s">
        <v>36</v>
      </c>
      <c r="I16" s="36" t="s">
        <v>9</v>
      </c>
      <c r="J16" s="36" t="s">
        <v>36</v>
      </c>
      <c r="K16" s="36" t="s">
        <v>36</v>
      </c>
      <c r="L16" s="36" t="s">
        <v>36</v>
      </c>
      <c r="M16" s="36" t="s">
        <v>36</v>
      </c>
      <c r="N16" s="36" t="s">
        <v>36</v>
      </c>
      <c r="O16" s="36" t="s">
        <v>146</v>
      </c>
    </row>
    <row r="17" spans="1:15" s="36" customFormat="1" ht="29" x14ac:dyDescent="0.35">
      <c r="A17" s="36">
        <v>11</v>
      </c>
      <c r="B17" s="36" t="str">
        <f t="shared" si="0"/>
        <v>13.11</v>
      </c>
      <c r="C17" s="83" t="s">
        <v>39</v>
      </c>
      <c r="D17" s="36" t="s">
        <v>56</v>
      </c>
      <c r="E17" s="36" t="s">
        <v>42</v>
      </c>
      <c r="F17" s="36" t="s">
        <v>36</v>
      </c>
      <c r="G17" s="36" t="s">
        <v>36</v>
      </c>
      <c r="H17" s="45" t="s">
        <v>36</v>
      </c>
      <c r="I17" s="36" t="s">
        <v>9</v>
      </c>
      <c r="J17" s="36" t="s">
        <v>36</v>
      </c>
      <c r="K17" s="36" t="s">
        <v>36</v>
      </c>
      <c r="L17" s="36" t="s">
        <v>36</v>
      </c>
      <c r="M17" s="36" t="s">
        <v>36</v>
      </c>
      <c r="N17" s="36" t="s">
        <v>36</v>
      </c>
      <c r="O17" s="36" t="s">
        <v>286</v>
      </c>
    </row>
    <row r="18" spans="1:15" x14ac:dyDescent="0.35">
      <c r="C18" s="83"/>
      <c r="I18" s="36"/>
      <c r="J18" s="5"/>
      <c r="K18" s="5"/>
      <c r="L18" s="37"/>
      <c r="M18" s="37"/>
      <c r="N18" s="37"/>
      <c r="O18" s="37"/>
    </row>
    <row r="19" spans="1:15" x14ac:dyDescent="0.35">
      <c r="D19" s="6" t="s">
        <v>68</v>
      </c>
      <c r="I19" s="36"/>
      <c r="J19" s="5"/>
      <c r="K19" s="5"/>
      <c r="L19" s="37"/>
      <c r="M19" s="37"/>
      <c r="N19" s="37"/>
      <c r="O19" s="37"/>
    </row>
    <row r="20" spans="1:15" x14ac:dyDescent="0.35">
      <c r="I20" s="36"/>
      <c r="J20" s="5"/>
      <c r="K20" s="5"/>
      <c r="L20" s="37"/>
      <c r="M20" s="37"/>
      <c r="N20" s="37"/>
      <c r="O20" s="37"/>
    </row>
    <row r="21" spans="1:15" x14ac:dyDescent="0.35">
      <c r="I21" s="36"/>
      <c r="J21" s="5"/>
      <c r="K21" s="5"/>
      <c r="L21" s="37"/>
      <c r="M21" s="37"/>
      <c r="N21" s="37"/>
      <c r="O21" s="37"/>
    </row>
    <row r="22" spans="1:15" x14ac:dyDescent="0.35">
      <c r="I22" s="36"/>
      <c r="J22" s="5"/>
      <c r="K22" s="5"/>
      <c r="L22" s="37"/>
      <c r="M22" s="37"/>
      <c r="N22" s="37"/>
      <c r="O22" s="37"/>
    </row>
    <row r="23" spans="1:15" x14ac:dyDescent="0.35">
      <c r="I23" s="36"/>
      <c r="J23" s="5"/>
      <c r="K23" s="5"/>
      <c r="L23" s="37"/>
      <c r="M23" s="37"/>
      <c r="N23" s="37"/>
      <c r="O23" s="37"/>
    </row>
    <row r="24" spans="1:15" x14ac:dyDescent="0.35">
      <c r="I24" s="36"/>
      <c r="J24" s="5"/>
      <c r="K24" s="5"/>
      <c r="L24" s="37"/>
      <c r="M24" s="37"/>
      <c r="N24" s="37"/>
      <c r="O24" s="37"/>
    </row>
    <row r="25" spans="1:15" x14ac:dyDescent="0.35">
      <c r="I25" s="36"/>
      <c r="J25" s="5"/>
      <c r="K25" s="5"/>
      <c r="L25" s="37"/>
      <c r="M25" s="37"/>
      <c r="N25" s="37"/>
      <c r="O25" s="37"/>
    </row>
  </sheetData>
  <autoFilter ref="A6:P17"/>
  <conditionalFormatting sqref="C7:C1048576">
    <cfRule type="cellIs" dxfId="486" priority="29" operator="equal">
      <formula>"WIP (see comments)"</formula>
    </cfRule>
    <cfRule type="cellIs" dxfId="485" priority="30" operator="equal">
      <formula>"Removed"</formula>
    </cfRule>
    <cfRule type="cellIs" dxfId="484" priority="31" operator="equal">
      <formula>"Updated"</formula>
    </cfRule>
    <cfRule type="cellIs" dxfId="483" priority="32" operator="equal">
      <formula>"New"</formula>
    </cfRule>
  </conditionalFormatting>
  <conditionalFormatting sqref="A2:XFD2 A4 C4:XFD4 A1:C1 E1:XFD1 A3:C3 E3:XFD3 A5:XFD1048576">
    <cfRule type="cellIs" dxfId="482" priority="12" operator="equal">
      <formula>"n/a"</formula>
    </cfRule>
  </conditionalFormatting>
  <conditionalFormatting sqref="B4">
    <cfRule type="cellIs" dxfId="481" priority="11" operator="equal">
      <formula>"n/a"</formula>
    </cfRule>
  </conditionalFormatting>
  <conditionalFormatting sqref="D3">
    <cfRule type="cellIs" dxfId="480" priority="6" operator="equal">
      <formula>"n/a"</formula>
    </cfRule>
  </conditionalFormatting>
  <dataValidations count="1">
    <dataValidation type="list" allowBlank="1" showInputMessage="1" showErrorMessage="1" sqref="C19: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C7:C18</xm:sqref>
        </x14:dataValidation>
        <x14:dataValidation type="list" allowBlank="1" showInputMessage="1" showErrorMessage="1">
          <x14:formula1>
            <xm:f>'List Values'!$A$5:$A$35</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20"/>
  <sheetViews>
    <sheetView workbookViewId="0">
      <pane xSplit="4" ySplit="6" topLeftCell="L12"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225</v>
      </c>
      <c r="C1" s="29"/>
      <c r="D1" s="26"/>
    </row>
    <row r="2" spans="1:16" s="27" customFormat="1" ht="18.5" x14ac:dyDescent="0.35">
      <c r="A2" s="25" t="s">
        <v>7</v>
      </c>
      <c r="B2" s="33">
        <v>14</v>
      </c>
      <c r="C2" s="32"/>
      <c r="D2" s="33"/>
    </row>
    <row r="3" spans="1:16" s="27" customFormat="1" ht="18.5" x14ac:dyDescent="0.35">
      <c r="A3" s="25" t="s">
        <v>43</v>
      </c>
      <c r="B3" s="33" t="s">
        <v>353</v>
      </c>
      <c r="C3" s="32"/>
      <c r="D3" s="84" t="s">
        <v>354</v>
      </c>
    </row>
    <row r="4" spans="1:16" s="27" customFormat="1" ht="18.5" x14ac:dyDescent="0.35">
      <c r="A4" s="25" t="s">
        <v>8</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14.1</v>
      </c>
      <c r="C7" s="31" t="s">
        <v>39</v>
      </c>
      <c r="D7" s="36" t="s">
        <v>186</v>
      </c>
      <c r="E7" s="6" t="s">
        <v>28</v>
      </c>
      <c r="F7" s="6" t="s">
        <v>36</v>
      </c>
      <c r="G7" s="6" t="s">
        <v>36</v>
      </c>
      <c r="H7" s="31" t="s">
        <v>36</v>
      </c>
      <c r="I7" s="36" t="s">
        <v>9</v>
      </c>
      <c r="J7" s="5" t="s">
        <v>36</v>
      </c>
      <c r="K7" s="5" t="s">
        <v>36</v>
      </c>
      <c r="L7" s="5" t="s">
        <v>36</v>
      </c>
      <c r="M7" s="5" t="s">
        <v>36</v>
      </c>
      <c r="N7" s="5" t="s">
        <v>36</v>
      </c>
      <c r="O7" s="5" t="s">
        <v>36</v>
      </c>
    </row>
    <row r="8" spans="1:16" ht="29" x14ac:dyDescent="0.35">
      <c r="A8" s="6">
        <v>2</v>
      </c>
      <c r="B8" s="6" t="str">
        <f t="shared" si="0"/>
        <v>14.2</v>
      </c>
      <c r="C8" s="31" t="s">
        <v>44</v>
      </c>
      <c r="D8" s="36" t="s">
        <v>36</v>
      </c>
      <c r="E8" s="36" t="s">
        <v>48</v>
      </c>
      <c r="F8" s="6" t="s">
        <v>36</v>
      </c>
      <c r="G8" s="6" t="s">
        <v>36</v>
      </c>
      <c r="H8" s="31" t="s">
        <v>36</v>
      </c>
      <c r="I8" s="36" t="s">
        <v>9</v>
      </c>
      <c r="J8" s="5" t="s">
        <v>36</v>
      </c>
      <c r="K8" s="5" t="s">
        <v>36</v>
      </c>
      <c r="L8" s="5" t="s">
        <v>36</v>
      </c>
      <c r="M8" s="5" t="s">
        <v>36</v>
      </c>
      <c r="N8" s="5" t="s">
        <v>36</v>
      </c>
      <c r="O8" s="5" t="s">
        <v>36</v>
      </c>
      <c r="P8" s="6" t="s">
        <v>362</v>
      </c>
    </row>
    <row r="9" spans="1:16" ht="58" x14ac:dyDescent="0.35">
      <c r="A9" s="6">
        <v>3</v>
      </c>
      <c r="B9" s="6" t="str">
        <f t="shared" si="0"/>
        <v>14.3</v>
      </c>
      <c r="C9" s="31" t="s">
        <v>39</v>
      </c>
      <c r="D9" s="36" t="s">
        <v>187</v>
      </c>
      <c r="E9" s="36" t="s">
        <v>33</v>
      </c>
      <c r="F9" s="6" t="s">
        <v>36</v>
      </c>
      <c r="G9" s="6" t="s">
        <v>36</v>
      </c>
      <c r="H9" s="31" t="s">
        <v>36</v>
      </c>
      <c r="I9" s="36" t="s">
        <v>9</v>
      </c>
      <c r="J9" s="5" t="s">
        <v>36</v>
      </c>
      <c r="K9" s="5" t="s">
        <v>36</v>
      </c>
      <c r="L9" s="5" t="s">
        <v>36</v>
      </c>
      <c r="M9" s="5" t="s">
        <v>36</v>
      </c>
      <c r="N9" s="5" t="s">
        <v>36</v>
      </c>
      <c r="O9" s="5" t="s">
        <v>36</v>
      </c>
    </row>
    <row r="10" spans="1:16" ht="29" x14ac:dyDescent="0.35">
      <c r="A10" s="6">
        <v>4</v>
      </c>
      <c r="B10" s="6" t="str">
        <f t="shared" si="0"/>
        <v>14.4</v>
      </c>
      <c r="C10" s="31" t="s">
        <v>39</v>
      </c>
      <c r="D10" s="6" t="s">
        <v>180</v>
      </c>
      <c r="E10" s="167" t="s">
        <v>31</v>
      </c>
      <c r="F10" s="6" t="s">
        <v>60</v>
      </c>
      <c r="G10" s="6" t="s">
        <v>36</v>
      </c>
      <c r="H10" s="31" t="s">
        <v>36</v>
      </c>
      <c r="I10" s="36" t="s">
        <v>9</v>
      </c>
      <c r="J10" s="5" t="s">
        <v>152</v>
      </c>
      <c r="K10" s="164" t="s">
        <v>153</v>
      </c>
      <c r="L10" s="166" t="s">
        <v>724</v>
      </c>
      <c r="M10" s="5" t="s">
        <v>36</v>
      </c>
      <c r="N10" s="5" t="s">
        <v>36</v>
      </c>
      <c r="O10" s="168" t="s">
        <v>181</v>
      </c>
    </row>
    <row r="11" spans="1:16" ht="40.5" customHeight="1" x14ac:dyDescent="0.35">
      <c r="A11" s="6">
        <v>5</v>
      </c>
      <c r="B11" s="6" t="str">
        <f t="shared" ref="B11:B13" si="1">CONCATENATE($B$2, ".", A11)</f>
        <v>14.5</v>
      </c>
      <c r="C11" s="31" t="s">
        <v>39</v>
      </c>
      <c r="D11" s="6" t="s">
        <v>209</v>
      </c>
      <c r="E11" s="167"/>
      <c r="F11" s="6" t="s">
        <v>60</v>
      </c>
      <c r="G11" s="46" t="s">
        <v>36</v>
      </c>
      <c r="H11" s="67" t="s">
        <v>36</v>
      </c>
      <c r="I11" s="48" t="s">
        <v>9</v>
      </c>
      <c r="J11" s="5" t="s">
        <v>152</v>
      </c>
      <c r="K11" s="164"/>
      <c r="L11" s="166"/>
      <c r="M11" s="5" t="s">
        <v>36</v>
      </c>
      <c r="N11" s="5" t="s">
        <v>36</v>
      </c>
      <c r="O11" s="168"/>
    </row>
    <row r="12" spans="1:16" ht="231.75" customHeight="1" x14ac:dyDescent="0.35">
      <c r="A12" s="6">
        <v>6</v>
      </c>
      <c r="B12" s="6" t="str">
        <f t="shared" si="1"/>
        <v>14.6</v>
      </c>
      <c r="C12" s="31" t="s">
        <v>39</v>
      </c>
      <c r="D12" s="31" t="s">
        <v>210</v>
      </c>
      <c r="E12" s="36" t="s">
        <v>188</v>
      </c>
      <c r="F12" s="6" t="s">
        <v>36</v>
      </c>
      <c r="G12" s="6" t="s">
        <v>36</v>
      </c>
      <c r="H12" s="67" t="s">
        <v>36</v>
      </c>
      <c r="I12" s="48" t="s">
        <v>355</v>
      </c>
      <c r="J12" s="5" t="s">
        <v>36</v>
      </c>
      <c r="K12" s="5" t="s">
        <v>36</v>
      </c>
      <c r="L12" s="5" t="s">
        <v>36</v>
      </c>
      <c r="M12" s="5" t="s">
        <v>36</v>
      </c>
      <c r="N12" s="5" t="s">
        <v>36</v>
      </c>
      <c r="O12" s="5" t="s">
        <v>356</v>
      </c>
    </row>
    <row r="13" spans="1:16" ht="88" customHeight="1" x14ac:dyDescent="0.35">
      <c r="A13" s="6">
        <v>7</v>
      </c>
      <c r="B13" s="6" t="str">
        <f t="shared" si="1"/>
        <v>14.7</v>
      </c>
      <c r="C13" s="31" t="s">
        <v>37</v>
      </c>
      <c r="D13" s="36" t="s">
        <v>57</v>
      </c>
      <c r="E13" s="36" t="s">
        <v>42</v>
      </c>
      <c r="F13" s="36" t="s">
        <v>36</v>
      </c>
      <c r="G13" s="36" t="s">
        <v>36</v>
      </c>
      <c r="H13" s="45" t="s">
        <v>36</v>
      </c>
      <c r="I13" s="36" t="s">
        <v>9</v>
      </c>
      <c r="J13" s="36" t="s">
        <v>36</v>
      </c>
      <c r="K13" s="36" t="s">
        <v>36</v>
      </c>
      <c r="L13" s="36" t="s">
        <v>36</v>
      </c>
      <c r="M13" s="36" t="s">
        <v>36</v>
      </c>
      <c r="N13" s="36" t="s">
        <v>36</v>
      </c>
      <c r="O13" s="36" t="s">
        <v>459</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mergeCells count="4">
    <mergeCell ref="K10:K11"/>
    <mergeCell ref="L10:L11"/>
    <mergeCell ref="E10:E11"/>
    <mergeCell ref="O10:O11"/>
  </mergeCells>
  <conditionalFormatting sqref="C7:C1048576">
    <cfRule type="cellIs" dxfId="479" priority="29" operator="equal">
      <formula>"WIP (see comments)"</formula>
    </cfRule>
    <cfRule type="cellIs" dxfId="478" priority="30" operator="equal">
      <formula>"Removed"</formula>
    </cfRule>
    <cfRule type="cellIs" dxfId="477" priority="31" operator="equal">
      <formula>"Updated"</formula>
    </cfRule>
    <cfRule type="cellIs" dxfId="476" priority="32" operator="equal">
      <formula>"New"</formula>
    </cfRule>
  </conditionalFormatting>
  <conditionalFormatting sqref="G10:I10 M10:O10 A10:E10 M11:N11 A7:O9 A11:C13">
    <cfRule type="cellIs" dxfId="475" priority="20" operator="equal">
      <formula>"n/a"</formula>
    </cfRule>
  </conditionalFormatting>
  <conditionalFormatting sqref="D11:D12 F11:J12">
    <cfRule type="cellIs" dxfId="474" priority="19" operator="equal">
      <formula>"n/a"</formula>
    </cfRule>
  </conditionalFormatting>
  <conditionalFormatting sqref="K10:L10">
    <cfRule type="cellIs" dxfId="473" priority="18" operator="equal">
      <formula>"n/a"</formula>
    </cfRule>
  </conditionalFormatting>
  <conditionalFormatting sqref="D13 F13:N13">
    <cfRule type="cellIs" dxfId="472" priority="11" operator="equal">
      <formula>"n/a"</formula>
    </cfRule>
  </conditionalFormatting>
  <conditionalFormatting sqref="F10">
    <cfRule type="cellIs" dxfId="471" priority="9" operator="equal">
      <formula>"n/a"</formula>
    </cfRule>
  </conditionalFormatting>
  <conditionalFormatting sqref="J10">
    <cfRule type="cellIs" dxfId="470" priority="8" operator="equal">
      <formula>"n/a"</formula>
    </cfRule>
  </conditionalFormatting>
  <conditionalFormatting sqref="E12:E13">
    <cfRule type="cellIs" dxfId="469" priority="7" operator="equal">
      <formula>"n/a"</formula>
    </cfRule>
  </conditionalFormatting>
  <conditionalFormatting sqref="K12">
    <cfRule type="cellIs" dxfId="468" priority="6" operator="equal">
      <formula>"n/a"</formula>
    </cfRule>
  </conditionalFormatting>
  <conditionalFormatting sqref="L12">
    <cfRule type="cellIs" dxfId="467" priority="5" operator="equal">
      <formula>"n/a"</formula>
    </cfRule>
  </conditionalFormatting>
  <conditionalFormatting sqref="M12">
    <cfRule type="cellIs" dxfId="466" priority="4" operator="equal">
      <formula>"n/a"</formula>
    </cfRule>
  </conditionalFormatting>
  <conditionalFormatting sqref="N12">
    <cfRule type="cellIs" dxfId="465" priority="3" operator="equal">
      <formula>"n/a"</formula>
    </cfRule>
  </conditionalFormatting>
  <conditionalFormatting sqref="O12">
    <cfRule type="cellIs" dxfId="464" priority="2" operator="equal">
      <formula>"n/a"</formula>
    </cfRule>
  </conditionalFormatting>
  <conditionalFormatting sqref="D3">
    <cfRule type="cellIs" dxfId="463"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Values'!$A$5:$A$35</xm:f>
          </x14:formula1>
          <xm:sqref>E7:E10</xm:sqref>
        </x14:dataValidation>
        <x14:dataValidation type="list" allowBlank="1" showInputMessage="1" showErrorMessage="1">
          <x14:formula1>
            <xm:f>'List Values'!$A$5:$A$34</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8"/>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226</v>
      </c>
      <c r="C1" s="29"/>
      <c r="D1" s="26"/>
    </row>
    <row r="2" spans="1:16" s="27" customFormat="1" ht="18.5" x14ac:dyDescent="0.35">
      <c r="A2" s="25" t="s">
        <v>7</v>
      </c>
      <c r="B2" s="33">
        <v>15</v>
      </c>
      <c r="C2" s="32"/>
      <c r="D2" s="33"/>
    </row>
    <row r="3" spans="1:16" s="27" customFormat="1" ht="18.5" x14ac:dyDescent="0.35">
      <c r="A3" s="25" t="s">
        <v>43</v>
      </c>
      <c r="B3" s="33" t="s">
        <v>288</v>
      </c>
      <c r="C3" s="32"/>
      <c r="D3" s="33"/>
    </row>
    <row r="4" spans="1:16" s="27" customFormat="1" ht="18.5" x14ac:dyDescent="0.35">
      <c r="A4" s="25" t="s">
        <v>8</v>
      </c>
      <c r="B4" s="27" t="s">
        <v>158</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1" si="0">CONCATENATE($B$2, ".", A7)</f>
        <v>15.1</v>
      </c>
      <c r="C7" s="31" t="s">
        <v>39</v>
      </c>
      <c r="D7" s="36" t="s">
        <v>127</v>
      </c>
      <c r="E7" s="6" t="s">
        <v>28</v>
      </c>
      <c r="F7" s="6" t="s">
        <v>36</v>
      </c>
      <c r="G7" s="6" t="s">
        <v>36</v>
      </c>
      <c r="H7" s="31" t="s">
        <v>36</v>
      </c>
      <c r="I7" s="36" t="s">
        <v>9</v>
      </c>
      <c r="J7" s="5" t="s">
        <v>36</v>
      </c>
      <c r="K7" s="5" t="s">
        <v>36</v>
      </c>
      <c r="L7" s="5" t="s">
        <v>36</v>
      </c>
      <c r="M7" s="5" t="s">
        <v>36</v>
      </c>
      <c r="N7" s="5" t="s">
        <v>36</v>
      </c>
      <c r="O7" s="5" t="s">
        <v>36</v>
      </c>
    </row>
    <row r="8" spans="1:16" x14ac:dyDescent="0.3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105.75" customHeight="1" x14ac:dyDescent="0.35">
      <c r="A9" s="6">
        <v>3</v>
      </c>
      <c r="B9" s="6" t="str">
        <f t="shared" si="0"/>
        <v>15.3</v>
      </c>
      <c r="C9" s="31" t="s">
        <v>39</v>
      </c>
      <c r="D9" s="6" t="s">
        <v>36</v>
      </c>
      <c r="E9" s="6" t="s">
        <v>559</v>
      </c>
      <c r="F9" s="6" t="s">
        <v>36</v>
      </c>
      <c r="G9" s="6" t="s">
        <v>36</v>
      </c>
      <c r="H9" s="31" t="s">
        <v>36</v>
      </c>
      <c r="I9" s="36" t="s">
        <v>9</v>
      </c>
      <c r="J9" s="5" t="s">
        <v>36</v>
      </c>
      <c r="K9" s="5" t="s">
        <v>153</v>
      </c>
      <c r="L9" s="48" t="s">
        <v>36</v>
      </c>
      <c r="M9" s="5" t="s">
        <v>36</v>
      </c>
      <c r="N9" s="5" t="s">
        <v>36</v>
      </c>
      <c r="O9" s="37" t="s">
        <v>185</v>
      </c>
    </row>
    <row r="10" spans="1:16" ht="105.75" customHeight="1" x14ac:dyDescent="0.35">
      <c r="A10" s="6">
        <v>4</v>
      </c>
      <c r="B10" s="6" t="str">
        <f t="shared" si="0"/>
        <v>15.4</v>
      </c>
      <c r="C10" s="31" t="s">
        <v>39</v>
      </c>
      <c r="D10" s="6" t="s">
        <v>56</v>
      </c>
      <c r="E10" s="6" t="s">
        <v>42</v>
      </c>
      <c r="F10" s="6" t="s">
        <v>36</v>
      </c>
      <c r="G10" s="6" t="s">
        <v>36</v>
      </c>
      <c r="H10" s="31" t="s">
        <v>36</v>
      </c>
      <c r="I10" s="36" t="s">
        <v>201</v>
      </c>
      <c r="J10" s="5" t="s">
        <v>36</v>
      </c>
      <c r="K10" s="5" t="s">
        <v>36</v>
      </c>
      <c r="L10" s="48" t="s">
        <v>36</v>
      </c>
      <c r="M10" s="5" t="s">
        <v>36</v>
      </c>
      <c r="N10" s="5" t="s">
        <v>36</v>
      </c>
      <c r="O10" s="37" t="s">
        <v>425</v>
      </c>
    </row>
    <row r="11" spans="1:16" ht="29" x14ac:dyDescent="0.35">
      <c r="A11" s="6">
        <v>5</v>
      </c>
      <c r="B11" s="6" t="str">
        <f t="shared" si="0"/>
        <v>15.5</v>
      </c>
      <c r="C11" s="31" t="s">
        <v>39</v>
      </c>
      <c r="D11" s="36" t="s">
        <v>57</v>
      </c>
      <c r="E11" s="36" t="s">
        <v>42</v>
      </c>
      <c r="F11" s="36" t="s">
        <v>36</v>
      </c>
      <c r="G11" s="36" t="s">
        <v>36</v>
      </c>
      <c r="H11" s="45" t="s">
        <v>36</v>
      </c>
      <c r="I11" s="36" t="s">
        <v>9</v>
      </c>
      <c r="J11" s="36" t="s">
        <v>36</v>
      </c>
      <c r="K11" s="36" t="s">
        <v>36</v>
      </c>
      <c r="L11" s="36" t="s">
        <v>36</v>
      </c>
      <c r="M11" s="36" t="s">
        <v>36</v>
      </c>
      <c r="N11" s="36" t="s">
        <v>36</v>
      </c>
      <c r="O11" s="36" t="s">
        <v>289</v>
      </c>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sheetData>
  <conditionalFormatting sqref="C12:C1048576">
    <cfRule type="cellIs" dxfId="462" priority="16" operator="equal">
      <formula>"WIP (see comments)"</formula>
    </cfRule>
    <cfRule type="cellIs" dxfId="461" priority="17" operator="equal">
      <formula>"Removed"</formula>
    </cfRule>
    <cfRule type="cellIs" dxfId="460" priority="18" operator="equal">
      <formula>"Updated"</formula>
    </cfRule>
    <cfRule type="cellIs" dxfId="459" priority="19" operator="equal">
      <formula>"New"</formula>
    </cfRule>
  </conditionalFormatting>
  <conditionalFormatting sqref="C7:C10">
    <cfRule type="cellIs" dxfId="458" priority="12" operator="equal">
      <formula>"WIP (see comments)"</formula>
    </cfRule>
    <cfRule type="cellIs" dxfId="457" priority="13" operator="equal">
      <formula>"Removed"</formula>
    </cfRule>
    <cfRule type="cellIs" dxfId="456" priority="14" operator="equal">
      <formula>"Updated"</formula>
    </cfRule>
    <cfRule type="cellIs" dxfId="455" priority="15" operator="equal">
      <formula>"New"</formula>
    </cfRule>
  </conditionalFormatting>
  <conditionalFormatting sqref="A1:XFD8 A12:XFD1048576 P9:XFD10 M9:N10 A9:J9 C10:J10 A10:B11">
    <cfRule type="cellIs" dxfId="454" priority="11" operator="equal">
      <formula>"n/a"</formula>
    </cfRule>
  </conditionalFormatting>
  <conditionalFormatting sqref="K9:L10">
    <cfRule type="cellIs" dxfId="453" priority="9" operator="equal">
      <formula>"n/a"</formula>
    </cfRule>
  </conditionalFormatting>
  <conditionalFormatting sqref="O9">
    <cfRule type="cellIs" dxfId="452" priority="8" operator="equal">
      <formula>"n/a"</formula>
    </cfRule>
  </conditionalFormatting>
  <conditionalFormatting sqref="C11">
    <cfRule type="cellIs" dxfId="451" priority="4" operator="equal">
      <formula>"WIP (see comments)"</formula>
    </cfRule>
    <cfRule type="cellIs" dxfId="450" priority="5" operator="equal">
      <formula>"Removed"</formula>
    </cfRule>
    <cfRule type="cellIs" dxfId="449" priority="6" operator="equal">
      <formula>"Updated"</formula>
    </cfRule>
    <cfRule type="cellIs" dxfId="448" priority="7" operator="equal">
      <formula>"New"</formula>
    </cfRule>
  </conditionalFormatting>
  <conditionalFormatting sqref="P11:XFD11 C11">
    <cfRule type="cellIs" dxfId="447" priority="3" operator="equal">
      <formula>"n/a"</formula>
    </cfRule>
  </conditionalFormatting>
  <conditionalFormatting sqref="D11:N11">
    <cfRule type="cellIs" dxfId="446" priority="2" operator="equal">
      <formula>"n/a"</formula>
    </cfRule>
  </conditionalFormatting>
  <conditionalFormatting sqref="O10">
    <cfRule type="cellIs" dxfId="445"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227</v>
      </c>
      <c r="C1" s="29"/>
      <c r="D1" s="26"/>
    </row>
    <row r="2" spans="1:16" s="27" customFormat="1" ht="18.5" x14ac:dyDescent="0.35">
      <c r="A2" s="25" t="s">
        <v>7</v>
      </c>
      <c r="B2" s="33">
        <v>16</v>
      </c>
      <c r="C2" s="32"/>
      <c r="D2" s="33"/>
    </row>
    <row r="3" spans="1:16" s="27" customFormat="1" ht="18.5" x14ac:dyDescent="0.35">
      <c r="A3" s="25" t="s">
        <v>43</v>
      </c>
      <c r="B3" s="33" t="s">
        <v>422</v>
      </c>
      <c r="C3" s="32"/>
      <c r="D3" s="33" t="s">
        <v>423</v>
      </c>
    </row>
    <row r="4" spans="1:16" s="27" customFormat="1" ht="18.5" x14ac:dyDescent="0.35">
      <c r="A4" s="25" t="s">
        <v>8</v>
      </c>
      <c r="B4" s="27" t="s">
        <v>419</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5">
        <v>1</v>
      </c>
      <c r="B7" s="5" t="str">
        <f>CONCATENATE($B$2, ".", A7)</f>
        <v>16.1</v>
      </c>
      <c r="C7" s="66" t="s">
        <v>44</v>
      </c>
      <c r="D7" s="5" t="s">
        <v>36</v>
      </c>
      <c r="E7" s="37" t="s">
        <v>114</v>
      </c>
      <c r="F7" s="5" t="s">
        <v>36</v>
      </c>
      <c r="G7" s="5" t="s">
        <v>36</v>
      </c>
      <c r="H7" s="66" t="s">
        <v>36</v>
      </c>
      <c r="I7" s="37" t="s">
        <v>9</v>
      </c>
      <c r="J7" s="5" t="s">
        <v>36</v>
      </c>
      <c r="K7" s="5" t="s">
        <v>36</v>
      </c>
      <c r="L7" s="5" t="s">
        <v>36</v>
      </c>
      <c r="M7" s="5" t="s">
        <v>36</v>
      </c>
      <c r="N7" s="5" t="s">
        <v>36</v>
      </c>
      <c r="O7" s="37"/>
      <c r="P7" s="5" t="s">
        <v>418</v>
      </c>
    </row>
    <row r="8" spans="1:16" x14ac:dyDescent="0.35">
      <c r="A8" s="5">
        <v>2</v>
      </c>
      <c r="B8" s="5" t="str">
        <f t="shared" ref="B8" si="0">CONCATENATE($B$2, ".", A8)</f>
        <v>16.2</v>
      </c>
      <c r="C8" s="68" t="s">
        <v>191</v>
      </c>
      <c r="D8" s="37" t="s">
        <v>189</v>
      </c>
      <c r="E8" s="37" t="s">
        <v>115</v>
      </c>
      <c r="F8" s="5" t="s">
        <v>36</v>
      </c>
      <c r="G8" s="5" t="s">
        <v>36</v>
      </c>
      <c r="H8" s="66" t="s">
        <v>36</v>
      </c>
      <c r="I8" s="37" t="s">
        <v>9</v>
      </c>
      <c r="J8" s="5" t="s">
        <v>36</v>
      </c>
      <c r="K8" s="5" t="s">
        <v>36</v>
      </c>
      <c r="L8" s="5" t="s">
        <v>36</v>
      </c>
      <c r="M8" s="5" t="s">
        <v>36</v>
      </c>
      <c r="N8" s="5" t="s">
        <v>36</v>
      </c>
      <c r="O8" s="5"/>
      <c r="P8" s="5"/>
    </row>
    <row r="9" spans="1:16" ht="231" customHeight="1" x14ac:dyDescent="0.35">
      <c r="A9" s="6">
        <v>3</v>
      </c>
      <c r="B9" s="6" t="str">
        <f t="shared" ref="B9" si="1">CONCATENATE($B$2, ".", A9)</f>
        <v>16.3</v>
      </c>
      <c r="C9" s="68" t="s">
        <v>44</v>
      </c>
      <c r="D9" s="36" t="s">
        <v>590</v>
      </c>
      <c r="E9" s="36" t="s">
        <v>99</v>
      </c>
      <c r="F9" s="6" t="s">
        <v>36</v>
      </c>
      <c r="G9" s="6" t="s">
        <v>36</v>
      </c>
      <c r="H9" s="31" t="s">
        <v>36</v>
      </c>
      <c r="I9" s="36" t="s">
        <v>9</v>
      </c>
      <c r="J9" s="5" t="s">
        <v>36</v>
      </c>
      <c r="K9" s="5" t="s">
        <v>36</v>
      </c>
      <c r="L9" s="5" t="s">
        <v>36</v>
      </c>
      <c r="M9" s="5" t="s">
        <v>36</v>
      </c>
      <c r="N9" s="5" t="s">
        <v>36</v>
      </c>
      <c r="O9" s="5" t="s">
        <v>420</v>
      </c>
      <c r="P9" s="6" t="s">
        <v>421</v>
      </c>
    </row>
    <row r="10" spans="1:16" x14ac:dyDescent="0.35">
      <c r="I10" s="36"/>
      <c r="J10" s="5"/>
      <c r="K10" s="5"/>
      <c r="L10" s="37"/>
      <c r="M10" s="37"/>
      <c r="N10" s="37"/>
      <c r="O10" s="37"/>
    </row>
    <row r="11" spans="1:16" x14ac:dyDescent="0.35">
      <c r="I11" s="36"/>
      <c r="J11" s="5"/>
      <c r="K11" s="5"/>
      <c r="L11" s="37"/>
      <c r="M11" s="37"/>
      <c r="N11" s="37"/>
      <c r="O11" s="37"/>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sheetData>
  <conditionalFormatting sqref="C7:C1048576">
    <cfRule type="cellIs" dxfId="444" priority="21" operator="equal">
      <formula>"WIP (see comments)"</formula>
    </cfRule>
    <cfRule type="cellIs" dxfId="443" priority="22" operator="equal">
      <formula>"Removed"</formula>
    </cfRule>
    <cfRule type="cellIs" dxfId="442" priority="23" operator="equal">
      <formula>"Updated"</formula>
    </cfRule>
    <cfRule type="cellIs" dxfId="441" priority="24" operator="equal">
      <formula>"New"</formula>
    </cfRule>
  </conditionalFormatting>
  <conditionalFormatting sqref="A9:O9">
    <cfRule type="cellIs" dxfId="440" priority="20" operator="equal">
      <formula>"n/a"</formula>
    </cfRule>
  </conditionalFormatting>
  <conditionalFormatting sqref="A8:P8 E7:O7 A7:C7 C8:C9">
    <cfRule type="cellIs" dxfId="439" priority="4" operator="equal">
      <formula>"n/a"</formula>
    </cfRule>
  </conditionalFormatting>
  <conditionalFormatting sqref="P7">
    <cfRule type="cellIs" dxfId="438" priority="3" operator="equal">
      <formula>"n/a"</formula>
    </cfRule>
  </conditionalFormatting>
  <conditionalFormatting sqref="D7">
    <cfRule type="cellIs" dxfId="437" priority="2" operator="equal">
      <formula>"-"</formula>
    </cfRule>
  </conditionalFormatting>
  <conditionalFormatting sqref="D7">
    <cfRule type="cellIs" dxfId="4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7"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626</v>
      </c>
      <c r="C1" s="29"/>
      <c r="D1" s="26"/>
      <c r="H1" s="116"/>
    </row>
    <row r="2" spans="1:16" s="27" customFormat="1" ht="18.5" x14ac:dyDescent="0.35">
      <c r="A2" s="25" t="s">
        <v>7</v>
      </c>
      <c r="B2" s="116">
        <v>17</v>
      </c>
      <c r="C2" s="32"/>
      <c r="D2" s="147" t="s">
        <v>926</v>
      </c>
      <c r="H2" s="116"/>
    </row>
    <row r="3" spans="1:16" s="27" customFormat="1" ht="18.5" x14ac:dyDescent="0.35">
      <c r="A3" s="25" t="s">
        <v>43</v>
      </c>
      <c r="B3" s="116" t="s">
        <v>631</v>
      </c>
      <c r="C3" s="32"/>
      <c r="D3" s="116" t="s">
        <v>871</v>
      </c>
      <c r="H3" s="116"/>
    </row>
    <row r="4" spans="1:16" s="27" customFormat="1" ht="18.5" x14ac:dyDescent="0.35">
      <c r="A4" s="25" t="s">
        <v>8</v>
      </c>
      <c r="B4" s="27" t="s">
        <v>523</v>
      </c>
      <c r="C4" s="32"/>
      <c r="H4" s="116"/>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 si="0">CONCATENATE($B$2, ".", A7)</f>
        <v>17.1</v>
      </c>
      <c r="C7" s="31" t="s">
        <v>41</v>
      </c>
      <c r="D7" s="36" t="s">
        <v>524</v>
      </c>
      <c r="E7" s="36" t="s">
        <v>28</v>
      </c>
      <c r="F7" s="6" t="s">
        <v>36</v>
      </c>
      <c r="G7" s="6" t="s">
        <v>36</v>
      </c>
      <c r="H7" s="117" t="s">
        <v>36</v>
      </c>
      <c r="I7" s="36" t="s">
        <v>9</v>
      </c>
      <c r="J7" s="5" t="s">
        <v>36</v>
      </c>
      <c r="K7" s="5" t="s">
        <v>36</v>
      </c>
      <c r="L7" s="5" t="s">
        <v>36</v>
      </c>
      <c r="M7" s="5" t="s">
        <v>36</v>
      </c>
      <c r="N7" s="5" t="s">
        <v>36</v>
      </c>
      <c r="O7" s="5" t="s">
        <v>36</v>
      </c>
      <c r="P7" s="6" t="s">
        <v>211</v>
      </c>
    </row>
    <row r="8" spans="1:16" x14ac:dyDescent="0.35">
      <c r="A8" s="6">
        <v>2</v>
      </c>
      <c r="B8" s="6" t="str">
        <f t="shared" ref="B8:B10" si="1">CONCATENATE($B$2, ".", A8)</f>
        <v>17.2</v>
      </c>
      <c r="C8" s="31" t="s">
        <v>41</v>
      </c>
      <c r="D8" s="36" t="s">
        <v>36</v>
      </c>
      <c r="E8" s="36" t="s">
        <v>47</v>
      </c>
      <c r="F8" s="6" t="s">
        <v>36</v>
      </c>
      <c r="G8" s="6" t="s">
        <v>36</v>
      </c>
      <c r="H8" s="117" t="s">
        <v>36</v>
      </c>
      <c r="I8" s="36" t="s">
        <v>9</v>
      </c>
      <c r="J8" s="5" t="s">
        <v>36</v>
      </c>
      <c r="K8" s="5" t="s">
        <v>36</v>
      </c>
      <c r="L8" s="5" t="s">
        <v>36</v>
      </c>
      <c r="M8" s="5" t="s">
        <v>36</v>
      </c>
      <c r="N8" s="5" t="s">
        <v>36</v>
      </c>
      <c r="O8" s="5" t="s">
        <v>36</v>
      </c>
      <c r="P8" s="6" t="s">
        <v>433</v>
      </c>
    </row>
    <row r="9" spans="1:16" ht="43.5" x14ac:dyDescent="0.35">
      <c r="A9" s="6">
        <v>3</v>
      </c>
      <c r="B9" s="6" t="str">
        <f t="shared" si="1"/>
        <v>17.3</v>
      </c>
      <c r="C9" s="31" t="s">
        <v>41</v>
      </c>
      <c r="D9" s="50" t="s">
        <v>525</v>
      </c>
      <c r="E9" s="6" t="s">
        <v>31</v>
      </c>
      <c r="F9" s="6" t="s">
        <v>58</v>
      </c>
      <c r="G9" s="6" t="s">
        <v>36</v>
      </c>
      <c r="H9" s="117" t="s">
        <v>36</v>
      </c>
      <c r="I9" s="6" t="s">
        <v>9</v>
      </c>
      <c r="J9" s="6" t="s">
        <v>495</v>
      </c>
      <c r="K9" s="6" t="s">
        <v>53</v>
      </c>
      <c r="L9" s="6" t="s">
        <v>527</v>
      </c>
      <c r="M9" s="6" t="s">
        <v>36</v>
      </c>
      <c r="N9" s="6" t="s">
        <v>36</v>
      </c>
      <c r="O9" s="37" t="s">
        <v>36</v>
      </c>
      <c r="P9" s="6" t="s">
        <v>211</v>
      </c>
    </row>
    <row r="10" spans="1:16" ht="66" customHeight="1" x14ac:dyDescent="0.35">
      <c r="A10" s="6">
        <v>4</v>
      </c>
      <c r="B10" s="6" t="str">
        <f t="shared" si="1"/>
        <v>17.4</v>
      </c>
      <c r="C10" s="31" t="s">
        <v>37</v>
      </c>
      <c r="D10" s="50" t="s">
        <v>526</v>
      </c>
      <c r="E10" s="6" t="s">
        <v>32</v>
      </c>
      <c r="F10" s="6" t="s">
        <v>916</v>
      </c>
      <c r="G10" s="36" t="s">
        <v>921</v>
      </c>
      <c r="H10" s="117" t="s">
        <v>627</v>
      </c>
      <c r="I10" s="6" t="s">
        <v>486</v>
      </c>
      <c r="J10" s="50" t="s">
        <v>917</v>
      </c>
      <c r="K10" s="6" t="s">
        <v>518</v>
      </c>
      <c r="L10" s="6" t="s">
        <v>528</v>
      </c>
      <c r="M10" s="6" t="s">
        <v>919</v>
      </c>
      <c r="N10" s="6" t="s">
        <v>920</v>
      </c>
      <c r="O10" s="37" t="s">
        <v>918</v>
      </c>
      <c r="P10" s="6" t="s">
        <v>211</v>
      </c>
    </row>
    <row r="11" spans="1:16" ht="43.5" x14ac:dyDescent="0.35">
      <c r="A11" s="6">
        <v>5</v>
      </c>
      <c r="B11" s="6" t="str">
        <f t="shared" ref="B11:B12" si="2">CONCATENATE($B$2, ".", A11)</f>
        <v>17.5</v>
      </c>
      <c r="C11" s="31" t="s">
        <v>41</v>
      </c>
      <c r="D11" s="6" t="s">
        <v>57</v>
      </c>
      <c r="E11" s="6" t="s">
        <v>42</v>
      </c>
      <c r="F11" s="6" t="s">
        <v>36</v>
      </c>
      <c r="G11" s="6" t="s">
        <v>36</v>
      </c>
      <c r="H11" s="117" t="s">
        <v>36</v>
      </c>
      <c r="I11" s="6" t="s">
        <v>9</v>
      </c>
      <c r="J11" s="6" t="s">
        <v>36</v>
      </c>
      <c r="K11" s="6" t="s">
        <v>36</v>
      </c>
      <c r="L11" s="6" t="s">
        <v>36</v>
      </c>
      <c r="M11" s="6" t="s">
        <v>628</v>
      </c>
      <c r="N11" s="6" t="s">
        <v>629</v>
      </c>
      <c r="O11" s="37" t="s">
        <v>758</v>
      </c>
    </row>
    <row r="12" spans="1:16" x14ac:dyDescent="0.35">
      <c r="A12" s="6">
        <v>6</v>
      </c>
      <c r="B12" s="6" t="str">
        <f t="shared" si="2"/>
        <v>17.6</v>
      </c>
      <c r="C12" s="31" t="s">
        <v>41</v>
      </c>
      <c r="D12" s="36" t="s">
        <v>56</v>
      </c>
      <c r="E12" s="6" t="s">
        <v>42</v>
      </c>
      <c r="F12" s="6" t="s">
        <v>36</v>
      </c>
      <c r="G12" s="6" t="s">
        <v>36</v>
      </c>
      <c r="H12" s="117" t="s">
        <v>36</v>
      </c>
      <c r="I12" s="6" t="s">
        <v>9</v>
      </c>
      <c r="J12" s="6" t="s">
        <v>36</v>
      </c>
      <c r="K12" s="6" t="s">
        <v>36</v>
      </c>
      <c r="L12" s="6" t="s">
        <v>36</v>
      </c>
      <c r="M12" s="36" t="s">
        <v>36</v>
      </c>
      <c r="N12" s="36" t="s">
        <v>36</v>
      </c>
      <c r="O12" s="36" t="s">
        <v>533</v>
      </c>
    </row>
  </sheetData>
  <autoFilter ref="A6:P6"/>
  <conditionalFormatting sqref="C7:C1048576">
    <cfRule type="cellIs" dxfId="435" priority="40" operator="equal">
      <formula>"WIP (see comments)"</formula>
    </cfRule>
    <cfRule type="cellIs" dxfId="434" priority="41" operator="equal">
      <formula>"Removed"</formula>
    </cfRule>
    <cfRule type="cellIs" dxfId="433" priority="42" operator="equal">
      <formula>"Updated"</formula>
    </cfRule>
    <cfRule type="cellIs" dxfId="432" priority="43" operator="equal">
      <formula>"New"</formula>
    </cfRule>
  </conditionalFormatting>
  <conditionalFormatting sqref="P12:XFD12 E12:L12 A7:XFD10 D11:XFD11 A11:C12">
    <cfRule type="cellIs" dxfId="431" priority="35" operator="equal">
      <formula>"n/a"</formula>
    </cfRule>
  </conditionalFormatting>
  <conditionalFormatting sqref="D12 M12:N12">
    <cfRule type="cellIs" dxfId="430" priority="34"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48"/>
  <sheetViews>
    <sheetView zoomScaleNormal="100" workbookViewId="0">
      <pane xSplit="4" ySplit="6" topLeftCell="E26" activePane="bottomRight" state="frozen"/>
      <selection activeCell="O8" sqref="O8"/>
      <selection pane="topRight" activeCell="O8" sqref="O8"/>
      <selection pane="bottomLeft" activeCell="O8" sqref="O8"/>
      <selection pane="bottomRight" activeCell="F33" sqref="F3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98"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754</v>
      </c>
      <c r="C1" s="29"/>
      <c r="D1" s="26"/>
      <c r="H1" s="97"/>
    </row>
    <row r="2" spans="1:16" s="27" customFormat="1" ht="18.5" x14ac:dyDescent="0.35">
      <c r="A2" s="25" t="s">
        <v>7</v>
      </c>
      <c r="B2" s="78">
        <v>18</v>
      </c>
      <c r="C2" s="32"/>
      <c r="D2" s="78" t="s">
        <v>926</v>
      </c>
      <c r="H2" s="97"/>
    </row>
    <row r="3" spans="1:16" s="27" customFormat="1" ht="18.5" x14ac:dyDescent="0.35">
      <c r="A3" s="25" t="s">
        <v>43</v>
      </c>
      <c r="B3" s="78" t="s">
        <v>632</v>
      </c>
      <c r="C3" s="32"/>
      <c r="D3" s="27" t="s">
        <v>777</v>
      </c>
      <c r="E3" s="78" t="s">
        <v>755</v>
      </c>
      <c r="H3" s="97"/>
    </row>
    <row r="4" spans="1:16" s="27" customFormat="1" ht="18.5" x14ac:dyDescent="0.35">
      <c r="A4" s="25" t="s">
        <v>8</v>
      </c>
      <c r="B4" s="27" t="s">
        <v>523</v>
      </c>
      <c r="C4" s="32"/>
      <c r="H4" s="97"/>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13" si="0">CONCATENATE($B$2, ".", A7)</f>
        <v>18.1</v>
      </c>
      <c r="C7" s="31" t="s">
        <v>39</v>
      </c>
      <c r="D7" s="36" t="s">
        <v>633</v>
      </c>
      <c r="E7" s="6" t="s">
        <v>115</v>
      </c>
      <c r="F7" s="6" t="s">
        <v>36</v>
      </c>
      <c r="G7" s="6" t="s">
        <v>36</v>
      </c>
      <c r="H7" s="98" t="s">
        <v>36</v>
      </c>
      <c r="I7" s="36" t="s">
        <v>9</v>
      </c>
      <c r="J7" s="5" t="s">
        <v>36</v>
      </c>
      <c r="K7" s="5" t="s">
        <v>36</v>
      </c>
      <c r="L7" s="5" t="s">
        <v>36</v>
      </c>
      <c r="M7" s="5" t="s">
        <v>36</v>
      </c>
      <c r="N7" s="5" t="s">
        <v>36</v>
      </c>
      <c r="O7" s="5" t="s">
        <v>36</v>
      </c>
      <c r="P7" s="6" t="s">
        <v>211</v>
      </c>
    </row>
    <row r="8" spans="1:16" x14ac:dyDescent="0.35">
      <c r="A8" s="6">
        <v>2</v>
      </c>
      <c r="B8" s="6" t="str">
        <f t="shared" si="0"/>
        <v>18.2</v>
      </c>
      <c r="C8" s="31" t="s">
        <v>39</v>
      </c>
      <c r="D8" s="36" t="s">
        <v>36</v>
      </c>
      <c r="E8" s="36" t="s">
        <v>47</v>
      </c>
      <c r="F8" s="6" t="s">
        <v>36</v>
      </c>
      <c r="G8" s="6" t="s">
        <v>36</v>
      </c>
      <c r="H8" s="98" t="s">
        <v>36</v>
      </c>
      <c r="I8" s="36" t="s">
        <v>9</v>
      </c>
      <c r="J8" s="5" t="s">
        <v>36</v>
      </c>
      <c r="K8" s="5" t="s">
        <v>36</v>
      </c>
      <c r="L8" s="5" t="s">
        <v>36</v>
      </c>
      <c r="M8" s="5" t="s">
        <v>36</v>
      </c>
      <c r="N8" s="5" t="s">
        <v>36</v>
      </c>
      <c r="O8" s="5" t="s">
        <v>36</v>
      </c>
    </row>
    <row r="9" spans="1:16" x14ac:dyDescent="0.35">
      <c r="A9" s="130" t="s">
        <v>757</v>
      </c>
      <c r="B9" s="126"/>
      <c r="C9" s="127"/>
      <c r="D9" s="126"/>
      <c r="E9" s="126"/>
      <c r="F9" s="126"/>
      <c r="G9" s="126"/>
      <c r="H9" s="128"/>
      <c r="I9" s="126"/>
      <c r="J9" s="129"/>
      <c r="K9" s="129"/>
      <c r="L9" s="129"/>
      <c r="M9" s="129"/>
      <c r="N9" s="129"/>
      <c r="O9" s="129"/>
      <c r="P9" s="126"/>
    </row>
    <row r="10" spans="1:16" ht="43.5" x14ac:dyDescent="0.35">
      <c r="A10" s="6">
        <v>3</v>
      </c>
      <c r="B10" s="6" t="str">
        <f t="shared" ref="B10" si="1">CONCATENATE($B$2, ".", A10)</f>
        <v>18.3</v>
      </c>
      <c r="C10" s="31" t="s">
        <v>39</v>
      </c>
      <c r="D10" s="50" t="s">
        <v>792</v>
      </c>
      <c r="E10" s="6" t="s">
        <v>114</v>
      </c>
      <c r="F10" s="6" t="s">
        <v>36</v>
      </c>
      <c r="G10" s="36" t="s">
        <v>36</v>
      </c>
      <c r="H10" s="117" t="s">
        <v>36</v>
      </c>
      <c r="I10" s="6" t="s">
        <v>9</v>
      </c>
      <c r="J10" s="6" t="s">
        <v>36</v>
      </c>
      <c r="K10" s="6" t="s">
        <v>36</v>
      </c>
      <c r="L10" s="6" t="s">
        <v>36</v>
      </c>
      <c r="M10" s="6" t="s">
        <v>36</v>
      </c>
      <c r="N10" s="6" t="s">
        <v>36</v>
      </c>
      <c r="O10" s="37" t="s">
        <v>886</v>
      </c>
    </row>
    <row r="11" spans="1:16" ht="48" customHeight="1" x14ac:dyDescent="0.35">
      <c r="A11" s="6">
        <v>4</v>
      </c>
      <c r="B11" s="6" t="str">
        <f t="shared" si="0"/>
        <v>18.4</v>
      </c>
      <c r="C11" s="31" t="s">
        <v>39</v>
      </c>
      <c r="D11" s="50" t="s">
        <v>634</v>
      </c>
      <c r="E11" s="6" t="s">
        <v>35</v>
      </c>
      <c r="F11" s="6" t="s">
        <v>36</v>
      </c>
      <c r="G11" s="36" t="s">
        <v>36</v>
      </c>
      <c r="H11" s="98" t="s">
        <v>36</v>
      </c>
      <c r="I11" s="6" t="s">
        <v>9</v>
      </c>
      <c r="J11" s="6" t="s">
        <v>36</v>
      </c>
      <c r="K11" s="6" t="s">
        <v>36</v>
      </c>
      <c r="L11" s="6" t="s">
        <v>36</v>
      </c>
      <c r="M11" s="6" t="s">
        <v>36</v>
      </c>
      <c r="N11" s="6" t="s">
        <v>36</v>
      </c>
      <c r="O11" s="37" t="s">
        <v>759</v>
      </c>
    </row>
    <row r="12" spans="1:16" ht="61" customHeight="1" x14ac:dyDescent="0.35">
      <c r="A12" s="6">
        <v>5</v>
      </c>
      <c r="B12" s="6" t="str">
        <f t="shared" si="0"/>
        <v>18.5</v>
      </c>
      <c r="C12" s="31" t="s">
        <v>39</v>
      </c>
      <c r="D12" s="50" t="s">
        <v>635</v>
      </c>
      <c r="E12" s="6" t="s">
        <v>33</v>
      </c>
      <c r="F12" s="6" t="s">
        <v>36</v>
      </c>
      <c r="G12" s="36" t="s">
        <v>36</v>
      </c>
      <c r="H12" s="98" t="s">
        <v>36</v>
      </c>
      <c r="I12" s="6" t="s">
        <v>518</v>
      </c>
      <c r="J12" s="6" t="s">
        <v>36</v>
      </c>
      <c r="K12" s="6" t="s">
        <v>36</v>
      </c>
      <c r="L12" s="6" t="s">
        <v>36</v>
      </c>
      <c r="M12" s="6" t="s">
        <v>36</v>
      </c>
      <c r="N12" s="6" t="s">
        <v>36</v>
      </c>
      <c r="O12" s="37" t="s">
        <v>638</v>
      </c>
    </row>
    <row r="13" spans="1:16" ht="66" customHeight="1" x14ac:dyDescent="0.35">
      <c r="A13" s="6">
        <v>6</v>
      </c>
      <c r="B13" s="6" t="str">
        <f t="shared" si="0"/>
        <v>18.6</v>
      </c>
      <c r="C13" s="31" t="s">
        <v>39</v>
      </c>
      <c r="D13" s="44" t="s">
        <v>639</v>
      </c>
      <c r="E13" s="6" t="s">
        <v>33</v>
      </c>
      <c r="F13" s="6" t="s">
        <v>36</v>
      </c>
      <c r="G13" s="6" t="s">
        <v>36</v>
      </c>
      <c r="H13" s="98" t="s">
        <v>36</v>
      </c>
      <c r="I13" s="6" t="s">
        <v>518</v>
      </c>
      <c r="J13" s="6" t="s">
        <v>36</v>
      </c>
      <c r="K13" s="6" t="s">
        <v>36</v>
      </c>
      <c r="L13" s="6" t="s">
        <v>36</v>
      </c>
      <c r="M13" s="6" t="s">
        <v>36</v>
      </c>
      <c r="N13" s="6" t="s">
        <v>36</v>
      </c>
      <c r="O13" s="37" t="s">
        <v>760</v>
      </c>
    </row>
    <row r="14" spans="1:16" x14ac:dyDescent="0.35">
      <c r="A14" s="130" t="s">
        <v>761</v>
      </c>
      <c r="B14" s="126"/>
      <c r="C14" s="127"/>
      <c r="D14" s="126"/>
      <c r="E14" s="126"/>
      <c r="F14" s="126"/>
      <c r="G14" s="126"/>
      <c r="H14" s="128"/>
      <c r="I14" s="126"/>
      <c r="J14" s="129"/>
      <c r="K14" s="129"/>
      <c r="L14" s="129"/>
      <c r="M14" s="129"/>
      <c r="N14" s="129"/>
      <c r="O14" s="129"/>
      <c r="P14" s="126"/>
    </row>
    <row r="15" spans="1:16" ht="34" customHeight="1" x14ac:dyDescent="0.35">
      <c r="A15" s="6">
        <v>7</v>
      </c>
      <c r="B15" s="6" t="str">
        <f t="shared" ref="B15:B26" si="2">CONCATENATE($B$2, ".", A15)</f>
        <v>18.7</v>
      </c>
      <c r="C15" s="31" t="s">
        <v>39</v>
      </c>
      <c r="D15" s="44" t="s">
        <v>640</v>
      </c>
      <c r="E15" s="6" t="s">
        <v>28</v>
      </c>
      <c r="F15" s="6" t="s">
        <v>36</v>
      </c>
      <c r="G15" s="6" t="s">
        <v>36</v>
      </c>
      <c r="H15" s="98" t="s">
        <v>36</v>
      </c>
      <c r="I15" s="6" t="s">
        <v>9</v>
      </c>
      <c r="J15" s="6" t="s">
        <v>36</v>
      </c>
      <c r="K15" s="6" t="s">
        <v>36</v>
      </c>
      <c r="L15" s="6" t="s">
        <v>36</v>
      </c>
      <c r="M15" s="6" t="s">
        <v>36</v>
      </c>
      <c r="N15" s="6" t="s">
        <v>36</v>
      </c>
      <c r="O15" s="37" t="s">
        <v>36</v>
      </c>
      <c r="P15" s="6" t="s">
        <v>211</v>
      </c>
    </row>
    <row r="16" spans="1:16" ht="34" customHeight="1" x14ac:dyDescent="0.35">
      <c r="A16" s="6">
        <v>8</v>
      </c>
      <c r="B16" s="6" t="str">
        <f t="shared" ref="B16:B17" si="3">CONCATENATE($B$2, ".", A16)</f>
        <v>18.8</v>
      </c>
      <c r="C16" s="31" t="s">
        <v>44</v>
      </c>
      <c r="D16" s="44" t="s">
        <v>36</v>
      </c>
      <c r="E16" s="6" t="s">
        <v>114</v>
      </c>
      <c r="F16" s="6" t="s">
        <v>36</v>
      </c>
      <c r="G16" s="36" t="s">
        <v>36</v>
      </c>
      <c r="H16" s="117" t="s">
        <v>36</v>
      </c>
      <c r="I16" s="6" t="s">
        <v>518</v>
      </c>
      <c r="J16" s="6" t="s">
        <v>36</v>
      </c>
      <c r="K16" s="6" t="s">
        <v>36</v>
      </c>
      <c r="L16" s="6" t="s">
        <v>36</v>
      </c>
      <c r="M16" s="6" t="s">
        <v>36</v>
      </c>
      <c r="N16" s="6" t="s">
        <v>36</v>
      </c>
      <c r="O16" s="37" t="s">
        <v>641</v>
      </c>
      <c r="P16" s="6" t="s">
        <v>642</v>
      </c>
    </row>
    <row r="17" spans="1:16" ht="34" customHeight="1" x14ac:dyDescent="0.35">
      <c r="A17" s="6">
        <v>9</v>
      </c>
      <c r="B17" s="6" t="str">
        <f t="shared" si="3"/>
        <v>18.9</v>
      </c>
      <c r="C17" s="31" t="s">
        <v>39</v>
      </c>
      <c r="D17" s="44" t="s">
        <v>635</v>
      </c>
      <c r="E17" s="6" t="s">
        <v>33</v>
      </c>
      <c r="F17" s="6" t="s">
        <v>36</v>
      </c>
      <c r="G17" s="36" t="s">
        <v>36</v>
      </c>
      <c r="H17" s="117" t="s">
        <v>36</v>
      </c>
      <c r="I17" s="6" t="s">
        <v>518</v>
      </c>
      <c r="J17" s="6" t="s">
        <v>36</v>
      </c>
      <c r="K17" s="6" t="s">
        <v>36</v>
      </c>
      <c r="L17" s="6" t="s">
        <v>36</v>
      </c>
      <c r="M17" s="6" t="s">
        <v>36</v>
      </c>
      <c r="N17" s="6" t="s">
        <v>36</v>
      </c>
      <c r="O17" s="37" t="s">
        <v>636</v>
      </c>
    </row>
    <row r="18" spans="1:16" ht="60" customHeight="1" x14ac:dyDescent="0.35">
      <c r="A18" s="6">
        <v>10</v>
      </c>
      <c r="B18" s="6" t="str">
        <f t="shared" ref="B18:B20" si="4">CONCATENATE($B$2, ".", A18)</f>
        <v>18.10</v>
      </c>
      <c r="C18" s="31" t="s">
        <v>39</v>
      </c>
      <c r="D18" s="131" t="s">
        <v>743</v>
      </c>
      <c r="E18" s="6" t="s">
        <v>33</v>
      </c>
      <c r="F18" s="6" t="s">
        <v>36</v>
      </c>
      <c r="G18" s="36" t="s">
        <v>36</v>
      </c>
      <c r="H18" s="117" t="s">
        <v>36</v>
      </c>
      <c r="I18" s="6" t="s">
        <v>518</v>
      </c>
      <c r="J18" s="6" t="s">
        <v>36</v>
      </c>
      <c r="K18" s="6" t="s">
        <v>36</v>
      </c>
      <c r="L18" s="6" t="s">
        <v>36</v>
      </c>
      <c r="M18" s="6" t="s">
        <v>36</v>
      </c>
      <c r="N18" s="6" t="s">
        <v>36</v>
      </c>
      <c r="O18" s="37" t="s">
        <v>636</v>
      </c>
      <c r="P18" s="6" t="s">
        <v>211</v>
      </c>
    </row>
    <row r="19" spans="1:16" ht="34" customHeight="1" x14ac:dyDescent="0.35">
      <c r="A19" s="6">
        <v>11</v>
      </c>
      <c r="B19" s="6" t="str">
        <f t="shared" si="4"/>
        <v>18.11</v>
      </c>
      <c r="C19" s="31" t="s">
        <v>44</v>
      </c>
      <c r="D19" s="44" t="s">
        <v>36</v>
      </c>
      <c r="E19" s="6" t="s">
        <v>114</v>
      </c>
      <c r="F19" s="6" t="s">
        <v>36</v>
      </c>
      <c r="G19" s="36" t="s">
        <v>36</v>
      </c>
      <c r="H19" s="117" t="s">
        <v>36</v>
      </c>
      <c r="I19" s="6" t="s">
        <v>9</v>
      </c>
      <c r="J19" s="6" t="s">
        <v>36</v>
      </c>
      <c r="K19" s="6" t="s">
        <v>36</v>
      </c>
      <c r="L19" s="6" t="s">
        <v>36</v>
      </c>
      <c r="M19" s="6" t="s">
        <v>36</v>
      </c>
      <c r="N19" s="6" t="s">
        <v>36</v>
      </c>
      <c r="O19" s="37" t="s">
        <v>643</v>
      </c>
      <c r="P19" s="6" t="s">
        <v>644</v>
      </c>
    </row>
    <row r="20" spans="1:16" ht="34" customHeight="1" x14ac:dyDescent="0.35">
      <c r="A20" s="6">
        <v>12</v>
      </c>
      <c r="B20" s="6" t="str">
        <f t="shared" si="4"/>
        <v>18.12</v>
      </c>
      <c r="C20" s="31" t="s">
        <v>39</v>
      </c>
      <c r="D20" s="44" t="s">
        <v>637</v>
      </c>
      <c r="E20" s="6" t="s">
        <v>33</v>
      </c>
      <c r="F20" s="6" t="s">
        <v>36</v>
      </c>
      <c r="G20" s="36" t="s">
        <v>36</v>
      </c>
      <c r="H20" s="117" t="s">
        <v>36</v>
      </c>
      <c r="I20" s="6" t="s">
        <v>9</v>
      </c>
      <c r="J20" s="6" t="s">
        <v>36</v>
      </c>
      <c r="K20" s="6" t="s">
        <v>36</v>
      </c>
      <c r="L20" s="6" t="s">
        <v>36</v>
      </c>
      <c r="M20" s="6" t="s">
        <v>36</v>
      </c>
      <c r="N20" s="6" t="s">
        <v>36</v>
      </c>
      <c r="O20" s="37"/>
    </row>
    <row r="21" spans="1:16" ht="60" customHeight="1" x14ac:dyDescent="0.35">
      <c r="A21" s="6">
        <v>13</v>
      </c>
      <c r="B21" s="6" t="str">
        <f t="shared" ref="B21:B24" si="5">CONCATENATE($B$2, ".", A21)</f>
        <v>18.13</v>
      </c>
      <c r="C21" s="31" t="s">
        <v>39</v>
      </c>
      <c r="D21" s="44" t="s">
        <v>744</v>
      </c>
      <c r="E21" s="6" t="s">
        <v>33</v>
      </c>
      <c r="F21" s="6" t="s">
        <v>36</v>
      </c>
      <c r="G21" s="36" t="s">
        <v>36</v>
      </c>
      <c r="H21" s="117" t="s">
        <v>36</v>
      </c>
      <c r="I21" s="6" t="s">
        <v>9</v>
      </c>
      <c r="J21" s="6" t="s">
        <v>36</v>
      </c>
      <c r="K21" s="6" t="s">
        <v>36</v>
      </c>
      <c r="L21" s="6" t="s">
        <v>36</v>
      </c>
      <c r="M21" s="6" t="s">
        <v>36</v>
      </c>
      <c r="N21" s="6" t="s">
        <v>36</v>
      </c>
      <c r="O21" s="37" t="s">
        <v>36</v>
      </c>
      <c r="P21" s="6" t="s">
        <v>211</v>
      </c>
    </row>
    <row r="22" spans="1:16" ht="34" customHeight="1" x14ac:dyDescent="0.35">
      <c r="A22" s="6">
        <v>14</v>
      </c>
      <c r="B22" s="6" t="str">
        <f t="shared" si="5"/>
        <v>18.14</v>
      </c>
      <c r="C22" s="31" t="s">
        <v>44</v>
      </c>
      <c r="D22" s="44" t="s">
        <v>36</v>
      </c>
      <c r="E22" s="6" t="s">
        <v>114</v>
      </c>
      <c r="F22" s="6" t="s">
        <v>36</v>
      </c>
      <c r="G22" s="36" t="s">
        <v>36</v>
      </c>
      <c r="H22" s="124" t="s">
        <v>36</v>
      </c>
      <c r="I22" s="6" t="s">
        <v>9</v>
      </c>
      <c r="J22" s="6" t="s">
        <v>36</v>
      </c>
      <c r="K22" s="6" t="s">
        <v>36</v>
      </c>
      <c r="L22" s="6" t="s">
        <v>36</v>
      </c>
      <c r="M22" s="6" t="s">
        <v>36</v>
      </c>
      <c r="N22" s="6" t="s">
        <v>36</v>
      </c>
      <c r="O22" s="37" t="s">
        <v>643</v>
      </c>
      <c r="P22" s="6" t="s">
        <v>762</v>
      </c>
    </row>
    <row r="23" spans="1:16" ht="60" customHeight="1" x14ac:dyDescent="0.35">
      <c r="A23" s="6">
        <v>15</v>
      </c>
      <c r="B23" s="6" t="str">
        <f t="shared" si="5"/>
        <v>18.15</v>
      </c>
      <c r="C23" s="31" t="s">
        <v>39</v>
      </c>
      <c r="D23" s="44" t="s">
        <v>745</v>
      </c>
      <c r="E23" s="6" t="s">
        <v>33</v>
      </c>
      <c r="F23" s="6" t="s">
        <v>36</v>
      </c>
      <c r="G23" s="36" t="s">
        <v>36</v>
      </c>
      <c r="H23" s="122" t="s">
        <v>36</v>
      </c>
      <c r="I23" s="6" t="s">
        <v>9</v>
      </c>
      <c r="J23" s="6" t="s">
        <v>36</v>
      </c>
      <c r="K23" s="6" t="s">
        <v>36</v>
      </c>
      <c r="L23" s="6" t="s">
        <v>36</v>
      </c>
      <c r="M23" s="6" t="s">
        <v>36</v>
      </c>
      <c r="N23" s="6" t="s">
        <v>36</v>
      </c>
      <c r="O23" s="37"/>
    </row>
    <row r="24" spans="1:16" ht="60" customHeight="1" x14ac:dyDescent="0.35">
      <c r="A24" s="6">
        <v>16</v>
      </c>
      <c r="B24" s="6" t="str">
        <f t="shared" si="5"/>
        <v>18.16</v>
      </c>
      <c r="C24" s="31" t="s">
        <v>39</v>
      </c>
      <c r="D24" s="44" t="s">
        <v>746</v>
      </c>
      <c r="E24" s="6" t="s">
        <v>33</v>
      </c>
      <c r="F24" s="6" t="s">
        <v>36</v>
      </c>
      <c r="G24" s="36" t="s">
        <v>36</v>
      </c>
      <c r="H24" s="122" t="s">
        <v>36</v>
      </c>
      <c r="I24" s="6" t="s">
        <v>9</v>
      </c>
      <c r="J24" s="6" t="s">
        <v>36</v>
      </c>
      <c r="K24" s="6" t="s">
        <v>36</v>
      </c>
      <c r="L24" s="6" t="s">
        <v>36</v>
      </c>
      <c r="M24" s="6" t="s">
        <v>36</v>
      </c>
      <c r="N24" s="6" t="s">
        <v>36</v>
      </c>
      <c r="O24" s="37" t="s">
        <v>36</v>
      </c>
      <c r="P24" s="6" t="s">
        <v>211</v>
      </c>
    </row>
    <row r="25" spans="1:16" ht="14.5" customHeight="1" x14ac:dyDescent="0.35">
      <c r="A25" s="6">
        <v>17</v>
      </c>
      <c r="B25" s="6" t="str">
        <f t="shared" si="2"/>
        <v>18.17</v>
      </c>
      <c r="C25" s="31" t="s">
        <v>37</v>
      </c>
      <c r="D25" s="44" t="s">
        <v>855</v>
      </c>
      <c r="E25" s="6" t="s">
        <v>531</v>
      </c>
      <c r="F25" s="6" t="s">
        <v>36</v>
      </c>
      <c r="G25" s="6" t="s">
        <v>36</v>
      </c>
      <c r="H25" s="117" t="s">
        <v>36</v>
      </c>
      <c r="I25" s="6" t="s">
        <v>9</v>
      </c>
      <c r="J25" s="6" t="s">
        <v>36</v>
      </c>
      <c r="K25" s="6" t="s">
        <v>36</v>
      </c>
      <c r="L25" s="6" t="s">
        <v>36</v>
      </c>
      <c r="M25" s="6" t="s">
        <v>36</v>
      </c>
      <c r="N25" s="6" t="s">
        <v>36</v>
      </c>
      <c r="O25" s="37" t="s">
        <v>36</v>
      </c>
    </row>
    <row r="26" spans="1:16" ht="14.5" customHeight="1" x14ac:dyDescent="0.35">
      <c r="A26" s="6">
        <v>18</v>
      </c>
      <c r="B26" s="6" t="str">
        <f t="shared" si="2"/>
        <v>18.18</v>
      </c>
      <c r="C26" s="31" t="s">
        <v>37</v>
      </c>
      <c r="D26" s="44" t="s">
        <v>854</v>
      </c>
      <c r="E26" s="6" t="s">
        <v>531</v>
      </c>
      <c r="F26" s="6" t="s">
        <v>36</v>
      </c>
      <c r="G26" s="6" t="s">
        <v>36</v>
      </c>
      <c r="H26" s="135" t="s">
        <v>36</v>
      </c>
      <c r="I26" s="6" t="s">
        <v>9</v>
      </c>
      <c r="J26" s="6" t="s">
        <v>36</v>
      </c>
      <c r="K26" s="6" t="s">
        <v>36</v>
      </c>
      <c r="L26" s="6" t="s">
        <v>36</v>
      </c>
      <c r="M26" s="6" t="s">
        <v>36</v>
      </c>
      <c r="N26" s="6" t="s">
        <v>36</v>
      </c>
      <c r="O26" s="37" t="s">
        <v>36</v>
      </c>
    </row>
    <row r="27" spans="1:16" ht="15" customHeight="1" x14ac:dyDescent="0.35">
      <c r="A27" s="6">
        <v>19</v>
      </c>
      <c r="B27" s="6" t="str">
        <f>CONCATENATE($B$2, ".", A27)</f>
        <v>18.19</v>
      </c>
      <c r="C27" s="31" t="s">
        <v>39</v>
      </c>
      <c r="D27" s="44" t="s">
        <v>312</v>
      </c>
      <c r="E27" s="6" t="s">
        <v>531</v>
      </c>
      <c r="F27" s="6" t="s">
        <v>36</v>
      </c>
      <c r="G27" s="6" t="s">
        <v>36</v>
      </c>
      <c r="H27" s="135" t="s">
        <v>36</v>
      </c>
      <c r="I27" s="6" t="s">
        <v>9</v>
      </c>
      <c r="J27" s="6" t="s">
        <v>36</v>
      </c>
      <c r="K27" s="6" t="s">
        <v>36</v>
      </c>
      <c r="L27" s="6" t="s">
        <v>36</v>
      </c>
      <c r="M27" s="6" t="s">
        <v>36</v>
      </c>
      <c r="N27" s="6" t="s">
        <v>36</v>
      </c>
      <c r="O27" s="37" t="s">
        <v>36</v>
      </c>
    </row>
    <row r="28" spans="1:16" ht="15" customHeight="1" x14ac:dyDescent="0.35">
      <c r="A28" s="6">
        <v>20</v>
      </c>
      <c r="B28" s="6" t="str">
        <f>CONCATENATE($B$2, ".", A28)</f>
        <v>18.20</v>
      </c>
      <c r="C28" s="31" t="s">
        <v>41</v>
      </c>
      <c r="D28" s="44" t="s">
        <v>856</v>
      </c>
      <c r="E28" s="6" t="s">
        <v>531</v>
      </c>
      <c r="F28" s="6" t="s">
        <v>36</v>
      </c>
      <c r="G28" s="6" t="s">
        <v>36</v>
      </c>
      <c r="H28" s="135" t="s">
        <v>36</v>
      </c>
      <c r="I28" s="6" t="s">
        <v>9</v>
      </c>
      <c r="J28" s="6" t="s">
        <v>36</v>
      </c>
      <c r="K28" s="6" t="s">
        <v>36</v>
      </c>
      <c r="L28" s="6" t="s">
        <v>36</v>
      </c>
      <c r="M28" s="6" t="s">
        <v>36</v>
      </c>
      <c r="N28" s="6" t="s">
        <v>36</v>
      </c>
      <c r="O28" s="37" t="s">
        <v>36</v>
      </c>
    </row>
    <row r="29" spans="1:16" ht="15" customHeight="1" x14ac:dyDescent="0.35">
      <c r="A29" s="6">
        <v>21</v>
      </c>
      <c r="B29" s="6" t="str">
        <f t="shared" ref="B29:B33" si="6">CONCATENATE($B$2, ".", A29)</f>
        <v>18.21</v>
      </c>
      <c r="C29" s="31" t="s">
        <v>39</v>
      </c>
      <c r="D29" s="44" t="s">
        <v>529</v>
      </c>
      <c r="E29" s="6" t="s">
        <v>531</v>
      </c>
      <c r="F29" s="6" t="s">
        <v>36</v>
      </c>
      <c r="G29" s="150" t="s">
        <v>915</v>
      </c>
      <c r="H29" s="117" t="s">
        <v>36</v>
      </c>
      <c r="I29" s="6" t="s">
        <v>9</v>
      </c>
      <c r="J29" s="6" t="s">
        <v>36</v>
      </c>
      <c r="K29" s="6" t="s">
        <v>36</v>
      </c>
      <c r="L29" s="6" t="s">
        <v>36</v>
      </c>
      <c r="M29" s="6" t="s">
        <v>36</v>
      </c>
      <c r="N29" s="6" t="s">
        <v>36</v>
      </c>
      <c r="O29" s="37" t="s">
        <v>36</v>
      </c>
    </row>
    <row r="30" spans="1:16" ht="79.5" customHeight="1" x14ac:dyDescent="0.35">
      <c r="A30" s="6">
        <v>22</v>
      </c>
      <c r="B30" s="6" t="str">
        <f t="shared" si="6"/>
        <v>18.22</v>
      </c>
      <c r="C30" s="31" t="s">
        <v>37</v>
      </c>
      <c r="D30" s="50" t="s">
        <v>530</v>
      </c>
      <c r="E30" s="6" t="s">
        <v>531</v>
      </c>
      <c r="F30" s="6" t="s">
        <v>36</v>
      </c>
      <c r="G30" s="6" t="s">
        <v>922</v>
      </c>
      <c r="H30" s="117" t="s">
        <v>36</v>
      </c>
      <c r="I30" s="6" t="s">
        <v>9</v>
      </c>
      <c r="J30" s="6" t="s">
        <v>36</v>
      </c>
      <c r="K30" s="6" t="s">
        <v>36</v>
      </c>
      <c r="L30" s="6" t="s">
        <v>36</v>
      </c>
      <c r="M30" s="6" t="s">
        <v>924</v>
      </c>
      <c r="N30" s="6" t="s">
        <v>925</v>
      </c>
      <c r="O30" s="37" t="s">
        <v>36</v>
      </c>
      <c r="P30" s="6" t="s">
        <v>928</v>
      </c>
    </row>
    <row r="31" spans="1:16" ht="15" customHeight="1" x14ac:dyDescent="0.35">
      <c r="A31" s="6">
        <v>23</v>
      </c>
      <c r="B31" s="6" t="str">
        <f t="shared" si="6"/>
        <v>18.23</v>
      </c>
      <c r="C31" s="31" t="s">
        <v>39</v>
      </c>
      <c r="D31" s="50" t="s">
        <v>745</v>
      </c>
      <c r="E31" s="6" t="s">
        <v>531</v>
      </c>
      <c r="F31" s="6" t="s">
        <v>36</v>
      </c>
      <c r="G31" s="6" t="s">
        <v>36</v>
      </c>
      <c r="H31" s="124" t="s">
        <v>36</v>
      </c>
      <c r="I31" s="6" t="s">
        <v>9</v>
      </c>
      <c r="J31" s="6" t="s">
        <v>36</v>
      </c>
      <c r="K31" s="6" t="s">
        <v>36</v>
      </c>
      <c r="L31" s="6" t="s">
        <v>36</v>
      </c>
      <c r="M31" s="6" t="s">
        <v>36</v>
      </c>
      <c r="N31" s="6" t="s">
        <v>36</v>
      </c>
      <c r="O31" s="37" t="s">
        <v>36</v>
      </c>
    </row>
    <row r="32" spans="1:16" ht="13.5" customHeight="1" x14ac:dyDescent="0.35">
      <c r="A32" s="96" t="s">
        <v>774</v>
      </c>
      <c r="B32" s="92"/>
      <c r="C32" s="99"/>
      <c r="D32" s="100"/>
      <c r="E32" s="92"/>
      <c r="F32" s="92"/>
      <c r="G32" s="92"/>
      <c r="H32" s="94"/>
      <c r="I32" s="92"/>
      <c r="J32" s="92"/>
      <c r="K32" s="92"/>
      <c r="L32" s="92"/>
      <c r="M32" s="92"/>
      <c r="N32" s="92"/>
      <c r="O32" s="95"/>
      <c r="P32" s="92"/>
    </row>
    <row r="33" spans="1:16" ht="34" customHeight="1" x14ac:dyDescent="0.35">
      <c r="A33" s="6">
        <v>24</v>
      </c>
      <c r="B33" s="6" t="str">
        <f t="shared" si="6"/>
        <v>18.24</v>
      </c>
      <c r="C33" s="31" t="s">
        <v>37</v>
      </c>
      <c r="D33" s="44" t="s">
        <v>857</v>
      </c>
      <c r="E33" s="6" t="s">
        <v>532</v>
      </c>
      <c r="F33" s="6" t="s">
        <v>972</v>
      </c>
      <c r="G33" s="6" t="s">
        <v>36</v>
      </c>
      <c r="H33" s="117">
        <v>50</v>
      </c>
      <c r="I33" s="6" t="s">
        <v>9</v>
      </c>
      <c r="J33" s="6" t="s">
        <v>107</v>
      </c>
      <c r="K33" s="6" t="s">
        <v>53</v>
      </c>
      <c r="L33" s="6" t="s">
        <v>725</v>
      </c>
      <c r="M33" s="6" t="s">
        <v>36</v>
      </c>
      <c r="N33" s="6" t="s">
        <v>36</v>
      </c>
      <c r="O33" s="37" t="s">
        <v>36</v>
      </c>
      <c r="P33" s="6" t="s">
        <v>965</v>
      </c>
    </row>
    <row r="34" spans="1:16" ht="34" customHeight="1" x14ac:dyDescent="0.35">
      <c r="A34" s="6">
        <v>25</v>
      </c>
      <c r="B34" s="6" t="str">
        <f t="shared" ref="B34" si="7">CONCATENATE($B$2, ".", A34)</f>
        <v>18.25</v>
      </c>
      <c r="C34" s="31" t="s">
        <v>37</v>
      </c>
      <c r="D34" s="44" t="s">
        <v>858</v>
      </c>
      <c r="E34" s="6" t="s">
        <v>532</v>
      </c>
      <c r="F34" s="6" t="s">
        <v>972</v>
      </c>
      <c r="G34" s="6" t="s">
        <v>36</v>
      </c>
      <c r="H34" s="135">
        <v>50</v>
      </c>
      <c r="I34" s="6" t="s">
        <v>9</v>
      </c>
      <c r="J34" s="6" t="s">
        <v>107</v>
      </c>
      <c r="K34" s="6" t="s">
        <v>53</v>
      </c>
      <c r="L34" s="6" t="s">
        <v>725</v>
      </c>
      <c r="M34" s="6" t="s">
        <v>36</v>
      </c>
      <c r="N34" s="6" t="s">
        <v>36</v>
      </c>
      <c r="O34" s="37" t="s">
        <v>36</v>
      </c>
      <c r="P34" s="6" t="s">
        <v>965</v>
      </c>
    </row>
    <row r="35" spans="1:16" ht="34" customHeight="1" x14ac:dyDescent="0.35">
      <c r="A35" s="6">
        <v>26</v>
      </c>
      <c r="B35" s="6" t="str">
        <f>CONCATENATE($B$2, ".", A35)</f>
        <v>18.26</v>
      </c>
      <c r="C35" s="31" t="s">
        <v>39</v>
      </c>
      <c r="D35" s="44" t="s">
        <v>645</v>
      </c>
      <c r="E35" s="6" t="s">
        <v>532</v>
      </c>
      <c r="F35" s="6" t="s">
        <v>51</v>
      </c>
      <c r="G35" s="6" t="s">
        <v>36</v>
      </c>
      <c r="H35" s="38">
        <v>54</v>
      </c>
      <c r="I35" s="36" t="s">
        <v>9</v>
      </c>
      <c r="J35" s="6" t="s">
        <v>107</v>
      </c>
      <c r="K35" s="37" t="s">
        <v>53</v>
      </c>
      <c r="L35" s="37" t="s">
        <v>688</v>
      </c>
      <c r="M35" s="37" t="s">
        <v>100</v>
      </c>
      <c r="N35" s="37" t="s">
        <v>688</v>
      </c>
      <c r="O35" s="37" t="s">
        <v>36</v>
      </c>
    </row>
    <row r="36" spans="1:16" ht="80.5" customHeight="1" x14ac:dyDescent="0.35">
      <c r="A36" s="6">
        <v>27</v>
      </c>
      <c r="B36" s="6" t="str">
        <f>CONCATENATE($B$2, ".", A36)</f>
        <v>18.27</v>
      </c>
      <c r="C36" s="31" t="s">
        <v>41</v>
      </c>
      <c r="D36" s="44" t="s">
        <v>859</v>
      </c>
      <c r="E36" s="6" t="s">
        <v>532</v>
      </c>
      <c r="F36" s="36" t="s">
        <v>50</v>
      </c>
      <c r="G36" s="36" t="s">
        <v>36</v>
      </c>
      <c r="H36" s="36" t="s">
        <v>54</v>
      </c>
      <c r="I36" s="36" t="s">
        <v>9</v>
      </c>
      <c r="J36" s="37" t="s">
        <v>107</v>
      </c>
      <c r="K36" s="36" t="s">
        <v>53</v>
      </c>
      <c r="L36" s="36" t="s">
        <v>692</v>
      </c>
      <c r="M36" s="36" t="s">
        <v>55</v>
      </c>
      <c r="N36" s="37" t="s">
        <v>36</v>
      </c>
      <c r="O36" s="37" t="s">
        <v>36</v>
      </c>
    </row>
    <row r="37" spans="1:16" ht="64.5" customHeight="1" x14ac:dyDescent="0.35">
      <c r="A37" s="6">
        <v>28</v>
      </c>
      <c r="B37" s="6" t="str">
        <f t="shared" ref="B37" si="8">CONCATENATE($B$2, ".", A37)</f>
        <v>18.28</v>
      </c>
      <c r="C37" s="31" t="s">
        <v>44</v>
      </c>
      <c r="D37" s="44" t="s">
        <v>36</v>
      </c>
      <c r="E37" s="6" t="s">
        <v>114</v>
      </c>
      <c r="F37" s="6" t="s">
        <v>36</v>
      </c>
      <c r="G37" s="36" t="s">
        <v>36</v>
      </c>
      <c r="H37" s="124" t="s">
        <v>36</v>
      </c>
      <c r="I37" s="6" t="s">
        <v>770</v>
      </c>
      <c r="J37" s="6" t="s">
        <v>36</v>
      </c>
      <c r="K37" s="6" t="s">
        <v>36</v>
      </c>
      <c r="L37" s="6" t="s">
        <v>36</v>
      </c>
      <c r="M37" s="6" t="s">
        <v>36</v>
      </c>
      <c r="N37" s="6" t="s">
        <v>36</v>
      </c>
      <c r="O37" s="37" t="s">
        <v>794</v>
      </c>
      <c r="P37" s="6" t="s">
        <v>793</v>
      </c>
    </row>
    <row r="38" spans="1:16" ht="172.5" customHeight="1" x14ac:dyDescent="0.35">
      <c r="A38" s="6">
        <v>29</v>
      </c>
      <c r="B38" s="6" t="str">
        <f t="shared" ref="B38:B39" si="9">CONCATENATE($B$2, ".", A38)</f>
        <v>18.29</v>
      </c>
      <c r="C38" s="31" t="s">
        <v>39</v>
      </c>
      <c r="D38" s="44" t="s">
        <v>768</v>
      </c>
      <c r="E38" s="36" t="s">
        <v>763</v>
      </c>
      <c r="F38" s="6" t="s">
        <v>635</v>
      </c>
      <c r="G38" s="6" t="s">
        <v>36</v>
      </c>
      <c r="H38" s="117" t="s">
        <v>36</v>
      </c>
      <c r="I38" s="6" t="s">
        <v>518</v>
      </c>
      <c r="J38" s="6" t="s">
        <v>646</v>
      </c>
      <c r="K38" s="6" t="s">
        <v>83</v>
      </c>
      <c r="L38" s="6" t="s">
        <v>36</v>
      </c>
      <c r="M38" s="6" t="s">
        <v>36</v>
      </c>
      <c r="N38" s="6" t="s">
        <v>36</v>
      </c>
      <c r="O38" s="37" t="s">
        <v>764</v>
      </c>
    </row>
    <row r="39" spans="1:16" ht="79" customHeight="1" x14ac:dyDescent="0.35">
      <c r="A39" s="6">
        <v>30</v>
      </c>
      <c r="B39" s="6" t="str">
        <f t="shared" si="9"/>
        <v>18.30</v>
      </c>
      <c r="C39" s="31" t="s">
        <v>44</v>
      </c>
      <c r="D39" s="44" t="s">
        <v>36</v>
      </c>
      <c r="E39" s="6" t="s">
        <v>114</v>
      </c>
      <c r="F39" s="6" t="s">
        <v>36</v>
      </c>
      <c r="G39" s="36" t="s">
        <v>36</v>
      </c>
      <c r="H39" s="124" t="s">
        <v>36</v>
      </c>
      <c r="I39" s="6" t="s">
        <v>9</v>
      </c>
      <c r="J39" s="6" t="s">
        <v>36</v>
      </c>
      <c r="K39" s="6" t="s">
        <v>36</v>
      </c>
      <c r="L39" s="6" t="s">
        <v>36</v>
      </c>
      <c r="M39" s="6" t="s">
        <v>36</v>
      </c>
      <c r="N39" s="6" t="s">
        <v>36</v>
      </c>
      <c r="O39" s="37" t="s">
        <v>795</v>
      </c>
      <c r="P39" s="6" t="s">
        <v>793</v>
      </c>
    </row>
    <row r="40" spans="1:16" ht="172.5" customHeight="1" x14ac:dyDescent="0.35">
      <c r="A40" s="6">
        <v>31</v>
      </c>
      <c r="B40" s="6" t="str">
        <f t="shared" ref="B40:B41" si="10">CONCATENATE($B$2, ".", A40)</f>
        <v>18.31</v>
      </c>
      <c r="C40" s="31" t="s">
        <v>39</v>
      </c>
      <c r="D40" s="44" t="s">
        <v>769</v>
      </c>
      <c r="E40" s="36" t="s">
        <v>763</v>
      </c>
      <c r="F40" s="6" t="s">
        <v>765</v>
      </c>
      <c r="G40" s="6" t="s">
        <v>36</v>
      </c>
      <c r="H40" s="124" t="s">
        <v>36</v>
      </c>
      <c r="I40" s="6" t="s">
        <v>9</v>
      </c>
      <c r="J40" s="6" t="s">
        <v>646</v>
      </c>
      <c r="K40" s="6" t="s">
        <v>646</v>
      </c>
      <c r="L40" s="6" t="s">
        <v>36</v>
      </c>
      <c r="M40" s="6" t="s">
        <v>36</v>
      </c>
      <c r="N40" s="6" t="s">
        <v>36</v>
      </c>
      <c r="O40" s="37" t="s">
        <v>767</v>
      </c>
    </row>
    <row r="41" spans="1:16" ht="172.5" customHeight="1" x14ac:dyDescent="0.35">
      <c r="A41" s="6">
        <v>32</v>
      </c>
      <c r="B41" s="6" t="str">
        <f t="shared" si="10"/>
        <v>18.32</v>
      </c>
      <c r="C41" s="31" t="s">
        <v>37</v>
      </c>
      <c r="D41" s="50" t="s">
        <v>647</v>
      </c>
      <c r="E41" s="6" t="s">
        <v>32</v>
      </c>
      <c r="F41" s="6" t="s">
        <v>916</v>
      </c>
      <c r="G41" s="36" t="s">
        <v>921</v>
      </c>
      <c r="H41" s="148" t="s">
        <v>627</v>
      </c>
      <c r="I41" s="6" t="s">
        <v>486</v>
      </c>
      <c r="J41" s="50" t="s">
        <v>917</v>
      </c>
      <c r="K41" s="6" t="s">
        <v>518</v>
      </c>
      <c r="L41" s="6" t="s">
        <v>528</v>
      </c>
      <c r="M41" s="6" t="s">
        <v>923</v>
      </c>
      <c r="N41" s="6" t="s">
        <v>920</v>
      </c>
      <c r="O41" s="37" t="s">
        <v>747</v>
      </c>
      <c r="P41" s="6" t="s">
        <v>927</v>
      </c>
    </row>
    <row r="42" spans="1:16" ht="222" customHeight="1" x14ac:dyDescent="0.35">
      <c r="A42" s="6">
        <v>33</v>
      </c>
      <c r="B42" s="6" t="str">
        <f>CONCATENATE($B$2, ".", A42)</f>
        <v>18.33</v>
      </c>
      <c r="C42" s="31" t="s">
        <v>39</v>
      </c>
      <c r="D42" s="50" t="s">
        <v>742</v>
      </c>
      <c r="E42" s="6" t="s">
        <v>29</v>
      </c>
      <c r="F42" s="6" t="s">
        <v>36</v>
      </c>
      <c r="G42" s="36" t="s">
        <v>36</v>
      </c>
      <c r="H42" s="117" t="s">
        <v>36</v>
      </c>
      <c r="I42" s="6" t="s">
        <v>9</v>
      </c>
      <c r="J42" s="50" t="s">
        <v>96</v>
      </c>
      <c r="K42" s="6" t="s">
        <v>36</v>
      </c>
      <c r="L42" s="6" t="s">
        <v>36</v>
      </c>
      <c r="M42" s="6" t="s">
        <v>812</v>
      </c>
      <c r="N42" s="6" t="s">
        <v>813</v>
      </c>
      <c r="O42" s="37" t="s">
        <v>809</v>
      </c>
    </row>
    <row r="43" spans="1:16" ht="60.5" customHeight="1" x14ac:dyDescent="0.35">
      <c r="A43" s="6">
        <v>34</v>
      </c>
      <c r="B43" s="6" t="str">
        <f t="shared" ref="B43" si="11">CONCATENATE($B$2, ".", A43)</f>
        <v>18.34</v>
      </c>
      <c r="C43" s="31" t="s">
        <v>39</v>
      </c>
      <c r="D43" s="44" t="s">
        <v>748</v>
      </c>
      <c r="E43" s="6" t="s">
        <v>99</v>
      </c>
      <c r="F43" s="6" t="s">
        <v>36</v>
      </c>
      <c r="G43" s="36" t="s">
        <v>36</v>
      </c>
      <c r="H43" s="122" t="s">
        <v>36</v>
      </c>
      <c r="I43" s="6" t="s">
        <v>9</v>
      </c>
      <c r="J43" s="6" t="s">
        <v>36</v>
      </c>
      <c r="K43" s="6" t="s">
        <v>36</v>
      </c>
      <c r="L43" s="6" t="s">
        <v>36</v>
      </c>
      <c r="M43" s="6" t="s">
        <v>36</v>
      </c>
      <c r="N43" s="6" t="s">
        <v>36</v>
      </c>
      <c r="O43" s="37"/>
    </row>
    <row r="44" spans="1:16" ht="96" customHeight="1" x14ac:dyDescent="0.35">
      <c r="A44" s="6">
        <v>35</v>
      </c>
      <c r="B44" s="6" t="str">
        <f t="shared" ref="B44" si="12">CONCATENATE($B$2, ".", A44)</f>
        <v>18.35</v>
      </c>
      <c r="C44" s="31" t="s">
        <v>39</v>
      </c>
      <c r="D44" s="44" t="s">
        <v>771</v>
      </c>
      <c r="E44" s="6" t="s">
        <v>188</v>
      </c>
      <c r="F44" s="6" t="s">
        <v>36</v>
      </c>
      <c r="G44" s="36" t="s">
        <v>36</v>
      </c>
      <c r="H44" s="124" t="s">
        <v>36</v>
      </c>
      <c r="I44" s="6" t="s">
        <v>772</v>
      </c>
      <c r="J44" s="6" t="s">
        <v>36</v>
      </c>
      <c r="K44" s="6" t="s">
        <v>36</v>
      </c>
      <c r="L44" s="6" t="s">
        <v>36</v>
      </c>
      <c r="M44" s="6" t="s">
        <v>36</v>
      </c>
      <c r="N44" s="6" t="s">
        <v>36</v>
      </c>
      <c r="O44" s="37" t="s">
        <v>773</v>
      </c>
      <c r="P44" s="6" t="s">
        <v>211</v>
      </c>
    </row>
    <row r="45" spans="1:16" ht="13.5" customHeight="1" x14ac:dyDescent="0.35">
      <c r="A45" s="96" t="s">
        <v>651</v>
      </c>
      <c r="B45" s="92"/>
      <c r="C45" s="99"/>
      <c r="D45" s="100"/>
      <c r="E45" s="92"/>
      <c r="F45" s="92"/>
      <c r="G45" s="92"/>
      <c r="H45" s="94"/>
      <c r="I45" s="92"/>
      <c r="J45" s="92"/>
      <c r="K45" s="92"/>
      <c r="L45" s="92"/>
      <c r="M45" s="92"/>
      <c r="N45" s="92"/>
      <c r="O45" s="95"/>
      <c r="P45" s="92"/>
    </row>
    <row r="46" spans="1:16" ht="82.5" customHeight="1" x14ac:dyDescent="0.35">
      <c r="A46" s="6">
        <v>36</v>
      </c>
      <c r="B46" s="6" t="str">
        <f t="shared" ref="B46" si="13">CONCATENATE($B$2, ".", A46)</f>
        <v>18.36</v>
      </c>
      <c r="C46" s="31" t="s">
        <v>39</v>
      </c>
      <c r="D46" s="44" t="s">
        <v>648</v>
      </c>
      <c r="E46" s="6" t="s">
        <v>99</v>
      </c>
      <c r="F46" s="6" t="s">
        <v>36</v>
      </c>
      <c r="G46" s="6" t="s">
        <v>36</v>
      </c>
      <c r="H46" s="98" t="s">
        <v>36</v>
      </c>
      <c r="I46" s="6" t="s">
        <v>9</v>
      </c>
      <c r="J46" s="6" t="s">
        <v>36</v>
      </c>
      <c r="K46" s="6" t="s">
        <v>36</v>
      </c>
      <c r="L46" s="6" t="s">
        <v>36</v>
      </c>
      <c r="M46" s="6" t="s">
        <v>36</v>
      </c>
      <c r="N46" s="6" t="s">
        <v>36</v>
      </c>
      <c r="O46" s="37" t="s">
        <v>649</v>
      </c>
      <c r="P46" s="6" t="s">
        <v>211</v>
      </c>
    </row>
    <row r="47" spans="1:16" ht="159.5" x14ac:dyDescent="0.35">
      <c r="A47" s="6">
        <v>37</v>
      </c>
      <c r="B47" s="6" t="str">
        <f t="shared" ref="B47:B48" si="14">CONCATENATE($B$2, ".", A47)</f>
        <v>18.37</v>
      </c>
      <c r="C47" s="31" t="s">
        <v>39</v>
      </c>
      <c r="D47" s="6" t="s">
        <v>57</v>
      </c>
      <c r="E47" s="6" t="s">
        <v>42</v>
      </c>
      <c r="F47" s="6" t="s">
        <v>36</v>
      </c>
      <c r="G47" s="6" t="s">
        <v>36</v>
      </c>
      <c r="H47" s="98" t="s">
        <v>36</v>
      </c>
      <c r="I47" s="6" t="s">
        <v>9</v>
      </c>
      <c r="J47" s="6" t="s">
        <v>36</v>
      </c>
      <c r="K47" s="6" t="s">
        <v>36</v>
      </c>
      <c r="L47" s="6" t="s">
        <v>36</v>
      </c>
      <c r="M47" s="6" t="s">
        <v>775</v>
      </c>
      <c r="N47" s="6" t="s">
        <v>726</v>
      </c>
      <c r="O47" s="37" t="s">
        <v>985</v>
      </c>
      <c r="P47" s="6" t="s">
        <v>776</v>
      </c>
    </row>
    <row r="48" spans="1:16" x14ac:dyDescent="0.35">
      <c r="A48" s="6">
        <v>38</v>
      </c>
      <c r="B48" s="6" t="str">
        <f t="shared" si="14"/>
        <v>18.38</v>
      </c>
      <c r="C48" s="31" t="s">
        <v>39</v>
      </c>
      <c r="D48" s="36" t="s">
        <v>56</v>
      </c>
      <c r="E48" s="6" t="s">
        <v>42</v>
      </c>
      <c r="F48" s="6" t="s">
        <v>36</v>
      </c>
      <c r="G48" s="6" t="s">
        <v>36</v>
      </c>
      <c r="H48" s="98" t="s">
        <v>36</v>
      </c>
      <c r="I48" s="6" t="s">
        <v>9</v>
      </c>
      <c r="J48" s="6" t="s">
        <v>36</v>
      </c>
      <c r="K48" s="6" t="s">
        <v>36</v>
      </c>
      <c r="L48" s="6" t="s">
        <v>36</v>
      </c>
      <c r="M48" s="36" t="s">
        <v>36</v>
      </c>
      <c r="N48" s="36" t="s">
        <v>36</v>
      </c>
      <c r="O48" s="36" t="s">
        <v>650</v>
      </c>
    </row>
  </sheetData>
  <autoFilter ref="A6:P6"/>
  <conditionalFormatting sqref="C38 C7:C14 C25:C36 C46:C1048576">
    <cfRule type="cellIs" dxfId="429" priority="121" operator="equal">
      <formula>"WIP (see comments)"</formula>
    </cfRule>
    <cfRule type="cellIs" dxfId="428" priority="122" operator="equal">
      <formula>"Removed"</formula>
    </cfRule>
    <cfRule type="cellIs" dxfId="427" priority="123" operator="equal">
      <formula>"Updated"</formula>
    </cfRule>
    <cfRule type="cellIs" dxfId="426" priority="124" operator="equal">
      <formula>"New"</formula>
    </cfRule>
  </conditionalFormatting>
  <conditionalFormatting sqref="P48:XFD48 E48:L48 P27:XFD30 A32:XFD32 D47:XFD47 A47:C48 Q43:XFD43 P42 J31:XFD31 A27:D28 A7:XFD14 F29:H31 H25:H28 J25:O30">
    <cfRule type="cellIs" dxfId="425" priority="116" operator="equal">
      <formula>"n/a"</formula>
    </cfRule>
  </conditionalFormatting>
  <conditionalFormatting sqref="D48 M48:N48">
    <cfRule type="cellIs" dxfId="424" priority="115" operator="equal">
      <formula>"n/a"</formula>
    </cfRule>
  </conditionalFormatting>
  <conditionalFormatting sqref="C15:C18">
    <cfRule type="cellIs" dxfId="423" priority="111" operator="equal">
      <formula>"WIP (see comments)"</formula>
    </cfRule>
    <cfRule type="cellIs" dxfId="422" priority="112" operator="equal">
      <formula>"Removed"</formula>
    </cfRule>
    <cfRule type="cellIs" dxfId="421" priority="113" operator="equal">
      <formula>"Updated"</formula>
    </cfRule>
    <cfRule type="cellIs" dxfId="420" priority="114" operator="equal">
      <formula>"New"</formula>
    </cfRule>
  </conditionalFormatting>
  <conditionalFormatting sqref="A46:XFD46 A15:XFD15 Q16:XFD16 P17:XFD18 C29:E29 A29:B31 P25:XFD26 A25:G25 A26:D26 A16:E18 C27:C31 C47:C48 I25:I29 E26:G28">
    <cfRule type="cellIs" dxfId="419" priority="110" operator="equal">
      <formula>"n/a"</formula>
    </cfRule>
  </conditionalFormatting>
  <conditionalFormatting sqref="D30:E31 I30:I31">
    <cfRule type="cellIs" dxfId="418" priority="104" operator="equal">
      <formula>"n/a"</formula>
    </cfRule>
  </conditionalFormatting>
  <conditionalFormatting sqref="F16:P16 F17:O18">
    <cfRule type="cellIs" dxfId="417" priority="76" operator="equal">
      <formula>"n/a"</formula>
    </cfRule>
  </conditionalFormatting>
  <conditionalFormatting sqref="C19:C21">
    <cfRule type="cellIs" dxfId="416" priority="72" operator="equal">
      <formula>"WIP (see comments)"</formula>
    </cfRule>
    <cfRule type="cellIs" dxfId="415" priority="73" operator="equal">
      <formula>"Removed"</formula>
    </cfRule>
    <cfRule type="cellIs" dxfId="414" priority="74" operator="equal">
      <formula>"Updated"</formula>
    </cfRule>
    <cfRule type="cellIs" dxfId="413" priority="75" operator="equal">
      <formula>"New"</formula>
    </cfRule>
  </conditionalFormatting>
  <conditionalFormatting sqref="Q19:XFD19 P20:XFD21 Q23:XFD24 A23:B24 A19:E21">
    <cfRule type="cellIs" dxfId="412" priority="71" operator="equal">
      <formula>"n/a"</formula>
    </cfRule>
  </conditionalFormatting>
  <conditionalFormatting sqref="F19:P19 F20:O21">
    <cfRule type="cellIs" dxfId="411" priority="70" operator="equal">
      <formula>"n/a"</formula>
    </cfRule>
  </conditionalFormatting>
  <conditionalFormatting sqref="P35:XFD36 Q41:XFD42 P38:XFD38">
    <cfRule type="cellIs" dxfId="410" priority="65" operator="equal">
      <formula>"n/a"</formula>
    </cfRule>
  </conditionalFormatting>
  <conditionalFormatting sqref="A38:O38 A42:B42 A33:XFD34 A35:G35 A36:E36 J35 O35:O36">
    <cfRule type="cellIs" dxfId="409" priority="64" operator="equal">
      <formula>"n/a"</formula>
    </cfRule>
  </conditionalFormatting>
  <conditionalFormatting sqref="D42:E42 G42:J42 M42:O42">
    <cfRule type="cellIs" dxfId="408" priority="63" operator="equal">
      <formula>"n/a"</formula>
    </cfRule>
  </conditionalFormatting>
  <conditionalFormatting sqref="H35:I35 N36 K35:N35">
    <cfRule type="cellIs" dxfId="407" priority="62" operator="equal">
      <formula>"n/a"</formula>
    </cfRule>
  </conditionalFormatting>
  <conditionalFormatting sqref="F42">
    <cfRule type="cellIs" dxfId="406" priority="61" operator="equal">
      <formula>"n/a"</formula>
    </cfRule>
  </conditionalFormatting>
  <conditionalFormatting sqref="C45">
    <cfRule type="cellIs" dxfId="405" priority="57" operator="equal">
      <formula>"WIP (see comments)"</formula>
    </cfRule>
    <cfRule type="cellIs" dxfId="404" priority="58" operator="equal">
      <formula>"Removed"</formula>
    </cfRule>
    <cfRule type="cellIs" dxfId="403" priority="59" operator="equal">
      <formula>"Updated"</formula>
    </cfRule>
    <cfRule type="cellIs" dxfId="402" priority="60" operator="equal">
      <formula>"New"</formula>
    </cfRule>
  </conditionalFormatting>
  <conditionalFormatting sqref="A45:XFD45">
    <cfRule type="cellIs" dxfId="401" priority="56" operator="equal">
      <formula>"n/a"</formula>
    </cfRule>
  </conditionalFormatting>
  <conditionalFormatting sqref="P41">
    <cfRule type="cellIs" dxfId="400" priority="51" operator="equal">
      <formula>"n/a"</formula>
    </cfRule>
  </conditionalFormatting>
  <conditionalFormatting sqref="A41">
    <cfRule type="cellIs" dxfId="399" priority="50" operator="equal">
      <formula>"n/a"</formula>
    </cfRule>
  </conditionalFormatting>
  <conditionalFormatting sqref="D41:E41 O41">
    <cfRule type="cellIs" dxfId="398" priority="49" operator="equal">
      <formula>"n/a"</formula>
    </cfRule>
  </conditionalFormatting>
  <conditionalFormatting sqref="K42">
    <cfRule type="cellIs" dxfId="397" priority="47" operator="equal">
      <formula>"n/a"</formula>
    </cfRule>
  </conditionalFormatting>
  <conditionalFormatting sqref="L42">
    <cfRule type="cellIs" dxfId="396" priority="46" operator="equal">
      <formula>"n/a"</formula>
    </cfRule>
  </conditionalFormatting>
  <conditionalFormatting sqref="C23:C24">
    <cfRule type="cellIs" dxfId="395" priority="42" operator="equal">
      <formula>"WIP (see comments)"</formula>
    </cfRule>
    <cfRule type="cellIs" dxfId="394" priority="43" operator="equal">
      <formula>"Removed"</formula>
    </cfRule>
    <cfRule type="cellIs" dxfId="393" priority="44" operator="equal">
      <formula>"Updated"</formula>
    </cfRule>
    <cfRule type="cellIs" dxfId="392" priority="45" operator="equal">
      <formula>"New"</formula>
    </cfRule>
  </conditionalFormatting>
  <conditionalFormatting sqref="P23:P24 C23:E24">
    <cfRule type="cellIs" dxfId="391" priority="41" operator="equal">
      <formula>"n/a"</formula>
    </cfRule>
  </conditionalFormatting>
  <conditionalFormatting sqref="F23:O24">
    <cfRule type="cellIs" dxfId="390" priority="40" operator="equal">
      <formula>"n/a"</formula>
    </cfRule>
  </conditionalFormatting>
  <conditionalFormatting sqref="C43:C44">
    <cfRule type="cellIs" dxfId="389" priority="36" operator="equal">
      <formula>"WIP (see comments)"</formula>
    </cfRule>
    <cfRule type="cellIs" dxfId="388" priority="37" operator="equal">
      <formula>"Removed"</formula>
    </cfRule>
    <cfRule type="cellIs" dxfId="387" priority="38" operator="equal">
      <formula>"Updated"</formula>
    </cfRule>
    <cfRule type="cellIs" dxfId="386" priority="39" operator="equal">
      <formula>"New"</formula>
    </cfRule>
  </conditionalFormatting>
  <conditionalFormatting sqref="A43:E43 C44">
    <cfRule type="cellIs" dxfId="385" priority="35" operator="equal">
      <formula>"n/a"</formula>
    </cfRule>
  </conditionalFormatting>
  <conditionalFormatting sqref="F43:P43">
    <cfRule type="cellIs" dxfId="384" priority="34" operator="equal">
      <formula>"n/a"</formula>
    </cfRule>
  </conditionalFormatting>
  <conditionalFormatting sqref="C22">
    <cfRule type="cellIs" dxfId="383" priority="30" operator="equal">
      <formula>"WIP (see comments)"</formula>
    </cfRule>
    <cfRule type="cellIs" dxfId="382" priority="31" operator="equal">
      <formula>"Removed"</formula>
    </cfRule>
    <cfRule type="cellIs" dxfId="381" priority="32" operator="equal">
      <formula>"Updated"</formula>
    </cfRule>
    <cfRule type="cellIs" dxfId="380" priority="33" operator="equal">
      <formula>"New"</formula>
    </cfRule>
  </conditionalFormatting>
  <conditionalFormatting sqref="Q22:XFD22 A22:E22">
    <cfRule type="cellIs" dxfId="379" priority="29" operator="equal">
      <formula>"n/a"</formula>
    </cfRule>
  </conditionalFormatting>
  <conditionalFormatting sqref="F22:P22">
    <cfRule type="cellIs" dxfId="378" priority="28" operator="equal">
      <formula>"n/a"</formula>
    </cfRule>
  </conditionalFormatting>
  <conditionalFormatting sqref="C40:C42">
    <cfRule type="cellIs" dxfId="377" priority="24" operator="equal">
      <formula>"WIP (see comments)"</formula>
    </cfRule>
    <cfRule type="cellIs" dxfId="376" priority="25" operator="equal">
      <formula>"Removed"</formula>
    </cfRule>
    <cfRule type="cellIs" dxfId="375" priority="26" operator="equal">
      <formula>"Updated"</formula>
    </cfRule>
    <cfRule type="cellIs" dxfId="374" priority="27" operator="equal">
      <formula>"New"</formula>
    </cfRule>
  </conditionalFormatting>
  <conditionalFormatting sqref="P40:XFD40">
    <cfRule type="cellIs" dxfId="373" priority="23" operator="equal">
      <formula>"n/a"</formula>
    </cfRule>
  </conditionalFormatting>
  <conditionalFormatting sqref="A40:O40 B41 C41:C42">
    <cfRule type="cellIs" dxfId="372" priority="22" operator="equal">
      <formula>"n/a"</formula>
    </cfRule>
  </conditionalFormatting>
  <conditionalFormatting sqref="C37">
    <cfRule type="cellIs" dxfId="371" priority="18" operator="equal">
      <formula>"WIP (see comments)"</formula>
    </cfRule>
    <cfRule type="cellIs" dxfId="370" priority="19" operator="equal">
      <formula>"Removed"</formula>
    </cfRule>
    <cfRule type="cellIs" dxfId="369" priority="20" operator="equal">
      <formula>"Updated"</formula>
    </cfRule>
    <cfRule type="cellIs" dxfId="368" priority="21" operator="equal">
      <formula>"New"</formula>
    </cfRule>
  </conditionalFormatting>
  <conditionalFormatting sqref="Q37:XFD37 A37:E37">
    <cfRule type="cellIs" dxfId="367" priority="17" operator="equal">
      <formula>"n/a"</formula>
    </cfRule>
  </conditionalFormatting>
  <conditionalFormatting sqref="F37:P37">
    <cfRule type="cellIs" dxfId="366" priority="16" operator="equal">
      <formula>"n/a"</formula>
    </cfRule>
  </conditionalFormatting>
  <conditionalFormatting sqref="C39">
    <cfRule type="cellIs" dxfId="365" priority="12" operator="equal">
      <formula>"WIP (see comments)"</formula>
    </cfRule>
    <cfRule type="cellIs" dxfId="364" priority="13" operator="equal">
      <formula>"Removed"</formula>
    </cfRule>
    <cfRule type="cellIs" dxfId="363" priority="14" operator="equal">
      <formula>"Updated"</formula>
    </cfRule>
    <cfRule type="cellIs" dxfId="362" priority="15" operator="equal">
      <formula>"New"</formula>
    </cfRule>
  </conditionalFormatting>
  <conditionalFormatting sqref="Q39:XFD39 A39:E39">
    <cfRule type="cellIs" dxfId="361" priority="11" operator="equal">
      <formula>"n/a"</formula>
    </cfRule>
  </conditionalFormatting>
  <conditionalFormatting sqref="F39:P39">
    <cfRule type="cellIs" dxfId="360" priority="10" operator="equal">
      <formula>"n/a"</formula>
    </cfRule>
  </conditionalFormatting>
  <conditionalFormatting sqref="Q44:XFD44">
    <cfRule type="cellIs" dxfId="359" priority="9" operator="equal">
      <formula>"n/a"</formula>
    </cfRule>
  </conditionalFormatting>
  <conditionalFormatting sqref="A44:B44 D44:E44">
    <cfRule type="cellIs" dxfId="358" priority="4" operator="equal">
      <formula>"n/a"</formula>
    </cfRule>
  </conditionalFormatting>
  <conditionalFormatting sqref="F44:P44">
    <cfRule type="cellIs" dxfId="357" priority="3" operator="equal">
      <formula>"n/a"</formula>
    </cfRule>
  </conditionalFormatting>
  <conditionalFormatting sqref="F36:M36">
    <cfRule type="cellIs" dxfId="356" priority="2" operator="equal">
      <formula>"n/a"</formula>
    </cfRule>
  </conditionalFormatting>
  <conditionalFormatting sqref="F41:N41">
    <cfRule type="cellIs" dxfId="35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7"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236</v>
      </c>
      <c r="C1" s="29"/>
      <c r="D1" s="26"/>
      <c r="H1" s="116"/>
    </row>
    <row r="2" spans="1:16" s="27" customFormat="1" ht="18.5" x14ac:dyDescent="0.35">
      <c r="A2" s="25" t="s">
        <v>7</v>
      </c>
      <c r="B2" s="116">
        <v>18</v>
      </c>
      <c r="C2" s="32"/>
      <c r="D2" s="116"/>
      <c r="H2" s="116"/>
    </row>
    <row r="3" spans="1:16" s="27" customFormat="1" ht="18.5" x14ac:dyDescent="0.35">
      <c r="A3" s="25" t="s">
        <v>43</v>
      </c>
      <c r="B3" s="116" t="s">
        <v>406</v>
      </c>
      <c r="C3" s="32"/>
      <c r="D3" s="116"/>
      <c r="H3" s="116"/>
    </row>
    <row r="4" spans="1:16" s="27" customFormat="1" ht="18.5" x14ac:dyDescent="0.35">
      <c r="A4" s="25" t="s">
        <v>8</v>
      </c>
      <c r="B4" s="27" t="s">
        <v>523</v>
      </c>
      <c r="C4" s="32"/>
      <c r="H4" s="116"/>
    </row>
    <row r="5" spans="1:16" s="4" customFormat="1" x14ac:dyDescent="0.35">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18.1</v>
      </c>
      <c r="C7" s="31" t="s">
        <v>41</v>
      </c>
      <c r="D7" s="36" t="s">
        <v>236</v>
      </c>
      <c r="E7" s="6" t="s">
        <v>115</v>
      </c>
      <c r="F7" s="6" t="s">
        <v>36</v>
      </c>
      <c r="G7" s="6" t="s">
        <v>36</v>
      </c>
      <c r="H7" s="117" t="s">
        <v>36</v>
      </c>
      <c r="I7" s="36" t="s">
        <v>9</v>
      </c>
      <c r="J7" s="5" t="s">
        <v>36</v>
      </c>
      <c r="K7" s="5" t="s">
        <v>36</v>
      </c>
      <c r="L7" s="5" t="s">
        <v>36</v>
      </c>
      <c r="M7" s="5" t="s">
        <v>36</v>
      </c>
      <c r="N7" s="5" t="s">
        <v>36</v>
      </c>
      <c r="O7" s="5" t="s">
        <v>36</v>
      </c>
    </row>
    <row r="8" spans="1:16" ht="29" x14ac:dyDescent="0.35">
      <c r="A8" s="6">
        <v>2</v>
      </c>
      <c r="B8" s="6" t="str">
        <f t="shared" si="0"/>
        <v>18.2</v>
      </c>
      <c r="C8" s="31" t="s">
        <v>44</v>
      </c>
      <c r="D8" s="36" t="s">
        <v>36</v>
      </c>
      <c r="E8" s="36" t="s">
        <v>47</v>
      </c>
      <c r="F8" s="6" t="s">
        <v>36</v>
      </c>
      <c r="G8" s="6" t="s">
        <v>36</v>
      </c>
      <c r="H8" s="117" t="s">
        <v>36</v>
      </c>
      <c r="I8" s="36" t="s">
        <v>9</v>
      </c>
      <c r="J8" s="5" t="s">
        <v>36</v>
      </c>
      <c r="K8" s="5" t="s">
        <v>36</v>
      </c>
      <c r="L8" s="5" t="s">
        <v>36</v>
      </c>
      <c r="M8" s="5" t="s">
        <v>36</v>
      </c>
      <c r="N8" s="5" t="s">
        <v>36</v>
      </c>
      <c r="O8" s="5" t="s">
        <v>36</v>
      </c>
    </row>
    <row r="9" spans="1:16" x14ac:dyDescent="0.35">
      <c r="A9" s="6">
        <v>3</v>
      </c>
      <c r="B9" s="6" t="str">
        <f t="shared" si="0"/>
        <v>18.3</v>
      </c>
      <c r="C9" s="31" t="s">
        <v>41</v>
      </c>
      <c r="D9" s="36"/>
      <c r="E9" s="36"/>
      <c r="F9" s="6" t="s">
        <v>36</v>
      </c>
      <c r="G9" s="6" t="s">
        <v>36</v>
      </c>
      <c r="H9" s="117" t="s">
        <v>36</v>
      </c>
      <c r="I9" s="36" t="s">
        <v>9</v>
      </c>
      <c r="J9" s="5" t="s">
        <v>36</v>
      </c>
      <c r="K9" s="5" t="s">
        <v>36</v>
      </c>
      <c r="L9" s="5" t="s">
        <v>36</v>
      </c>
      <c r="M9" s="5" t="s">
        <v>36</v>
      </c>
      <c r="N9" s="5" t="s">
        <v>36</v>
      </c>
      <c r="O9" s="5" t="s">
        <v>36</v>
      </c>
    </row>
    <row r="10" spans="1:16" x14ac:dyDescent="0.35">
      <c r="A10" s="6">
        <v>4</v>
      </c>
      <c r="B10" s="6" t="str">
        <f t="shared" si="0"/>
        <v>18.4</v>
      </c>
      <c r="C10" s="31" t="s">
        <v>41</v>
      </c>
      <c r="D10" s="50"/>
      <c r="G10" s="6" t="s">
        <v>36</v>
      </c>
      <c r="H10" s="117" t="s">
        <v>36</v>
      </c>
      <c r="I10" s="6" t="s">
        <v>9</v>
      </c>
      <c r="M10" s="6" t="s">
        <v>36</v>
      </c>
      <c r="N10" s="6" t="s">
        <v>36</v>
      </c>
      <c r="O10" s="37" t="s">
        <v>36</v>
      </c>
    </row>
    <row r="11" spans="1:16" ht="49.5" customHeight="1" x14ac:dyDescent="0.35">
      <c r="A11" s="6">
        <v>30</v>
      </c>
      <c r="B11" s="6" t="str">
        <f t="shared" ref="B11:B12" si="1">CONCATENATE($B$2, ".", A11)</f>
        <v>18.30</v>
      </c>
      <c r="C11" s="31" t="s">
        <v>41</v>
      </c>
      <c r="D11" s="6" t="s">
        <v>57</v>
      </c>
      <c r="E11" s="6" t="s">
        <v>42</v>
      </c>
      <c r="F11" s="6" t="s">
        <v>36</v>
      </c>
      <c r="G11" s="6" t="s">
        <v>36</v>
      </c>
      <c r="H11" s="117" t="s">
        <v>36</v>
      </c>
      <c r="I11" s="6" t="s">
        <v>9</v>
      </c>
      <c r="J11" s="6" t="s">
        <v>36</v>
      </c>
      <c r="K11" s="6" t="s">
        <v>36</v>
      </c>
      <c r="L11" s="6" t="s">
        <v>36</v>
      </c>
      <c r="O11" s="37" t="s">
        <v>653</v>
      </c>
    </row>
    <row r="12" spans="1:16" ht="48" customHeight="1" x14ac:dyDescent="0.35">
      <c r="A12" s="6">
        <v>31</v>
      </c>
      <c r="B12" s="6" t="str">
        <f t="shared" si="1"/>
        <v>18.31</v>
      </c>
      <c r="C12" s="31" t="s">
        <v>41</v>
      </c>
      <c r="D12" s="36" t="s">
        <v>56</v>
      </c>
      <c r="E12" s="6" t="s">
        <v>42</v>
      </c>
      <c r="F12" s="6" t="s">
        <v>36</v>
      </c>
      <c r="G12" s="6" t="s">
        <v>36</v>
      </c>
      <c r="H12" s="117" t="s">
        <v>36</v>
      </c>
      <c r="I12" s="6" t="s">
        <v>9</v>
      </c>
      <c r="J12" s="6" t="s">
        <v>36</v>
      </c>
      <c r="K12" s="6" t="s">
        <v>36</v>
      </c>
      <c r="L12" s="6" t="s">
        <v>36</v>
      </c>
      <c r="M12" s="36" t="s">
        <v>36</v>
      </c>
      <c r="N12" s="36" t="s">
        <v>36</v>
      </c>
      <c r="O12" s="36" t="s">
        <v>652</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354" priority="40" operator="equal">
      <formula>"WIP (see comments)"</formula>
    </cfRule>
    <cfRule type="cellIs" dxfId="353" priority="41" operator="equal">
      <formula>"Removed"</formula>
    </cfRule>
    <cfRule type="cellIs" dxfId="352" priority="42" operator="equal">
      <formula>"Updated"</formula>
    </cfRule>
    <cfRule type="cellIs" dxfId="351" priority="43" operator="equal">
      <formula>"New"</formula>
    </cfRule>
  </conditionalFormatting>
  <conditionalFormatting sqref="C7:C10">
    <cfRule type="cellIs" dxfId="350" priority="36" operator="equal">
      <formula>"WIP (see comments)"</formula>
    </cfRule>
    <cfRule type="cellIs" dxfId="349" priority="37" operator="equal">
      <formula>"Removed"</formula>
    </cfRule>
    <cfRule type="cellIs" dxfId="348" priority="38" operator="equal">
      <formula>"Updated"</formula>
    </cfRule>
    <cfRule type="cellIs" dxfId="347" priority="39" operator="equal">
      <formula>"New"</formula>
    </cfRule>
  </conditionalFormatting>
  <conditionalFormatting sqref="Q26:XFD26 Q32:XFD32 Q30:XFD30 Q28:XFD28 Q34:XFD39 A7:XFD15">
    <cfRule type="cellIs" dxfId="346" priority="35" operator="equal">
      <formula>"n/a"</formula>
    </cfRule>
  </conditionalFormatting>
  <conditionalFormatting sqref="D12 M12:N12">
    <cfRule type="cellIs" dxfId="345" priority="34" operator="equal">
      <formula>"n/a"</formula>
    </cfRule>
  </conditionalFormatting>
  <conditionalFormatting sqref="A16:XFD16 A22:XFD24 Q17:XFD21">
    <cfRule type="cellIs" dxfId="344" priority="29" operator="equal">
      <formula>"n/a"</formula>
    </cfRule>
  </conditionalFormatting>
  <conditionalFormatting sqref="A25:XFD25">
    <cfRule type="cellIs" dxfId="343" priority="24" operator="equal">
      <formula>"n/a"</formula>
    </cfRule>
  </conditionalFormatting>
  <conditionalFormatting sqref="Q27:XFD27">
    <cfRule type="cellIs" dxfId="342" priority="16" operator="equal">
      <formula>"n/a"</formula>
    </cfRule>
  </conditionalFormatting>
  <conditionalFormatting sqref="Q29:XFD29">
    <cfRule type="cellIs" dxfId="341" priority="11" operator="equal">
      <formula>"n/a"</formula>
    </cfRule>
  </conditionalFormatting>
  <conditionalFormatting sqref="Q31:XFD31">
    <cfRule type="cellIs" dxfId="340" priority="6" operator="equal">
      <formula>"n/a"</formula>
    </cfRule>
  </conditionalFormatting>
  <conditionalFormatting sqref="Q33:XFD33">
    <cfRule type="cellIs" dxfId="3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842</v>
      </c>
      <c r="C1" s="29"/>
      <c r="D1" s="26"/>
      <c r="H1" s="123"/>
    </row>
    <row r="2" spans="1:16" s="27" customFormat="1" ht="18.5" x14ac:dyDescent="0.35">
      <c r="A2" s="25" t="s">
        <v>7</v>
      </c>
      <c r="B2" s="123" t="s">
        <v>766</v>
      </c>
      <c r="C2" s="32"/>
      <c r="D2" s="123"/>
      <c r="H2" s="123"/>
    </row>
    <row r="3" spans="1:16" s="27" customFormat="1" ht="18.5" x14ac:dyDescent="0.35">
      <c r="A3" s="25" t="s">
        <v>43</v>
      </c>
      <c r="B3" s="123" t="s">
        <v>808</v>
      </c>
      <c r="C3" s="32"/>
      <c r="D3" s="123" t="s">
        <v>887</v>
      </c>
      <c r="H3" s="123"/>
    </row>
    <row r="4" spans="1:16" s="27" customFormat="1" ht="18.5" x14ac:dyDescent="0.35">
      <c r="A4" s="25" t="s">
        <v>8</v>
      </c>
      <c r="B4" s="27" t="s">
        <v>845</v>
      </c>
      <c r="C4" s="32"/>
      <c r="H4" s="123"/>
    </row>
    <row r="5" spans="1:16" s="4" customFormat="1" x14ac:dyDescent="0.35">
      <c r="B5" s="60"/>
      <c r="C5" s="34"/>
      <c r="H5" s="101"/>
    </row>
    <row r="6" spans="1:16" s="28" customFormat="1" ht="15" thickBot="1" x14ac:dyDescent="0.4">
      <c r="A6" s="28" t="s">
        <v>10</v>
      </c>
      <c r="B6" s="28" t="s">
        <v>11</v>
      </c>
      <c r="C6" s="30" t="s">
        <v>25</v>
      </c>
      <c r="D6" s="28" t="s">
        <v>24</v>
      </c>
      <c r="E6" s="28" t="s">
        <v>12</v>
      </c>
      <c r="F6" s="28" t="s">
        <v>13</v>
      </c>
      <c r="G6" s="28" t="s">
        <v>14</v>
      </c>
      <c r="H6" s="102" t="s">
        <v>15</v>
      </c>
      <c r="I6" s="28" t="s">
        <v>16</v>
      </c>
      <c r="J6" s="28" t="s">
        <v>17</v>
      </c>
      <c r="K6" s="28" t="s">
        <v>18</v>
      </c>
      <c r="L6" s="28" t="s">
        <v>19</v>
      </c>
      <c r="M6" s="28" t="s">
        <v>20</v>
      </c>
      <c r="N6" s="28" t="s">
        <v>21</v>
      </c>
      <c r="O6" s="28" t="s">
        <v>22</v>
      </c>
      <c r="P6" s="28" t="s">
        <v>23</v>
      </c>
    </row>
    <row r="7" spans="1:16" x14ac:dyDescent="0.35">
      <c r="A7" s="6">
        <v>1</v>
      </c>
      <c r="B7" s="6" t="str">
        <f t="shared" ref="B7:B26" si="0">CONCATENATE($B$2, ".", A7)</f>
        <v>18a.1</v>
      </c>
      <c r="C7" s="31" t="s">
        <v>41</v>
      </c>
      <c r="D7" s="36" t="s">
        <v>882</v>
      </c>
      <c r="E7" s="36" t="s">
        <v>115</v>
      </c>
      <c r="F7" s="6" t="s">
        <v>36</v>
      </c>
      <c r="G7" s="6" t="s">
        <v>36</v>
      </c>
      <c r="H7" s="124" t="s">
        <v>36</v>
      </c>
      <c r="I7" s="36" t="s">
        <v>9</v>
      </c>
      <c r="J7" s="5" t="s">
        <v>36</v>
      </c>
      <c r="K7" s="5" t="s">
        <v>36</v>
      </c>
      <c r="L7" s="5" t="s">
        <v>36</v>
      </c>
      <c r="M7" s="5" t="s">
        <v>36</v>
      </c>
      <c r="N7" s="5" t="s">
        <v>36</v>
      </c>
      <c r="O7" s="5" t="s">
        <v>36</v>
      </c>
      <c r="P7" s="6" t="s">
        <v>211</v>
      </c>
    </row>
    <row r="8" spans="1:16" x14ac:dyDescent="0.35">
      <c r="A8" s="6">
        <v>2</v>
      </c>
      <c r="B8" s="6" t="str">
        <f t="shared" si="0"/>
        <v>18a.2</v>
      </c>
      <c r="C8" s="31" t="s">
        <v>41</v>
      </c>
      <c r="D8" s="36" t="s">
        <v>36</v>
      </c>
      <c r="E8" s="36" t="s">
        <v>47</v>
      </c>
      <c r="F8" s="6" t="s">
        <v>36</v>
      </c>
      <c r="G8" s="6" t="s">
        <v>36</v>
      </c>
      <c r="H8" s="124" t="s">
        <v>36</v>
      </c>
      <c r="I8" s="36" t="s">
        <v>9</v>
      </c>
      <c r="J8" s="5" t="s">
        <v>36</v>
      </c>
      <c r="K8" s="5" t="s">
        <v>36</v>
      </c>
      <c r="L8" s="5" t="s">
        <v>36</v>
      </c>
      <c r="M8" s="5" t="s">
        <v>36</v>
      </c>
      <c r="N8" s="5" t="s">
        <v>36</v>
      </c>
      <c r="O8" s="5" t="s">
        <v>36</v>
      </c>
    </row>
    <row r="9" spans="1:16" ht="116" x14ac:dyDescent="0.35">
      <c r="A9" s="6">
        <v>3</v>
      </c>
      <c r="B9" s="6" t="str">
        <f t="shared" si="0"/>
        <v>18a.3</v>
      </c>
      <c r="C9" s="31" t="s">
        <v>41</v>
      </c>
      <c r="D9" s="50" t="s">
        <v>883</v>
      </c>
      <c r="E9" s="6" t="s">
        <v>33</v>
      </c>
      <c r="F9" s="6" t="s">
        <v>36</v>
      </c>
      <c r="G9" s="6" t="s">
        <v>881</v>
      </c>
      <c r="H9" s="124" t="s">
        <v>36</v>
      </c>
      <c r="I9" s="6" t="s">
        <v>9</v>
      </c>
      <c r="J9" s="6" t="s">
        <v>36</v>
      </c>
      <c r="K9" s="6" t="s">
        <v>36</v>
      </c>
      <c r="L9" s="6" t="s">
        <v>36</v>
      </c>
      <c r="M9" s="6" t="s">
        <v>36</v>
      </c>
      <c r="N9" s="6" t="s">
        <v>36</v>
      </c>
      <c r="O9" s="37" t="s">
        <v>36</v>
      </c>
      <c r="P9" s="6" t="s">
        <v>211</v>
      </c>
    </row>
    <row r="10" spans="1:16" x14ac:dyDescent="0.35">
      <c r="A10" s="96" t="s">
        <v>990</v>
      </c>
      <c r="B10" s="136"/>
      <c r="C10" s="137"/>
      <c r="D10" s="138"/>
      <c r="E10" s="136"/>
      <c r="F10" s="136"/>
      <c r="G10" s="136"/>
      <c r="H10" s="139"/>
      <c r="I10" s="136"/>
      <c r="J10" s="136"/>
      <c r="K10" s="136"/>
      <c r="L10" s="136"/>
      <c r="M10" s="136"/>
      <c r="N10" s="136"/>
      <c r="O10" s="136"/>
      <c r="P10" s="136"/>
    </row>
    <row r="11" spans="1:16" ht="49.5" customHeight="1" x14ac:dyDescent="0.35">
      <c r="A11" s="36">
        <v>4</v>
      </c>
      <c r="B11" s="36" t="str">
        <f t="shared" si="0"/>
        <v>18a.4</v>
      </c>
      <c r="C11" s="31" t="s">
        <v>41</v>
      </c>
      <c r="D11" s="50" t="s">
        <v>885</v>
      </c>
      <c r="E11" s="6" t="s">
        <v>114</v>
      </c>
      <c r="F11" s="6" t="s">
        <v>36</v>
      </c>
      <c r="G11" s="36" t="s">
        <v>36</v>
      </c>
      <c r="H11" s="140" t="s">
        <v>36</v>
      </c>
      <c r="I11" s="6" t="s">
        <v>9</v>
      </c>
      <c r="J11" s="6" t="s">
        <v>36</v>
      </c>
      <c r="K11" s="6" t="s">
        <v>36</v>
      </c>
      <c r="L11" s="6" t="s">
        <v>36</v>
      </c>
      <c r="M11" s="6" t="s">
        <v>36</v>
      </c>
      <c r="N11" s="6" t="s">
        <v>36</v>
      </c>
      <c r="O11" s="37" t="s">
        <v>991</v>
      </c>
    </row>
    <row r="12" spans="1:16" ht="49.5" customHeight="1" x14ac:dyDescent="0.35">
      <c r="A12" s="36">
        <v>5</v>
      </c>
      <c r="B12" s="36" t="str">
        <f t="shared" si="0"/>
        <v>18a.5</v>
      </c>
      <c r="C12" s="31" t="s">
        <v>41</v>
      </c>
      <c r="D12" s="36" t="s">
        <v>988</v>
      </c>
      <c r="E12" s="36" t="s">
        <v>35</v>
      </c>
      <c r="F12" s="6" t="s">
        <v>36</v>
      </c>
      <c r="G12" s="36" t="s">
        <v>36</v>
      </c>
      <c r="H12" s="159" t="s">
        <v>36</v>
      </c>
      <c r="I12" s="36" t="s">
        <v>9</v>
      </c>
      <c r="J12" s="6" t="s">
        <v>36</v>
      </c>
      <c r="K12" s="6" t="s">
        <v>36</v>
      </c>
      <c r="L12" s="6" t="s">
        <v>36</v>
      </c>
      <c r="M12" s="6" t="s">
        <v>36</v>
      </c>
      <c r="N12" s="6" t="s">
        <v>36</v>
      </c>
      <c r="O12" s="37" t="s">
        <v>992</v>
      </c>
      <c r="P12" s="6" t="s">
        <v>211</v>
      </c>
    </row>
    <row r="13" spans="1:16" x14ac:dyDescent="0.35">
      <c r="A13" s="36">
        <v>6</v>
      </c>
      <c r="B13" s="36" t="str">
        <f t="shared" si="0"/>
        <v>18a.6</v>
      </c>
      <c r="C13" s="31" t="s">
        <v>41</v>
      </c>
      <c r="D13" s="36" t="s">
        <v>987</v>
      </c>
      <c r="E13" s="36" t="s">
        <v>33</v>
      </c>
      <c r="F13" s="6" t="s">
        <v>36</v>
      </c>
      <c r="G13" s="36" t="s">
        <v>36</v>
      </c>
      <c r="H13" s="159" t="s">
        <v>36</v>
      </c>
      <c r="I13" s="36" t="s">
        <v>9</v>
      </c>
      <c r="J13" s="6" t="s">
        <v>36</v>
      </c>
      <c r="K13" s="6" t="s">
        <v>36</v>
      </c>
      <c r="L13" s="6" t="s">
        <v>36</v>
      </c>
      <c r="M13" s="6" t="s">
        <v>36</v>
      </c>
      <c r="N13" s="6" t="s">
        <v>36</v>
      </c>
      <c r="O13" s="37" t="s">
        <v>993</v>
      </c>
    </row>
    <row r="14" spans="1:16" ht="29" x14ac:dyDescent="0.35">
      <c r="A14" s="36">
        <v>7</v>
      </c>
      <c r="B14" s="36" t="str">
        <f t="shared" si="0"/>
        <v>18a.7</v>
      </c>
      <c r="C14" s="31" t="s">
        <v>41</v>
      </c>
      <c r="D14" s="36" t="s">
        <v>989</v>
      </c>
      <c r="E14" s="36" t="s">
        <v>35</v>
      </c>
      <c r="F14" s="6" t="s">
        <v>36</v>
      </c>
      <c r="G14" s="36" t="s">
        <v>36</v>
      </c>
      <c r="H14" s="159" t="s">
        <v>36</v>
      </c>
      <c r="I14" s="36" t="s">
        <v>9</v>
      </c>
      <c r="J14" s="6" t="s">
        <v>36</v>
      </c>
      <c r="K14" s="6" t="s">
        <v>36</v>
      </c>
      <c r="L14" s="6" t="s">
        <v>36</v>
      </c>
      <c r="M14" s="6" t="s">
        <v>36</v>
      </c>
      <c r="N14" s="6" t="s">
        <v>36</v>
      </c>
      <c r="O14" s="37" t="s">
        <v>994</v>
      </c>
    </row>
    <row r="15" spans="1:16" ht="58" x14ac:dyDescent="0.35">
      <c r="A15" s="36">
        <v>8</v>
      </c>
      <c r="B15" s="36" t="str">
        <f t="shared" si="0"/>
        <v>18a.8</v>
      </c>
      <c r="C15" s="31" t="s">
        <v>41</v>
      </c>
      <c r="D15" s="36" t="s">
        <v>986</v>
      </c>
      <c r="E15" s="36" t="s">
        <v>74</v>
      </c>
      <c r="F15" s="36" t="s">
        <v>51</v>
      </c>
      <c r="G15" s="36" t="s">
        <v>36</v>
      </c>
      <c r="H15" s="38">
        <v>35</v>
      </c>
      <c r="I15" s="36" t="s">
        <v>9</v>
      </c>
      <c r="J15" s="37" t="s">
        <v>107</v>
      </c>
      <c r="K15" s="37" t="s">
        <v>53</v>
      </c>
      <c r="L15" s="37" t="s">
        <v>846</v>
      </c>
      <c r="M15" s="37" t="s">
        <v>36</v>
      </c>
      <c r="N15" s="37" t="s">
        <v>36</v>
      </c>
      <c r="O15" s="37" t="s">
        <v>183</v>
      </c>
      <c r="P15" s="6" t="s">
        <v>211</v>
      </c>
    </row>
    <row r="16" spans="1:16" x14ac:dyDescent="0.35">
      <c r="A16" s="96" t="s">
        <v>850</v>
      </c>
      <c r="B16" s="92"/>
      <c r="C16" s="93"/>
      <c r="D16" s="92"/>
      <c r="E16" s="92"/>
      <c r="F16" s="92"/>
      <c r="G16" s="92"/>
      <c r="H16" s="94"/>
      <c r="I16" s="92"/>
      <c r="J16" s="95"/>
      <c r="K16" s="95"/>
      <c r="L16" s="95"/>
      <c r="M16" s="95"/>
      <c r="N16" s="95"/>
      <c r="O16" s="95"/>
      <c r="P16" s="92"/>
    </row>
    <row r="17" spans="1:16" ht="43.5" x14ac:dyDescent="0.35">
      <c r="A17" s="36">
        <v>9</v>
      </c>
      <c r="B17" s="36" t="str">
        <f t="shared" ref="B17:B21" si="1">CONCATENATE($B$2, ".", A17)</f>
        <v>18a.9</v>
      </c>
      <c r="C17" s="134" t="s">
        <v>41</v>
      </c>
      <c r="D17" s="36" t="s">
        <v>479</v>
      </c>
      <c r="E17" s="36" t="s">
        <v>32</v>
      </c>
      <c r="F17" s="36" t="s">
        <v>51</v>
      </c>
      <c r="G17" s="36" t="s">
        <v>36</v>
      </c>
      <c r="H17" s="38">
        <v>10</v>
      </c>
      <c r="I17" s="36" t="s">
        <v>884</v>
      </c>
      <c r="J17" s="37" t="s">
        <v>107</v>
      </c>
      <c r="K17" s="37" t="s">
        <v>76</v>
      </c>
      <c r="L17" s="37" t="s">
        <v>698</v>
      </c>
      <c r="M17" s="37" t="s">
        <v>36</v>
      </c>
      <c r="N17" s="37" t="s">
        <v>36</v>
      </c>
      <c r="O17" s="37" t="s">
        <v>36</v>
      </c>
      <c r="P17" s="36"/>
    </row>
    <row r="18" spans="1:16" ht="43.5" x14ac:dyDescent="0.35">
      <c r="A18" s="36">
        <v>10</v>
      </c>
      <c r="B18" s="36" t="str">
        <f t="shared" si="1"/>
        <v>18a.10</v>
      </c>
      <c r="C18" s="134" t="s">
        <v>41</v>
      </c>
      <c r="D18" s="36" t="s">
        <v>480</v>
      </c>
      <c r="E18" s="36" t="s">
        <v>32</v>
      </c>
      <c r="F18" s="36" t="s">
        <v>51</v>
      </c>
      <c r="G18" s="36" t="s">
        <v>36</v>
      </c>
      <c r="H18" s="38">
        <v>35</v>
      </c>
      <c r="I18" s="36" t="s">
        <v>884</v>
      </c>
      <c r="J18" s="37" t="s">
        <v>107</v>
      </c>
      <c r="K18" s="37" t="s">
        <v>76</v>
      </c>
      <c r="L18" s="37" t="s">
        <v>699</v>
      </c>
      <c r="M18" s="37" t="s">
        <v>36</v>
      </c>
      <c r="N18" s="37" t="s">
        <v>36</v>
      </c>
      <c r="O18" s="37" t="s">
        <v>36</v>
      </c>
      <c r="P18" s="36"/>
    </row>
    <row r="19" spans="1:16" x14ac:dyDescent="0.35">
      <c r="A19" s="36">
        <v>11</v>
      </c>
      <c r="B19" s="36" t="str">
        <f t="shared" si="1"/>
        <v>18a.11</v>
      </c>
      <c r="C19" s="134" t="s">
        <v>41</v>
      </c>
      <c r="D19" s="36" t="s">
        <v>70</v>
      </c>
      <c r="E19" s="36" t="s">
        <v>32</v>
      </c>
      <c r="F19" s="36" t="s">
        <v>51</v>
      </c>
      <c r="G19" s="36" t="s">
        <v>36</v>
      </c>
      <c r="H19" s="38">
        <v>10</v>
      </c>
      <c r="I19" s="36" t="s">
        <v>884</v>
      </c>
      <c r="J19" s="37" t="s">
        <v>107</v>
      </c>
      <c r="K19" s="37" t="s">
        <v>78</v>
      </c>
      <c r="L19" s="37" t="s">
        <v>36</v>
      </c>
      <c r="M19" s="37" t="s">
        <v>36</v>
      </c>
      <c r="N19" s="37" t="s">
        <v>36</v>
      </c>
      <c r="O19" s="37" t="s">
        <v>36</v>
      </c>
      <c r="P19" s="36"/>
    </row>
    <row r="20" spans="1:16" ht="43.5" x14ac:dyDescent="0.35">
      <c r="A20" s="36">
        <v>12</v>
      </c>
      <c r="B20" s="36" t="str">
        <f t="shared" si="1"/>
        <v>18a.12</v>
      </c>
      <c r="C20" s="134" t="s">
        <v>41</v>
      </c>
      <c r="D20" s="36" t="s">
        <v>71</v>
      </c>
      <c r="E20" s="36" t="s">
        <v>32</v>
      </c>
      <c r="F20" s="36" t="s">
        <v>51</v>
      </c>
      <c r="G20" s="36" t="s">
        <v>36</v>
      </c>
      <c r="H20" s="38">
        <v>20</v>
      </c>
      <c r="I20" s="36" t="s">
        <v>884</v>
      </c>
      <c r="J20" s="37" t="s">
        <v>107</v>
      </c>
      <c r="K20" s="37" t="s">
        <v>76</v>
      </c>
      <c r="L20" s="37" t="s">
        <v>700</v>
      </c>
      <c r="M20" s="37" t="s">
        <v>36</v>
      </c>
      <c r="N20" s="37" t="s">
        <v>36</v>
      </c>
      <c r="O20" s="37" t="s">
        <v>36</v>
      </c>
      <c r="P20" s="36"/>
    </row>
    <row r="21" spans="1:16" ht="43.5" x14ac:dyDescent="0.35">
      <c r="A21" s="36">
        <v>13</v>
      </c>
      <c r="B21" s="36" t="str">
        <f t="shared" si="1"/>
        <v>18a.13</v>
      </c>
      <c r="C21" s="134" t="s">
        <v>41</v>
      </c>
      <c r="D21" s="36" t="s">
        <v>72</v>
      </c>
      <c r="E21" s="36" t="s">
        <v>34</v>
      </c>
      <c r="F21" s="36" t="s">
        <v>51</v>
      </c>
      <c r="G21" s="36" t="s">
        <v>36</v>
      </c>
      <c r="H21" s="38">
        <v>15</v>
      </c>
      <c r="I21" s="36" t="s">
        <v>884</v>
      </c>
      <c r="J21" s="37" t="s">
        <v>107</v>
      </c>
      <c r="K21" s="37" t="s">
        <v>76</v>
      </c>
      <c r="L21" s="37" t="s">
        <v>701</v>
      </c>
      <c r="M21" s="37" t="s">
        <v>36</v>
      </c>
      <c r="N21" s="37" t="s">
        <v>36</v>
      </c>
      <c r="O21" s="37" t="s">
        <v>734</v>
      </c>
      <c r="P21" s="36"/>
    </row>
    <row r="22" spans="1:16" ht="43.5" x14ac:dyDescent="0.35">
      <c r="A22" s="36">
        <v>14</v>
      </c>
      <c r="B22" s="36" t="str">
        <f>CONCATENATE($B$2, ".", A22)</f>
        <v>18a.14</v>
      </c>
      <c r="C22" s="134" t="s">
        <v>41</v>
      </c>
      <c r="D22" s="36" t="s">
        <v>73</v>
      </c>
      <c r="E22" s="36" t="s">
        <v>32</v>
      </c>
      <c r="F22" s="36" t="s">
        <v>51</v>
      </c>
      <c r="G22" s="36" t="s">
        <v>36</v>
      </c>
      <c r="H22" s="38">
        <v>7</v>
      </c>
      <c r="I22" s="36" t="s">
        <v>884</v>
      </c>
      <c r="J22" s="37" t="s">
        <v>107</v>
      </c>
      <c r="K22" s="37" t="s">
        <v>76</v>
      </c>
      <c r="L22" s="37" t="s">
        <v>702</v>
      </c>
      <c r="M22" s="37" t="s">
        <v>483</v>
      </c>
      <c r="N22" s="37" t="s">
        <v>36</v>
      </c>
      <c r="O22" s="37" t="s">
        <v>36</v>
      </c>
      <c r="P22" s="36"/>
    </row>
    <row r="23" spans="1:16" x14ac:dyDescent="0.35">
      <c r="A23" s="96" t="s">
        <v>851</v>
      </c>
      <c r="B23" s="92"/>
      <c r="C23" s="93"/>
      <c r="D23" s="92"/>
      <c r="E23" s="92"/>
      <c r="F23" s="92"/>
      <c r="G23" s="92"/>
      <c r="H23" s="94"/>
      <c r="I23" s="92"/>
      <c r="J23" s="95"/>
      <c r="K23" s="95"/>
      <c r="L23" s="95"/>
      <c r="M23" s="95"/>
      <c r="N23" s="95"/>
      <c r="O23" s="95"/>
      <c r="P23" s="92"/>
    </row>
    <row r="24" spans="1:16" x14ac:dyDescent="0.35">
      <c r="A24" s="96" t="s">
        <v>570</v>
      </c>
      <c r="B24" s="136"/>
      <c r="C24" s="137"/>
      <c r="D24" s="138"/>
      <c r="E24" s="136"/>
      <c r="F24" s="136"/>
      <c r="G24" s="136"/>
      <c r="H24" s="139"/>
      <c r="I24" s="136"/>
      <c r="J24" s="136"/>
      <c r="K24" s="136"/>
      <c r="L24" s="136"/>
      <c r="M24" s="136"/>
      <c r="N24" s="136"/>
      <c r="O24" s="136"/>
      <c r="P24" s="136"/>
    </row>
    <row r="25" spans="1:16" ht="29" x14ac:dyDescent="0.35">
      <c r="A25" s="6">
        <v>15</v>
      </c>
      <c r="B25" s="6" t="str">
        <f t="shared" si="0"/>
        <v>18a.15</v>
      </c>
      <c r="C25" s="31" t="s">
        <v>41</v>
      </c>
      <c r="D25" s="6" t="s">
        <v>57</v>
      </c>
      <c r="E25" s="6" t="s">
        <v>42</v>
      </c>
      <c r="F25" s="6" t="s">
        <v>36</v>
      </c>
      <c r="G25" s="6" t="s">
        <v>36</v>
      </c>
      <c r="H25" s="124" t="s">
        <v>36</v>
      </c>
      <c r="I25" s="6" t="s">
        <v>9</v>
      </c>
      <c r="J25" s="6" t="s">
        <v>36</v>
      </c>
      <c r="K25" s="6" t="s">
        <v>36</v>
      </c>
      <c r="L25" s="6" t="s">
        <v>36</v>
      </c>
      <c r="M25" s="6" t="s">
        <v>36</v>
      </c>
      <c r="N25" s="6" t="s">
        <v>36</v>
      </c>
      <c r="O25" s="37" t="s">
        <v>848</v>
      </c>
    </row>
    <row r="26" spans="1:16" ht="29" x14ac:dyDescent="0.35">
      <c r="A26" s="6">
        <v>16</v>
      </c>
      <c r="B26" s="6" t="str">
        <f t="shared" si="0"/>
        <v>18a.16</v>
      </c>
      <c r="C26" s="31" t="s">
        <v>41</v>
      </c>
      <c r="D26" s="36" t="s">
        <v>56</v>
      </c>
      <c r="E26" s="6" t="s">
        <v>42</v>
      </c>
      <c r="F26" s="6" t="s">
        <v>36</v>
      </c>
      <c r="G26" s="6" t="s">
        <v>36</v>
      </c>
      <c r="H26" s="124" t="s">
        <v>36</v>
      </c>
      <c r="I26" s="6" t="s">
        <v>9</v>
      </c>
      <c r="J26" s="6" t="s">
        <v>36</v>
      </c>
      <c r="K26" s="6" t="s">
        <v>36</v>
      </c>
      <c r="L26" s="6" t="s">
        <v>36</v>
      </c>
      <c r="M26" s="36" t="s">
        <v>36</v>
      </c>
      <c r="N26" s="36" t="s">
        <v>36</v>
      </c>
      <c r="O26" s="36" t="s">
        <v>847</v>
      </c>
    </row>
  </sheetData>
  <autoFilter ref="A6:P6"/>
  <conditionalFormatting sqref="C25:C1048576 C7:C15">
    <cfRule type="cellIs" dxfId="338" priority="40" operator="equal">
      <formula>"WIP (see comments)"</formula>
    </cfRule>
    <cfRule type="cellIs" dxfId="337" priority="41" operator="equal">
      <formula>"Removed"</formula>
    </cfRule>
    <cfRule type="cellIs" dxfId="336" priority="42" operator="equal">
      <formula>"Updated"</formula>
    </cfRule>
    <cfRule type="cellIs" dxfId="335" priority="43" operator="equal">
      <formula>"New"</formula>
    </cfRule>
  </conditionalFormatting>
  <conditionalFormatting sqref="E26:L26 A25:C26 P26 A7:XFD10 D25:P25 Q16:XFD16 A24:P24 P11:XFD15 C11:C15 J12:N14 F12:H14">
    <cfRule type="cellIs" dxfId="334" priority="39" operator="equal">
      <formula>"n/a"</formula>
    </cfRule>
  </conditionalFormatting>
  <conditionalFormatting sqref="D26 M26:N26">
    <cfRule type="cellIs" dxfId="333" priority="38" operator="equal">
      <formula>"n/a"</formula>
    </cfRule>
  </conditionalFormatting>
  <conditionalFormatting sqref="B15 D15:O15">
    <cfRule type="cellIs" dxfId="332" priority="32" operator="equal">
      <formula>"n/a"</formula>
    </cfRule>
  </conditionalFormatting>
  <conditionalFormatting sqref="C24">
    <cfRule type="cellIs" dxfId="331" priority="23" operator="equal">
      <formula>"WIP (see comments)"</formula>
    </cfRule>
    <cfRule type="cellIs" dxfId="330" priority="24" operator="equal">
      <formula>"Removed"</formula>
    </cfRule>
    <cfRule type="cellIs" dxfId="329" priority="25" operator="equal">
      <formula>"Updated"</formula>
    </cfRule>
    <cfRule type="cellIs" dxfId="328" priority="26" operator="equal">
      <formula>"New"</formula>
    </cfRule>
  </conditionalFormatting>
  <conditionalFormatting sqref="P16">
    <cfRule type="cellIs" dxfId="327" priority="21" operator="equal">
      <formula>"n/a"</formula>
    </cfRule>
  </conditionalFormatting>
  <conditionalFormatting sqref="B17:B22 D17:P22">
    <cfRule type="cellIs" dxfId="326" priority="20" operator="equal">
      <formula>"n/a"</formula>
    </cfRule>
  </conditionalFormatting>
  <conditionalFormatting sqref="C17:C22">
    <cfRule type="cellIs" dxfId="325" priority="16" operator="equal">
      <formula>"WIP (see comments)"</formula>
    </cfRule>
    <cfRule type="cellIs" dxfId="324" priority="17" operator="equal">
      <formula>"Removed"</formula>
    </cfRule>
    <cfRule type="cellIs" dxfId="323" priority="18" operator="equal">
      <formula>"Updated"</formula>
    </cfRule>
    <cfRule type="cellIs" dxfId="322" priority="19" operator="equal">
      <formula>"New"</formula>
    </cfRule>
  </conditionalFormatting>
  <conditionalFormatting sqref="C17:C22">
    <cfRule type="cellIs" dxfId="321" priority="15" operator="equal">
      <formula>"n/a"</formula>
    </cfRule>
  </conditionalFormatting>
  <conditionalFormatting sqref="D16:O16 B16">
    <cfRule type="cellIs" dxfId="320" priority="14" operator="equal">
      <formula>"n/a"</formula>
    </cfRule>
  </conditionalFormatting>
  <conditionalFormatting sqref="C16">
    <cfRule type="cellIs" dxfId="319" priority="10" operator="equal">
      <formula>"WIP (see comments)"</formula>
    </cfRule>
    <cfRule type="cellIs" dxfId="318" priority="11" operator="equal">
      <formula>"Removed"</formula>
    </cfRule>
    <cfRule type="cellIs" dxfId="317" priority="12" operator="equal">
      <formula>"Updated"</formula>
    </cfRule>
    <cfRule type="cellIs" dxfId="316" priority="13" operator="equal">
      <formula>"New"</formula>
    </cfRule>
  </conditionalFormatting>
  <conditionalFormatting sqref="C16">
    <cfRule type="cellIs" dxfId="315" priority="9" operator="equal">
      <formula>"n/a"</formula>
    </cfRule>
  </conditionalFormatting>
  <conditionalFormatting sqref="P23">
    <cfRule type="cellIs" dxfId="314" priority="8" operator="equal">
      <formula>"n/a"</formula>
    </cfRule>
  </conditionalFormatting>
  <conditionalFormatting sqref="D23:O23 B23">
    <cfRule type="cellIs" dxfId="313" priority="7" operator="equal">
      <formula>"n/a"</formula>
    </cfRule>
  </conditionalFormatting>
  <conditionalFormatting sqref="C23">
    <cfRule type="cellIs" dxfId="312" priority="3" operator="equal">
      <formula>"WIP (see comments)"</formula>
    </cfRule>
    <cfRule type="cellIs" dxfId="311" priority="4" operator="equal">
      <formula>"Removed"</formula>
    </cfRule>
    <cfRule type="cellIs" dxfId="310" priority="5" operator="equal">
      <formula>"Updated"</formula>
    </cfRule>
    <cfRule type="cellIs" dxfId="309" priority="6" operator="equal">
      <formula>"New"</formula>
    </cfRule>
  </conditionalFormatting>
  <conditionalFormatting sqref="C23">
    <cfRule type="cellIs" dxfId="308" priority="2" operator="equal">
      <formula>"n/a"</formula>
    </cfRule>
  </conditionalFormatting>
  <conditionalFormatting sqref="D11:O11">
    <cfRule type="cellIs" dxfId="30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C24:C1048576 C7:C15</xm:sqref>
        </x14:dataValidation>
        <x14:dataValidation type="list" allowBlank="1" showInputMessage="1" showErrorMessage="1">
          <x14:formula1>
            <xm:f>'List Values'!$B$5:$B$11</xm:f>
          </x14:formula1>
          <xm:sqref>C16:C23</xm:sqref>
        </x14:dataValidation>
        <x14:dataValidation type="list" allowBlank="1" showInputMessage="1" showErrorMessage="1">
          <x14:formula1>
            <xm:f>'List Values'!$A$5:$A$35</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373</v>
      </c>
      <c r="C1" s="162"/>
      <c r="D1" s="162"/>
      <c r="H1" s="32"/>
    </row>
    <row r="2" spans="1:16" s="27" customFormat="1" ht="18.5" x14ac:dyDescent="0.35">
      <c r="A2" s="25" t="s">
        <v>7</v>
      </c>
      <c r="B2" s="88" t="s">
        <v>625</v>
      </c>
      <c r="C2" s="32"/>
      <c r="D2" s="88"/>
      <c r="H2" s="32"/>
    </row>
    <row r="3" spans="1:16" s="27" customFormat="1" ht="18.5" x14ac:dyDescent="0.35">
      <c r="A3" s="25" t="s">
        <v>43</v>
      </c>
      <c r="B3" s="88" t="s">
        <v>382</v>
      </c>
      <c r="C3" s="32"/>
      <c r="D3" s="88" t="s">
        <v>383</v>
      </c>
      <c r="H3" s="32"/>
    </row>
    <row r="4" spans="1:16" s="27" customFormat="1" ht="18.5" x14ac:dyDescent="0.35">
      <c r="A4" s="25" t="s">
        <v>8</v>
      </c>
      <c r="B4" s="27" t="s">
        <v>374</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6">
        <v>1</v>
      </c>
      <c r="B7" s="6" t="str">
        <f t="shared" ref="B7" si="0">CONCATENATE($B$2, ".", A7)</f>
        <v>19a.1</v>
      </c>
      <c r="C7" s="31" t="s">
        <v>39</v>
      </c>
      <c r="D7" s="44" t="s">
        <v>376</v>
      </c>
      <c r="E7" s="6" t="s">
        <v>35</v>
      </c>
      <c r="F7" s="6" t="s">
        <v>36</v>
      </c>
      <c r="G7" s="6" t="s">
        <v>36</v>
      </c>
      <c r="H7" s="31" t="s">
        <v>36</v>
      </c>
      <c r="I7" s="6" t="s">
        <v>9</v>
      </c>
      <c r="J7" s="6" t="s">
        <v>36</v>
      </c>
      <c r="K7" s="6" t="s">
        <v>36</v>
      </c>
      <c r="L7" s="6" t="s">
        <v>36</v>
      </c>
      <c r="M7" s="6" t="s">
        <v>36</v>
      </c>
      <c r="N7" s="6" t="s">
        <v>36</v>
      </c>
      <c r="O7" s="37" t="s">
        <v>36</v>
      </c>
    </row>
    <row r="8" spans="1:16" ht="29" x14ac:dyDescent="0.35">
      <c r="A8" s="6">
        <v>2</v>
      </c>
      <c r="B8" s="6" t="str">
        <f t="shared" ref="B8:B9" si="1">CONCATENATE($B$2, ".", A8)</f>
        <v>19a.2</v>
      </c>
      <c r="C8" s="31" t="s">
        <v>44</v>
      </c>
      <c r="D8" s="36" t="s">
        <v>36</v>
      </c>
      <c r="E8" s="36" t="s">
        <v>48</v>
      </c>
      <c r="F8" s="6" t="s">
        <v>36</v>
      </c>
      <c r="G8" s="6" t="s">
        <v>36</v>
      </c>
      <c r="H8" s="31" t="s">
        <v>36</v>
      </c>
      <c r="I8" s="36" t="s">
        <v>9</v>
      </c>
      <c r="J8" s="5" t="s">
        <v>36</v>
      </c>
      <c r="K8" s="5" t="s">
        <v>36</v>
      </c>
      <c r="L8" s="5" t="s">
        <v>36</v>
      </c>
      <c r="M8" s="5" t="s">
        <v>36</v>
      </c>
      <c r="N8" s="5" t="s">
        <v>36</v>
      </c>
      <c r="O8" s="5" t="s">
        <v>36</v>
      </c>
    </row>
    <row r="9" spans="1:16" ht="29" x14ac:dyDescent="0.35">
      <c r="A9" s="6">
        <v>3</v>
      </c>
      <c r="B9" s="6" t="str">
        <f t="shared" si="1"/>
        <v>19a.3</v>
      </c>
      <c r="C9" s="31" t="s">
        <v>39</v>
      </c>
      <c r="D9" s="36" t="s">
        <v>375</v>
      </c>
      <c r="E9" s="36" t="s">
        <v>326</v>
      </c>
      <c r="F9" s="6" t="s">
        <v>36</v>
      </c>
      <c r="G9" s="6" t="s">
        <v>36</v>
      </c>
      <c r="H9" s="31" t="s">
        <v>36</v>
      </c>
      <c r="I9" s="36" t="s">
        <v>9</v>
      </c>
      <c r="J9" s="5" t="s">
        <v>36</v>
      </c>
      <c r="K9" s="5" t="s">
        <v>36</v>
      </c>
      <c r="L9" s="5" t="s">
        <v>36</v>
      </c>
      <c r="M9" s="5" t="s">
        <v>36</v>
      </c>
      <c r="N9" s="5" t="s">
        <v>36</v>
      </c>
      <c r="O9" s="5" t="s">
        <v>36</v>
      </c>
    </row>
    <row r="10" spans="1:16" ht="142.5" customHeight="1" x14ac:dyDescent="0.35">
      <c r="A10" s="6">
        <v>4</v>
      </c>
      <c r="B10" s="6" t="str">
        <f t="shared" ref="B10:B14" si="2">CONCATENATE($B$2, ".", A10)</f>
        <v>19a.4</v>
      </c>
      <c r="C10" s="31" t="s">
        <v>37</v>
      </c>
      <c r="D10" s="50" t="s">
        <v>751</v>
      </c>
      <c r="E10" s="6" t="s">
        <v>323</v>
      </c>
      <c r="F10" s="6" t="s">
        <v>36</v>
      </c>
      <c r="G10" s="48" t="s">
        <v>381</v>
      </c>
      <c r="H10" s="31" t="s">
        <v>36</v>
      </c>
      <c r="I10" s="36" t="s">
        <v>9</v>
      </c>
      <c r="J10" s="6" t="s">
        <v>36</v>
      </c>
      <c r="K10" s="6" t="s">
        <v>36</v>
      </c>
      <c r="L10" s="6" t="s">
        <v>36</v>
      </c>
      <c r="M10" s="6" t="s">
        <v>36</v>
      </c>
      <c r="N10" s="6" t="s">
        <v>36</v>
      </c>
      <c r="O10" s="37" t="s">
        <v>377</v>
      </c>
      <c r="P10" s="6" t="s">
        <v>753</v>
      </c>
    </row>
    <row r="11" spans="1:16" ht="163.5" customHeight="1" x14ac:dyDescent="0.35">
      <c r="A11" s="6">
        <v>5</v>
      </c>
      <c r="B11" s="6" t="str">
        <f t="shared" si="2"/>
        <v>19a.5</v>
      </c>
      <c r="C11" s="31" t="s">
        <v>37</v>
      </c>
      <c r="D11" s="50" t="s">
        <v>752</v>
      </c>
      <c r="E11" s="6" t="s">
        <v>323</v>
      </c>
      <c r="F11" s="6" t="s">
        <v>36</v>
      </c>
      <c r="G11" s="48" t="s">
        <v>378</v>
      </c>
      <c r="H11" s="31" t="s">
        <v>36</v>
      </c>
      <c r="I11" s="36" t="s">
        <v>9</v>
      </c>
      <c r="J11" s="6" t="s">
        <v>36</v>
      </c>
      <c r="K11" s="6" t="s">
        <v>36</v>
      </c>
      <c r="L11" s="6" t="s">
        <v>36</v>
      </c>
      <c r="M11" s="6" t="s">
        <v>36</v>
      </c>
      <c r="N11" s="6" t="s">
        <v>36</v>
      </c>
      <c r="O11" s="37" t="s">
        <v>377</v>
      </c>
      <c r="P11" s="6" t="s">
        <v>753</v>
      </c>
    </row>
    <row r="12" spans="1:16" ht="100" customHeight="1" x14ac:dyDescent="0.35">
      <c r="A12" s="6">
        <v>6</v>
      </c>
      <c r="B12" s="6" t="str">
        <f t="shared" si="2"/>
        <v>19a.6</v>
      </c>
      <c r="C12" s="31" t="s">
        <v>37</v>
      </c>
      <c r="D12" s="6" t="s">
        <v>460</v>
      </c>
      <c r="E12" s="6" t="s">
        <v>323</v>
      </c>
      <c r="F12" s="6" t="s">
        <v>36</v>
      </c>
      <c r="G12" s="6" t="s">
        <v>349</v>
      </c>
      <c r="H12" s="31" t="s">
        <v>36</v>
      </c>
      <c r="I12" s="36" t="s">
        <v>9</v>
      </c>
      <c r="J12" s="6" t="s">
        <v>36</v>
      </c>
      <c r="K12" s="6" t="s">
        <v>53</v>
      </c>
      <c r="L12" s="6" t="s">
        <v>727</v>
      </c>
      <c r="M12" s="6" t="s">
        <v>36</v>
      </c>
      <c r="N12" s="6" t="s">
        <v>36</v>
      </c>
      <c r="O12" s="37" t="s">
        <v>391</v>
      </c>
    </row>
    <row r="13" spans="1:16" ht="58" x14ac:dyDescent="0.35">
      <c r="A13" s="6">
        <v>7</v>
      </c>
      <c r="B13" s="6" t="str">
        <f t="shared" si="2"/>
        <v>19a.7</v>
      </c>
      <c r="C13" s="31" t="s">
        <v>39</v>
      </c>
      <c r="D13" s="36" t="s">
        <v>57</v>
      </c>
      <c r="E13" s="6" t="s">
        <v>42</v>
      </c>
      <c r="F13" s="36" t="s">
        <v>36</v>
      </c>
      <c r="G13" s="36" t="s">
        <v>36</v>
      </c>
      <c r="H13" s="45" t="s">
        <v>36</v>
      </c>
      <c r="I13" s="36" t="s">
        <v>9</v>
      </c>
      <c r="J13" s="36" t="s">
        <v>36</v>
      </c>
      <c r="K13" s="36" t="s">
        <v>36</v>
      </c>
      <c r="L13" s="36" t="s">
        <v>36</v>
      </c>
      <c r="M13" s="36" t="s">
        <v>36</v>
      </c>
      <c r="N13" s="36" t="s">
        <v>36</v>
      </c>
      <c r="O13" s="36" t="s">
        <v>379</v>
      </c>
    </row>
    <row r="14" spans="1:16" ht="29" x14ac:dyDescent="0.35">
      <c r="A14" s="6">
        <v>8</v>
      </c>
      <c r="B14" s="6" t="str">
        <f t="shared" si="2"/>
        <v>19a.8</v>
      </c>
      <c r="C14" s="31" t="s">
        <v>39</v>
      </c>
      <c r="D14" s="36" t="s">
        <v>56</v>
      </c>
      <c r="E14" s="6" t="s">
        <v>42</v>
      </c>
      <c r="F14" s="36" t="s">
        <v>36</v>
      </c>
      <c r="G14" s="36" t="s">
        <v>36</v>
      </c>
      <c r="H14" s="45" t="s">
        <v>36</v>
      </c>
      <c r="I14" s="36" t="s">
        <v>9</v>
      </c>
      <c r="J14" s="36" t="s">
        <v>36</v>
      </c>
      <c r="K14" s="36" t="s">
        <v>36</v>
      </c>
      <c r="L14" s="36" t="s">
        <v>36</v>
      </c>
      <c r="M14" s="36" t="s">
        <v>36</v>
      </c>
      <c r="N14" s="36" t="s">
        <v>36</v>
      </c>
      <c r="O14" s="36" t="s">
        <v>380</v>
      </c>
    </row>
  </sheetData>
  <autoFilter ref="A6:P6"/>
  <mergeCells count="1">
    <mergeCell ref="B1:D1"/>
  </mergeCells>
  <conditionalFormatting sqref="C15:C1048576 C7:C12">
    <cfRule type="cellIs" dxfId="306" priority="12" operator="equal">
      <formula>"WIP (see comments)"</formula>
    </cfRule>
    <cfRule type="cellIs" dxfId="305" priority="13" operator="equal">
      <formula>"Removed"</formula>
    </cfRule>
    <cfRule type="cellIs" dxfId="304" priority="14" operator="equal">
      <formula>"Updated"</formula>
    </cfRule>
    <cfRule type="cellIs" dxfId="303" priority="15" operator="equal">
      <formula>"New"</formula>
    </cfRule>
  </conditionalFormatting>
  <conditionalFormatting sqref="C13:C14">
    <cfRule type="cellIs" dxfId="302" priority="8" operator="equal">
      <formula>"WIP (see comments)"</formula>
    </cfRule>
    <cfRule type="cellIs" dxfId="301" priority="9" operator="equal">
      <formula>"Removed"</formula>
    </cfRule>
    <cfRule type="cellIs" dxfId="300" priority="10" operator="equal">
      <formula>"Updated"</formula>
    </cfRule>
    <cfRule type="cellIs" dxfId="299" priority="11" operator="equal">
      <formula>"New"</formula>
    </cfRule>
  </conditionalFormatting>
  <conditionalFormatting sqref="P13:XFD13 C10:XFD12 C13:C14 A7:XFD9 A10:B14 E13:E14">
    <cfRule type="cellIs" dxfId="298" priority="7" operator="equal">
      <formula>"n/a"</formula>
    </cfRule>
  </conditionalFormatting>
  <conditionalFormatting sqref="D13:D14 F13:N14">
    <cfRule type="cellIs" dxfId="297" priority="6" operator="equal">
      <formula>"n/a"</formula>
    </cfRule>
  </conditionalFormatting>
  <dataValidations count="1">
    <dataValidation type="list" allowBlank="1" showInputMessage="1" showErrorMessage="1" sqref="E15:E1048576">
      <formula1>$A$5:$A$21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18"/>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62" t="s">
        <v>237</v>
      </c>
      <c r="C1" s="162"/>
      <c r="D1" s="162"/>
      <c r="H1" s="32"/>
    </row>
    <row r="2" spans="1:16" s="27" customFormat="1" ht="18.5" x14ac:dyDescent="0.35">
      <c r="A2" s="25" t="s">
        <v>7</v>
      </c>
      <c r="B2" s="33">
        <v>19</v>
      </c>
      <c r="C2" s="32"/>
      <c r="D2" s="33"/>
      <c r="H2" s="32"/>
    </row>
    <row r="3" spans="1:16" s="27" customFormat="1" ht="18.5" x14ac:dyDescent="0.35">
      <c r="A3" s="25" t="s">
        <v>43</v>
      </c>
      <c r="B3" s="33" t="s">
        <v>301</v>
      </c>
      <c r="C3" s="32"/>
      <c r="D3" s="33" t="s">
        <v>352</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9" si="0">CONCATENATE($B$2, ".", A7)</f>
        <v>19.1</v>
      </c>
      <c r="C7" s="31" t="s">
        <v>39</v>
      </c>
      <c r="D7" s="36" t="s">
        <v>389</v>
      </c>
      <c r="E7" s="6" t="s">
        <v>115</v>
      </c>
      <c r="F7" s="6" t="s">
        <v>36</v>
      </c>
      <c r="G7" s="6" t="s">
        <v>36</v>
      </c>
      <c r="H7" s="31" t="s">
        <v>36</v>
      </c>
      <c r="I7" s="36" t="s">
        <v>9</v>
      </c>
      <c r="J7" s="5" t="s">
        <v>36</v>
      </c>
      <c r="K7" s="5" t="s">
        <v>36</v>
      </c>
      <c r="L7" s="5" t="s">
        <v>36</v>
      </c>
      <c r="M7" s="5" t="s">
        <v>36</v>
      </c>
      <c r="N7" s="5" t="s">
        <v>36</v>
      </c>
      <c r="O7" s="5" t="s">
        <v>36</v>
      </c>
    </row>
    <row r="8" spans="1:16" ht="29" x14ac:dyDescent="0.35">
      <c r="A8" s="6">
        <v>2</v>
      </c>
      <c r="B8" s="6" t="str">
        <f t="shared" si="0"/>
        <v>19.2</v>
      </c>
      <c r="C8" s="31" t="s">
        <v>44</v>
      </c>
      <c r="D8" s="36" t="s">
        <v>36</v>
      </c>
      <c r="E8" s="36" t="s">
        <v>48</v>
      </c>
      <c r="F8" s="6" t="s">
        <v>36</v>
      </c>
      <c r="G8" s="6" t="s">
        <v>36</v>
      </c>
      <c r="H8" s="31" t="s">
        <v>36</v>
      </c>
      <c r="I8" s="36" t="s">
        <v>9</v>
      </c>
      <c r="J8" s="5" t="s">
        <v>36</v>
      </c>
      <c r="K8" s="5" t="s">
        <v>36</v>
      </c>
      <c r="L8" s="5" t="s">
        <v>36</v>
      </c>
      <c r="M8" s="5" t="s">
        <v>36</v>
      </c>
      <c r="N8" s="5" t="s">
        <v>36</v>
      </c>
      <c r="O8" s="5" t="s">
        <v>36</v>
      </c>
      <c r="P8" s="6" t="s">
        <v>384</v>
      </c>
    </row>
    <row r="9" spans="1:16" ht="29" x14ac:dyDescent="0.35">
      <c r="A9" s="6">
        <v>3</v>
      </c>
      <c r="B9" s="6" t="str">
        <f t="shared" si="0"/>
        <v>19.3</v>
      </c>
      <c r="C9" s="31" t="s">
        <v>39</v>
      </c>
      <c r="D9" s="36" t="s">
        <v>300</v>
      </c>
      <c r="E9" s="36" t="s">
        <v>28</v>
      </c>
      <c r="F9" s="6" t="s">
        <v>36</v>
      </c>
      <c r="G9" s="6" t="s">
        <v>36</v>
      </c>
      <c r="H9" s="31" t="s">
        <v>36</v>
      </c>
      <c r="I9" s="36" t="s">
        <v>9</v>
      </c>
      <c r="J9" s="5" t="s">
        <v>36</v>
      </c>
      <c r="K9" s="5" t="s">
        <v>36</v>
      </c>
      <c r="L9" s="5" t="s">
        <v>36</v>
      </c>
      <c r="M9" s="5" t="s">
        <v>36</v>
      </c>
      <c r="N9" s="5" t="s">
        <v>36</v>
      </c>
      <c r="O9" s="5" t="s">
        <v>385</v>
      </c>
    </row>
    <row r="10" spans="1:16" ht="29" x14ac:dyDescent="0.35">
      <c r="A10" s="6">
        <v>4</v>
      </c>
      <c r="B10" s="6" t="str">
        <f t="shared" ref="B10:B15" si="1">CONCATENATE($B$2, ".", A10)</f>
        <v>19.4</v>
      </c>
      <c r="C10" s="31" t="s">
        <v>39</v>
      </c>
      <c r="D10" s="44" t="s">
        <v>386</v>
      </c>
      <c r="E10" s="6" t="s">
        <v>28</v>
      </c>
      <c r="F10" s="6" t="s">
        <v>36</v>
      </c>
      <c r="G10" s="6" t="s">
        <v>36</v>
      </c>
      <c r="H10" s="31" t="s">
        <v>36</v>
      </c>
      <c r="I10" s="6" t="s">
        <v>9</v>
      </c>
      <c r="J10" s="6" t="s">
        <v>36</v>
      </c>
      <c r="K10" s="6" t="s">
        <v>36</v>
      </c>
      <c r="L10" s="6" t="s">
        <v>36</v>
      </c>
      <c r="M10" s="6" t="s">
        <v>36</v>
      </c>
      <c r="N10" s="6" t="s">
        <v>36</v>
      </c>
      <c r="O10" s="37" t="s">
        <v>36</v>
      </c>
    </row>
    <row r="11" spans="1:16" ht="29" x14ac:dyDescent="0.35">
      <c r="A11" s="6">
        <v>5</v>
      </c>
      <c r="B11" s="6" t="str">
        <f t="shared" si="1"/>
        <v>19.5</v>
      </c>
      <c r="C11" s="31" t="s">
        <v>44</v>
      </c>
      <c r="D11" s="50" t="s">
        <v>387</v>
      </c>
      <c r="E11" s="6" t="s">
        <v>99</v>
      </c>
      <c r="F11" s="6" t="s">
        <v>36</v>
      </c>
      <c r="G11" s="6" t="s">
        <v>36</v>
      </c>
      <c r="H11" s="31" t="s">
        <v>36</v>
      </c>
      <c r="I11" s="6" t="s">
        <v>9</v>
      </c>
      <c r="J11" s="6" t="s">
        <v>36</v>
      </c>
      <c r="K11" s="6" t="s">
        <v>36</v>
      </c>
      <c r="L11" s="6" t="s">
        <v>36</v>
      </c>
      <c r="M11" s="6" t="s">
        <v>36</v>
      </c>
      <c r="N11" s="6" t="s">
        <v>36</v>
      </c>
      <c r="O11" s="37" t="s">
        <v>981</v>
      </c>
      <c r="P11" s="6" t="s">
        <v>212</v>
      </c>
    </row>
    <row r="12" spans="1:16" ht="29" x14ac:dyDescent="0.35">
      <c r="A12" s="6">
        <v>6</v>
      </c>
      <c r="B12" s="6" t="str">
        <f t="shared" si="1"/>
        <v>19.6</v>
      </c>
      <c r="C12" s="31" t="s">
        <v>44</v>
      </c>
      <c r="D12" s="50" t="s">
        <v>980</v>
      </c>
      <c r="E12" s="6" t="s">
        <v>99</v>
      </c>
      <c r="F12" s="6" t="s">
        <v>36</v>
      </c>
      <c r="G12" s="6" t="s">
        <v>36</v>
      </c>
      <c r="H12" s="31" t="s">
        <v>36</v>
      </c>
      <c r="I12" s="6" t="s">
        <v>9</v>
      </c>
      <c r="J12" s="6" t="s">
        <v>36</v>
      </c>
      <c r="K12" s="6" t="s">
        <v>36</v>
      </c>
      <c r="L12" s="6" t="s">
        <v>36</v>
      </c>
      <c r="M12" s="6" t="s">
        <v>36</v>
      </c>
      <c r="N12" s="6" t="s">
        <v>36</v>
      </c>
      <c r="O12" s="37" t="s">
        <v>981</v>
      </c>
      <c r="P12" s="6" t="s">
        <v>212</v>
      </c>
    </row>
    <row r="13" spans="1:16" ht="130.5" x14ac:dyDescent="0.35">
      <c r="A13" s="6">
        <v>7</v>
      </c>
      <c r="B13" s="6" t="str">
        <f t="shared" si="1"/>
        <v>19.7</v>
      </c>
      <c r="C13" s="31" t="s">
        <v>41</v>
      </c>
      <c r="D13" s="50" t="s">
        <v>347</v>
      </c>
      <c r="E13" s="6" t="s">
        <v>323</v>
      </c>
      <c r="F13" s="6" t="s">
        <v>36</v>
      </c>
      <c r="G13" s="6" t="s">
        <v>461</v>
      </c>
      <c r="H13" s="31" t="s">
        <v>36</v>
      </c>
      <c r="I13" s="6" t="s">
        <v>9</v>
      </c>
      <c r="J13" s="6" t="s">
        <v>36</v>
      </c>
      <c r="K13" s="6" t="s">
        <v>36</v>
      </c>
      <c r="L13" s="6" t="s">
        <v>36</v>
      </c>
      <c r="M13" s="6" t="s">
        <v>36</v>
      </c>
      <c r="N13" s="6" t="s">
        <v>36</v>
      </c>
      <c r="O13" s="37" t="s">
        <v>36</v>
      </c>
    </row>
    <row r="14" spans="1:16" ht="72.5" x14ac:dyDescent="0.35">
      <c r="A14" s="6">
        <v>8</v>
      </c>
      <c r="B14" s="6" t="str">
        <f t="shared" si="1"/>
        <v>19.8</v>
      </c>
      <c r="C14" s="31" t="s">
        <v>41</v>
      </c>
      <c r="D14" s="50" t="s">
        <v>351</v>
      </c>
      <c r="E14" s="6" t="s">
        <v>323</v>
      </c>
      <c r="F14" s="6" t="s">
        <v>36</v>
      </c>
      <c r="G14" s="6" t="s">
        <v>350</v>
      </c>
      <c r="H14" s="31" t="s">
        <v>36</v>
      </c>
      <c r="I14" s="6" t="s">
        <v>9</v>
      </c>
      <c r="J14" s="6" t="s">
        <v>36</v>
      </c>
      <c r="K14" s="6" t="s">
        <v>36</v>
      </c>
      <c r="L14" s="6" t="s">
        <v>36</v>
      </c>
      <c r="M14" s="6" t="s">
        <v>36</v>
      </c>
      <c r="N14" s="6" t="s">
        <v>36</v>
      </c>
      <c r="O14" s="37" t="s">
        <v>36</v>
      </c>
    </row>
    <row r="15" spans="1:16" ht="58" x14ac:dyDescent="0.35">
      <c r="A15" s="6">
        <v>9</v>
      </c>
      <c r="B15" s="6" t="str">
        <f t="shared" si="1"/>
        <v>19.9</v>
      </c>
      <c r="C15" s="31" t="s">
        <v>41</v>
      </c>
      <c r="D15" s="44" t="s">
        <v>348</v>
      </c>
      <c r="E15" s="6" t="s">
        <v>323</v>
      </c>
      <c r="F15" s="6" t="s">
        <v>36</v>
      </c>
      <c r="G15" s="6" t="s">
        <v>207</v>
      </c>
      <c r="H15" s="31" t="s">
        <v>36</v>
      </c>
      <c r="I15" s="6" t="s">
        <v>9</v>
      </c>
      <c r="J15" s="6" t="s">
        <v>36</v>
      </c>
      <c r="K15" s="6" t="s">
        <v>36</v>
      </c>
      <c r="L15" s="6" t="s">
        <v>36</v>
      </c>
      <c r="M15" s="6" t="s">
        <v>36</v>
      </c>
      <c r="N15" s="6" t="s">
        <v>36</v>
      </c>
      <c r="O15" s="37" t="s">
        <v>36</v>
      </c>
    </row>
    <row r="16" spans="1:16" ht="29" x14ac:dyDescent="0.35">
      <c r="A16" s="6">
        <v>10</v>
      </c>
      <c r="B16" s="6" t="str">
        <f t="shared" ref="B16" si="2">CONCATENATE($B$2, ".", A16)</f>
        <v>19.10</v>
      </c>
      <c r="C16" s="31" t="s">
        <v>41</v>
      </c>
      <c r="D16" s="6" t="s">
        <v>388</v>
      </c>
      <c r="E16" s="36" t="s">
        <v>29</v>
      </c>
      <c r="F16" s="6" t="s">
        <v>60</v>
      </c>
      <c r="G16" s="6" t="s">
        <v>36</v>
      </c>
      <c r="H16" s="31" t="s">
        <v>36</v>
      </c>
      <c r="I16" s="36" t="s">
        <v>9</v>
      </c>
      <c r="J16" s="5" t="s">
        <v>96</v>
      </c>
      <c r="K16" s="5" t="s">
        <v>53</v>
      </c>
      <c r="L16" s="37" t="s">
        <v>728</v>
      </c>
      <c r="M16" s="5" t="s">
        <v>36</v>
      </c>
      <c r="N16" s="5" t="s">
        <v>36</v>
      </c>
      <c r="O16" s="5" t="s">
        <v>390</v>
      </c>
    </row>
    <row r="17" spans="1:15" ht="29" x14ac:dyDescent="0.35">
      <c r="A17" s="6">
        <v>11</v>
      </c>
      <c r="B17" s="6" t="str">
        <f t="shared" ref="B17:B18" si="3">CONCATENATE($B$2, ".", A17)</f>
        <v>19.11</v>
      </c>
      <c r="C17" s="31" t="s">
        <v>41</v>
      </c>
      <c r="D17" s="36" t="s">
        <v>56</v>
      </c>
      <c r="E17" s="36" t="s">
        <v>42</v>
      </c>
      <c r="F17" s="36" t="s">
        <v>36</v>
      </c>
      <c r="G17" s="36" t="s">
        <v>36</v>
      </c>
      <c r="H17" s="45" t="s">
        <v>36</v>
      </c>
      <c r="I17" s="36" t="s">
        <v>9</v>
      </c>
      <c r="J17" s="36" t="s">
        <v>36</v>
      </c>
      <c r="K17" s="36" t="s">
        <v>36</v>
      </c>
      <c r="L17" s="36" t="s">
        <v>36</v>
      </c>
      <c r="M17" s="36" t="s">
        <v>36</v>
      </c>
      <c r="N17" s="36" t="s">
        <v>36</v>
      </c>
      <c r="O17" s="38" t="s">
        <v>380</v>
      </c>
    </row>
    <row r="18" spans="1:15" ht="116" x14ac:dyDescent="0.35">
      <c r="A18" s="6">
        <v>12</v>
      </c>
      <c r="B18" s="6" t="str">
        <f t="shared" si="3"/>
        <v>19.12</v>
      </c>
      <c r="C18" s="31" t="s">
        <v>41</v>
      </c>
      <c r="D18" s="36" t="s">
        <v>57</v>
      </c>
      <c r="E18" s="36" t="s">
        <v>42</v>
      </c>
      <c r="F18" s="36" t="s">
        <v>36</v>
      </c>
      <c r="G18" s="36" t="s">
        <v>36</v>
      </c>
      <c r="H18" s="45" t="s">
        <v>36</v>
      </c>
      <c r="I18" s="36" t="s">
        <v>9</v>
      </c>
      <c r="J18" s="36" t="s">
        <v>36</v>
      </c>
      <c r="K18" s="36" t="s">
        <v>36</v>
      </c>
      <c r="L18" s="36" t="s">
        <v>36</v>
      </c>
      <c r="M18" s="36" t="s">
        <v>36</v>
      </c>
      <c r="N18" s="36" t="s">
        <v>36</v>
      </c>
      <c r="O18" s="38" t="s">
        <v>982</v>
      </c>
    </row>
  </sheetData>
  <autoFilter ref="A6:P6"/>
  <mergeCells count="1">
    <mergeCell ref="B1:D1"/>
  </mergeCells>
  <conditionalFormatting sqref="C7:C1048576">
    <cfRule type="cellIs" dxfId="296" priority="33" operator="equal">
      <formula>"WIP (see comments)"</formula>
    </cfRule>
    <cfRule type="cellIs" dxfId="295" priority="34" operator="equal">
      <formula>"Removed"</formula>
    </cfRule>
    <cfRule type="cellIs" dxfId="294" priority="35" operator="equal">
      <formula>"Updated"</formula>
    </cfRule>
    <cfRule type="cellIs" dxfId="293" priority="36" operator="equal">
      <formula>"New"</formula>
    </cfRule>
  </conditionalFormatting>
  <conditionalFormatting sqref="P18:XFD18 E16:O16 A13:B18 D15:XFD15 A7:XFD14 C14:C18">
    <cfRule type="cellIs" dxfId="292" priority="12" operator="equal">
      <formula>"n/a"</formula>
    </cfRule>
  </conditionalFormatting>
  <conditionalFormatting sqref="D17:N18">
    <cfRule type="cellIs" dxfId="291" priority="11" operator="equal">
      <formula>"n/a"</formula>
    </cfRule>
  </conditionalFormatting>
  <conditionalFormatting sqref="D16 P16:XFD17">
    <cfRule type="cellIs" dxfId="290" priority="1" operator="equal">
      <formula>"n/a"</formula>
    </cfRule>
  </conditionalFormatting>
  <dataValidations count="1">
    <dataValidation type="list" allowBlank="1" showInputMessage="1" showErrorMessage="1" sqref="E19:E1048576">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Values'!$A$5:$A$34</xm:f>
          </x14:formula1>
          <xm:sqref>E17:E18</xm:sqref>
        </x14:dataValidation>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3"/>
  <sheetViews>
    <sheetView workbookViewId="0">
      <pane xSplit="4" ySplit="6" topLeftCell="E7" activePane="bottomRight" state="frozen"/>
      <selection activeCell="O8" sqref="O8"/>
      <selection pane="topRight" activeCell="O8" sqref="O8"/>
      <selection pane="bottomLeft" activeCell="O8" sqref="O8"/>
      <selection pane="bottomRight" activeCell="A23" sqref="A2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556</v>
      </c>
      <c r="C1" s="35"/>
      <c r="D1" s="26"/>
      <c r="H1" s="32"/>
    </row>
    <row r="2" spans="1:16" s="27" customFormat="1" ht="18.5" x14ac:dyDescent="0.35">
      <c r="A2" s="25" t="s">
        <v>7</v>
      </c>
      <c r="B2" s="106">
        <v>20</v>
      </c>
      <c r="C2" s="32"/>
      <c r="D2" s="106"/>
      <c r="H2" s="32"/>
    </row>
    <row r="3" spans="1:16" s="27" customFormat="1" ht="18.5" x14ac:dyDescent="0.35">
      <c r="A3" s="25" t="s">
        <v>43</v>
      </c>
      <c r="B3" s="106" t="s">
        <v>557</v>
      </c>
      <c r="C3" s="32"/>
      <c r="D3" s="119"/>
      <c r="H3" s="32"/>
    </row>
    <row r="4" spans="1:16" s="27" customFormat="1" ht="18.5" x14ac:dyDescent="0.35">
      <c r="A4" s="25" t="s">
        <v>8</v>
      </c>
      <c r="B4" s="27" t="s">
        <v>666</v>
      </c>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20.1</v>
      </c>
      <c r="C7" s="31" t="s">
        <v>41</v>
      </c>
      <c r="D7" s="6" t="s">
        <v>663</v>
      </c>
      <c r="E7" s="6" t="s">
        <v>115</v>
      </c>
      <c r="F7" s="6" t="s">
        <v>36</v>
      </c>
      <c r="G7" s="6" t="s">
        <v>36</v>
      </c>
      <c r="H7" s="31" t="s">
        <v>36</v>
      </c>
      <c r="I7" s="36" t="s">
        <v>9</v>
      </c>
      <c r="J7" s="5" t="s">
        <v>36</v>
      </c>
      <c r="K7" s="5" t="s">
        <v>36</v>
      </c>
      <c r="L7" s="5" t="s">
        <v>36</v>
      </c>
      <c r="M7" s="5" t="s">
        <v>36</v>
      </c>
      <c r="N7" s="5" t="s">
        <v>36</v>
      </c>
      <c r="O7" s="5" t="s">
        <v>36</v>
      </c>
      <c r="P7" s="6" t="s">
        <v>211</v>
      </c>
    </row>
    <row r="8" spans="1:16" x14ac:dyDescent="0.35">
      <c r="A8" s="6">
        <v>2</v>
      </c>
      <c r="B8" s="6" t="str">
        <f t="shared" si="0"/>
        <v>20.2</v>
      </c>
      <c r="C8" s="31" t="s">
        <v>41</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35">
      <c r="A9" s="6">
        <v>3</v>
      </c>
      <c r="B9" s="6" t="str">
        <f>CONCATENATE($B$2, ".", A9)</f>
        <v>20.3</v>
      </c>
      <c r="C9" s="31" t="s">
        <v>41</v>
      </c>
      <c r="D9" s="6" t="s">
        <v>661</v>
      </c>
      <c r="E9" s="6" t="s">
        <v>35</v>
      </c>
      <c r="F9" s="6" t="s">
        <v>36</v>
      </c>
      <c r="G9" s="6" t="s">
        <v>36</v>
      </c>
      <c r="H9" s="31" t="s">
        <v>36</v>
      </c>
      <c r="I9" s="36" t="s">
        <v>9</v>
      </c>
      <c r="J9" s="5" t="s">
        <v>36</v>
      </c>
      <c r="K9" s="5" t="s">
        <v>36</v>
      </c>
      <c r="L9" s="5" t="s">
        <v>36</v>
      </c>
      <c r="M9" s="5" t="s">
        <v>36</v>
      </c>
      <c r="N9" s="5" t="s">
        <v>36</v>
      </c>
      <c r="O9" s="6" t="s">
        <v>671</v>
      </c>
    </row>
    <row r="10" spans="1:16" ht="105.5" customHeight="1" x14ac:dyDescent="0.35">
      <c r="A10" s="6">
        <v>4</v>
      </c>
      <c r="B10" s="6" t="str">
        <f t="shared" si="0"/>
        <v>20.4</v>
      </c>
      <c r="C10" s="31" t="s">
        <v>41</v>
      </c>
      <c r="D10" s="6" t="s">
        <v>662</v>
      </c>
      <c r="E10" s="6" t="s">
        <v>33</v>
      </c>
      <c r="F10" s="6" t="s">
        <v>36</v>
      </c>
      <c r="G10" s="6" t="s">
        <v>36</v>
      </c>
      <c r="H10" s="31" t="s">
        <v>36</v>
      </c>
      <c r="I10" s="36" t="s">
        <v>9</v>
      </c>
      <c r="J10" s="5" t="s">
        <v>36</v>
      </c>
      <c r="K10" s="5" t="s">
        <v>36</v>
      </c>
      <c r="L10" s="5" t="s">
        <v>36</v>
      </c>
      <c r="M10" s="5" t="s">
        <v>36</v>
      </c>
      <c r="N10" s="5" t="s">
        <v>36</v>
      </c>
      <c r="O10" s="6" t="s">
        <v>36</v>
      </c>
      <c r="P10" s="6" t="s">
        <v>211</v>
      </c>
    </row>
    <row r="11" spans="1:16" ht="71" customHeight="1" x14ac:dyDescent="0.35">
      <c r="A11" s="6">
        <v>5</v>
      </c>
      <c r="B11" s="6" t="str">
        <f>CONCATENATE($B$2, ".", A11)</f>
        <v>20.5</v>
      </c>
      <c r="C11" s="31" t="s">
        <v>41</v>
      </c>
      <c r="D11" s="6" t="s">
        <v>670</v>
      </c>
      <c r="E11" s="6" t="s">
        <v>35</v>
      </c>
      <c r="F11" s="6" t="s">
        <v>36</v>
      </c>
      <c r="G11" s="6" t="s">
        <v>36</v>
      </c>
      <c r="H11" s="31" t="s">
        <v>36</v>
      </c>
      <c r="I11" s="36" t="s">
        <v>9</v>
      </c>
      <c r="J11" s="5" t="s">
        <v>36</v>
      </c>
      <c r="K11" s="5" t="s">
        <v>36</v>
      </c>
      <c r="L11" s="5" t="s">
        <v>36</v>
      </c>
      <c r="M11" s="5" t="s">
        <v>36</v>
      </c>
      <c r="N11" s="5" t="s">
        <v>36</v>
      </c>
      <c r="O11" s="6" t="s">
        <v>665</v>
      </c>
      <c r="P11" s="6" t="s">
        <v>211</v>
      </c>
    </row>
    <row r="12" spans="1:16" ht="58" customHeight="1" x14ac:dyDescent="0.35">
      <c r="A12" s="6">
        <v>6</v>
      </c>
      <c r="B12" s="6" t="str">
        <f>CONCATENATE($B$2, ".", A12)</f>
        <v>20.6</v>
      </c>
      <c r="C12" s="31" t="s">
        <v>41</v>
      </c>
      <c r="D12" s="6" t="s">
        <v>664</v>
      </c>
      <c r="E12" s="6" t="s">
        <v>99</v>
      </c>
      <c r="F12" s="6" t="s">
        <v>36</v>
      </c>
      <c r="G12" s="6" t="s">
        <v>36</v>
      </c>
      <c r="H12" s="31" t="s">
        <v>36</v>
      </c>
      <c r="I12" s="36" t="s">
        <v>9</v>
      </c>
      <c r="J12" s="5" t="s">
        <v>36</v>
      </c>
      <c r="K12" s="5" t="s">
        <v>36</v>
      </c>
      <c r="L12" s="5" t="s">
        <v>36</v>
      </c>
      <c r="M12" s="5" t="s">
        <v>36</v>
      </c>
      <c r="N12" s="5" t="s">
        <v>36</v>
      </c>
      <c r="O12" s="6" t="s">
        <v>572</v>
      </c>
      <c r="P12" s="6" t="s">
        <v>211</v>
      </c>
    </row>
    <row r="13" spans="1:16" ht="78" customHeight="1" x14ac:dyDescent="0.35">
      <c r="A13" s="6">
        <v>7</v>
      </c>
      <c r="B13" s="6" t="str">
        <f t="shared" ref="B13:B17" si="1">CONCATENATE($B$2, ".", A13)</f>
        <v>20.7</v>
      </c>
      <c r="C13" s="31" t="s">
        <v>41</v>
      </c>
      <c r="D13" s="6" t="s">
        <v>596</v>
      </c>
      <c r="E13" s="6" t="s">
        <v>28</v>
      </c>
      <c r="F13" s="6" t="s">
        <v>36</v>
      </c>
      <c r="G13" s="6" t="s">
        <v>36</v>
      </c>
      <c r="H13" s="31" t="s">
        <v>36</v>
      </c>
      <c r="I13" s="36" t="s">
        <v>9</v>
      </c>
      <c r="J13" s="5" t="s">
        <v>36</v>
      </c>
      <c r="K13" s="5" t="s">
        <v>36</v>
      </c>
      <c r="L13" s="5" t="s">
        <v>36</v>
      </c>
      <c r="M13" s="5" t="s">
        <v>36</v>
      </c>
      <c r="N13" s="5" t="s">
        <v>36</v>
      </c>
      <c r="O13" s="6" t="s">
        <v>36</v>
      </c>
    </row>
    <row r="14" spans="1:16" ht="16" customHeight="1" x14ac:dyDescent="0.35">
      <c r="A14" s="96" t="s">
        <v>601</v>
      </c>
      <c r="B14" s="113"/>
      <c r="C14" s="114"/>
      <c r="D14" s="113"/>
      <c r="E14" s="113"/>
      <c r="F14" s="113"/>
      <c r="G14" s="113"/>
      <c r="H14" s="114"/>
      <c r="I14" s="113"/>
      <c r="J14" s="113"/>
      <c r="K14" s="113"/>
      <c r="L14" s="113"/>
      <c r="M14" s="113"/>
      <c r="N14" s="113"/>
      <c r="O14" s="113"/>
      <c r="P14" s="113"/>
    </row>
    <row r="15" spans="1:16" ht="78" customHeight="1" x14ac:dyDescent="0.35">
      <c r="A15" s="6">
        <v>8</v>
      </c>
      <c r="B15" s="6" t="str">
        <f>CONCATENATE($B$2, ".", A15)</f>
        <v>20.8</v>
      </c>
      <c r="C15" s="31" t="s">
        <v>41</v>
      </c>
      <c r="D15" s="6" t="s">
        <v>873</v>
      </c>
      <c r="E15" s="6" t="s">
        <v>114</v>
      </c>
      <c r="F15" s="6" t="s">
        <v>36</v>
      </c>
      <c r="G15" s="6" t="s">
        <v>36</v>
      </c>
      <c r="H15" s="31" t="s">
        <v>36</v>
      </c>
      <c r="I15" s="36" t="s">
        <v>9</v>
      </c>
      <c r="J15" s="5" t="s">
        <v>36</v>
      </c>
      <c r="K15" s="5" t="s">
        <v>36</v>
      </c>
      <c r="L15" s="5" t="s">
        <v>36</v>
      </c>
      <c r="M15" s="5" t="s">
        <v>36</v>
      </c>
      <c r="N15" s="5" t="s">
        <v>36</v>
      </c>
      <c r="O15" s="167" t="s">
        <v>874</v>
      </c>
    </row>
    <row r="16" spans="1:16" ht="78" customHeight="1" x14ac:dyDescent="0.35">
      <c r="A16" s="6">
        <v>9</v>
      </c>
      <c r="B16" s="6" t="str">
        <f>CONCATENATE($B$2, ".", A16)</f>
        <v>20.9</v>
      </c>
      <c r="C16" s="31" t="s">
        <v>41</v>
      </c>
      <c r="D16" s="6" t="s">
        <v>597</v>
      </c>
      <c r="E16" s="6" t="s">
        <v>35</v>
      </c>
      <c r="F16" s="6" t="s">
        <v>36</v>
      </c>
      <c r="G16" s="6" t="s">
        <v>36</v>
      </c>
      <c r="H16" s="31" t="s">
        <v>36</v>
      </c>
      <c r="I16" s="36" t="s">
        <v>9</v>
      </c>
      <c r="J16" s="5" t="s">
        <v>36</v>
      </c>
      <c r="K16" s="5" t="s">
        <v>36</v>
      </c>
      <c r="L16" s="5" t="s">
        <v>36</v>
      </c>
      <c r="M16" s="5" t="s">
        <v>36</v>
      </c>
      <c r="N16" s="5" t="s">
        <v>36</v>
      </c>
      <c r="O16" s="167"/>
    </row>
    <row r="17" spans="1:16" ht="78" customHeight="1" x14ac:dyDescent="0.35">
      <c r="A17" s="6">
        <v>10</v>
      </c>
      <c r="B17" s="6" t="str">
        <f t="shared" si="1"/>
        <v>20.10</v>
      </c>
      <c r="C17" s="31" t="s">
        <v>37</v>
      </c>
      <c r="D17" s="6" t="s">
        <v>598</v>
      </c>
      <c r="E17" s="6" t="s">
        <v>599</v>
      </c>
      <c r="F17" s="6" t="s">
        <v>872</v>
      </c>
      <c r="G17" s="6" t="s">
        <v>36</v>
      </c>
      <c r="H17" s="31" t="s">
        <v>36</v>
      </c>
      <c r="I17" s="36" t="s">
        <v>9</v>
      </c>
      <c r="J17" s="5" t="s">
        <v>36</v>
      </c>
      <c r="K17" s="5" t="s">
        <v>36</v>
      </c>
      <c r="L17" s="5" t="s">
        <v>36</v>
      </c>
      <c r="M17" s="5" t="s">
        <v>36</v>
      </c>
      <c r="N17" s="5" t="s">
        <v>36</v>
      </c>
      <c r="O17" s="167"/>
    </row>
    <row r="18" spans="1:16" ht="43.5" x14ac:dyDescent="0.35">
      <c r="A18" s="6">
        <v>11</v>
      </c>
      <c r="B18" s="6" t="str">
        <f>CONCATENATE($B$2, ".", A18)</f>
        <v>20.11</v>
      </c>
      <c r="C18" s="31" t="s">
        <v>41</v>
      </c>
      <c r="D18" s="6" t="s">
        <v>667</v>
      </c>
      <c r="E18" s="6" t="s">
        <v>99</v>
      </c>
      <c r="F18" s="6" t="s">
        <v>36</v>
      </c>
      <c r="G18" s="6" t="s">
        <v>36</v>
      </c>
      <c r="H18" s="31" t="s">
        <v>36</v>
      </c>
      <c r="I18" s="36" t="s">
        <v>9</v>
      </c>
      <c r="J18" s="5" t="s">
        <v>36</v>
      </c>
      <c r="K18" s="5" t="s">
        <v>36</v>
      </c>
      <c r="L18" s="5" t="s">
        <v>36</v>
      </c>
      <c r="M18" s="5" t="s">
        <v>36</v>
      </c>
      <c r="N18" s="5" t="s">
        <v>36</v>
      </c>
      <c r="O18" s="6" t="s">
        <v>668</v>
      </c>
    </row>
    <row r="19" spans="1:16" ht="72.5" x14ac:dyDescent="0.35">
      <c r="A19" s="6">
        <v>12</v>
      </c>
      <c r="B19" s="6" t="str">
        <f>CONCATENATE($B$2, ".", A19)</f>
        <v>20.12</v>
      </c>
      <c r="C19" s="31" t="s">
        <v>41</v>
      </c>
      <c r="D19" s="6" t="s">
        <v>669</v>
      </c>
      <c r="E19" s="6" t="s">
        <v>35</v>
      </c>
      <c r="F19" s="6" t="s">
        <v>36</v>
      </c>
      <c r="G19" s="6" t="s">
        <v>36</v>
      </c>
      <c r="H19" s="31" t="s">
        <v>36</v>
      </c>
      <c r="I19" s="36" t="s">
        <v>9</v>
      </c>
      <c r="J19" s="5" t="s">
        <v>36</v>
      </c>
      <c r="K19" s="5" t="s">
        <v>36</v>
      </c>
      <c r="L19" s="5" t="s">
        <v>36</v>
      </c>
      <c r="M19" s="5" t="s">
        <v>36</v>
      </c>
      <c r="N19" s="5" t="s">
        <v>36</v>
      </c>
      <c r="O19" s="6" t="s">
        <v>672</v>
      </c>
    </row>
    <row r="20" spans="1:16" ht="15" customHeight="1" x14ac:dyDescent="0.35">
      <c r="A20" s="96" t="s">
        <v>570</v>
      </c>
      <c r="B20" s="113"/>
      <c r="C20" s="114"/>
      <c r="D20" s="113"/>
      <c r="E20" s="113"/>
      <c r="F20" s="113"/>
      <c r="G20" s="113"/>
      <c r="H20" s="114"/>
      <c r="I20" s="113"/>
      <c r="J20" s="113"/>
      <c r="K20" s="113"/>
      <c r="L20" s="113"/>
      <c r="M20" s="113"/>
      <c r="N20" s="113"/>
      <c r="O20" s="113"/>
      <c r="P20" s="113"/>
    </row>
    <row r="21" spans="1:16" ht="58" x14ac:dyDescent="0.35">
      <c r="A21" s="6">
        <v>13</v>
      </c>
      <c r="B21" s="6" t="str">
        <f>CONCATENATE($B$2, ".", A21)</f>
        <v>20.13</v>
      </c>
      <c r="C21" s="31" t="s">
        <v>41</v>
      </c>
      <c r="D21" s="6" t="s">
        <v>600</v>
      </c>
      <c r="E21" s="6" t="s">
        <v>42</v>
      </c>
      <c r="F21" s="6" t="s">
        <v>36</v>
      </c>
      <c r="G21" s="6" t="s">
        <v>36</v>
      </c>
      <c r="H21" s="31" t="s">
        <v>36</v>
      </c>
      <c r="I21" s="36" t="s">
        <v>9</v>
      </c>
      <c r="J21" s="5" t="s">
        <v>36</v>
      </c>
      <c r="K21" s="5" t="s">
        <v>36</v>
      </c>
      <c r="L21" s="5" t="s">
        <v>36</v>
      </c>
      <c r="M21" s="5" t="s">
        <v>36</v>
      </c>
      <c r="N21" s="5" t="s">
        <v>36</v>
      </c>
      <c r="O21" s="6" t="s">
        <v>796</v>
      </c>
    </row>
    <row r="22" spans="1:16" ht="105.5" customHeight="1" x14ac:dyDescent="0.35">
      <c r="A22" s="6">
        <v>14</v>
      </c>
      <c r="B22" s="6" t="str">
        <f t="shared" ref="B22" si="2">CONCATENATE($B$2, ".", A22)</f>
        <v>20.14</v>
      </c>
      <c r="C22" s="31" t="s">
        <v>41</v>
      </c>
      <c r="D22" s="6" t="s">
        <v>791</v>
      </c>
      <c r="E22" s="6" t="s">
        <v>33</v>
      </c>
      <c r="F22" s="6" t="s">
        <v>36</v>
      </c>
      <c r="G22" s="6" t="s">
        <v>36</v>
      </c>
      <c r="H22" s="31" t="s">
        <v>36</v>
      </c>
      <c r="I22" s="36" t="s">
        <v>9</v>
      </c>
      <c r="J22" s="5" t="s">
        <v>36</v>
      </c>
      <c r="K22" s="5" t="s">
        <v>36</v>
      </c>
      <c r="L22" s="5" t="s">
        <v>36</v>
      </c>
      <c r="M22" s="5" t="s">
        <v>36</v>
      </c>
      <c r="N22" s="5" t="s">
        <v>36</v>
      </c>
      <c r="O22" s="6" t="s">
        <v>36</v>
      </c>
      <c r="P22" s="6" t="s">
        <v>211</v>
      </c>
    </row>
    <row r="23" spans="1:16" x14ac:dyDescent="0.35">
      <c r="D23" s="6" t="s">
        <v>68</v>
      </c>
    </row>
  </sheetData>
  <autoFilter ref="A6:P21"/>
  <mergeCells count="1">
    <mergeCell ref="O15:O17"/>
  </mergeCells>
  <conditionalFormatting sqref="C20:C21 C23:C1048576 C9:C17">
    <cfRule type="cellIs" dxfId="289" priority="30" operator="equal">
      <formula>"WIP (see comments)"</formula>
    </cfRule>
    <cfRule type="cellIs" dxfId="288" priority="31" operator="equal">
      <formula>"Removed"</formula>
    </cfRule>
    <cfRule type="cellIs" dxfId="287" priority="32" operator="equal">
      <formula>"Updated"</formula>
    </cfRule>
    <cfRule type="cellIs" dxfId="286" priority="33" operator="equal">
      <formula>"New"</formula>
    </cfRule>
  </conditionalFormatting>
  <conditionalFormatting sqref="A20:XFD20 C21 F21:P21 A16:N17 P16:XFD17 A9:XFD15">
    <cfRule type="cellIs" dxfId="285" priority="29" operator="equal">
      <formula>"n/a"</formula>
    </cfRule>
  </conditionalFormatting>
  <conditionalFormatting sqref="C7:C8">
    <cfRule type="cellIs" dxfId="284" priority="25" operator="equal">
      <formula>"WIP (see comments)"</formula>
    </cfRule>
    <cfRule type="cellIs" dxfId="283" priority="26" operator="equal">
      <formula>"Removed"</formula>
    </cfRule>
    <cfRule type="cellIs" dxfId="282" priority="27" operator="equal">
      <formula>"Updated"</formula>
    </cfRule>
    <cfRule type="cellIs" dxfId="281" priority="28" operator="equal">
      <formula>"New"</formula>
    </cfRule>
  </conditionalFormatting>
  <conditionalFormatting sqref="C7:C8">
    <cfRule type="cellIs" dxfId="280" priority="24" operator="equal">
      <formula>"n/a"</formula>
    </cfRule>
  </conditionalFormatting>
  <conditionalFormatting sqref="D8:P8 F7:O7">
    <cfRule type="cellIs" dxfId="279" priority="19" operator="equal">
      <formula>"n/a"</formula>
    </cfRule>
  </conditionalFormatting>
  <conditionalFormatting sqref="C18">
    <cfRule type="cellIs" dxfId="278" priority="13" operator="equal">
      <formula>"WIP (see comments)"</formula>
    </cfRule>
    <cfRule type="cellIs" dxfId="277" priority="14" operator="equal">
      <formula>"Removed"</formula>
    </cfRule>
    <cfRule type="cellIs" dxfId="276" priority="15" operator="equal">
      <formula>"Updated"</formula>
    </cfRule>
    <cfRule type="cellIs" dxfId="275" priority="16" operator="equal">
      <formula>"New"</formula>
    </cfRule>
  </conditionalFormatting>
  <conditionalFormatting sqref="C18 F18:P18">
    <cfRule type="cellIs" dxfId="274" priority="12" operator="equal">
      <formula>"n/a"</formula>
    </cfRule>
  </conditionalFormatting>
  <conditionalFormatting sqref="C19">
    <cfRule type="cellIs" dxfId="273" priority="8" operator="equal">
      <formula>"WIP (see comments)"</formula>
    </cfRule>
    <cfRule type="cellIs" dxfId="272" priority="9" operator="equal">
      <formula>"Removed"</formula>
    </cfRule>
    <cfRule type="cellIs" dxfId="271" priority="10" operator="equal">
      <formula>"Updated"</formula>
    </cfRule>
    <cfRule type="cellIs" dxfId="270" priority="11" operator="equal">
      <formula>"New"</formula>
    </cfRule>
  </conditionalFormatting>
  <conditionalFormatting sqref="C19 F19:N19 P19">
    <cfRule type="cellIs" dxfId="269" priority="7" operator="equal">
      <formula>"n/a"</formula>
    </cfRule>
  </conditionalFormatting>
  <conditionalFormatting sqref="O19">
    <cfRule type="cellIs" dxfId="268" priority="6" operator="equal">
      <formula>"n/a"</formula>
    </cfRule>
  </conditionalFormatting>
  <conditionalFormatting sqref="C22">
    <cfRule type="cellIs" dxfId="267" priority="2" operator="equal">
      <formula>"WIP (see comments)"</formula>
    </cfRule>
    <cfRule type="cellIs" dxfId="266" priority="3" operator="equal">
      <formula>"Removed"</formula>
    </cfRule>
    <cfRule type="cellIs" dxfId="265" priority="4" operator="equal">
      <formula>"Updated"</formula>
    </cfRule>
    <cfRule type="cellIs" dxfId="264" priority="5" operator="equal">
      <formula>"New"</formula>
    </cfRule>
  </conditionalFormatting>
  <conditionalFormatting sqref="A22:XFD22">
    <cfRule type="cellIs" dxfId="26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C7:C22</xm:sqref>
        </x14:dataValidation>
        <x14:dataValidation type="list" allowBlank="1" showInputMessage="1" showErrorMessage="1">
          <x14:formula1>
            <xm:f>'List Values'!$A$5:$A$34</xm:f>
          </x14:formula1>
          <xm:sqref>E7:E22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zoomScaleNormal="100" workbookViewId="0">
      <pane xSplit="4" ySplit="6" topLeftCell="M10" activePane="bottomRight" state="frozen"/>
      <selection activeCell="O8" sqref="O8"/>
      <selection pane="topRight" activeCell="O8" sqref="O8"/>
      <selection pane="bottomLeft" activeCell="O8" sqref="O8"/>
      <selection pane="bottomRight" activeCell="A11" sqref="A11"/>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573</v>
      </c>
      <c r="C1" s="35"/>
      <c r="D1" s="26"/>
      <c r="H1" s="32"/>
    </row>
    <row r="2" spans="1:16" s="27" customFormat="1" ht="18.5" x14ac:dyDescent="0.35">
      <c r="A2" s="25" t="s">
        <v>7</v>
      </c>
      <c r="B2" s="33">
        <v>21</v>
      </c>
      <c r="C2" s="32"/>
      <c r="D2" s="33"/>
      <c r="H2" s="32"/>
    </row>
    <row r="3" spans="1:16" s="27" customFormat="1" ht="18.5" x14ac:dyDescent="0.35">
      <c r="A3" s="25" t="s">
        <v>43</v>
      </c>
      <c r="B3" s="33" t="s">
        <v>535</v>
      </c>
      <c r="C3" s="32"/>
      <c r="D3" s="35" t="s">
        <v>803</v>
      </c>
      <c r="H3" s="32"/>
    </row>
    <row r="4" spans="1:16" s="27" customFormat="1" ht="18.5" x14ac:dyDescent="0.35">
      <c r="A4" s="25" t="s">
        <v>8</v>
      </c>
      <c r="B4" s="163" t="s">
        <v>46</v>
      </c>
      <c r="C4" s="163"/>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CONCATENATE($B$2, ".", A7)</f>
        <v>21.1</v>
      </c>
      <c r="C7" s="31" t="s">
        <v>41</v>
      </c>
      <c r="D7" s="6" t="s">
        <v>565</v>
      </c>
      <c r="E7" s="6" t="s">
        <v>115</v>
      </c>
      <c r="F7" s="6" t="s">
        <v>36</v>
      </c>
      <c r="G7" s="6" t="s">
        <v>36</v>
      </c>
      <c r="H7" s="31" t="s">
        <v>36</v>
      </c>
      <c r="I7" s="6" t="s">
        <v>9</v>
      </c>
      <c r="J7" s="6" t="s">
        <v>36</v>
      </c>
      <c r="K7" s="6" t="s">
        <v>36</v>
      </c>
      <c r="L7" s="6" t="s">
        <v>36</v>
      </c>
      <c r="M7" s="6" t="s">
        <v>36</v>
      </c>
      <c r="N7" s="6" t="s">
        <v>36</v>
      </c>
      <c r="O7" s="6" t="s">
        <v>36</v>
      </c>
      <c r="P7" s="6" t="s">
        <v>211</v>
      </c>
    </row>
    <row r="8" spans="1:16" x14ac:dyDescent="0.35">
      <c r="A8" s="6">
        <v>2</v>
      </c>
      <c r="B8" s="6" t="str">
        <f>CONCATENATE($B$2, ".", A8)</f>
        <v>21.2</v>
      </c>
      <c r="C8" s="31" t="s">
        <v>41</v>
      </c>
      <c r="D8" s="6" t="s">
        <v>36</v>
      </c>
      <c r="E8" s="6" t="s">
        <v>48</v>
      </c>
      <c r="F8" s="6" t="s">
        <v>36</v>
      </c>
      <c r="G8" s="6" t="s">
        <v>36</v>
      </c>
      <c r="H8" s="31" t="s">
        <v>36</v>
      </c>
      <c r="I8" s="6" t="s">
        <v>9</v>
      </c>
      <c r="J8" s="6" t="s">
        <v>36</v>
      </c>
      <c r="K8" s="6" t="s">
        <v>36</v>
      </c>
      <c r="L8" s="6" t="s">
        <v>36</v>
      </c>
      <c r="M8" s="6" t="s">
        <v>36</v>
      </c>
      <c r="N8" s="6" t="s">
        <v>36</v>
      </c>
      <c r="O8" s="6" t="s">
        <v>36</v>
      </c>
    </row>
    <row r="9" spans="1:16" ht="58" x14ac:dyDescent="0.35">
      <c r="A9" s="6">
        <v>3</v>
      </c>
      <c r="B9" s="6" t="str">
        <f>CONCATENATE($B$2, ".", A9)</f>
        <v>21.3</v>
      </c>
      <c r="C9" s="31" t="s">
        <v>41</v>
      </c>
      <c r="D9" s="6" t="s">
        <v>576</v>
      </c>
      <c r="E9" s="6" t="s">
        <v>33</v>
      </c>
      <c r="F9" s="6" t="s">
        <v>36</v>
      </c>
      <c r="G9" s="6" t="s">
        <v>36</v>
      </c>
      <c r="H9" s="31" t="s">
        <v>36</v>
      </c>
      <c r="I9" s="6" t="s">
        <v>9</v>
      </c>
      <c r="J9" s="6" t="s">
        <v>36</v>
      </c>
      <c r="K9" s="6" t="s">
        <v>36</v>
      </c>
      <c r="L9" s="6" t="s">
        <v>36</v>
      </c>
      <c r="M9" s="6" t="s">
        <v>36</v>
      </c>
      <c r="N9" s="6" t="s">
        <v>36</v>
      </c>
      <c r="O9" s="6" t="s">
        <v>36</v>
      </c>
      <c r="P9" s="6" t="s">
        <v>211</v>
      </c>
    </row>
    <row r="10" spans="1:16" ht="43.5" x14ac:dyDescent="0.35">
      <c r="A10" s="6">
        <v>4</v>
      </c>
      <c r="B10" s="6" t="str">
        <f t="shared" ref="B10:B11" si="0">CONCATENATE($B$2, ".", A10)</f>
        <v>21.4</v>
      </c>
      <c r="C10" s="31" t="s">
        <v>41</v>
      </c>
      <c r="D10" s="6" t="s">
        <v>566</v>
      </c>
      <c r="E10" s="6" t="s">
        <v>35</v>
      </c>
      <c r="F10" s="6" t="s">
        <v>567</v>
      </c>
      <c r="G10" s="6" t="s">
        <v>36</v>
      </c>
      <c r="H10" s="31" t="s">
        <v>36</v>
      </c>
      <c r="I10" s="6" t="s">
        <v>9</v>
      </c>
      <c r="J10" s="6" t="s">
        <v>36</v>
      </c>
      <c r="K10" s="6" t="s">
        <v>36</v>
      </c>
      <c r="L10" s="6" t="s">
        <v>36</v>
      </c>
      <c r="M10" s="6" t="s">
        <v>36</v>
      </c>
      <c r="N10" s="6" t="s">
        <v>36</v>
      </c>
      <c r="O10" s="6" t="s">
        <v>568</v>
      </c>
      <c r="P10" s="6" t="s">
        <v>740</v>
      </c>
    </row>
    <row r="11" spans="1:16" ht="188.5" x14ac:dyDescent="0.35">
      <c r="A11" s="6">
        <v>5</v>
      </c>
      <c r="B11" s="6" t="str">
        <f t="shared" si="0"/>
        <v>21.5</v>
      </c>
      <c r="C11" s="31" t="s">
        <v>41</v>
      </c>
      <c r="D11" s="36" t="s">
        <v>569</v>
      </c>
      <c r="E11" s="36" t="s">
        <v>34</v>
      </c>
      <c r="F11" s="36" t="s">
        <v>680</v>
      </c>
      <c r="G11" s="36" t="s">
        <v>36</v>
      </c>
      <c r="H11" s="45" t="s">
        <v>36</v>
      </c>
      <c r="I11" s="36" t="s">
        <v>9</v>
      </c>
      <c r="J11" s="36" t="s">
        <v>571</v>
      </c>
      <c r="K11" s="36" t="s">
        <v>53</v>
      </c>
      <c r="L11" s="36" t="s">
        <v>729</v>
      </c>
      <c r="M11" s="36" t="s">
        <v>36</v>
      </c>
      <c r="N11" s="36" t="s">
        <v>36</v>
      </c>
      <c r="O11" s="36" t="s">
        <v>970</v>
      </c>
      <c r="P11" s="6" t="s">
        <v>211</v>
      </c>
    </row>
    <row r="12" spans="1:16" ht="116" x14ac:dyDescent="0.35">
      <c r="A12" s="6">
        <v>6</v>
      </c>
      <c r="B12" s="6" t="str">
        <f t="shared" ref="B12:B17" si="1">CONCATENATE($B$2, ".", A12)</f>
        <v>21.6</v>
      </c>
      <c r="C12" s="31" t="s">
        <v>37</v>
      </c>
      <c r="D12" s="36" t="s">
        <v>779</v>
      </c>
      <c r="E12" s="36" t="s">
        <v>32</v>
      </c>
      <c r="F12" s="36" t="s">
        <v>784</v>
      </c>
      <c r="G12" s="36" t="s">
        <v>675</v>
      </c>
      <c r="H12" s="45" t="s">
        <v>36</v>
      </c>
      <c r="I12" s="36" t="s">
        <v>9</v>
      </c>
      <c r="J12" s="36" t="s">
        <v>36</v>
      </c>
      <c r="K12" s="36" t="s">
        <v>53</v>
      </c>
      <c r="L12" s="36" t="s">
        <v>778</v>
      </c>
      <c r="M12" s="36" t="s">
        <v>785</v>
      </c>
      <c r="N12" s="36" t="s">
        <v>778</v>
      </c>
      <c r="O12" s="36" t="s">
        <v>968</v>
      </c>
      <c r="P12" s="6" t="s">
        <v>969</v>
      </c>
    </row>
    <row r="13" spans="1:16" ht="29" x14ac:dyDescent="0.35">
      <c r="A13" s="6">
        <v>7</v>
      </c>
      <c r="B13" s="6" t="str">
        <f t="shared" si="1"/>
        <v>21.7</v>
      </c>
      <c r="C13" s="31" t="s">
        <v>41</v>
      </c>
      <c r="D13" s="36" t="s">
        <v>780</v>
      </c>
      <c r="E13" s="36" t="s">
        <v>33</v>
      </c>
      <c r="F13" s="36" t="s">
        <v>36</v>
      </c>
      <c r="G13" s="38" t="s">
        <v>36</v>
      </c>
      <c r="H13" s="45" t="s">
        <v>36</v>
      </c>
      <c r="I13" s="36" t="s">
        <v>9</v>
      </c>
      <c r="J13" s="36" t="s">
        <v>36</v>
      </c>
      <c r="K13" s="36" t="s">
        <v>36</v>
      </c>
      <c r="L13" s="36" t="s">
        <v>36</v>
      </c>
      <c r="M13" s="36" t="s">
        <v>36</v>
      </c>
      <c r="N13" s="36" t="s">
        <v>36</v>
      </c>
      <c r="O13" s="36"/>
      <c r="P13" s="36" t="s">
        <v>211</v>
      </c>
    </row>
    <row r="14" spans="1:16" ht="72.5" x14ac:dyDescent="0.35">
      <c r="A14" s="6">
        <v>8</v>
      </c>
      <c r="B14" s="6" t="str">
        <f t="shared" si="1"/>
        <v>21.8</v>
      </c>
      <c r="C14" s="31" t="s">
        <v>41</v>
      </c>
      <c r="D14" s="36" t="s">
        <v>797</v>
      </c>
      <c r="E14" s="36" t="s">
        <v>31</v>
      </c>
      <c r="F14" s="36" t="s">
        <v>802</v>
      </c>
      <c r="G14" s="36" t="s">
        <v>787</v>
      </c>
      <c r="H14" s="45">
        <v>19</v>
      </c>
      <c r="I14" s="36" t="s">
        <v>9</v>
      </c>
      <c r="J14" s="36" t="s">
        <v>495</v>
      </c>
      <c r="K14" s="36" t="s">
        <v>53</v>
      </c>
      <c r="L14" s="36" t="s">
        <v>814</v>
      </c>
      <c r="M14" s="36" t="s">
        <v>36</v>
      </c>
      <c r="N14" s="36" t="s">
        <v>36</v>
      </c>
      <c r="O14" s="36" t="s">
        <v>798</v>
      </c>
    </row>
    <row r="15" spans="1:16" ht="72.5" x14ac:dyDescent="0.35">
      <c r="A15" s="6">
        <v>9</v>
      </c>
      <c r="B15" s="6" t="str">
        <f t="shared" si="1"/>
        <v>21.9</v>
      </c>
      <c r="C15" s="31" t="s">
        <v>41</v>
      </c>
      <c r="D15" s="36" t="s">
        <v>781</v>
      </c>
      <c r="E15" s="36" t="s">
        <v>31</v>
      </c>
      <c r="F15" s="36" t="s">
        <v>802</v>
      </c>
      <c r="G15" s="36" t="s">
        <v>788</v>
      </c>
      <c r="H15" s="45">
        <v>19</v>
      </c>
      <c r="I15" s="36" t="s">
        <v>9</v>
      </c>
      <c r="J15" s="36" t="s">
        <v>495</v>
      </c>
      <c r="K15" s="36" t="s">
        <v>53</v>
      </c>
      <c r="L15" s="36" t="s">
        <v>815</v>
      </c>
      <c r="M15" s="36" t="s">
        <v>36</v>
      </c>
      <c r="N15" s="36" t="s">
        <v>36</v>
      </c>
      <c r="O15" s="36" t="s">
        <v>799</v>
      </c>
    </row>
    <row r="16" spans="1:16" ht="72.5" x14ac:dyDescent="0.35">
      <c r="A16" s="6">
        <v>10</v>
      </c>
      <c r="B16" s="6" t="str">
        <f t="shared" si="1"/>
        <v>21.10</v>
      </c>
      <c r="C16" s="31" t="s">
        <v>41</v>
      </c>
      <c r="D16" s="36" t="s">
        <v>782</v>
      </c>
      <c r="E16" s="36" t="s">
        <v>31</v>
      </c>
      <c r="F16" s="36" t="s">
        <v>802</v>
      </c>
      <c r="G16" s="36" t="s">
        <v>789</v>
      </c>
      <c r="H16" s="45">
        <v>19</v>
      </c>
      <c r="I16" s="36" t="s">
        <v>9</v>
      </c>
      <c r="J16" s="36" t="s">
        <v>495</v>
      </c>
      <c r="K16" s="36" t="s">
        <v>53</v>
      </c>
      <c r="L16" s="36" t="s">
        <v>816</v>
      </c>
      <c r="M16" s="36" t="s">
        <v>36</v>
      </c>
      <c r="N16" s="36" t="s">
        <v>36</v>
      </c>
      <c r="O16" s="36" t="s">
        <v>800</v>
      </c>
    </row>
    <row r="17" spans="1:16" ht="72.5" x14ac:dyDescent="0.35">
      <c r="A17" s="6">
        <v>11</v>
      </c>
      <c r="B17" s="6" t="str">
        <f t="shared" si="1"/>
        <v>21.11</v>
      </c>
      <c r="C17" s="31" t="s">
        <v>41</v>
      </c>
      <c r="D17" s="36" t="s">
        <v>783</v>
      </c>
      <c r="E17" s="36" t="s">
        <v>31</v>
      </c>
      <c r="F17" s="36" t="s">
        <v>802</v>
      </c>
      <c r="G17" s="36" t="s">
        <v>790</v>
      </c>
      <c r="H17" s="45">
        <v>19</v>
      </c>
      <c r="I17" s="36" t="s">
        <v>9</v>
      </c>
      <c r="J17" s="36" t="s">
        <v>495</v>
      </c>
      <c r="K17" s="36" t="s">
        <v>53</v>
      </c>
      <c r="L17" s="36" t="s">
        <v>817</v>
      </c>
      <c r="M17" s="36" t="s">
        <v>36</v>
      </c>
      <c r="N17" s="36" t="s">
        <v>36</v>
      </c>
      <c r="O17" s="36" t="s">
        <v>801</v>
      </c>
    </row>
    <row r="18" spans="1:16" ht="159.5" x14ac:dyDescent="0.35">
      <c r="A18" s="6">
        <v>12</v>
      </c>
      <c r="B18" s="6" t="str">
        <f>CONCATENATE($B$2, ".", A18)</f>
        <v>21.12</v>
      </c>
      <c r="C18" s="31" t="s">
        <v>41</v>
      </c>
      <c r="D18" s="6" t="s">
        <v>57</v>
      </c>
      <c r="E18" s="6" t="s">
        <v>42</v>
      </c>
      <c r="F18" s="36" t="s">
        <v>36</v>
      </c>
      <c r="G18" s="36" t="s">
        <v>36</v>
      </c>
      <c r="H18" s="45" t="s">
        <v>36</v>
      </c>
      <c r="I18" s="36" t="s">
        <v>9</v>
      </c>
      <c r="J18" s="36" t="s">
        <v>36</v>
      </c>
      <c r="K18" s="36" t="s">
        <v>36</v>
      </c>
      <c r="L18" s="36" t="s">
        <v>36</v>
      </c>
      <c r="M18" s="36" t="s">
        <v>36</v>
      </c>
      <c r="N18" s="36" t="s">
        <v>36</v>
      </c>
      <c r="O18" s="6" t="s">
        <v>786</v>
      </c>
    </row>
    <row r="19" spans="1:16" x14ac:dyDescent="0.35">
      <c r="A19" s="6">
        <v>13</v>
      </c>
      <c r="B19" s="6" t="str">
        <f t="shared" ref="B19" si="2">CONCATENATE($B$2, ".", A19)</f>
        <v>21.13</v>
      </c>
      <c r="C19" s="31" t="s">
        <v>40</v>
      </c>
      <c r="D19" s="6" t="s">
        <v>56</v>
      </c>
      <c r="E19" s="6" t="s">
        <v>42</v>
      </c>
      <c r="F19" s="36" t="s">
        <v>36</v>
      </c>
      <c r="G19" s="36" t="s">
        <v>36</v>
      </c>
      <c r="H19" s="45" t="s">
        <v>36</v>
      </c>
      <c r="I19" s="36" t="s">
        <v>9</v>
      </c>
      <c r="J19" s="36" t="s">
        <v>36</v>
      </c>
      <c r="K19" s="36" t="s">
        <v>36</v>
      </c>
      <c r="L19" s="36" t="s">
        <v>36</v>
      </c>
      <c r="M19" s="36" t="s">
        <v>36</v>
      </c>
      <c r="N19" s="36" t="s">
        <v>36</v>
      </c>
      <c r="O19" s="36"/>
      <c r="P19" s="36"/>
    </row>
    <row r="21" spans="1:16" x14ac:dyDescent="0.35">
      <c r="D21" s="6" t="s">
        <v>68</v>
      </c>
    </row>
  </sheetData>
  <autoFilter ref="A6:P19"/>
  <mergeCells count="1">
    <mergeCell ref="B4:C4"/>
  </mergeCells>
  <conditionalFormatting sqref="C9:C1048576">
    <cfRule type="cellIs" dxfId="262" priority="42" operator="equal">
      <formula>"WIP (see comments)"</formula>
    </cfRule>
    <cfRule type="cellIs" dxfId="261" priority="43" operator="equal">
      <formula>"Removed"</formula>
    </cfRule>
    <cfRule type="cellIs" dxfId="260" priority="44" operator="equal">
      <formula>"Updated"</formula>
    </cfRule>
    <cfRule type="cellIs" dxfId="259" priority="45" operator="equal">
      <formula>"New"</formula>
    </cfRule>
  </conditionalFormatting>
  <conditionalFormatting sqref="F7:P10 C9:C19">
    <cfRule type="cellIs" dxfId="258" priority="41" operator="equal">
      <formula>"n/a"</formula>
    </cfRule>
  </conditionalFormatting>
  <conditionalFormatting sqref="C7:C8">
    <cfRule type="cellIs" dxfId="257" priority="37" operator="equal">
      <formula>"WIP (see comments)"</formula>
    </cfRule>
    <cfRule type="cellIs" dxfId="256" priority="38" operator="equal">
      <formula>"Removed"</formula>
    </cfRule>
    <cfRule type="cellIs" dxfId="255" priority="39" operator="equal">
      <formula>"Updated"</formula>
    </cfRule>
    <cfRule type="cellIs" dxfId="254" priority="40" operator="equal">
      <formula>"New"</formula>
    </cfRule>
  </conditionalFormatting>
  <conditionalFormatting sqref="C7:C8">
    <cfRule type="cellIs" dxfId="253" priority="36" operator="equal">
      <formula>"n/a"</formula>
    </cfRule>
  </conditionalFormatting>
  <conditionalFormatting sqref="F14 K14:K15 G11:N11 H14:I17 M14:P14 M15:N17 K17 F12:P13 P10:P11">
    <cfRule type="cellIs" dxfId="252" priority="35" operator="equal">
      <formula>"n/a"</formula>
    </cfRule>
  </conditionalFormatting>
  <conditionalFormatting sqref="O15:O17">
    <cfRule type="cellIs" dxfId="251" priority="29" operator="equal">
      <formula>"n/a"</formula>
    </cfRule>
  </conditionalFormatting>
  <conditionalFormatting sqref="J14:J17">
    <cfRule type="cellIs" dxfId="250" priority="16" operator="equal">
      <formula>"n/a"</formula>
    </cfRule>
  </conditionalFormatting>
  <conditionalFormatting sqref="P15:P17">
    <cfRule type="cellIs" dxfId="249" priority="15" operator="equal">
      <formula>"n/a"</formula>
    </cfRule>
  </conditionalFormatting>
  <conditionalFormatting sqref="F11">
    <cfRule type="cellIs" dxfId="248" priority="14" operator="equal">
      <formula>"n/a"</formula>
    </cfRule>
  </conditionalFormatting>
  <conditionalFormatting sqref="O11">
    <cfRule type="cellIs" dxfId="247" priority="13" operator="equal">
      <formula>"n/a"</formula>
    </cfRule>
  </conditionalFormatting>
  <conditionalFormatting sqref="G14:G17">
    <cfRule type="cellIs" dxfId="246" priority="12" operator="equal">
      <formula>"n/a"</formula>
    </cfRule>
  </conditionalFormatting>
  <conditionalFormatting sqref="L14">
    <cfRule type="cellIs" dxfId="245" priority="11" operator="equal">
      <formula>"n/a"</formula>
    </cfRule>
  </conditionalFormatting>
  <conditionalFormatting sqref="L15:L17">
    <cfRule type="cellIs" dxfId="244" priority="10" operator="equal">
      <formula>"n/a"</formula>
    </cfRule>
  </conditionalFormatting>
  <conditionalFormatting sqref="K16">
    <cfRule type="cellIs" dxfId="243" priority="8" operator="equal">
      <formula>"n/a"</formula>
    </cfRule>
  </conditionalFormatting>
  <conditionalFormatting sqref="F18:N19">
    <cfRule type="cellIs" dxfId="242" priority="4" operator="equal">
      <formula>"n/a"</formula>
    </cfRule>
  </conditionalFormatting>
  <conditionalFormatting sqref="F15">
    <cfRule type="cellIs" dxfId="241" priority="3" operator="equal">
      <formula>"n/a"</formula>
    </cfRule>
  </conditionalFormatting>
  <conditionalFormatting sqref="F16">
    <cfRule type="cellIs" dxfId="240" priority="2" operator="equal">
      <formula>"n/a"</formula>
    </cfRule>
  </conditionalFormatting>
  <conditionalFormatting sqref="F17">
    <cfRule type="cellIs" dxfId="239" priority="1" operator="equal">
      <formula>"n/a"</formula>
    </cfRule>
  </conditionalFormatting>
  <dataValidations count="1">
    <dataValidation type="list" allowBlank="1" showInputMessage="1" showErrorMessage="1" sqref="E18:E19">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Values'!$A$5:$A$34</xm:f>
          </x14:formula1>
          <xm:sqref>E7:E17</xm:sqref>
        </x14:dataValidation>
        <x14:dataValidation type="list" allowBlank="1" showInputMessage="1" showErrorMessage="1">
          <x14:formula1>
            <xm:f>'List Values'!$B$5:$B$12</xm:f>
          </x14:formula1>
          <xm:sqref>C7:C19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
  <sheetViews>
    <sheetView workbookViewId="0">
      <pane xSplit="4" ySplit="6" topLeftCell="J7" activePane="bottomRight" state="frozen"/>
      <selection activeCell="O8" sqref="O8"/>
      <selection pane="topRight" activeCell="O8" sqref="O8"/>
      <selection pane="bottomLeft" activeCell="O8" sqref="O8"/>
      <selection pane="bottomRight" activeCell="D15" sqref="D1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321</v>
      </c>
      <c r="C1" s="35"/>
      <c r="D1" s="26"/>
      <c r="H1" s="32"/>
    </row>
    <row r="2" spans="1:16" s="27" customFormat="1" ht="18.5" x14ac:dyDescent="0.35">
      <c r="A2" s="25" t="s">
        <v>7</v>
      </c>
      <c r="B2" s="33">
        <v>22</v>
      </c>
      <c r="C2" s="32"/>
      <c r="D2" s="33"/>
      <c r="H2" s="32"/>
    </row>
    <row r="3" spans="1:16" s="27" customFormat="1" ht="18.5" x14ac:dyDescent="0.35">
      <c r="A3" s="25" t="s">
        <v>43</v>
      </c>
      <c r="B3" s="33" t="s">
        <v>536</v>
      </c>
      <c r="C3" s="32"/>
      <c r="D3" s="33" t="s">
        <v>880</v>
      </c>
      <c r="H3" s="32"/>
    </row>
    <row r="4" spans="1:16" s="27" customFormat="1" ht="18.5" x14ac:dyDescent="0.35">
      <c r="A4" s="25" t="s">
        <v>8</v>
      </c>
      <c r="B4" s="163" t="s">
        <v>46</v>
      </c>
      <c r="C4" s="163"/>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8" si="0">CONCATENATE($B$2, ".", A7)</f>
        <v>22.1</v>
      </c>
      <c r="C7" s="31" t="s">
        <v>41</v>
      </c>
      <c r="D7" s="6" t="s">
        <v>564</v>
      </c>
      <c r="E7" s="6" t="s">
        <v>115</v>
      </c>
      <c r="F7" s="6" t="s">
        <v>36</v>
      </c>
      <c r="G7" s="6" t="s">
        <v>36</v>
      </c>
      <c r="H7" s="31" t="s">
        <v>36</v>
      </c>
      <c r="I7" s="6" t="s">
        <v>9</v>
      </c>
      <c r="J7" s="6" t="s">
        <v>36</v>
      </c>
      <c r="K7" s="6" t="s">
        <v>36</v>
      </c>
      <c r="L7" s="6" t="s">
        <v>36</v>
      </c>
      <c r="M7" s="6" t="s">
        <v>36</v>
      </c>
      <c r="N7" s="6" t="s">
        <v>36</v>
      </c>
      <c r="O7" s="6" t="s">
        <v>36</v>
      </c>
    </row>
    <row r="8" spans="1:16" ht="29" x14ac:dyDescent="0.35">
      <c r="A8" s="6">
        <v>2</v>
      </c>
      <c r="B8" s="6" t="str">
        <f t="shared" si="0"/>
        <v>22.2</v>
      </c>
      <c r="C8" s="31" t="s">
        <v>44</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35">
      <c r="A9" s="6">
        <v>3</v>
      </c>
      <c r="B9" s="6" t="str">
        <f t="shared" ref="B9:B15" si="1">CONCATENATE($B$2, ".", A9)</f>
        <v>22.3</v>
      </c>
      <c r="C9" s="31" t="s">
        <v>41</v>
      </c>
      <c r="D9" s="6" t="s">
        <v>878</v>
      </c>
      <c r="E9" s="6" t="s">
        <v>28</v>
      </c>
      <c r="F9" s="6" t="s">
        <v>36</v>
      </c>
      <c r="G9" s="6" t="s">
        <v>36</v>
      </c>
      <c r="H9" s="31" t="s">
        <v>36</v>
      </c>
      <c r="I9" s="6" t="s">
        <v>9</v>
      </c>
      <c r="J9" s="6" t="s">
        <v>36</v>
      </c>
      <c r="K9" s="6" t="s">
        <v>36</v>
      </c>
      <c r="L9" s="6" t="s">
        <v>36</v>
      </c>
      <c r="M9" s="6" t="s">
        <v>36</v>
      </c>
      <c r="N9" s="6" t="s">
        <v>36</v>
      </c>
      <c r="O9" s="6" t="s">
        <v>36</v>
      </c>
    </row>
    <row r="10" spans="1:16" ht="31" customHeight="1" x14ac:dyDescent="0.35">
      <c r="A10" s="6">
        <v>4</v>
      </c>
      <c r="B10" s="6" t="str">
        <f t="shared" ref="B10" si="2">CONCATENATE($B$2, ".", A10)</f>
        <v>22.4</v>
      </c>
      <c r="C10" s="31" t="s">
        <v>41</v>
      </c>
      <c r="D10" s="6" t="s">
        <v>822</v>
      </c>
      <c r="E10" s="6" t="s">
        <v>28</v>
      </c>
      <c r="F10" s="6" t="s">
        <v>36</v>
      </c>
      <c r="G10" s="6" t="s">
        <v>36</v>
      </c>
      <c r="H10" s="31" t="s">
        <v>36</v>
      </c>
      <c r="I10" s="6" t="s">
        <v>9</v>
      </c>
      <c r="J10" s="6" t="s">
        <v>36</v>
      </c>
      <c r="K10" s="6" t="s">
        <v>36</v>
      </c>
      <c r="L10" s="6" t="s">
        <v>36</v>
      </c>
      <c r="M10" s="6" t="s">
        <v>36</v>
      </c>
      <c r="N10" s="6" t="s">
        <v>36</v>
      </c>
      <c r="O10" s="6" t="s">
        <v>36</v>
      </c>
    </row>
    <row r="11" spans="1:16" ht="54" customHeight="1" x14ac:dyDescent="0.35">
      <c r="A11" s="6">
        <v>5</v>
      </c>
      <c r="B11" s="6" t="str">
        <f t="shared" si="1"/>
        <v>22.5</v>
      </c>
      <c r="C11" s="31" t="s">
        <v>41</v>
      </c>
      <c r="D11" s="6" t="s">
        <v>823</v>
      </c>
      <c r="E11" s="6" t="s">
        <v>33</v>
      </c>
      <c r="F11" s="6" t="s">
        <v>36</v>
      </c>
      <c r="G11" s="6" t="s">
        <v>36</v>
      </c>
      <c r="H11" s="31" t="s">
        <v>36</v>
      </c>
      <c r="I11" s="6" t="s">
        <v>9</v>
      </c>
      <c r="J11" s="6" t="s">
        <v>36</v>
      </c>
      <c r="K11" s="6" t="s">
        <v>36</v>
      </c>
      <c r="L11" s="6" t="s">
        <v>36</v>
      </c>
      <c r="M11" s="6" t="s">
        <v>36</v>
      </c>
      <c r="N11" s="6" t="s">
        <v>36</v>
      </c>
      <c r="O11" s="6" t="s">
        <v>36</v>
      </c>
    </row>
    <row r="12" spans="1:16" ht="15" customHeight="1" x14ac:dyDescent="0.35">
      <c r="A12" s="96" t="s">
        <v>577</v>
      </c>
      <c r="B12" s="96"/>
      <c r="C12" s="115"/>
      <c r="D12" s="96"/>
      <c r="E12" s="96"/>
      <c r="F12" s="96"/>
      <c r="G12" s="96"/>
      <c r="H12" s="115"/>
      <c r="I12" s="96"/>
      <c r="J12" s="96"/>
      <c r="K12" s="96"/>
      <c r="L12" s="96"/>
      <c r="M12" s="96"/>
      <c r="N12" s="96"/>
      <c r="O12" s="96"/>
      <c r="P12" s="96"/>
    </row>
    <row r="13" spans="1:16" ht="57" customHeight="1" x14ac:dyDescent="0.35">
      <c r="A13" s="6">
        <v>6</v>
      </c>
      <c r="B13" s="6" t="str">
        <f t="shared" si="1"/>
        <v>22.6</v>
      </c>
      <c r="C13" s="31" t="s">
        <v>41</v>
      </c>
      <c r="D13" s="6" t="s">
        <v>566</v>
      </c>
      <c r="E13" s="6" t="s">
        <v>35</v>
      </c>
      <c r="F13" s="6" t="s">
        <v>579</v>
      </c>
      <c r="G13" s="6" t="s">
        <v>36</v>
      </c>
      <c r="H13" s="31" t="s">
        <v>36</v>
      </c>
      <c r="I13" s="6" t="s">
        <v>581</v>
      </c>
      <c r="J13" s="6" t="s">
        <v>36</v>
      </c>
      <c r="K13" s="6" t="s">
        <v>36</v>
      </c>
      <c r="L13" s="6" t="s">
        <v>36</v>
      </c>
      <c r="M13" s="6" t="s">
        <v>36</v>
      </c>
      <c r="N13" s="6" t="s">
        <v>36</v>
      </c>
      <c r="O13" s="6" t="s">
        <v>582</v>
      </c>
    </row>
    <row r="14" spans="1:16" ht="57" customHeight="1" x14ac:dyDescent="0.35">
      <c r="A14" s="6">
        <v>7</v>
      </c>
      <c r="B14" s="6" t="str">
        <f t="shared" si="1"/>
        <v>22.7</v>
      </c>
      <c r="C14" s="31" t="s">
        <v>41</v>
      </c>
      <c r="D14" s="6" t="s">
        <v>578</v>
      </c>
      <c r="E14" s="6" t="s">
        <v>35</v>
      </c>
      <c r="F14" s="6" t="s">
        <v>580</v>
      </c>
      <c r="G14" s="6" t="s">
        <v>36</v>
      </c>
      <c r="H14" s="31" t="s">
        <v>36</v>
      </c>
      <c r="I14" s="6" t="s">
        <v>581</v>
      </c>
      <c r="J14" s="6" t="s">
        <v>36</v>
      </c>
      <c r="K14" s="6" t="s">
        <v>36</v>
      </c>
      <c r="L14" s="6" t="s">
        <v>36</v>
      </c>
      <c r="M14" s="6" t="s">
        <v>36</v>
      </c>
      <c r="N14" s="6" t="s">
        <v>36</v>
      </c>
      <c r="O14" s="6" t="s">
        <v>583</v>
      </c>
      <c r="P14" s="36" t="s">
        <v>586</v>
      </c>
    </row>
    <row r="15" spans="1:16" ht="57" customHeight="1" x14ac:dyDescent="0.35">
      <c r="A15" s="6">
        <v>8</v>
      </c>
      <c r="B15" s="6" t="str">
        <f t="shared" si="1"/>
        <v>22.8</v>
      </c>
      <c r="C15" s="31" t="s">
        <v>41</v>
      </c>
      <c r="D15" s="6" t="s">
        <v>875</v>
      </c>
      <c r="E15" s="6" t="s">
        <v>99</v>
      </c>
      <c r="F15" s="6" t="s">
        <v>876</v>
      </c>
      <c r="G15" s="6" t="s">
        <v>36</v>
      </c>
      <c r="H15" s="31" t="s">
        <v>36</v>
      </c>
      <c r="I15" s="6" t="s">
        <v>581</v>
      </c>
      <c r="J15" s="6" t="s">
        <v>36</v>
      </c>
      <c r="K15" s="6" t="s">
        <v>36</v>
      </c>
      <c r="L15" s="6" t="s">
        <v>36</v>
      </c>
      <c r="M15" s="6" t="s">
        <v>36</v>
      </c>
      <c r="N15" s="6" t="s">
        <v>36</v>
      </c>
      <c r="O15" s="6" t="s">
        <v>877</v>
      </c>
      <c r="P15" s="36"/>
    </row>
    <row r="16" spans="1:16" ht="15" customHeight="1" x14ac:dyDescent="0.35">
      <c r="A16" s="96" t="s">
        <v>570</v>
      </c>
      <c r="B16" s="96"/>
      <c r="C16" s="115"/>
      <c r="D16" s="96"/>
      <c r="E16" s="96"/>
      <c r="F16" s="96"/>
      <c r="G16" s="96"/>
      <c r="H16" s="115"/>
      <c r="I16" s="96"/>
      <c r="J16" s="96"/>
      <c r="K16" s="96"/>
      <c r="L16" s="96"/>
      <c r="M16" s="96"/>
      <c r="N16" s="96"/>
      <c r="O16" s="96"/>
      <c r="P16" s="96"/>
    </row>
    <row r="17" spans="1:15" ht="58" x14ac:dyDescent="0.35">
      <c r="A17" s="6">
        <v>9</v>
      </c>
      <c r="B17" s="6" t="str">
        <f>CONCATENATE($B$2, ".", A17)</f>
        <v>22.9</v>
      </c>
      <c r="C17" s="31" t="s">
        <v>41</v>
      </c>
      <c r="D17" s="6" t="s">
        <v>879</v>
      </c>
      <c r="E17" s="6" t="s">
        <v>99</v>
      </c>
      <c r="F17" s="6" t="s">
        <v>36</v>
      </c>
      <c r="G17" s="6" t="s">
        <v>36</v>
      </c>
      <c r="H17" s="31" t="s">
        <v>36</v>
      </c>
      <c r="I17" s="6" t="s">
        <v>9</v>
      </c>
      <c r="J17" s="6" t="s">
        <v>36</v>
      </c>
      <c r="K17" s="6" t="s">
        <v>36</v>
      </c>
      <c r="L17" s="6" t="s">
        <v>36</v>
      </c>
      <c r="M17" s="6" t="s">
        <v>36</v>
      </c>
      <c r="N17" s="6" t="s">
        <v>36</v>
      </c>
      <c r="O17" s="6" t="s">
        <v>584</v>
      </c>
    </row>
    <row r="18" spans="1:15" ht="29" x14ac:dyDescent="0.35">
      <c r="A18" s="6">
        <v>10</v>
      </c>
      <c r="B18" s="6" t="str">
        <f>CONCATENATE($B$2, ".", A18)</f>
        <v>22.10</v>
      </c>
      <c r="C18" s="31" t="s">
        <v>41</v>
      </c>
      <c r="D18" s="6" t="s">
        <v>57</v>
      </c>
      <c r="E18" s="6" t="s">
        <v>42</v>
      </c>
      <c r="F18" s="6" t="s">
        <v>36</v>
      </c>
      <c r="G18" s="6" t="s">
        <v>36</v>
      </c>
      <c r="H18" s="31" t="s">
        <v>36</v>
      </c>
      <c r="I18" s="6" t="s">
        <v>9</v>
      </c>
      <c r="J18" s="6" t="s">
        <v>36</v>
      </c>
      <c r="K18" s="6" t="s">
        <v>36</v>
      </c>
      <c r="L18" s="6" t="s">
        <v>36</v>
      </c>
      <c r="M18" s="6" t="s">
        <v>36</v>
      </c>
      <c r="N18" s="6" t="s">
        <v>36</v>
      </c>
      <c r="O18" s="6" t="s">
        <v>841</v>
      </c>
    </row>
    <row r="19" spans="1:15" ht="29" x14ac:dyDescent="0.35">
      <c r="A19" s="6">
        <v>11</v>
      </c>
      <c r="B19" s="6" t="str">
        <f t="shared" ref="B19" si="3">CONCATENATE($B$2, ".", A19)</f>
        <v>22.11</v>
      </c>
      <c r="C19" s="31" t="s">
        <v>41</v>
      </c>
      <c r="D19" s="6" t="s">
        <v>56</v>
      </c>
      <c r="E19" s="6" t="s">
        <v>42</v>
      </c>
      <c r="F19" s="6" t="s">
        <v>36</v>
      </c>
      <c r="G19" s="6" t="s">
        <v>36</v>
      </c>
      <c r="H19" s="31" t="s">
        <v>36</v>
      </c>
      <c r="I19" s="6" t="s">
        <v>9</v>
      </c>
      <c r="J19" s="6" t="s">
        <v>36</v>
      </c>
      <c r="K19" s="6" t="s">
        <v>36</v>
      </c>
      <c r="L19" s="6" t="s">
        <v>36</v>
      </c>
      <c r="M19" s="6" t="s">
        <v>36</v>
      </c>
      <c r="N19" s="6" t="s">
        <v>36</v>
      </c>
      <c r="O19" s="6" t="s">
        <v>585</v>
      </c>
    </row>
    <row r="21" spans="1:15" x14ac:dyDescent="0.35">
      <c r="D21" s="6" t="s">
        <v>68</v>
      </c>
    </row>
  </sheetData>
  <autoFilter ref="A6:P19"/>
  <mergeCells count="1">
    <mergeCell ref="B4:C4"/>
  </mergeCells>
  <conditionalFormatting sqref="C17:C1048576 C7:C15">
    <cfRule type="cellIs" dxfId="238" priority="31" operator="equal">
      <formula>"WIP (see comments)"</formula>
    </cfRule>
    <cfRule type="cellIs" dxfId="237" priority="32" operator="equal">
      <formula>"Removed"</formula>
    </cfRule>
    <cfRule type="cellIs" dxfId="236" priority="33" operator="equal">
      <formula>"Updated"</formula>
    </cfRule>
    <cfRule type="cellIs" dxfId="235" priority="34" operator="equal">
      <formula>"New"</formula>
    </cfRule>
  </conditionalFormatting>
  <conditionalFormatting sqref="C7:C8 Q9:XFD15 A12:D12 A13:A15 C17:C19 F9:H10 J9:O10 C9:D11 C13:D15 F11:O15">
    <cfRule type="cellIs" dxfId="234" priority="30" operator="equal">
      <formula>"n/a"</formula>
    </cfRule>
  </conditionalFormatting>
  <conditionalFormatting sqref="K7:O8">
    <cfRule type="cellIs" dxfId="233" priority="19" operator="equal">
      <formula>"n/a"</formula>
    </cfRule>
  </conditionalFormatting>
  <conditionalFormatting sqref="F7:H8">
    <cfRule type="cellIs" dxfId="232" priority="17" operator="equal">
      <formula>"n/a"</formula>
    </cfRule>
  </conditionalFormatting>
  <conditionalFormatting sqref="J7:J8">
    <cfRule type="cellIs" dxfId="231" priority="14" operator="equal">
      <formula>"n/a"</formula>
    </cfRule>
  </conditionalFormatting>
  <conditionalFormatting sqref="C16">
    <cfRule type="cellIs" dxfId="230" priority="3" operator="equal">
      <formula>"WIP (see comments)"</formula>
    </cfRule>
    <cfRule type="cellIs" dxfId="229" priority="4" operator="equal">
      <formula>"Removed"</formula>
    </cfRule>
    <cfRule type="cellIs" dxfId="228" priority="5" operator="equal">
      <formula>"Updated"</formula>
    </cfRule>
    <cfRule type="cellIs" dxfId="227" priority="6" operator="equal">
      <formula>"New"</formula>
    </cfRule>
  </conditionalFormatting>
  <conditionalFormatting sqref="Q16:XFD16 A16:D16 F16:O16">
    <cfRule type="cellIs" dxfId="226" priority="2" operator="equal">
      <formula>"n/a"</formula>
    </cfRule>
  </conditionalFormatting>
  <conditionalFormatting sqref="F17:O19">
    <cfRule type="cellIs" dxfId="22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Values'!$A$5:$A$34</xm:f>
          </x14:formula1>
          <xm:sqref>E7:E19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820</v>
      </c>
      <c r="C1" s="35"/>
      <c r="D1" s="26"/>
      <c r="H1" s="32"/>
    </row>
    <row r="2" spans="1:16" s="27" customFormat="1" ht="18.5" x14ac:dyDescent="0.35">
      <c r="A2" s="25" t="s">
        <v>7</v>
      </c>
      <c r="B2" s="132">
        <v>23</v>
      </c>
      <c r="C2" s="32"/>
      <c r="D2" s="132"/>
      <c r="H2" s="32"/>
    </row>
    <row r="3" spans="1:16" s="27" customFormat="1" ht="18.5" x14ac:dyDescent="0.35">
      <c r="A3" s="25" t="s">
        <v>43</v>
      </c>
      <c r="B3" s="132" t="s">
        <v>821</v>
      </c>
      <c r="C3" s="32"/>
      <c r="D3" s="132"/>
      <c r="H3" s="32"/>
    </row>
    <row r="4" spans="1:16" s="27" customFormat="1" ht="18.5" x14ac:dyDescent="0.35">
      <c r="A4" s="25" t="s">
        <v>8</v>
      </c>
      <c r="B4" s="163" t="s">
        <v>46</v>
      </c>
      <c r="C4" s="163"/>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6" si="0">CONCATENATE($B$2, ".", A7)</f>
        <v>23.1</v>
      </c>
      <c r="C7" s="31" t="s">
        <v>41</v>
      </c>
      <c r="D7" s="6" t="s">
        <v>914</v>
      </c>
      <c r="E7" s="6" t="s">
        <v>115</v>
      </c>
      <c r="F7" s="6" t="s">
        <v>36</v>
      </c>
      <c r="G7" s="6" t="s">
        <v>36</v>
      </c>
      <c r="H7" s="146" t="s">
        <v>36</v>
      </c>
      <c r="I7" s="6" t="s">
        <v>9</v>
      </c>
      <c r="J7" s="6" t="s">
        <v>36</v>
      </c>
      <c r="K7" s="6" t="s">
        <v>36</v>
      </c>
      <c r="L7" s="6" t="s">
        <v>36</v>
      </c>
      <c r="M7" s="6" t="s">
        <v>36</v>
      </c>
      <c r="N7" s="6" t="s">
        <v>36</v>
      </c>
      <c r="O7" s="6" t="s">
        <v>36</v>
      </c>
      <c r="P7" s="6" t="s">
        <v>211</v>
      </c>
    </row>
    <row r="8" spans="1:16" ht="29" x14ac:dyDescent="0.35">
      <c r="A8" s="6">
        <v>2</v>
      </c>
      <c r="B8" s="6" t="str">
        <f t="shared" si="0"/>
        <v>23.2</v>
      </c>
      <c r="C8" s="31" t="s">
        <v>44</v>
      </c>
      <c r="D8" s="6" t="s">
        <v>36</v>
      </c>
      <c r="E8" s="6" t="s">
        <v>48</v>
      </c>
      <c r="F8" s="6" t="s">
        <v>36</v>
      </c>
      <c r="G8" s="6" t="s">
        <v>36</v>
      </c>
      <c r="H8" s="146" t="s">
        <v>36</v>
      </c>
      <c r="I8" s="6" t="s">
        <v>9</v>
      </c>
      <c r="J8" s="6" t="s">
        <v>36</v>
      </c>
      <c r="K8" s="6" t="s">
        <v>36</v>
      </c>
      <c r="L8" s="6" t="s">
        <v>36</v>
      </c>
      <c r="M8" s="6" t="s">
        <v>36</v>
      </c>
      <c r="N8" s="6" t="s">
        <v>36</v>
      </c>
      <c r="O8" s="6" t="s">
        <v>36</v>
      </c>
    </row>
    <row r="9" spans="1:16" ht="109.5" customHeight="1" x14ac:dyDescent="0.35">
      <c r="A9" s="6">
        <v>3</v>
      </c>
      <c r="B9" s="6" t="str">
        <f t="shared" si="0"/>
        <v>23.3</v>
      </c>
      <c r="C9" s="31" t="s">
        <v>41</v>
      </c>
      <c r="D9" s="6" t="s">
        <v>929</v>
      </c>
      <c r="E9" s="6" t="s">
        <v>33</v>
      </c>
      <c r="F9" s="6" t="s">
        <v>36</v>
      </c>
      <c r="G9" s="6" t="s">
        <v>36</v>
      </c>
      <c r="H9" s="146" t="s">
        <v>36</v>
      </c>
      <c r="I9" s="6" t="s">
        <v>9</v>
      </c>
      <c r="J9" s="6" t="s">
        <v>36</v>
      </c>
      <c r="K9" s="6" t="s">
        <v>36</v>
      </c>
      <c r="L9" s="6" t="s">
        <v>36</v>
      </c>
      <c r="M9" s="6" t="s">
        <v>36</v>
      </c>
      <c r="N9" s="6" t="s">
        <v>36</v>
      </c>
      <c r="O9" s="6" t="s">
        <v>824</v>
      </c>
      <c r="P9" s="6" t="s">
        <v>211</v>
      </c>
    </row>
    <row r="10" spans="1:16" ht="15" customHeight="1" x14ac:dyDescent="0.35">
      <c r="A10" s="96" t="s">
        <v>829</v>
      </c>
      <c r="B10" s="92"/>
      <c r="C10" s="99"/>
      <c r="D10" s="92"/>
      <c r="E10" s="92"/>
      <c r="F10" s="92"/>
      <c r="G10" s="92"/>
      <c r="H10" s="94"/>
      <c r="I10" s="92"/>
      <c r="J10" s="95"/>
      <c r="K10" s="95"/>
      <c r="L10" s="95"/>
      <c r="M10" s="95"/>
      <c r="N10" s="95"/>
      <c r="O10" s="95"/>
      <c r="P10" s="92"/>
    </row>
    <row r="11" spans="1:16" ht="53" customHeight="1" x14ac:dyDescent="0.35">
      <c r="A11" s="6">
        <v>4</v>
      </c>
      <c r="B11" s="6" t="str">
        <f t="shared" ref="B11:B13" si="1">CONCATENATE($B$2, ".", A11)</f>
        <v>23.4</v>
      </c>
      <c r="C11" s="31" t="s">
        <v>41</v>
      </c>
      <c r="D11" s="50" t="s">
        <v>792</v>
      </c>
      <c r="E11" s="6" t="s">
        <v>114</v>
      </c>
      <c r="F11" s="6" t="s">
        <v>36</v>
      </c>
      <c r="G11" s="36" t="s">
        <v>36</v>
      </c>
      <c r="H11" s="133" t="s">
        <v>36</v>
      </c>
      <c r="I11" s="6" t="s">
        <v>9</v>
      </c>
      <c r="J11" s="6" t="s">
        <v>36</v>
      </c>
      <c r="K11" s="6" t="s">
        <v>36</v>
      </c>
      <c r="L11" s="6" t="s">
        <v>36</v>
      </c>
      <c r="M11" s="6" t="s">
        <v>36</v>
      </c>
      <c r="N11" s="6" t="s">
        <v>36</v>
      </c>
      <c r="O11" s="37" t="s">
        <v>930</v>
      </c>
    </row>
    <row r="12" spans="1:16" ht="89" customHeight="1" x14ac:dyDescent="0.35">
      <c r="A12" s="6">
        <v>5</v>
      </c>
      <c r="B12" s="6" t="str">
        <f t="shared" si="1"/>
        <v>23.5</v>
      </c>
      <c r="C12" s="31" t="s">
        <v>41</v>
      </c>
      <c r="D12" s="50" t="s">
        <v>634</v>
      </c>
      <c r="E12" s="6" t="s">
        <v>35</v>
      </c>
      <c r="F12" s="6" t="s">
        <v>36</v>
      </c>
      <c r="G12" s="36" t="s">
        <v>911</v>
      </c>
      <c r="H12" s="133" t="s">
        <v>36</v>
      </c>
      <c r="I12" s="6" t="s">
        <v>9</v>
      </c>
      <c r="J12" s="6" t="s">
        <v>36</v>
      </c>
      <c r="K12" s="6" t="s">
        <v>36</v>
      </c>
      <c r="L12" s="6" t="s">
        <v>36</v>
      </c>
      <c r="M12" s="6" t="s">
        <v>36</v>
      </c>
      <c r="N12" s="6" t="s">
        <v>36</v>
      </c>
      <c r="O12" s="37" t="s">
        <v>932</v>
      </c>
      <c r="P12" s="36"/>
    </row>
    <row r="13" spans="1:16" ht="29" x14ac:dyDescent="0.35">
      <c r="A13" s="6">
        <v>6</v>
      </c>
      <c r="B13" s="6" t="str">
        <f t="shared" si="1"/>
        <v>23.6</v>
      </c>
      <c r="C13" s="31" t="s">
        <v>44</v>
      </c>
      <c r="D13" s="50" t="s">
        <v>910</v>
      </c>
      <c r="E13" s="6" t="s">
        <v>114</v>
      </c>
      <c r="F13" s="6" t="s">
        <v>36</v>
      </c>
      <c r="G13" s="36" t="s">
        <v>36</v>
      </c>
      <c r="H13" s="148" t="s">
        <v>36</v>
      </c>
      <c r="I13" s="6" t="s">
        <v>9</v>
      </c>
      <c r="J13" s="6" t="s">
        <v>36</v>
      </c>
      <c r="K13" s="6" t="s">
        <v>36</v>
      </c>
      <c r="L13" s="6" t="s">
        <v>36</v>
      </c>
      <c r="M13" s="6" t="s">
        <v>36</v>
      </c>
      <c r="N13" s="6" t="s">
        <v>36</v>
      </c>
      <c r="O13" s="37" t="s">
        <v>931</v>
      </c>
      <c r="P13" s="36" t="s">
        <v>418</v>
      </c>
    </row>
    <row r="14" spans="1:16" ht="15" customHeight="1" x14ac:dyDescent="0.35">
      <c r="A14" s="96" t="s">
        <v>827</v>
      </c>
      <c r="B14" s="96"/>
      <c r="C14" s="115"/>
      <c r="D14" s="96"/>
      <c r="E14" s="96"/>
      <c r="F14" s="96"/>
      <c r="G14" s="96"/>
      <c r="H14" s="115"/>
      <c r="I14" s="96"/>
      <c r="J14" s="96"/>
      <c r="K14" s="96"/>
      <c r="L14" s="96"/>
      <c r="M14" s="96"/>
      <c r="N14" s="96"/>
      <c r="O14" s="96"/>
      <c r="P14" s="96"/>
    </row>
    <row r="15" spans="1:16" ht="43.5" x14ac:dyDescent="0.35">
      <c r="A15" s="6">
        <v>7</v>
      </c>
      <c r="B15" s="6" t="str">
        <f t="shared" si="0"/>
        <v>23.7</v>
      </c>
      <c r="C15" s="31" t="s">
        <v>41</v>
      </c>
      <c r="D15" s="50" t="s">
        <v>825</v>
      </c>
      <c r="E15" s="6" t="s">
        <v>114</v>
      </c>
      <c r="F15" s="6" t="s">
        <v>36</v>
      </c>
      <c r="G15" s="36" t="s">
        <v>36</v>
      </c>
      <c r="H15" s="133" t="s">
        <v>36</v>
      </c>
      <c r="I15" s="6" t="s">
        <v>9</v>
      </c>
      <c r="J15" s="6" t="s">
        <v>36</v>
      </c>
      <c r="K15" s="6" t="s">
        <v>36</v>
      </c>
      <c r="L15" s="6" t="s">
        <v>36</v>
      </c>
      <c r="M15" s="6" t="s">
        <v>36</v>
      </c>
      <c r="N15" s="6" t="s">
        <v>36</v>
      </c>
      <c r="O15" s="37" t="s">
        <v>912</v>
      </c>
    </row>
    <row r="16" spans="1:16" ht="43.5" x14ac:dyDescent="0.35">
      <c r="A16" s="6">
        <v>8</v>
      </c>
      <c r="B16" s="6" t="str">
        <f t="shared" si="0"/>
        <v>23.8</v>
      </c>
      <c r="C16" s="31" t="s">
        <v>41</v>
      </c>
      <c r="D16" s="50" t="s">
        <v>826</v>
      </c>
      <c r="E16" s="6" t="s">
        <v>35</v>
      </c>
      <c r="F16" s="6" t="s">
        <v>36</v>
      </c>
      <c r="G16" s="36" t="s">
        <v>36</v>
      </c>
      <c r="H16" s="133" t="s">
        <v>36</v>
      </c>
      <c r="I16" s="6" t="s">
        <v>9</v>
      </c>
      <c r="J16" s="6" t="s">
        <v>36</v>
      </c>
      <c r="K16" s="6" t="s">
        <v>36</v>
      </c>
      <c r="L16" s="6" t="s">
        <v>36</v>
      </c>
      <c r="M16" s="6" t="s">
        <v>36</v>
      </c>
      <c r="N16" s="6" t="s">
        <v>36</v>
      </c>
      <c r="O16" s="37" t="s">
        <v>913</v>
      </c>
      <c r="P16" s="36"/>
    </row>
    <row r="17" spans="1:16" ht="29" x14ac:dyDescent="0.35">
      <c r="A17" s="6">
        <v>9</v>
      </c>
      <c r="B17" s="6" t="str">
        <f t="shared" ref="B17" si="2">CONCATENATE($B$2, ".", A17)</f>
        <v>23.9</v>
      </c>
      <c r="C17" s="31" t="s">
        <v>44</v>
      </c>
      <c r="D17" s="50" t="s">
        <v>910</v>
      </c>
      <c r="E17" s="6" t="s">
        <v>114</v>
      </c>
      <c r="F17" s="6" t="s">
        <v>36</v>
      </c>
      <c r="G17" s="36" t="s">
        <v>36</v>
      </c>
      <c r="H17" s="146" t="s">
        <v>36</v>
      </c>
      <c r="I17" s="6" t="s">
        <v>9</v>
      </c>
      <c r="J17" s="6" t="s">
        <v>36</v>
      </c>
      <c r="K17" s="6" t="s">
        <v>36</v>
      </c>
      <c r="L17" s="6" t="s">
        <v>36</v>
      </c>
      <c r="M17" s="6" t="s">
        <v>36</v>
      </c>
      <c r="N17" s="6" t="s">
        <v>36</v>
      </c>
      <c r="O17" s="37" t="s">
        <v>933</v>
      </c>
      <c r="P17" s="36" t="s">
        <v>418</v>
      </c>
    </row>
    <row r="18" spans="1:16" x14ac:dyDescent="0.35">
      <c r="A18" s="96" t="s">
        <v>828</v>
      </c>
      <c r="B18" s="96"/>
      <c r="C18" s="115"/>
      <c r="D18" s="96"/>
      <c r="E18" s="96"/>
      <c r="F18" s="96"/>
      <c r="G18" s="96"/>
      <c r="H18" s="115"/>
      <c r="I18" s="96"/>
      <c r="J18" s="96"/>
      <c r="K18" s="96"/>
      <c r="L18" s="96"/>
      <c r="M18" s="96"/>
      <c r="N18" s="96"/>
      <c r="O18" s="96"/>
      <c r="P18" s="96"/>
    </row>
    <row r="19" spans="1:16" x14ac:dyDescent="0.35">
      <c r="A19" s="6">
        <v>10</v>
      </c>
      <c r="B19" s="6" t="str">
        <f t="shared" ref="B19:B23" si="3">CONCATENATE($B$2, ".", A19)</f>
        <v>23.10</v>
      </c>
      <c r="C19" s="31" t="s">
        <v>41</v>
      </c>
      <c r="D19" s="44" t="s">
        <v>934</v>
      </c>
      <c r="E19" s="6" t="s">
        <v>28</v>
      </c>
      <c r="F19" s="6" t="s">
        <v>36</v>
      </c>
      <c r="G19" s="36" t="s">
        <v>36</v>
      </c>
      <c r="H19" s="133" t="s">
        <v>36</v>
      </c>
      <c r="I19" s="6" t="s">
        <v>9</v>
      </c>
      <c r="J19" s="6" t="s">
        <v>36</v>
      </c>
      <c r="K19" s="6" t="s">
        <v>36</v>
      </c>
      <c r="L19" s="6" t="s">
        <v>36</v>
      </c>
      <c r="M19" s="6" t="s">
        <v>36</v>
      </c>
      <c r="N19" s="6" t="s">
        <v>36</v>
      </c>
      <c r="O19" s="37" t="s">
        <v>36</v>
      </c>
      <c r="P19" s="6" t="s">
        <v>211</v>
      </c>
    </row>
    <row r="20" spans="1:16" ht="72.5" x14ac:dyDescent="0.35">
      <c r="A20" s="6">
        <v>11</v>
      </c>
      <c r="B20" s="6" t="str">
        <f t="shared" si="3"/>
        <v>23.11</v>
      </c>
      <c r="C20" s="31" t="s">
        <v>41</v>
      </c>
      <c r="D20" s="44" t="s">
        <v>935</v>
      </c>
      <c r="E20" s="6" t="s">
        <v>33</v>
      </c>
      <c r="F20" s="6" t="s">
        <v>36</v>
      </c>
      <c r="G20" s="36" t="s">
        <v>36</v>
      </c>
      <c r="H20" s="133" t="s">
        <v>36</v>
      </c>
      <c r="I20" s="6" t="s">
        <v>9</v>
      </c>
      <c r="J20" s="6" t="s">
        <v>36</v>
      </c>
      <c r="K20" s="6" t="s">
        <v>36</v>
      </c>
      <c r="L20" s="6" t="s">
        <v>36</v>
      </c>
      <c r="M20" s="6" t="s">
        <v>36</v>
      </c>
      <c r="N20" s="6" t="s">
        <v>36</v>
      </c>
      <c r="O20" s="37" t="s">
        <v>36</v>
      </c>
      <c r="P20" s="6" t="s">
        <v>211</v>
      </c>
    </row>
    <row r="21" spans="1:16" ht="58" x14ac:dyDescent="0.35">
      <c r="A21" s="6">
        <v>12</v>
      </c>
      <c r="B21" s="6" t="str">
        <f t="shared" ref="B21" si="4">CONCATENATE($B$2, ".", A21)</f>
        <v>23.12</v>
      </c>
      <c r="C21" s="31" t="s">
        <v>41</v>
      </c>
      <c r="D21" s="44" t="s">
        <v>648</v>
      </c>
      <c r="E21" s="6" t="s">
        <v>99</v>
      </c>
      <c r="F21" s="6" t="s">
        <v>36</v>
      </c>
      <c r="G21" s="6" t="s">
        <v>36</v>
      </c>
      <c r="H21" s="133" t="s">
        <v>36</v>
      </c>
      <c r="I21" s="6" t="s">
        <v>9</v>
      </c>
      <c r="J21" s="6" t="s">
        <v>36</v>
      </c>
      <c r="K21" s="6" t="s">
        <v>36</v>
      </c>
      <c r="L21" s="6" t="s">
        <v>36</v>
      </c>
      <c r="M21" s="6" t="s">
        <v>937</v>
      </c>
      <c r="N21" s="6" t="s">
        <v>938</v>
      </c>
      <c r="O21" s="48" t="s">
        <v>936</v>
      </c>
      <c r="P21" s="6" t="s">
        <v>211</v>
      </c>
    </row>
    <row r="22" spans="1:16" x14ac:dyDescent="0.35">
      <c r="A22" s="96" t="s">
        <v>939</v>
      </c>
      <c r="B22" s="92"/>
      <c r="C22" s="99"/>
      <c r="D22" s="100"/>
      <c r="E22" s="92"/>
      <c r="F22" s="92"/>
      <c r="G22" s="92"/>
      <c r="H22" s="94"/>
      <c r="I22" s="92"/>
      <c r="J22" s="92"/>
      <c r="K22" s="92"/>
      <c r="L22" s="92"/>
      <c r="M22" s="92"/>
      <c r="N22" s="92"/>
      <c r="O22" s="95"/>
      <c r="P22" s="92"/>
    </row>
    <row r="23" spans="1:16" x14ac:dyDescent="0.35">
      <c r="A23" s="6">
        <v>13</v>
      </c>
      <c r="B23" s="6" t="str">
        <f t="shared" si="3"/>
        <v>23.13</v>
      </c>
      <c r="C23" s="31" t="s">
        <v>41</v>
      </c>
      <c r="D23" s="44" t="s">
        <v>843</v>
      </c>
      <c r="E23" s="6" t="s">
        <v>531</v>
      </c>
      <c r="F23" s="6" t="s">
        <v>36</v>
      </c>
      <c r="G23" s="6" t="s">
        <v>36</v>
      </c>
      <c r="H23" s="133" t="s">
        <v>36</v>
      </c>
      <c r="I23" s="6" t="s">
        <v>9</v>
      </c>
      <c r="J23" s="6" t="s">
        <v>36</v>
      </c>
      <c r="K23" s="6" t="s">
        <v>36</v>
      </c>
      <c r="L23" s="6" t="s">
        <v>36</v>
      </c>
      <c r="M23" s="6" t="s">
        <v>36</v>
      </c>
      <c r="N23" s="6" t="s">
        <v>36</v>
      </c>
      <c r="O23" s="37" t="s">
        <v>36</v>
      </c>
    </row>
    <row r="24" spans="1:16" x14ac:dyDescent="0.35">
      <c r="A24" s="6">
        <v>14</v>
      </c>
      <c r="B24" s="6" t="str">
        <f t="shared" ref="B24" si="5">CONCATENATE($B$2, ".", A24)</f>
        <v>23.14</v>
      </c>
      <c r="C24" s="31" t="s">
        <v>41</v>
      </c>
      <c r="D24" s="44" t="s">
        <v>844</v>
      </c>
      <c r="E24" s="6" t="s">
        <v>531</v>
      </c>
      <c r="F24" s="6" t="s">
        <v>36</v>
      </c>
      <c r="G24" s="6" t="s">
        <v>36</v>
      </c>
      <c r="H24" s="146" t="s">
        <v>36</v>
      </c>
      <c r="I24" s="6" t="s">
        <v>9</v>
      </c>
      <c r="J24" s="6" t="s">
        <v>36</v>
      </c>
      <c r="K24" s="6" t="s">
        <v>36</v>
      </c>
      <c r="L24" s="6" t="s">
        <v>36</v>
      </c>
      <c r="M24" s="6" t="s">
        <v>36</v>
      </c>
      <c r="N24" s="6" t="s">
        <v>36</v>
      </c>
      <c r="O24" s="37" t="s">
        <v>36</v>
      </c>
    </row>
    <row r="25" spans="1:16" x14ac:dyDescent="0.35">
      <c r="A25" s="6">
        <v>15</v>
      </c>
      <c r="B25" s="6" t="str">
        <f>CONCATENATE($B$2, ".", A25)</f>
        <v>23.15</v>
      </c>
      <c r="C25" s="31" t="s">
        <v>41</v>
      </c>
      <c r="D25" s="44" t="s">
        <v>312</v>
      </c>
      <c r="E25" s="6" t="s">
        <v>531</v>
      </c>
      <c r="F25" s="6" t="s">
        <v>36</v>
      </c>
      <c r="G25" s="6" t="s">
        <v>36</v>
      </c>
      <c r="H25" s="133" t="s">
        <v>36</v>
      </c>
      <c r="I25" s="36" t="s">
        <v>9</v>
      </c>
      <c r="J25" s="6" t="s">
        <v>36</v>
      </c>
      <c r="K25" s="6" t="s">
        <v>36</v>
      </c>
      <c r="L25" s="6" t="s">
        <v>36</v>
      </c>
      <c r="M25" s="6" t="s">
        <v>36</v>
      </c>
      <c r="N25" s="6" t="s">
        <v>36</v>
      </c>
      <c r="O25" s="37" t="s">
        <v>36</v>
      </c>
    </row>
    <row r="26" spans="1:16" x14ac:dyDescent="0.35">
      <c r="A26" s="6">
        <v>16</v>
      </c>
      <c r="B26" s="6" t="str">
        <f>CONCATENATE($B$2, ".", A26)</f>
        <v>23.16</v>
      </c>
      <c r="C26" s="31" t="s">
        <v>41</v>
      </c>
      <c r="D26" s="44" t="s">
        <v>830</v>
      </c>
      <c r="E26" s="6" t="s">
        <v>531</v>
      </c>
      <c r="F26" s="6" t="s">
        <v>36</v>
      </c>
      <c r="G26" s="6" t="s">
        <v>36</v>
      </c>
      <c r="H26" s="133" t="s">
        <v>36</v>
      </c>
      <c r="I26" s="36" t="s">
        <v>9</v>
      </c>
      <c r="J26" s="6" t="s">
        <v>36</v>
      </c>
      <c r="K26" s="6" t="s">
        <v>36</v>
      </c>
      <c r="L26" s="6" t="s">
        <v>36</v>
      </c>
      <c r="M26" s="6" t="s">
        <v>36</v>
      </c>
      <c r="N26" s="6" t="s">
        <v>36</v>
      </c>
      <c r="O26" s="37" t="s">
        <v>36</v>
      </c>
    </row>
    <row r="27" spans="1:16" x14ac:dyDescent="0.35">
      <c r="A27" s="6">
        <v>17</v>
      </c>
      <c r="B27" s="6" t="str">
        <f t="shared" ref="B27:B28" si="6">CONCATENATE($B$2, ".", A27)</f>
        <v>23.17</v>
      </c>
      <c r="C27" s="31" t="s">
        <v>41</v>
      </c>
      <c r="D27" s="44" t="s">
        <v>529</v>
      </c>
      <c r="E27" s="6" t="s">
        <v>531</v>
      </c>
      <c r="F27" s="6" t="s">
        <v>36</v>
      </c>
      <c r="G27" s="6" t="s">
        <v>36</v>
      </c>
      <c r="H27" s="133" t="s">
        <v>36</v>
      </c>
      <c r="I27" s="6" t="s">
        <v>9</v>
      </c>
      <c r="J27" s="6" t="s">
        <v>36</v>
      </c>
      <c r="K27" s="6" t="s">
        <v>36</v>
      </c>
      <c r="L27" s="6" t="s">
        <v>36</v>
      </c>
      <c r="M27" s="6" t="s">
        <v>36</v>
      </c>
      <c r="N27" s="6" t="s">
        <v>36</v>
      </c>
      <c r="O27" s="37" t="s">
        <v>36</v>
      </c>
    </row>
    <row r="28" spans="1:16" ht="58" x14ac:dyDescent="0.35">
      <c r="A28" s="6">
        <v>18</v>
      </c>
      <c r="B28" s="6" t="str">
        <f t="shared" si="6"/>
        <v>23.18</v>
      </c>
      <c r="C28" s="31" t="s">
        <v>41</v>
      </c>
      <c r="D28" s="44" t="s">
        <v>857</v>
      </c>
      <c r="E28" s="6" t="s">
        <v>532</v>
      </c>
      <c r="F28" s="6" t="s">
        <v>972</v>
      </c>
      <c r="G28" s="6" t="s">
        <v>36</v>
      </c>
      <c r="H28" s="133">
        <v>50</v>
      </c>
      <c r="I28" s="6" t="s">
        <v>9</v>
      </c>
      <c r="J28" s="6" t="s">
        <v>107</v>
      </c>
      <c r="K28" s="6" t="s">
        <v>53</v>
      </c>
      <c r="L28" s="6" t="s">
        <v>941</v>
      </c>
      <c r="M28" s="6" t="s">
        <v>36</v>
      </c>
      <c r="N28" s="6" t="s">
        <v>36</v>
      </c>
      <c r="O28" s="37" t="s">
        <v>36</v>
      </c>
      <c r="P28" s="6" t="s">
        <v>966</v>
      </c>
    </row>
    <row r="29" spans="1:16" ht="58" x14ac:dyDescent="0.35">
      <c r="A29" s="6">
        <v>19</v>
      </c>
      <c r="B29" s="6" t="str">
        <f t="shared" ref="B29" si="7">CONCATENATE($B$2, ".", A29)</f>
        <v>23.19</v>
      </c>
      <c r="C29" s="31" t="s">
        <v>41</v>
      </c>
      <c r="D29" s="44" t="s">
        <v>858</v>
      </c>
      <c r="E29" s="6" t="s">
        <v>532</v>
      </c>
      <c r="F29" s="6" t="s">
        <v>972</v>
      </c>
      <c r="G29" s="6" t="s">
        <v>36</v>
      </c>
      <c r="H29" s="146">
        <v>50</v>
      </c>
      <c r="I29" s="6" t="s">
        <v>9</v>
      </c>
      <c r="J29" s="6" t="s">
        <v>107</v>
      </c>
      <c r="K29" s="6" t="s">
        <v>53</v>
      </c>
      <c r="L29" s="6" t="s">
        <v>942</v>
      </c>
      <c r="M29" s="6" t="s">
        <v>36</v>
      </c>
      <c r="N29" s="6" t="s">
        <v>36</v>
      </c>
      <c r="O29" s="37" t="s">
        <v>36</v>
      </c>
      <c r="P29" s="6" t="s">
        <v>966</v>
      </c>
    </row>
    <row r="30" spans="1:16" ht="58" x14ac:dyDescent="0.35">
      <c r="A30" s="6">
        <v>20</v>
      </c>
      <c r="B30" s="6" t="str">
        <f>CONCATENATE($B$2, ".", A30)</f>
        <v>23.20</v>
      </c>
      <c r="C30" s="31" t="s">
        <v>44</v>
      </c>
      <c r="D30" s="44" t="s">
        <v>645</v>
      </c>
      <c r="E30" s="6" t="s">
        <v>532</v>
      </c>
      <c r="F30" s="6" t="s">
        <v>51</v>
      </c>
      <c r="G30" s="6" t="s">
        <v>36</v>
      </c>
      <c r="H30" s="38">
        <v>54</v>
      </c>
      <c r="I30" s="36" t="s">
        <v>9</v>
      </c>
      <c r="J30" s="6" t="s">
        <v>107</v>
      </c>
      <c r="K30" s="37" t="s">
        <v>53</v>
      </c>
      <c r="L30" s="37" t="s">
        <v>943</v>
      </c>
      <c r="M30" s="37" t="s">
        <v>100</v>
      </c>
      <c r="N30" s="37" t="s">
        <v>688</v>
      </c>
      <c r="O30" s="37" t="s">
        <v>36</v>
      </c>
      <c r="P30" s="6" t="s">
        <v>834</v>
      </c>
    </row>
    <row r="31" spans="1:16" ht="72.5" x14ac:dyDescent="0.35">
      <c r="A31" s="6">
        <v>21</v>
      </c>
      <c r="B31" s="6" t="str">
        <f t="shared" ref="B31" si="8">CONCATENATE($B$2, ".", A31)</f>
        <v>23.21</v>
      </c>
      <c r="C31" s="31" t="s">
        <v>44</v>
      </c>
      <c r="D31" s="44" t="s">
        <v>831</v>
      </c>
      <c r="E31" s="6" t="s">
        <v>532</v>
      </c>
      <c r="F31" s="36" t="s">
        <v>50</v>
      </c>
      <c r="G31" s="36" t="s">
        <v>36</v>
      </c>
      <c r="H31" s="36" t="s">
        <v>54</v>
      </c>
      <c r="I31" s="36" t="s">
        <v>9</v>
      </c>
      <c r="J31" s="6" t="s">
        <v>107</v>
      </c>
      <c r="K31" s="36" t="s">
        <v>53</v>
      </c>
      <c r="L31" s="36" t="s">
        <v>944</v>
      </c>
      <c r="M31" s="36" t="s">
        <v>55</v>
      </c>
      <c r="N31" s="36" t="s">
        <v>833</v>
      </c>
      <c r="O31" s="37" t="s">
        <v>36</v>
      </c>
      <c r="P31" s="6" t="s">
        <v>834</v>
      </c>
    </row>
    <row r="32" spans="1:16" ht="29" x14ac:dyDescent="0.35">
      <c r="A32" s="6">
        <v>22</v>
      </c>
      <c r="B32" s="6" t="str">
        <f>CONCATENATE($B$2, ".", A32)</f>
        <v>23.22</v>
      </c>
      <c r="C32" s="31" t="s">
        <v>41</v>
      </c>
      <c r="D32" s="44" t="s">
        <v>832</v>
      </c>
      <c r="E32" s="6" t="s">
        <v>532</v>
      </c>
      <c r="F32" s="6" t="s">
        <v>51</v>
      </c>
      <c r="G32" s="6" t="s">
        <v>835</v>
      </c>
      <c r="H32" s="38">
        <v>50</v>
      </c>
      <c r="I32" s="36" t="s">
        <v>9</v>
      </c>
      <c r="J32" s="6" t="s">
        <v>107</v>
      </c>
      <c r="K32" s="37" t="s">
        <v>83</v>
      </c>
      <c r="L32" s="37" t="s">
        <v>36</v>
      </c>
      <c r="M32" s="37" t="s">
        <v>36</v>
      </c>
      <c r="N32" s="37" t="s">
        <v>36</v>
      </c>
      <c r="O32" s="37" t="s">
        <v>36</v>
      </c>
      <c r="P32" s="6" t="s">
        <v>211</v>
      </c>
    </row>
    <row r="33" spans="1:16" ht="96.5" customHeight="1" x14ac:dyDescent="0.35">
      <c r="A33" s="6">
        <v>23</v>
      </c>
      <c r="B33" s="6" t="str">
        <f>CONCATENATE($B$2, ".", A33)</f>
        <v>23.23</v>
      </c>
      <c r="C33" s="31" t="s">
        <v>44</v>
      </c>
      <c r="D33" s="44" t="s">
        <v>837</v>
      </c>
      <c r="E33" s="6" t="s">
        <v>29</v>
      </c>
      <c r="F33" s="6" t="s">
        <v>36</v>
      </c>
      <c r="G33" s="6" t="s">
        <v>840</v>
      </c>
      <c r="H33" s="38" t="s">
        <v>36</v>
      </c>
      <c r="I33" s="36" t="s">
        <v>9</v>
      </c>
      <c r="J33" s="6" t="s">
        <v>96</v>
      </c>
      <c r="K33" s="37" t="s">
        <v>83</v>
      </c>
      <c r="L33" s="37" t="s">
        <v>36</v>
      </c>
      <c r="M33" s="37" t="s">
        <v>36</v>
      </c>
      <c r="N33" s="37" t="s">
        <v>36</v>
      </c>
      <c r="O33" s="37" t="s">
        <v>839</v>
      </c>
      <c r="P33" s="6" t="s">
        <v>838</v>
      </c>
    </row>
    <row r="34" spans="1:16" ht="17.5" customHeight="1" x14ac:dyDescent="0.35">
      <c r="A34" s="6">
        <v>24</v>
      </c>
      <c r="B34" s="6" t="str">
        <f>CONCATENATE($B$2, ".", A34)</f>
        <v>23.24</v>
      </c>
      <c r="C34" s="31" t="s">
        <v>41</v>
      </c>
      <c r="D34" s="44" t="s">
        <v>748</v>
      </c>
      <c r="E34" s="6" t="s">
        <v>99</v>
      </c>
      <c r="F34" s="6" t="s">
        <v>36</v>
      </c>
      <c r="G34" s="6" t="s">
        <v>36</v>
      </c>
      <c r="H34" s="38" t="s">
        <v>36</v>
      </c>
      <c r="I34" s="36" t="s">
        <v>9</v>
      </c>
      <c r="J34" s="6" t="s">
        <v>36</v>
      </c>
      <c r="K34" s="37" t="s">
        <v>36</v>
      </c>
      <c r="L34" s="37" t="s">
        <v>36</v>
      </c>
      <c r="M34" s="37" t="s">
        <v>36</v>
      </c>
      <c r="N34" s="37" t="s">
        <v>36</v>
      </c>
      <c r="O34" s="37" t="s">
        <v>940</v>
      </c>
    </row>
    <row r="35" spans="1:16" x14ac:dyDescent="0.35">
      <c r="A35" s="96" t="s">
        <v>651</v>
      </c>
      <c r="B35" s="92"/>
      <c r="C35" s="99"/>
      <c r="D35" s="100"/>
      <c r="E35" s="92"/>
      <c r="F35" s="92"/>
      <c r="G35" s="92"/>
      <c r="H35" s="94"/>
      <c r="I35" s="92"/>
      <c r="J35" s="92"/>
      <c r="K35" s="92"/>
      <c r="L35" s="92"/>
      <c r="M35" s="92"/>
      <c r="N35" s="92"/>
      <c r="O35" s="95"/>
      <c r="P35" s="92"/>
    </row>
    <row r="36" spans="1:16" ht="87" x14ac:dyDescent="0.35">
      <c r="A36" s="6">
        <v>25</v>
      </c>
      <c r="B36" s="6" t="str">
        <f>CONCATENATE($B$2, ".", A36)</f>
        <v>23.25</v>
      </c>
      <c r="C36" s="31" t="s">
        <v>41</v>
      </c>
      <c r="D36" s="6" t="s">
        <v>57</v>
      </c>
      <c r="E36" s="6" t="s">
        <v>42</v>
      </c>
      <c r="F36" s="6" t="s">
        <v>36</v>
      </c>
      <c r="G36" s="6" t="s">
        <v>36</v>
      </c>
      <c r="H36" s="31" t="s">
        <v>36</v>
      </c>
      <c r="I36" s="6" t="s">
        <v>9</v>
      </c>
      <c r="J36" s="6" t="s">
        <v>36</v>
      </c>
      <c r="K36" s="6" t="s">
        <v>36</v>
      </c>
      <c r="L36" s="6" t="s">
        <v>36</v>
      </c>
      <c r="M36" s="6" t="s">
        <v>36</v>
      </c>
      <c r="N36" s="6" t="s">
        <v>36</v>
      </c>
      <c r="O36" s="6" t="s">
        <v>945</v>
      </c>
    </row>
    <row r="37" spans="1:16" ht="29" x14ac:dyDescent="0.35">
      <c r="A37" s="36">
        <v>26</v>
      </c>
      <c r="B37" s="6" t="str">
        <f t="shared" ref="B37" si="9">CONCATENATE($B$2, ".", A37)</f>
        <v>23.26</v>
      </c>
      <c r="C37" s="31" t="s">
        <v>41</v>
      </c>
      <c r="D37" s="6" t="s">
        <v>56</v>
      </c>
      <c r="E37" s="6" t="s">
        <v>42</v>
      </c>
      <c r="F37" s="6" t="s">
        <v>36</v>
      </c>
      <c r="G37" s="6" t="s">
        <v>36</v>
      </c>
      <c r="H37" s="31" t="s">
        <v>36</v>
      </c>
      <c r="I37" s="6" t="s">
        <v>9</v>
      </c>
      <c r="J37" s="6" t="s">
        <v>36</v>
      </c>
      <c r="K37" s="6" t="s">
        <v>36</v>
      </c>
      <c r="L37" s="6" t="s">
        <v>36</v>
      </c>
      <c r="M37" s="6" t="s">
        <v>36</v>
      </c>
      <c r="N37" s="6" t="s">
        <v>36</v>
      </c>
      <c r="O37" s="6" t="s">
        <v>836</v>
      </c>
    </row>
    <row r="39" spans="1:16" x14ac:dyDescent="0.35">
      <c r="D39" s="6" t="s">
        <v>68</v>
      </c>
    </row>
  </sheetData>
  <autoFilter ref="A6:P37"/>
  <mergeCells count="1">
    <mergeCell ref="B4:C4"/>
  </mergeCells>
  <conditionalFormatting sqref="C14 C7:C9 C36:C1048576 C19:C21">
    <cfRule type="cellIs" dxfId="224" priority="96" operator="equal">
      <formula>"WIP (see comments)"</formula>
    </cfRule>
    <cfRule type="cellIs" dxfId="223" priority="97" operator="equal">
      <formula>"Removed"</formula>
    </cfRule>
    <cfRule type="cellIs" dxfId="222" priority="98" operator="equal">
      <formula>"Updated"</formula>
    </cfRule>
    <cfRule type="cellIs" dxfId="221" priority="99" operator="equal">
      <formula>"New"</formula>
    </cfRule>
  </conditionalFormatting>
  <conditionalFormatting sqref="A14:D14 A15:A16 Q9:XFD12 C7:C8 F14:O14 F9:H9 C9:D9 A19:P20 J9:N9">
    <cfRule type="cellIs" dxfId="220" priority="95" operator="equal">
      <formula>"n/a"</formula>
    </cfRule>
  </conditionalFormatting>
  <conditionalFormatting sqref="K7:O8 O9">
    <cfRule type="cellIs" dxfId="219" priority="94" operator="equal">
      <formula>"n/a"</formula>
    </cfRule>
  </conditionalFormatting>
  <conditionalFormatting sqref="F7:H8">
    <cfRule type="cellIs" dxfId="218" priority="93" operator="equal">
      <formula>"n/a"</formula>
    </cfRule>
  </conditionalFormatting>
  <conditionalFormatting sqref="J7:J8">
    <cfRule type="cellIs" dxfId="217" priority="92" operator="equal">
      <formula>"n/a"</formula>
    </cfRule>
  </conditionalFormatting>
  <conditionalFormatting sqref="C18">
    <cfRule type="cellIs" dxfId="216" priority="88" operator="equal">
      <formula>"WIP (see comments)"</formula>
    </cfRule>
    <cfRule type="cellIs" dxfId="215" priority="89" operator="equal">
      <formula>"Removed"</formula>
    </cfRule>
    <cfRule type="cellIs" dxfId="214" priority="90" operator="equal">
      <formula>"Updated"</formula>
    </cfRule>
    <cfRule type="cellIs" dxfId="213" priority="91" operator="equal">
      <formula>"New"</formula>
    </cfRule>
  </conditionalFormatting>
  <conditionalFormatting sqref="Q14:XFD14 A18:D18 F18:O18">
    <cfRule type="cellIs" dxfId="212" priority="87" operator="equal">
      <formula>"n/a"</formula>
    </cfRule>
  </conditionalFormatting>
  <conditionalFormatting sqref="F36:O37">
    <cfRule type="cellIs" dxfId="211" priority="86" operator="equal">
      <formula>"n/a"</formula>
    </cfRule>
  </conditionalFormatting>
  <conditionalFormatting sqref="C15:C16">
    <cfRule type="cellIs" dxfId="210" priority="82" operator="equal">
      <formula>"WIP (see comments)"</formula>
    </cfRule>
    <cfRule type="cellIs" dxfId="209" priority="83" operator="equal">
      <formula>"Removed"</formula>
    </cfRule>
    <cfRule type="cellIs" dxfId="208" priority="84" operator="equal">
      <formula>"Updated"</formula>
    </cfRule>
    <cfRule type="cellIs" dxfId="207" priority="85" operator="equal">
      <formula>"New"</formula>
    </cfRule>
  </conditionalFormatting>
  <conditionalFormatting sqref="C15:O16 J17">
    <cfRule type="cellIs" dxfId="206" priority="81" operator="equal">
      <formula>"n/a"</formula>
    </cfRule>
  </conditionalFormatting>
  <conditionalFormatting sqref="A11:A12">
    <cfRule type="cellIs" dxfId="205" priority="80" operator="equal">
      <formula>"n/a"</formula>
    </cfRule>
  </conditionalFormatting>
  <conditionalFormatting sqref="C11:C12">
    <cfRule type="cellIs" dxfId="204" priority="76" operator="equal">
      <formula>"WIP (see comments)"</formula>
    </cfRule>
    <cfRule type="cellIs" dxfId="203" priority="77" operator="equal">
      <formula>"Removed"</formula>
    </cfRule>
    <cfRule type="cellIs" dxfId="202" priority="78" operator="equal">
      <formula>"Updated"</formula>
    </cfRule>
    <cfRule type="cellIs" dxfId="201" priority="79" operator="equal">
      <formula>"New"</formula>
    </cfRule>
  </conditionalFormatting>
  <conditionalFormatting sqref="C11:O12">
    <cfRule type="cellIs" dxfId="200" priority="75" operator="equal">
      <formula>"n/a"</formula>
    </cfRule>
  </conditionalFormatting>
  <conditionalFormatting sqref="C23 C25:C27">
    <cfRule type="cellIs" dxfId="199" priority="71" operator="equal">
      <formula>"WIP (see comments)"</formula>
    </cfRule>
    <cfRule type="cellIs" dxfId="198" priority="72" operator="equal">
      <formula>"Removed"</formula>
    </cfRule>
    <cfRule type="cellIs" dxfId="197" priority="73" operator="equal">
      <formula>"Updated"</formula>
    </cfRule>
    <cfRule type="cellIs" dxfId="196" priority="74" operator="equal">
      <formula>"New"</formula>
    </cfRule>
  </conditionalFormatting>
  <conditionalFormatting sqref="H23 J23:O23 F27:H27 J25:P27 A25:H26">
    <cfRule type="cellIs" dxfId="195" priority="70" operator="equal">
      <formula>"n/a"</formula>
    </cfRule>
  </conditionalFormatting>
  <conditionalFormatting sqref="A23:G23 A27:E27 I27 I23 P23 C25:C26">
    <cfRule type="cellIs" dxfId="194" priority="69" operator="equal">
      <formula>"n/a"</formula>
    </cfRule>
  </conditionalFormatting>
  <conditionalFormatting sqref="I25:I26">
    <cfRule type="cellIs" dxfId="193" priority="68" operator="equal">
      <formula>"n/a"</formula>
    </cfRule>
  </conditionalFormatting>
  <conditionalFormatting sqref="C10">
    <cfRule type="cellIs" dxfId="192" priority="57" operator="equal">
      <formula>"WIP (see comments)"</formula>
    </cfRule>
    <cfRule type="cellIs" dxfId="191" priority="58" operator="equal">
      <formula>"Removed"</formula>
    </cfRule>
    <cfRule type="cellIs" dxfId="190" priority="59" operator="equal">
      <formula>"Updated"</formula>
    </cfRule>
    <cfRule type="cellIs" dxfId="189" priority="60" operator="equal">
      <formula>"New"</formula>
    </cfRule>
  </conditionalFormatting>
  <conditionalFormatting sqref="A10:P10">
    <cfRule type="cellIs" dxfId="188" priority="56" operator="equal">
      <formula>"n/a"</formula>
    </cfRule>
  </conditionalFormatting>
  <conditionalFormatting sqref="C28 C30">
    <cfRule type="cellIs" dxfId="187" priority="52" operator="equal">
      <formula>"WIP (see comments)"</formula>
    </cfRule>
    <cfRule type="cellIs" dxfId="186" priority="53" operator="equal">
      <formula>"Removed"</formula>
    </cfRule>
    <cfRule type="cellIs" dxfId="185" priority="54" operator="equal">
      <formula>"Updated"</formula>
    </cfRule>
    <cfRule type="cellIs" dxfId="184" priority="55" operator="equal">
      <formula>"New"</formula>
    </cfRule>
  </conditionalFormatting>
  <conditionalFormatting sqref="P30:P31">
    <cfRule type="cellIs" dxfId="183" priority="51" operator="equal">
      <formula>"n/a"</formula>
    </cfRule>
  </conditionalFormatting>
  <conditionalFormatting sqref="A28:P28 A30:G30 O30 J30:J34 P29">
    <cfRule type="cellIs" dxfId="182" priority="50" operator="equal">
      <formula>"n/a"</formula>
    </cfRule>
  </conditionalFormatting>
  <conditionalFormatting sqref="H30:I30 K30:N30">
    <cfRule type="cellIs" dxfId="181" priority="49" operator="equal">
      <formula>"n/a"</formula>
    </cfRule>
  </conditionalFormatting>
  <conditionalFormatting sqref="C22">
    <cfRule type="cellIs" dxfId="180" priority="45" operator="equal">
      <formula>"WIP (see comments)"</formula>
    </cfRule>
    <cfRule type="cellIs" dxfId="179" priority="46" operator="equal">
      <formula>"Removed"</formula>
    </cfRule>
    <cfRule type="cellIs" dxfId="178" priority="47" operator="equal">
      <formula>"Updated"</formula>
    </cfRule>
    <cfRule type="cellIs" dxfId="177" priority="48" operator="equal">
      <formula>"New"</formula>
    </cfRule>
  </conditionalFormatting>
  <conditionalFormatting sqref="A22:P22">
    <cfRule type="cellIs" dxfId="176" priority="44" operator="equal">
      <formula>"n/a"</formula>
    </cfRule>
  </conditionalFormatting>
  <conditionalFormatting sqref="A21:P21 C36:C37">
    <cfRule type="cellIs" dxfId="175" priority="39" operator="equal">
      <formula>"n/a"</formula>
    </cfRule>
  </conditionalFormatting>
  <conditionalFormatting sqref="C35">
    <cfRule type="cellIs" dxfId="174" priority="35" operator="equal">
      <formula>"WIP (see comments)"</formula>
    </cfRule>
    <cfRule type="cellIs" dxfId="173" priority="36" operator="equal">
      <formula>"Removed"</formula>
    </cfRule>
    <cfRule type="cellIs" dxfId="172" priority="37" operator="equal">
      <formula>"Updated"</formula>
    </cfRule>
    <cfRule type="cellIs" dxfId="171" priority="38" operator="equal">
      <formula>"New"</formula>
    </cfRule>
  </conditionalFormatting>
  <conditionalFormatting sqref="A35:P35">
    <cfRule type="cellIs" dxfId="170" priority="34" operator="equal">
      <formula>"n/a"</formula>
    </cfRule>
  </conditionalFormatting>
  <conditionalFormatting sqref="C31:C34">
    <cfRule type="cellIs" dxfId="169" priority="30" operator="equal">
      <formula>"WIP (see comments)"</formula>
    </cfRule>
    <cfRule type="cellIs" dxfId="168" priority="31" operator="equal">
      <formula>"Removed"</formula>
    </cfRule>
    <cfRule type="cellIs" dxfId="167" priority="32" operator="equal">
      <formula>"Updated"</formula>
    </cfRule>
    <cfRule type="cellIs" dxfId="166" priority="33" operator="equal">
      <formula>"New"</formula>
    </cfRule>
  </conditionalFormatting>
  <conditionalFormatting sqref="P32:P34">
    <cfRule type="cellIs" dxfId="165" priority="29" operator="equal">
      <formula>"n/a"</formula>
    </cfRule>
  </conditionalFormatting>
  <conditionalFormatting sqref="A31:E31 A32:G34 O31:O34">
    <cfRule type="cellIs" dxfId="164" priority="28" operator="equal">
      <formula>"n/a"</formula>
    </cfRule>
  </conditionalFormatting>
  <conditionalFormatting sqref="H32:I34 K32:N34">
    <cfRule type="cellIs" dxfId="163" priority="27" operator="equal">
      <formula>"n/a"</formula>
    </cfRule>
  </conditionalFormatting>
  <conditionalFormatting sqref="F31:I31 K31:N31">
    <cfRule type="cellIs" dxfId="162" priority="26" operator="equal">
      <formula>"n/a"</formula>
    </cfRule>
  </conditionalFormatting>
  <conditionalFormatting sqref="A17">
    <cfRule type="cellIs" dxfId="161" priority="25" operator="equal">
      <formula>"n/a"</formula>
    </cfRule>
  </conditionalFormatting>
  <conditionalFormatting sqref="C17">
    <cfRule type="cellIs" dxfId="160" priority="21" operator="equal">
      <formula>"WIP (see comments)"</formula>
    </cfRule>
    <cfRule type="cellIs" dxfId="159" priority="22" operator="equal">
      <formula>"Removed"</formula>
    </cfRule>
    <cfRule type="cellIs" dxfId="158" priority="23" operator="equal">
      <formula>"Updated"</formula>
    </cfRule>
    <cfRule type="cellIs" dxfId="157" priority="24" operator="equal">
      <formula>"New"</formula>
    </cfRule>
  </conditionalFormatting>
  <conditionalFormatting sqref="C17:I17 K17:N17">
    <cfRule type="cellIs" dxfId="156" priority="20" operator="equal">
      <formula>"n/a"</formula>
    </cfRule>
  </conditionalFormatting>
  <conditionalFormatting sqref="C24">
    <cfRule type="cellIs" dxfId="155" priority="16" operator="equal">
      <formula>"WIP (see comments)"</formula>
    </cfRule>
    <cfRule type="cellIs" dxfId="154" priority="17" operator="equal">
      <formula>"Removed"</formula>
    </cfRule>
    <cfRule type="cellIs" dxfId="153" priority="18" operator="equal">
      <formula>"Updated"</formula>
    </cfRule>
    <cfRule type="cellIs" dxfId="152" priority="19" operator="equal">
      <formula>"New"</formula>
    </cfRule>
  </conditionalFormatting>
  <conditionalFormatting sqref="H24 J24:O24">
    <cfRule type="cellIs" dxfId="151" priority="15" operator="equal">
      <formula>"n/a"</formula>
    </cfRule>
  </conditionalFormatting>
  <conditionalFormatting sqref="A24:G24 I24 P24">
    <cfRule type="cellIs" dxfId="150" priority="14" operator="equal">
      <formula>"n/a"</formula>
    </cfRule>
  </conditionalFormatting>
  <conditionalFormatting sqref="C29">
    <cfRule type="cellIs" dxfId="149" priority="10" operator="equal">
      <formula>"WIP (see comments)"</formula>
    </cfRule>
    <cfRule type="cellIs" dxfId="148" priority="11" operator="equal">
      <formula>"Removed"</formula>
    </cfRule>
    <cfRule type="cellIs" dxfId="147" priority="12" operator="equal">
      <formula>"Updated"</formula>
    </cfRule>
    <cfRule type="cellIs" dxfId="146" priority="13" operator="equal">
      <formula>"New"</formula>
    </cfRule>
  </conditionalFormatting>
  <conditionalFormatting sqref="A29:O29">
    <cfRule type="cellIs" dxfId="145" priority="9" operator="equal">
      <formula>"n/a"</formula>
    </cfRule>
  </conditionalFormatting>
  <conditionalFormatting sqref="J13">
    <cfRule type="cellIs" dxfId="144" priority="8" operator="equal">
      <formula>"n/a"</formula>
    </cfRule>
  </conditionalFormatting>
  <conditionalFormatting sqref="A13">
    <cfRule type="cellIs" dxfId="143" priority="7" operator="equal">
      <formula>"n/a"</formula>
    </cfRule>
  </conditionalFormatting>
  <conditionalFormatting sqref="C13">
    <cfRule type="cellIs" dxfId="142" priority="3" operator="equal">
      <formula>"WIP (see comments)"</formula>
    </cfRule>
    <cfRule type="cellIs" dxfId="141" priority="4" operator="equal">
      <formula>"Removed"</formula>
    </cfRule>
    <cfRule type="cellIs" dxfId="140" priority="5" operator="equal">
      <formula>"Updated"</formula>
    </cfRule>
    <cfRule type="cellIs" dxfId="139" priority="6" operator="equal">
      <formula>"New"</formula>
    </cfRule>
  </conditionalFormatting>
  <conditionalFormatting sqref="C13:I13 K13:O13">
    <cfRule type="cellIs" dxfId="138" priority="2" operator="equal">
      <formula>"n/a"</formula>
    </cfRule>
  </conditionalFormatting>
  <conditionalFormatting sqref="O17">
    <cfRule type="cellIs" dxfId="1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Values'!$A$5:$A$34</xm:f>
          </x14:formula1>
          <xm:sqref>E14 E18 E36:E37 E7:E9</xm:sqref>
        </x14:dataValidation>
        <x14:dataValidation type="list" allowBlank="1" showInputMessage="1" showErrorMessage="1">
          <x14:formula1>
            <xm:f>'List Values'!$A$5:$A$35</xm:f>
          </x14:formula1>
          <xm:sqref>E15:E17 E10:E13 E19:E35</xm:sqref>
        </x14:dataValidation>
        <x14:dataValidation type="list" allowBlank="1" showInputMessage="1" showErrorMessage="1">
          <x14:formula1>
            <xm:f>'List Values'!$B$5:$B$12</xm:f>
          </x14:formula1>
          <xm:sqref>C7:C37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4.269531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116</v>
      </c>
      <c r="C1" s="29"/>
      <c r="D1" s="26"/>
      <c r="H1" s="32"/>
    </row>
    <row r="2" spans="1:16" s="27" customFormat="1" ht="18.5" x14ac:dyDescent="0.35">
      <c r="A2" s="25" t="s">
        <v>7</v>
      </c>
      <c r="B2" s="33" t="s">
        <v>133</v>
      </c>
      <c r="C2" s="32"/>
      <c r="D2" s="33"/>
      <c r="H2" s="32"/>
    </row>
    <row r="3" spans="1:16" s="27" customFormat="1" ht="18.5" x14ac:dyDescent="0.35">
      <c r="A3" s="25" t="s">
        <v>43</v>
      </c>
      <c r="B3" s="33" t="s">
        <v>290</v>
      </c>
      <c r="C3" s="32"/>
      <c r="D3" s="85" t="s">
        <v>291</v>
      </c>
      <c r="H3" s="32"/>
    </row>
    <row r="4" spans="1:16" s="27" customFormat="1" ht="18.5" x14ac:dyDescent="0.35">
      <c r="A4" s="25" t="s">
        <v>8</v>
      </c>
      <c r="B4" s="27" t="s">
        <v>113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A.1</v>
      </c>
      <c r="C7" s="49" t="s">
        <v>44</v>
      </c>
      <c r="D7" s="5" t="s">
        <v>36</v>
      </c>
      <c r="E7" s="37" t="s">
        <v>114</v>
      </c>
      <c r="F7" s="5" t="s">
        <v>36</v>
      </c>
      <c r="G7" s="5" t="s">
        <v>36</v>
      </c>
      <c r="H7" s="39" t="s">
        <v>36</v>
      </c>
      <c r="I7" s="37" t="s">
        <v>9</v>
      </c>
      <c r="J7" s="5" t="s">
        <v>36</v>
      </c>
      <c r="K7" s="5" t="s">
        <v>36</v>
      </c>
      <c r="L7" s="5" t="s">
        <v>36</v>
      </c>
      <c r="M7" s="5" t="s">
        <v>36</v>
      </c>
      <c r="N7" s="5" t="s">
        <v>36</v>
      </c>
      <c r="O7" s="5" t="s">
        <v>463</v>
      </c>
      <c r="P7" s="5" t="s">
        <v>418</v>
      </c>
    </row>
    <row r="8" spans="1:16" x14ac:dyDescent="0.35">
      <c r="A8" s="5">
        <v>2</v>
      </c>
      <c r="B8" s="5" t="str">
        <f t="shared" ref="B8:B10" si="0">CONCATENATE($B$2, ".", A8)</f>
        <v>A.2</v>
      </c>
      <c r="C8" s="39" t="s">
        <v>37</v>
      </c>
      <c r="D8" s="37" t="s">
        <v>462</v>
      </c>
      <c r="E8" s="37" t="s">
        <v>115</v>
      </c>
      <c r="F8" s="5" t="s">
        <v>36</v>
      </c>
      <c r="G8" s="5" t="s">
        <v>36</v>
      </c>
      <c r="H8" s="39" t="s">
        <v>36</v>
      </c>
      <c r="I8" s="37" t="s">
        <v>9</v>
      </c>
      <c r="J8" s="5" t="s">
        <v>36</v>
      </c>
      <c r="K8" s="5" t="s">
        <v>36</v>
      </c>
      <c r="L8" s="5" t="s">
        <v>36</v>
      </c>
      <c r="M8" s="5" t="s">
        <v>36</v>
      </c>
      <c r="N8" s="5" t="s">
        <v>36</v>
      </c>
    </row>
    <row r="9" spans="1:16" x14ac:dyDescent="0.35">
      <c r="A9" s="5">
        <v>3</v>
      </c>
      <c r="B9" s="5" t="str">
        <f t="shared" si="0"/>
        <v>A.3</v>
      </c>
      <c r="C9" s="49" t="s">
        <v>39</v>
      </c>
      <c r="D9" s="42" t="s">
        <v>128</v>
      </c>
      <c r="E9" s="37" t="s">
        <v>33</v>
      </c>
      <c r="F9" s="5" t="s">
        <v>36</v>
      </c>
      <c r="G9" s="5" t="s">
        <v>36</v>
      </c>
      <c r="H9" s="39" t="s">
        <v>36</v>
      </c>
      <c r="I9" s="37" t="s">
        <v>9</v>
      </c>
      <c r="J9" s="5" t="s">
        <v>36</v>
      </c>
      <c r="K9" s="5" t="s">
        <v>36</v>
      </c>
      <c r="L9" s="5" t="s">
        <v>36</v>
      </c>
      <c r="M9" s="5" t="s">
        <v>36</v>
      </c>
      <c r="N9" s="5" t="s">
        <v>36</v>
      </c>
    </row>
    <row r="10" spans="1:16" ht="81" customHeight="1" x14ac:dyDescent="0.35">
      <c r="A10" s="5">
        <v>4</v>
      </c>
      <c r="B10" s="5" t="str">
        <f t="shared" si="0"/>
        <v>A.4</v>
      </c>
      <c r="C10" s="49" t="s">
        <v>37</v>
      </c>
      <c r="D10" s="46" t="s">
        <v>591</v>
      </c>
      <c r="E10" s="37" t="s">
        <v>33</v>
      </c>
      <c r="F10" s="5" t="s">
        <v>36</v>
      </c>
      <c r="G10" s="5" t="s">
        <v>36</v>
      </c>
      <c r="H10" s="39" t="s">
        <v>36</v>
      </c>
      <c r="I10" s="37" t="s">
        <v>9</v>
      </c>
      <c r="J10" s="5" t="s">
        <v>36</v>
      </c>
      <c r="K10" s="5" t="s">
        <v>36</v>
      </c>
      <c r="L10" s="5" t="s">
        <v>36</v>
      </c>
      <c r="M10" s="5" t="s">
        <v>36</v>
      </c>
      <c r="N10" s="5" t="s">
        <v>36</v>
      </c>
      <c r="O10" s="5" t="s">
        <v>602</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36" priority="6" operator="equal">
      <formula>"WIP (see comments)"</formula>
    </cfRule>
    <cfRule type="cellIs" dxfId="135" priority="7" operator="equal">
      <formula>"Removed"</formula>
    </cfRule>
    <cfRule type="cellIs" dxfId="134" priority="8" operator="equal">
      <formula>"Updated"</formula>
    </cfRule>
    <cfRule type="cellIs" dxfId="133" priority="9" operator="equal">
      <formula>"New"</formula>
    </cfRule>
  </conditionalFormatting>
  <conditionalFormatting sqref="D9">
    <cfRule type="cellIs" dxfId="132" priority="5" operator="equal">
      <formula>"-"</formula>
    </cfRule>
  </conditionalFormatting>
  <conditionalFormatting sqref="A1:XFD2 E7:XFD7 A8:XFD1048576 A7:C7 A4:XFD6 A3:C3 E3:XFD3">
    <cfRule type="cellIs" dxfId="131" priority="4" operator="equal">
      <formula>"n/a"</formula>
    </cfRule>
  </conditionalFormatting>
  <conditionalFormatting sqref="D7">
    <cfRule type="cellIs" dxfId="130" priority="3" operator="equal">
      <formula>"-"</formula>
    </cfRule>
  </conditionalFormatting>
  <conditionalFormatting sqref="D7">
    <cfRule type="cellIs" dxfId="129" priority="2" operator="equal">
      <formula>"n/a"</formula>
    </cfRule>
  </conditionalFormatting>
  <conditionalFormatting sqref="D3">
    <cfRule type="cellIs" dxfId="1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5.816406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117</v>
      </c>
      <c r="C1" s="29"/>
      <c r="D1" s="26"/>
      <c r="H1" s="32"/>
    </row>
    <row r="2" spans="1:16" s="27" customFormat="1" ht="18.5" x14ac:dyDescent="0.35">
      <c r="A2" s="25" t="s">
        <v>7</v>
      </c>
      <c r="B2" s="33" t="s">
        <v>134</v>
      </c>
      <c r="C2" s="32"/>
      <c r="D2" s="33"/>
      <c r="H2" s="32"/>
    </row>
    <row r="3" spans="1:16" s="27" customFormat="1" ht="18.5" x14ac:dyDescent="0.35">
      <c r="A3" s="25" t="s">
        <v>43</v>
      </c>
      <c r="B3" s="33" t="s">
        <v>292</v>
      </c>
      <c r="C3" s="32"/>
      <c r="D3" s="85" t="s">
        <v>293</v>
      </c>
      <c r="H3" s="32"/>
    </row>
    <row r="4" spans="1:16" s="27" customFormat="1" ht="18.5" x14ac:dyDescent="0.35">
      <c r="A4" s="25" t="s">
        <v>8</v>
      </c>
      <c r="B4" s="27" t="s">
        <v>157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B.1</v>
      </c>
      <c r="C7" s="49" t="s">
        <v>44</v>
      </c>
      <c r="D7" s="5" t="s">
        <v>36</v>
      </c>
      <c r="E7" s="37" t="s">
        <v>114</v>
      </c>
      <c r="F7" s="5" t="s">
        <v>36</v>
      </c>
      <c r="G7" s="5" t="s">
        <v>36</v>
      </c>
      <c r="H7" s="39" t="s">
        <v>36</v>
      </c>
      <c r="I7" s="37" t="s">
        <v>9</v>
      </c>
      <c r="J7" s="5" t="s">
        <v>36</v>
      </c>
      <c r="K7" s="5" t="s">
        <v>36</v>
      </c>
      <c r="L7" s="5" t="s">
        <v>36</v>
      </c>
      <c r="M7" s="5" t="s">
        <v>36</v>
      </c>
      <c r="N7" s="5" t="s">
        <v>36</v>
      </c>
      <c r="O7" s="5" t="s">
        <v>463</v>
      </c>
      <c r="P7" s="5" t="s">
        <v>418</v>
      </c>
    </row>
    <row r="8" spans="1:16" x14ac:dyDescent="0.35">
      <c r="A8" s="5">
        <v>2</v>
      </c>
      <c r="B8" s="5" t="str">
        <f t="shared" ref="B8:B9" si="0">CONCATENATE($B$2, ".", A8)</f>
        <v>B.2</v>
      </c>
      <c r="C8" s="39" t="s">
        <v>39</v>
      </c>
      <c r="D8" s="37" t="s">
        <v>129</v>
      </c>
      <c r="E8" s="37" t="s">
        <v>115</v>
      </c>
      <c r="F8" s="5" t="s">
        <v>36</v>
      </c>
      <c r="G8" s="5" t="s">
        <v>36</v>
      </c>
      <c r="H8" s="39" t="s">
        <v>36</v>
      </c>
      <c r="I8" s="37" t="s">
        <v>9</v>
      </c>
      <c r="J8" s="5" t="s">
        <v>36</v>
      </c>
      <c r="K8" s="5" t="s">
        <v>36</v>
      </c>
      <c r="L8" s="5" t="s">
        <v>36</v>
      </c>
      <c r="M8" s="5" t="s">
        <v>36</v>
      </c>
      <c r="N8" s="5" t="s">
        <v>36</v>
      </c>
    </row>
    <row r="9" spans="1:16" ht="71.25" customHeight="1" x14ac:dyDescent="0.35">
      <c r="A9" s="5">
        <v>3</v>
      </c>
      <c r="B9" s="5" t="str">
        <f t="shared" si="0"/>
        <v>B.3</v>
      </c>
      <c r="C9" s="49" t="s">
        <v>37</v>
      </c>
      <c r="D9" s="46" t="s">
        <v>592</v>
      </c>
      <c r="E9" s="37" t="s">
        <v>33</v>
      </c>
      <c r="F9" s="5" t="s">
        <v>36</v>
      </c>
      <c r="G9" s="5" t="s">
        <v>36</v>
      </c>
      <c r="H9" s="39" t="s">
        <v>36</v>
      </c>
      <c r="I9" s="37" t="s">
        <v>9</v>
      </c>
      <c r="J9" s="5" t="s">
        <v>36</v>
      </c>
      <c r="K9" s="5" t="s">
        <v>36</v>
      </c>
      <c r="L9" s="5" t="s">
        <v>36</v>
      </c>
      <c r="M9" s="5" t="s">
        <v>36</v>
      </c>
      <c r="N9" s="5" t="s">
        <v>36</v>
      </c>
      <c r="O9" s="5" t="s">
        <v>416</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27" priority="8" operator="equal">
      <formula>"WIP (see comments)"</formula>
    </cfRule>
    <cfRule type="cellIs" dxfId="126" priority="9" operator="equal">
      <formula>"Removed"</formula>
    </cfRule>
    <cfRule type="cellIs" dxfId="125" priority="10" operator="equal">
      <formula>"Updated"</formula>
    </cfRule>
    <cfRule type="cellIs" dxfId="124" priority="11" operator="equal">
      <formula>"New"</formula>
    </cfRule>
  </conditionalFormatting>
  <conditionalFormatting sqref="A12:XFD1048576 A11:C11 E11:XFD11 P9:XFD9 A10:XFD10 A1:XFD2 Q7:XFD7 E7:O7 A8:XFD8 A9:N9 A7:C7 A4:XFD6 A3:C3 E3:XFD3">
    <cfRule type="cellIs" dxfId="123" priority="6" operator="equal">
      <formula>"n/a"</formula>
    </cfRule>
  </conditionalFormatting>
  <conditionalFormatting sqref="O9">
    <cfRule type="cellIs" dxfId="122" priority="5" operator="equal">
      <formula>"n/a"</formula>
    </cfRule>
  </conditionalFormatting>
  <conditionalFormatting sqref="P7">
    <cfRule type="cellIs" dxfId="121" priority="4" operator="equal">
      <formula>"n/a"</formula>
    </cfRule>
  </conditionalFormatting>
  <conditionalFormatting sqref="D7">
    <cfRule type="cellIs" dxfId="120" priority="3" operator="equal">
      <formula>"-"</formula>
    </cfRule>
  </conditionalFormatting>
  <conditionalFormatting sqref="D7">
    <cfRule type="cellIs" dxfId="119" priority="2" operator="equal">
      <formula>"n/a"</formula>
    </cfRule>
  </conditionalFormatting>
  <conditionalFormatting sqref="D3">
    <cfRule type="cellIs" dxfId="1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118</v>
      </c>
      <c r="C1" s="29"/>
      <c r="D1" s="26"/>
      <c r="H1" s="32"/>
    </row>
    <row r="2" spans="1:16" s="27" customFormat="1" ht="18.5" x14ac:dyDescent="0.35">
      <c r="A2" s="25" t="s">
        <v>7</v>
      </c>
      <c r="B2" s="33" t="s">
        <v>135</v>
      </c>
      <c r="C2" s="32"/>
      <c r="D2" s="33"/>
      <c r="H2" s="32"/>
    </row>
    <row r="3" spans="1:16" s="27" customFormat="1" ht="18.5" x14ac:dyDescent="0.35">
      <c r="A3" s="25" t="s">
        <v>43</v>
      </c>
      <c r="B3" s="33" t="s">
        <v>295</v>
      </c>
      <c r="C3" s="32"/>
      <c r="D3" s="85" t="s">
        <v>294</v>
      </c>
      <c r="H3" s="32"/>
    </row>
    <row r="4" spans="1:16" s="27" customFormat="1" ht="18.5" x14ac:dyDescent="0.35">
      <c r="A4" s="25" t="s">
        <v>8</v>
      </c>
      <c r="B4" s="27" t="s">
        <v>213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C.1</v>
      </c>
      <c r="C7" s="49" t="s">
        <v>44</v>
      </c>
      <c r="D7" s="5" t="s">
        <v>36</v>
      </c>
      <c r="E7" s="37" t="s">
        <v>114</v>
      </c>
      <c r="F7" s="5" t="s">
        <v>36</v>
      </c>
      <c r="G7" s="5" t="s">
        <v>36</v>
      </c>
      <c r="H7" s="39" t="s">
        <v>36</v>
      </c>
      <c r="I7" s="37" t="s">
        <v>9</v>
      </c>
      <c r="J7" s="5" t="s">
        <v>36</v>
      </c>
      <c r="K7" s="5" t="s">
        <v>36</v>
      </c>
      <c r="L7" s="5" t="s">
        <v>36</v>
      </c>
      <c r="M7" s="5" t="s">
        <v>36</v>
      </c>
      <c r="N7" s="5" t="s">
        <v>36</v>
      </c>
      <c r="O7" s="5" t="s">
        <v>463</v>
      </c>
      <c r="P7" s="5" t="s">
        <v>418</v>
      </c>
    </row>
    <row r="8" spans="1:16" x14ac:dyDescent="0.35">
      <c r="A8" s="5">
        <v>2</v>
      </c>
      <c r="B8" s="5" t="str">
        <f t="shared" ref="B8:B10" si="0">CONCATENATE($B$2, ".", A8)</f>
        <v>C.2</v>
      </c>
      <c r="C8" s="39" t="s">
        <v>39</v>
      </c>
      <c r="D8" s="37" t="s">
        <v>119</v>
      </c>
      <c r="E8" s="37" t="s">
        <v>115</v>
      </c>
      <c r="F8" s="5" t="s">
        <v>36</v>
      </c>
      <c r="G8" s="5" t="s">
        <v>36</v>
      </c>
      <c r="H8" s="39" t="s">
        <v>36</v>
      </c>
      <c r="I8" s="37" t="s">
        <v>9</v>
      </c>
      <c r="J8" s="5" t="s">
        <v>36</v>
      </c>
      <c r="K8" s="5" t="s">
        <v>36</v>
      </c>
      <c r="L8" s="5" t="s">
        <v>36</v>
      </c>
      <c r="M8" s="5" t="s">
        <v>36</v>
      </c>
      <c r="N8" s="5" t="s">
        <v>36</v>
      </c>
    </row>
    <row r="9" spans="1:16" ht="29" x14ac:dyDescent="0.35">
      <c r="A9" s="5">
        <v>3</v>
      </c>
      <c r="B9" s="5" t="str">
        <f t="shared" si="0"/>
        <v>C.3</v>
      </c>
      <c r="C9" s="49" t="s">
        <v>37</v>
      </c>
      <c r="D9" s="5" t="s">
        <v>464</v>
      </c>
      <c r="E9" s="37" t="s">
        <v>33</v>
      </c>
      <c r="F9" s="5" t="s">
        <v>36</v>
      </c>
      <c r="G9" s="5" t="s">
        <v>36</v>
      </c>
      <c r="H9" s="39" t="s">
        <v>36</v>
      </c>
      <c r="I9" s="37" t="s">
        <v>9</v>
      </c>
      <c r="J9" s="5" t="s">
        <v>36</v>
      </c>
      <c r="K9" s="5" t="s">
        <v>36</v>
      </c>
      <c r="L9" s="5" t="s">
        <v>36</v>
      </c>
      <c r="M9" s="5" t="s">
        <v>36</v>
      </c>
      <c r="N9" s="5" t="s">
        <v>36</v>
      </c>
    </row>
    <row r="10" spans="1:16" ht="54" customHeight="1" x14ac:dyDescent="0.35">
      <c r="A10" s="5">
        <v>4</v>
      </c>
      <c r="B10" s="5" t="str">
        <f t="shared" si="0"/>
        <v>C.4</v>
      </c>
      <c r="C10" s="49" t="s">
        <v>37</v>
      </c>
      <c r="D10" s="5" t="s">
        <v>465</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17" priority="5" operator="equal">
      <formula>"WIP (see comments)"</formula>
    </cfRule>
    <cfRule type="cellIs" dxfId="116" priority="6" operator="equal">
      <formula>"Removed"</formula>
    </cfRule>
    <cfRule type="cellIs" dxfId="115" priority="7" operator="equal">
      <formula>"Updated"</formula>
    </cfRule>
    <cfRule type="cellIs" dxfId="114" priority="8" operator="equal">
      <formula>"New"</formula>
    </cfRule>
  </conditionalFormatting>
  <conditionalFormatting sqref="D9 D7">
    <cfRule type="cellIs" dxfId="113" priority="4" operator="equal">
      <formula>"-"</formula>
    </cfRule>
  </conditionalFormatting>
  <conditionalFormatting sqref="A1:XFD2 Q7:XFD7 A8:XFD1048576 A7:O7 A4:XFD6 A3:C3 E3:XFD3">
    <cfRule type="cellIs" dxfId="112" priority="3" operator="equal">
      <formula>"n/a"</formula>
    </cfRule>
  </conditionalFormatting>
  <conditionalFormatting sqref="P7">
    <cfRule type="cellIs" dxfId="111" priority="2" operator="equal">
      <formula>"n/a"</formula>
    </cfRule>
  </conditionalFormatting>
  <conditionalFormatting sqref="D3">
    <cfRule type="cellIs" dxfId="1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120</v>
      </c>
      <c r="C1" s="29"/>
      <c r="D1" s="26"/>
      <c r="H1" s="32"/>
    </row>
    <row r="2" spans="1:16" s="27" customFormat="1" ht="18.5" x14ac:dyDescent="0.35">
      <c r="A2" s="25" t="s">
        <v>7</v>
      </c>
      <c r="B2" s="33" t="s">
        <v>136</v>
      </c>
      <c r="C2" s="32"/>
      <c r="D2" s="33"/>
      <c r="H2" s="32"/>
    </row>
    <row r="3" spans="1:16" s="27" customFormat="1" ht="18.5" x14ac:dyDescent="0.35">
      <c r="A3" s="25" t="s">
        <v>43</v>
      </c>
      <c r="B3" s="33" t="s">
        <v>414</v>
      </c>
      <c r="C3" s="32"/>
      <c r="D3" s="33" t="s">
        <v>415</v>
      </c>
      <c r="H3" s="32"/>
    </row>
    <row r="4" spans="1:16" s="27" customFormat="1" ht="18.5" x14ac:dyDescent="0.35">
      <c r="A4" s="25" t="s">
        <v>8</v>
      </c>
      <c r="B4" s="27" t="s">
        <v>121</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D.1</v>
      </c>
      <c r="C7" s="49" t="s">
        <v>44</v>
      </c>
      <c r="D7" s="5" t="s">
        <v>36</v>
      </c>
      <c r="E7" s="37" t="s">
        <v>114</v>
      </c>
      <c r="F7" s="5" t="s">
        <v>36</v>
      </c>
      <c r="G7" s="5" t="s">
        <v>36</v>
      </c>
      <c r="H7" s="39" t="s">
        <v>36</v>
      </c>
      <c r="I7" s="37" t="s">
        <v>9</v>
      </c>
      <c r="J7" s="5" t="s">
        <v>36</v>
      </c>
      <c r="K7" s="5" t="s">
        <v>36</v>
      </c>
      <c r="L7" s="5" t="s">
        <v>36</v>
      </c>
      <c r="M7" s="5" t="s">
        <v>36</v>
      </c>
      <c r="N7" s="5" t="s">
        <v>36</v>
      </c>
      <c r="O7" s="5" t="s">
        <v>341</v>
      </c>
      <c r="P7" s="5" t="s">
        <v>412</v>
      </c>
    </row>
    <row r="8" spans="1:16" x14ac:dyDescent="0.35">
      <c r="A8" s="5">
        <v>2</v>
      </c>
      <c r="B8" s="5" t="str">
        <f t="shared" ref="B8:B9" si="0">CONCATENATE($B$2, ".", A8)</f>
        <v>D.2</v>
      </c>
      <c r="C8" s="39" t="s">
        <v>39</v>
      </c>
      <c r="D8" s="37" t="s">
        <v>122</v>
      </c>
      <c r="E8" s="37" t="s">
        <v>115</v>
      </c>
      <c r="F8" s="5" t="s">
        <v>36</v>
      </c>
      <c r="G8" s="5" t="s">
        <v>36</v>
      </c>
      <c r="H8" s="39" t="s">
        <v>36</v>
      </c>
      <c r="I8" s="37" t="s">
        <v>9</v>
      </c>
      <c r="J8" s="5" t="s">
        <v>36</v>
      </c>
      <c r="K8" s="5" t="s">
        <v>36</v>
      </c>
      <c r="L8" s="5" t="s">
        <v>36</v>
      </c>
      <c r="M8" s="5" t="s">
        <v>36</v>
      </c>
      <c r="N8" s="5" t="s">
        <v>36</v>
      </c>
    </row>
    <row r="9" spans="1:16" ht="43.5" x14ac:dyDescent="0.35">
      <c r="A9" s="5">
        <v>3</v>
      </c>
      <c r="B9" s="5" t="str">
        <f t="shared" si="0"/>
        <v>D.3</v>
      </c>
      <c r="C9" s="49" t="s">
        <v>37</v>
      </c>
      <c r="D9" s="42" t="s">
        <v>593</v>
      </c>
      <c r="E9" s="37" t="s">
        <v>99</v>
      </c>
      <c r="F9" s="5" t="s">
        <v>36</v>
      </c>
      <c r="G9" s="5" t="s">
        <v>36</v>
      </c>
      <c r="H9" s="39" t="s">
        <v>36</v>
      </c>
      <c r="I9" s="37" t="s">
        <v>9</v>
      </c>
      <c r="J9" s="5" t="s">
        <v>36</v>
      </c>
      <c r="K9" s="5" t="s">
        <v>36</v>
      </c>
      <c r="L9" s="5" t="s">
        <v>36</v>
      </c>
      <c r="M9" s="5" t="s">
        <v>36</v>
      </c>
      <c r="N9" s="5" t="s">
        <v>36</v>
      </c>
      <c r="O9" s="5" t="s">
        <v>588</v>
      </c>
      <c r="P9" s="5" t="s">
        <v>413</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09" priority="5" operator="equal">
      <formula>"WIP (see comments)"</formula>
    </cfRule>
    <cfRule type="cellIs" dxfId="108" priority="6" operator="equal">
      <formula>"Removed"</formula>
    </cfRule>
    <cfRule type="cellIs" dxfId="107" priority="7" operator="equal">
      <formula>"Updated"</formula>
    </cfRule>
    <cfRule type="cellIs" dxfId="106" priority="8" operator="equal">
      <formula>"New"</formula>
    </cfRule>
  </conditionalFormatting>
  <conditionalFormatting sqref="D9 D7">
    <cfRule type="cellIs" dxfId="105" priority="4" operator="equal">
      <formula>"-"</formula>
    </cfRule>
  </conditionalFormatting>
  <conditionalFormatting sqref="A1:XFD6 Q7:XFD7 A10:XFD1048576 F7:O7 A7:D9 F8:XFD9">
    <cfRule type="cellIs" dxfId="104" priority="3" operator="equal">
      <formula>"n/a"</formula>
    </cfRule>
  </conditionalFormatting>
  <conditionalFormatting sqref="P7">
    <cfRule type="cellIs" dxfId="103" priority="2" operator="equal">
      <formula>"n/a"</formula>
    </cfRule>
  </conditionalFormatting>
  <conditionalFormatting sqref="E7:E9">
    <cfRule type="cellIs" dxfId="10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2"/>
  <sheetViews>
    <sheetView zoomScaleNormal="100"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123</v>
      </c>
      <c r="C1" s="29"/>
      <c r="D1" s="26"/>
      <c r="H1" s="32"/>
    </row>
    <row r="2" spans="1:16" s="27" customFormat="1" ht="18.5" x14ac:dyDescent="0.35">
      <c r="A2" s="25" t="s">
        <v>7</v>
      </c>
      <c r="B2" s="33" t="s">
        <v>137</v>
      </c>
      <c r="C2" s="32"/>
      <c r="D2" s="33"/>
      <c r="H2" s="32"/>
    </row>
    <row r="3" spans="1:16" s="27" customFormat="1" ht="18.5" x14ac:dyDescent="0.35">
      <c r="A3" s="25" t="s">
        <v>43</v>
      </c>
      <c r="B3" s="33" t="s">
        <v>340</v>
      </c>
      <c r="C3" s="32"/>
      <c r="D3" s="33" t="s">
        <v>469</v>
      </c>
      <c r="H3" s="32"/>
    </row>
    <row r="4" spans="1:16" s="27" customFormat="1" ht="18.5" x14ac:dyDescent="0.35">
      <c r="A4" s="25" t="s">
        <v>8</v>
      </c>
      <c r="B4" s="27" t="s">
        <v>124</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E.1</v>
      </c>
      <c r="C7" s="49" t="s">
        <v>44</v>
      </c>
      <c r="D7" s="5" t="s">
        <v>36</v>
      </c>
      <c r="E7" s="37" t="s">
        <v>114</v>
      </c>
      <c r="F7" s="5" t="s">
        <v>36</v>
      </c>
      <c r="G7" s="5" t="s">
        <v>36</v>
      </c>
      <c r="H7" s="39" t="s">
        <v>36</v>
      </c>
      <c r="I7" s="37" t="s">
        <v>9</v>
      </c>
      <c r="J7" s="5" t="s">
        <v>36</v>
      </c>
      <c r="K7" s="5" t="s">
        <v>36</v>
      </c>
      <c r="L7" s="5" t="s">
        <v>36</v>
      </c>
      <c r="M7" s="5" t="s">
        <v>36</v>
      </c>
      <c r="N7" s="5" t="s">
        <v>36</v>
      </c>
      <c r="O7" s="5" t="s">
        <v>341</v>
      </c>
      <c r="P7" s="5" t="s">
        <v>342</v>
      </c>
    </row>
    <row r="8" spans="1:16" x14ac:dyDescent="0.35">
      <c r="A8" s="5">
        <v>2</v>
      </c>
      <c r="B8" s="5" t="str">
        <f t="shared" ref="B8:B10" si="0">CONCATENATE($B$2, ".", A8)</f>
        <v>E.2</v>
      </c>
      <c r="C8" s="39" t="s">
        <v>37</v>
      </c>
      <c r="D8" s="37" t="s">
        <v>466</v>
      </c>
      <c r="E8" s="37" t="s">
        <v>115</v>
      </c>
      <c r="F8" s="5" t="s">
        <v>36</v>
      </c>
      <c r="G8" s="5" t="s">
        <v>36</v>
      </c>
      <c r="H8" s="39" t="s">
        <v>36</v>
      </c>
      <c r="I8" s="37" t="s">
        <v>9</v>
      </c>
      <c r="J8" s="5" t="s">
        <v>36</v>
      </c>
      <c r="K8" s="5" t="s">
        <v>36</v>
      </c>
      <c r="L8" s="5" t="s">
        <v>36</v>
      </c>
      <c r="M8" s="5" t="s">
        <v>36</v>
      </c>
      <c r="N8" s="5" t="s">
        <v>36</v>
      </c>
    </row>
    <row r="9" spans="1:16" ht="29" x14ac:dyDescent="0.35">
      <c r="A9" s="5">
        <v>3</v>
      </c>
      <c r="B9" s="5" t="str">
        <f t="shared" si="0"/>
        <v>E.3</v>
      </c>
      <c r="C9" s="49" t="s">
        <v>37</v>
      </c>
      <c r="D9" s="42" t="s">
        <v>467</v>
      </c>
      <c r="E9" s="37" t="s">
        <v>33</v>
      </c>
      <c r="F9" s="5" t="s">
        <v>36</v>
      </c>
      <c r="G9" s="5" t="s">
        <v>36</v>
      </c>
      <c r="H9" s="39" t="s">
        <v>36</v>
      </c>
      <c r="I9" s="37" t="s">
        <v>9</v>
      </c>
      <c r="J9" s="5" t="s">
        <v>36</v>
      </c>
      <c r="K9" s="5" t="s">
        <v>36</v>
      </c>
      <c r="L9" s="5" t="s">
        <v>36</v>
      </c>
      <c r="M9" s="5" t="s">
        <v>36</v>
      </c>
      <c r="N9" s="5" t="s">
        <v>36</v>
      </c>
    </row>
    <row r="10" spans="1:16" ht="38" customHeight="1" x14ac:dyDescent="0.35">
      <c r="A10" s="5">
        <v>4</v>
      </c>
      <c r="B10" s="5" t="str">
        <f t="shared" si="0"/>
        <v>E.4</v>
      </c>
      <c r="C10" s="49" t="s">
        <v>37</v>
      </c>
      <c r="D10" s="5" t="s">
        <v>468</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01" priority="4" operator="equal">
      <formula>"WIP (see comments)"</formula>
    </cfRule>
    <cfRule type="cellIs" dxfId="100" priority="5" operator="equal">
      <formula>"Removed"</formula>
    </cfRule>
    <cfRule type="cellIs" dxfId="99" priority="6" operator="equal">
      <formula>"Updated"</formula>
    </cfRule>
    <cfRule type="cellIs" dxfId="98" priority="7" operator="equal">
      <formula>"New"</formula>
    </cfRule>
  </conditionalFormatting>
  <conditionalFormatting sqref="D9 D7">
    <cfRule type="cellIs" dxfId="97" priority="3" operator="equal">
      <formula>"-"</formula>
    </cfRule>
  </conditionalFormatting>
  <conditionalFormatting sqref="A1:XFD6 Q7:XFD7 A8:XFD1048576 A7:O7">
    <cfRule type="cellIs" dxfId="96" priority="2" operator="equal">
      <formula>"n/a"</formula>
    </cfRule>
  </conditionalFormatting>
  <conditionalFormatting sqref="P7">
    <cfRule type="cellIs" dxfId="9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C10:C1048576 C7:C9</xm:sqref>
        </x14:dataValidation>
        <x14:dataValidation type="list" allowBlank="1" showInputMessage="1" showErrorMessage="1">
          <x14:formula1>
            <xm:f>'List Values'!$A$5:$A$35</xm:f>
          </x14:formula1>
          <xm:sqref>E11:E1048576</xm:sqref>
        </x14:dataValidation>
        <x14:dataValidation type="list" allowBlank="1" showInputMessage="1" showErrorMessage="1">
          <x14:formula1>
            <xm:f>'List Values'!$A$5:$A$34</xm:f>
          </x14:formula1>
          <xm:sqref>E7:E10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1"/>
  <sheetViews>
    <sheetView workbookViewId="0">
      <pane xSplit="4" ySplit="6" topLeftCell="M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125</v>
      </c>
      <c r="C1" s="29"/>
      <c r="D1" s="26"/>
      <c r="H1" s="32"/>
    </row>
    <row r="2" spans="1:16" s="27" customFormat="1" ht="18.5" x14ac:dyDescent="0.35">
      <c r="A2" s="25" t="s">
        <v>7</v>
      </c>
      <c r="B2" s="33" t="s">
        <v>138</v>
      </c>
      <c r="C2" s="32"/>
      <c r="D2" s="33"/>
      <c r="H2" s="32"/>
    </row>
    <row r="3" spans="1:16" s="27" customFormat="1" ht="18.5" x14ac:dyDescent="0.35">
      <c r="A3" s="25" t="s">
        <v>43</v>
      </c>
      <c r="B3" s="33" t="s">
        <v>343</v>
      </c>
      <c r="C3" s="32"/>
      <c r="D3" s="33" t="s">
        <v>472</v>
      </c>
      <c r="H3" s="32"/>
    </row>
    <row r="4" spans="1:16" s="27" customFormat="1" ht="18.5" x14ac:dyDescent="0.35">
      <c r="A4" s="25" t="s">
        <v>8</v>
      </c>
      <c r="B4" s="27" t="s">
        <v>126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1" si="0">CONCATENATE($B$2, ".", A7)</f>
        <v>F.1</v>
      </c>
      <c r="C7" s="49" t="s">
        <v>37</v>
      </c>
      <c r="D7" s="37" t="s">
        <v>471</v>
      </c>
      <c r="E7" s="37" t="s">
        <v>115</v>
      </c>
      <c r="F7" s="5" t="s">
        <v>36</v>
      </c>
      <c r="G7" s="5" t="s">
        <v>36</v>
      </c>
      <c r="H7" s="49" t="s">
        <v>36</v>
      </c>
      <c r="I7" s="37" t="s">
        <v>9</v>
      </c>
      <c r="J7" s="5" t="s">
        <v>36</v>
      </c>
      <c r="K7" s="5" t="s">
        <v>36</v>
      </c>
      <c r="L7" s="5" t="s">
        <v>36</v>
      </c>
      <c r="M7" s="5" t="s">
        <v>36</v>
      </c>
      <c r="N7" s="5" t="s">
        <v>36</v>
      </c>
    </row>
    <row r="8" spans="1:16" ht="43.5" x14ac:dyDescent="0.35">
      <c r="A8" s="5">
        <v>2</v>
      </c>
      <c r="B8" s="5" t="str">
        <f t="shared" si="0"/>
        <v>F.2</v>
      </c>
      <c r="C8" s="49" t="s">
        <v>37</v>
      </c>
      <c r="D8" s="42" t="s">
        <v>470</v>
      </c>
      <c r="E8" s="37" t="s">
        <v>33</v>
      </c>
      <c r="F8" s="5" t="s">
        <v>36</v>
      </c>
      <c r="G8" s="5" t="s">
        <v>36</v>
      </c>
      <c r="H8" s="49" t="s">
        <v>36</v>
      </c>
      <c r="I8" s="37" t="s">
        <v>9</v>
      </c>
      <c r="J8" s="5" t="s">
        <v>36</v>
      </c>
      <c r="K8" s="5" t="s">
        <v>36</v>
      </c>
      <c r="L8" s="5" t="s">
        <v>36</v>
      </c>
      <c r="M8" s="5" t="s">
        <v>36</v>
      </c>
      <c r="N8" s="5" t="s">
        <v>36</v>
      </c>
      <c r="P8" s="5" t="s">
        <v>473</v>
      </c>
    </row>
    <row r="9" spans="1:16" x14ac:dyDescent="0.35">
      <c r="A9" s="5">
        <v>3</v>
      </c>
      <c r="B9" s="5" t="str">
        <f t="shared" si="0"/>
        <v>F.3</v>
      </c>
      <c r="C9" s="51" t="s">
        <v>39</v>
      </c>
      <c r="D9" s="42" t="s">
        <v>160</v>
      </c>
      <c r="E9" s="37" t="s">
        <v>603</v>
      </c>
      <c r="F9" s="5" t="s">
        <v>36</v>
      </c>
      <c r="G9" s="5" t="s">
        <v>36</v>
      </c>
      <c r="H9" s="49" t="s">
        <v>36</v>
      </c>
      <c r="I9" s="37" t="s">
        <v>9</v>
      </c>
      <c r="J9" s="5" t="s">
        <v>36</v>
      </c>
      <c r="K9" s="5" t="s">
        <v>36</v>
      </c>
      <c r="L9" s="5" t="s">
        <v>36</v>
      </c>
      <c r="M9" s="5" t="s">
        <v>36</v>
      </c>
      <c r="N9" s="5" t="s">
        <v>36</v>
      </c>
    </row>
    <row r="10" spans="1:16" x14ac:dyDescent="0.35">
      <c r="A10" s="5">
        <v>4</v>
      </c>
      <c r="B10" s="5" t="str">
        <f t="shared" si="0"/>
        <v>F.4</v>
      </c>
      <c r="C10" s="51" t="s">
        <v>39</v>
      </c>
      <c r="D10" s="5" t="s">
        <v>161</v>
      </c>
      <c r="E10" s="5" t="s">
        <v>42</v>
      </c>
      <c r="F10" s="5" t="s">
        <v>36</v>
      </c>
      <c r="G10" s="5" t="s">
        <v>36</v>
      </c>
      <c r="H10" s="49" t="s">
        <v>36</v>
      </c>
      <c r="I10" s="37" t="s">
        <v>9</v>
      </c>
      <c r="J10" s="5" t="s">
        <v>36</v>
      </c>
      <c r="K10" s="5" t="s">
        <v>36</v>
      </c>
      <c r="L10" s="5" t="s">
        <v>36</v>
      </c>
      <c r="M10" s="5" t="s">
        <v>36</v>
      </c>
      <c r="N10" s="5" t="s">
        <v>36</v>
      </c>
      <c r="O10" s="37" t="s">
        <v>537</v>
      </c>
    </row>
    <row r="11" spans="1:16" x14ac:dyDescent="0.35">
      <c r="A11" s="5">
        <v>5</v>
      </c>
      <c r="B11" s="5" t="str">
        <f t="shared" si="0"/>
        <v>F.5</v>
      </c>
      <c r="C11" s="51" t="s">
        <v>39</v>
      </c>
      <c r="D11" s="5" t="s">
        <v>269</v>
      </c>
      <c r="E11" s="5" t="s">
        <v>42</v>
      </c>
      <c r="F11" s="5" t="s">
        <v>36</v>
      </c>
      <c r="G11" s="5" t="s">
        <v>36</v>
      </c>
      <c r="H11" s="49" t="s">
        <v>36</v>
      </c>
      <c r="I11" s="37" t="s">
        <v>9</v>
      </c>
      <c r="J11" s="5" t="s">
        <v>36</v>
      </c>
      <c r="K11" s="5" t="s">
        <v>36</v>
      </c>
      <c r="L11" s="5" t="s">
        <v>36</v>
      </c>
      <c r="M11" s="5" t="s">
        <v>36</v>
      </c>
      <c r="N11" s="5" t="s">
        <v>36</v>
      </c>
      <c r="O11" s="37" t="s">
        <v>538</v>
      </c>
    </row>
  </sheetData>
  <autoFilter ref="A6:P6"/>
  <conditionalFormatting sqref="C12:C1048576">
    <cfRule type="cellIs" dxfId="94" priority="20" operator="equal">
      <formula>"WIP (see comments)"</formula>
    </cfRule>
    <cfRule type="cellIs" dxfId="93" priority="21" operator="equal">
      <formula>"Removed"</formula>
    </cfRule>
    <cfRule type="cellIs" dxfId="92" priority="22" operator="equal">
      <formula>"Updated"</formula>
    </cfRule>
    <cfRule type="cellIs" dxfId="91" priority="23" operator="equal">
      <formula>"New"</formula>
    </cfRule>
  </conditionalFormatting>
  <conditionalFormatting sqref="A1:XFD6 A12:XFD1048576">
    <cfRule type="cellIs" dxfId="90" priority="18" operator="equal">
      <formula>"n/a"</formula>
    </cfRule>
  </conditionalFormatting>
  <conditionalFormatting sqref="D8:D9">
    <cfRule type="cellIs" dxfId="89" priority="17" operator="equal">
      <formula>"-"</formula>
    </cfRule>
  </conditionalFormatting>
  <conditionalFormatting sqref="A8:B9 D8:XFD9">
    <cfRule type="cellIs" dxfId="88" priority="16" operator="equal">
      <formula>"n/a"</formula>
    </cfRule>
  </conditionalFormatting>
  <conditionalFormatting sqref="C7:C11">
    <cfRule type="cellIs" dxfId="87" priority="12" operator="equal">
      <formula>"WIP (see comments)"</formula>
    </cfRule>
    <cfRule type="cellIs" dxfId="86" priority="13" operator="equal">
      <formula>"Removed"</formula>
    </cfRule>
    <cfRule type="cellIs" dxfId="85" priority="14" operator="equal">
      <formula>"Updated"</formula>
    </cfRule>
    <cfRule type="cellIs" dxfId="84" priority="15" operator="equal">
      <formula>"New"</formula>
    </cfRule>
  </conditionalFormatting>
  <conditionalFormatting sqref="A7:XFD7 C8:C11">
    <cfRule type="cellIs" dxfId="83" priority="11" operator="equal">
      <formula>"n/a"</formula>
    </cfRule>
  </conditionalFormatting>
  <conditionalFormatting sqref="A10:B10 D10:XFD10">
    <cfRule type="cellIs" dxfId="82" priority="6" operator="equal">
      <formula>"n/a"</formula>
    </cfRule>
  </conditionalFormatting>
  <conditionalFormatting sqref="A11:B11 D11:XFD11">
    <cfRule type="cellIs" dxfId="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L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3" style="51" customWidth="1"/>
    <col min="4" max="4" width="45.1796875" style="5" customWidth="1"/>
    <col min="5" max="5" width="28.7265625" style="5" customWidth="1"/>
    <col min="6" max="6" width="37" style="5" customWidth="1"/>
    <col min="7" max="7" width="29.26953125" style="5" customWidth="1"/>
    <col min="8" max="8" width="11.54296875" style="5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165</v>
      </c>
      <c r="C1" s="29"/>
      <c r="D1" s="26"/>
      <c r="H1" s="32"/>
    </row>
    <row r="2" spans="1:16" s="27" customFormat="1" ht="18.5" x14ac:dyDescent="0.35">
      <c r="A2" s="25" t="s">
        <v>7</v>
      </c>
      <c r="B2" s="33" t="s">
        <v>164</v>
      </c>
      <c r="C2" s="32"/>
      <c r="D2" s="33" t="s">
        <v>410</v>
      </c>
      <c r="H2" s="32"/>
    </row>
    <row r="3" spans="1:16" s="27" customFormat="1" ht="18.5" x14ac:dyDescent="0.35">
      <c r="A3" s="25" t="s">
        <v>43</v>
      </c>
      <c r="B3" s="33" t="s">
        <v>408</v>
      </c>
      <c r="C3" s="32"/>
      <c r="D3" s="27" t="s">
        <v>411</v>
      </c>
      <c r="H3" s="32"/>
    </row>
    <row r="4" spans="1:16" s="27" customFormat="1" ht="18.5" x14ac:dyDescent="0.35">
      <c r="A4" s="25" t="s">
        <v>8</v>
      </c>
      <c r="B4" s="27" t="s">
        <v>409</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G.1</v>
      </c>
      <c r="C7" s="51" t="s">
        <v>191</v>
      </c>
      <c r="D7" s="37" t="s">
        <v>166</v>
      </c>
      <c r="E7" s="37" t="s">
        <v>115</v>
      </c>
      <c r="F7" s="5" t="s">
        <v>36</v>
      </c>
      <c r="G7" s="5" t="s">
        <v>36</v>
      </c>
      <c r="H7" s="51" t="s">
        <v>36</v>
      </c>
      <c r="I7" s="37" t="s">
        <v>9</v>
      </c>
      <c r="J7" s="5" t="s">
        <v>36</v>
      </c>
      <c r="K7" s="5" t="s">
        <v>36</v>
      </c>
      <c r="L7" s="5" t="s">
        <v>36</v>
      </c>
      <c r="M7" s="5" t="s">
        <v>36</v>
      </c>
      <c r="N7" s="5" t="s">
        <v>36</v>
      </c>
    </row>
    <row r="8" spans="1:16" ht="29" x14ac:dyDescent="0.35">
      <c r="A8" s="5">
        <v>3</v>
      </c>
      <c r="B8" s="5" t="str">
        <f>CONCATENATE($B$2, ".", A8)</f>
        <v>G.3</v>
      </c>
      <c r="C8" s="68" t="s">
        <v>191</v>
      </c>
      <c r="D8" s="42" t="s">
        <v>170</v>
      </c>
      <c r="E8" s="37" t="s">
        <v>169</v>
      </c>
      <c r="F8" s="5" t="s">
        <v>36</v>
      </c>
      <c r="G8" s="5" t="s">
        <v>36</v>
      </c>
      <c r="H8" s="51" t="s">
        <v>36</v>
      </c>
      <c r="I8" s="37" t="s">
        <v>9</v>
      </c>
      <c r="J8" s="5" t="s">
        <v>36</v>
      </c>
      <c r="K8" s="5" t="s">
        <v>36</v>
      </c>
      <c r="L8" s="5" t="s">
        <v>36</v>
      </c>
      <c r="M8" s="5" t="s">
        <v>36</v>
      </c>
      <c r="N8" s="5" t="s">
        <v>36</v>
      </c>
      <c r="O8" s="5" t="s">
        <v>171</v>
      </c>
    </row>
    <row r="9" spans="1:16" ht="29" x14ac:dyDescent="0.35">
      <c r="A9" s="5">
        <v>2</v>
      </c>
      <c r="B9" s="5" t="str">
        <f t="shared" si="0"/>
        <v>G.2</v>
      </c>
      <c r="C9" s="68" t="s">
        <v>191</v>
      </c>
      <c r="D9" s="5" t="s">
        <v>167</v>
      </c>
      <c r="E9" s="37" t="s">
        <v>33</v>
      </c>
      <c r="F9" s="5" t="s">
        <v>36</v>
      </c>
      <c r="G9" s="5" t="s">
        <v>36</v>
      </c>
      <c r="H9" s="51" t="s">
        <v>36</v>
      </c>
      <c r="I9" s="37" t="s">
        <v>9</v>
      </c>
      <c r="J9" s="5" t="s">
        <v>36</v>
      </c>
      <c r="K9" s="5" t="s">
        <v>36</v>
      </c>
      <c r="L9" s="5" t="s">
        <v>36</v>
      </c>
      <c r="M9" s="5" t="s">
        <v>36</v>
      </c>
      <c r="N9" s="5" t="s">
        <v>36</v>
      </c>
    </row>
    <row r="10" spans="1:16" ht="43.5" x14ac:dyDescent="0.35">
      <c r="A10" s="5">
        <v>4</v>
      </c>
      <c r="B10" s="5" t="str">
        <f t="shared" si="0"/>
        <v>G.4</v>
      </c>
      <c r="C10" s="68" t="s">
        <v>191</v>
      </c>
      <c r="D10" s="5" t="s">
        <v>161</v>
      </c>
      <c r="E10" s="5" t="s">
        <v>42</v>
      </c>
      <c r="F10" s="5" t="s">
        <v>36</v>
      </c>
      <c r="G10" s="5" t="s">
        <v>36</v>
      </c>
      <c r="H10" s="51" t="s">
        <v>36</v>
      </c>
      <c r="I10" s="37" t="s">
        <v>9</v>
      </c>
      <c r="J10" s="5" t="s">
        <v>36</v>
      </c>
      <c r="K10" s="5" t="s">
        <v>36</v>
      </c>
      <c r="L10" s="5" t="s">
        <v>36</v>
      </c>
      <c r="M10" s="5" t="s">
        <v>36</v>
      </c>
      <c r="N10" s="5" t="s">
        <v>36</v>
      </c>
      <c r="O10" s="37" t="s">
        <v>168</v>
      </c>
    </row>
  </sheetData>
  <autoFilter ref="A6:P6"/>
  <conditionalFormatting sqref="C11:C1048576">
    <cfRule type="cellIs" dxfId="80" priority="11" operator="equal">
      <formula>"WIP (see comments)"</formula>
    </cfRule>
    <cfRule type="cellIs" dxfId="79" priority="12" operator="equal">
      <formula>"Removed"</formula>
    </cfRule>
    <cfRule type="cellIs" dxfId="78" priority="13" operator="equal">
      <formula>"Updated"</formula>
    </cfRule>
    <cfRule type="cellIs" dxfId="77" priority="14" operator="equal">
      <formula>"New"</formula>
    </cfRule>
  </conditionalFormatting>
  <conditionalFormatting sqref="A11:XFD1048576 A8:B9 D8:XFD9 A4:XFD6 A3:C3 E3:XFD3 A1:XFD2">
    <cfRule type="cellIs" dxfId="76" priority="10" operator="equal">
      <formula>"n/a"</formula>
    </cfRule>
  </conditionalFormatting>
  <conditionalFormatting sqref="D8:D9">
    <cfRule type="cellIs" dxfId="75" priority="9" operator="equal">
      <formula>"-"</formula>
    </cfRule>
  </conditionalFormatting>
  <conditionalFormatting sqref="C7:C10">
    <cfRule type="cellIs" dxfId="74" priority="4" operator="equal">
      <formula>"WIP (see comments)"</formula>
    </cfRule>
    <cfRule type="cellIs" dxfId="73" priority="5" operator="equal">
      <formula>"Removed"</formula>
    </cfRule>
    <cfRule type="cellIs" dxfId="72" priority="6" operator="equal">
      <formula>"Updated"</formula>
    </cfRule>
    <cfRule type="cellIs" dxfId="71" priority="7" operator="equal">
      <formula>"New"</formula>
    </cfRule>
  </conditionalFormatting>
  <conditionalFormatting sqref="A7:XFD7 C8:C10">
    <cfRule type="cellIs" dxfId="70" priority="3" operator="equal">
      <formula>"n/a"</formula>
    </cfRule>
  </conditionalFormatting>
  <conditionalFormatting sqref="A10:B10 D10:XFD10">
    <cfRule type="cellIs" dxfId="69"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172</v>
      </c>
      <c r="C1" s="29"/>
      <c r="D1" s="26"/>
      <c r="H1" s="32"/>
    </row>
    <row r="2" spans="1:16" s="27" customFormat="1" ht="18.5" x14ac:dyDescent="0.35">
      <c r="A2" s="25" t="s">
        <v>7</v>
      </c>
      <c r="B2" s="33" t="s">
        <v>174</v>
      </c>
      <c r="C2" s="32"/>
      <c r="D2" s="33"/>
      <c r="H2" s="32"/>
    </row>
    <row r="3" spans="1:16" s="27" customFormat="1" ht="18.5" x14ac:dyDescent="0.35">
      <c r="A3" s="25" t="s">
        <v>43</v>
      </c>
      <c r="B3" s="33" t="s">
        <v>540</v>
      </c>
      <c r="C3" s="32"/>
      <c r="D3" s="33" t="s">
        <v>68</v>
      </c>
      <c r="H3" s="32"/>
    </row>
    <row r="4" spans="1:16" s="27" customFormat="1" ht="18.5" x14ac:dyDescent="0.35">
      <c r="A4" s="25" t="s">
        <v>8</v>
      </c>
      <c r="B4" s="27" t="s">
        <v>173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3.5" x14ac:dyDescent="0.35">
      <c r="A7" s="5">
        <v>1</v>
      </c>
      <c r="B7" s="5" t="str">
        <f t="shared" ref="B7" si="0">CONCATENATE($B$2, ".", A7)</f>
        <v>H.1</v>
      </c>
      <c r="C7" s="64" t="s">
        <v>44</v>
      </c>
      <c r="D7" s="37" t="s">
        <v>36</v>
      </c>
      <c r="E7" s="37" t="s">
        <v>114</v>
      </c>
      <c r="F7" s="5" t="s">
        <v>36</v>
      </c>
      <c r="G7" s="5" t="s">
        <v>36</v>
      </c>
      <c r="H7" s="64" t="s">
        <v>36</v>
      </c>
      <c r="I7" s="37" t="s">
        <v>9</v>
      </c>
      <c r="J7" s="5" t="s">
        <v>36</v>
      </c>
      <c r="K7" s="5" t="s">
        <v>36</v>
      </c>
      <c r="L7" s="5" t="s">
        <v>36</v>
      </c>
      <c r="M7" s="5" t="s">
        <v>36</v>
      </c>
      <c r="N7" s="5" t="s">
        <v>36</v>
      </c>
      <c r="O7" s="37" t="s">
        <v>810</v>
      </c>
    </row>
  </sheetData>
  <autoFilter ref="A6:P6"/>
  <conditionalFormatting sqref="C8:C1048576">
    <cfRule type="cellIs" dxfId="68" priority="10" operator="equal">
      <formula>"WIP (see comments)"</formula>
    </cfRule>
    <cfRule type="cellIs" dxfId="67" priority="11" operator="equal">
      <formula>"Removed"</formula>
    </cfRule>
    <cfRule type="cellIs" dxfId="66" priority="12" operator="equal">
      <formula>"Updated"</formula>
    </cfRule>
    <cfRule type="cellIs" dxfId="65" priority="13" operator="equal">
      <formula>"New"</formula>
    </cfRule>
  </conditionalFormatting>
  <conditionalFormatting sqref="A1:XFD6 A8:XFD1048576">
    <cfRule type="cellIs" dxfId="64" priority="9" operator="equal">
      <formula>"n/a"</formula>
    </cfRule>
  </conditionalFormatting>
  <conditionalFormatting sqref="C7">
    <cfRule type="cellIs" dxfId="63" priority="4" operator="equal">
      <formula>"WIP (see comments)"</formula>
    </cfRule>
    <cfRule type="cellIs" dxfId="62" priority="5" operator="equal">
      <formula>"Removed"</formula>
    </cfRule>
    <cfRule type="cellIs" dxfId="61" priority="6" operator="equal">
      <formula>"Updated"</formula>
    </cfRule>
    <cfRule type="cellIs" dxfId="60" priority="7" operator="equal">
      <formula>"New"</formula>
    </cfRule>
  </conditionalFormatting>
  <conditionalFormatting sqref="A7:N7 P7:XFD7">
    <cfRule type="cellIs" dxfId="59" priority="3" operator="equal">
      <formula>"n/a"</formula>
    </cfRule>
  </conditionalFormatting>
  <conditionalFormatting sqref="O7">
    <cfRule type="cellIs" dxfId="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193</v>
      </c>
      <c r="C1" s="29"/>
      <c r="D1" s="26"/>
      <c r="H1" s="32"/>
    </row>
    <row r="2" spans="1:16" s="27" customFormat="1" ht="18.5" x14ac:dyDescent="0.35">
      <c r="A2" s="25" t="s">
        <v>7</v>
      </c>
      <c r="B2" s="33" t="s">
        <v>192</v>
      </c>
      <c r="C2" s="32"/>
      <c r="D2" s="33"/>
      <c r="H2" s="32"/>
    </row>
    <row r="3" spans="1:16" s="27" customFormat="1" ht="18.5" x14ac:dyDescent="0.35">
      <c r="A3" s="25" t="s">
        <v>43</v>
      </c>
      <c r="B3" s="33" t="s">
        <v>298</v>
      </c>
      <c r="C3" s="32"/>
      <c r="D3" s="86" t="s">
        <v>297</v>
      </c>
      <c r="H3" s="32"/>
    </row>
    <row r="4" spans="1:16" s="27" customFormat="1" ht="18.5" x14ac:dyDescent="0.35">
      <c r="A4" s="25" t="s">
        <v>8</v>
      </c>
      <c r="B4" s="27" t="s">
        <v>197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I.1</v>
      </c>
      <c r="C7" s="68" t="s">
        <v>191</v>
      </c>
      <c r="D7" s="37" t="s">
        <v>196</v>
      </c>
      <c r="E7" s="37" t="s">
        <v>115</v>
      </c>
      <c r="F7" s="5" t="s">
        <v>36</v>
      </c>
      <c r="G7" s="5" t="s">
        <v>36</v>
      </c>
      <c r="H7" s="68" t="s">
        <v>36</v>
      </c>
      <c r="I7" s="37" t="s">
        <v>9</v>
      </c>
      <c r="J7" s="5" t="s">
        <v>36</v>
      </c>
      <c r="K7" s="5" t="s">
        <v>36</v>
      </c>
      <c r="L7" s="5" t="s">
        <v>36</v>
      </c>
      <c r="M7" s="5" t="s">
        <v>36</v>
      </c>
      <c r="N7" s="5" t="s">
        <v>36</v>
      </c>
    </row>
    <row r="8" spans="1:16" ht="90" customHeight="1" x14ac:dyDescent="0.35">
      <c r="A8" s="5">
        <v>2</v>
      </c>
      <c r="B8" s="5" t="str">
        <f t="shared" si="0"/>
        <v>I.2</v>
      </c>
      <c r="C8" s="69" t="s">
        <v>37</v>
      </c>
      <c r="D8" s="91" t="s">
        <v>594</v>
      </c>
      <c r="E8" s="37" t="s">
        <v>33</v>
      </c>
      <c r="F8" s="5" t="s">
        <v>36</v>
      </c>
      <c r="G8" s="5" t="s">
        <v>36</v>
      </c>
      <c r="H8" s="68" t="s">
        <v>36</v>
      </c>
      <c r="I8" s="37" t="s">
        <v>9</v>
      </c>
      <c r="J8" s="5" t="s">
        <v>36</v>
      </c>
      <c r="K8" s="5" t="s">
        <v>36</v>
      </c>
      <c r="L8" s="5" t="s">
        <v>36</v>
      </c>
      <c r="M8" s="5" t="s">
        <v>36</v>
      </c>
      <c r="N8" s="5" t="s">
        <v>36</v>
      </c>
      <c r="O8" s="5" t="s">
        <v>139</v>
      </c>
      <c r="P8" s="5" t="s">
        <v>539</v>
      </c>
    </row>
    <row r="9" spans="1:16" x14ac:dyDescent="0.35">
      <c r="A9" s="5">
        <v>3</v>
      </c>
      <c r="B9" s="5" t="str">
        <f t="shared" si="0"/>
        <v>I.3</v>
      </c>
      <c r="C9" s="69" t="s">
        <v>191</v>
      </c>
      <c r="D9" s="42" t="s">
        <v>194</v>
      </c>
      <c r="E9" s="37" t="s">
        <v>35</v>
      </c>
      <c r="F9" s="5" t="s">
        <v>36</v>
      </c>
      <c r="G9" s="5" t="s">
        <v>36</v>
      </c>
      <c r="H9" s="68" t="s">
        <v>36</v>
      </c>
      <c r="I9" s="37" t="s">
        <v>9</v>
      </c>
      <c r="J9" s="5" t="s">
        <v>36</v>
      </c>
      <c r="K9" s="5" t="s">
        <v>36</v>
      </c>
      <c r="L9" s="5" t="s">
        <v>36</v>
      </c>
      <c r="M9" s="5" t="s">
        <v>36</v>
      </c>
      <c r="N9" s="5" t="s">
        <v>36</v>
      </c>
    </row>
    <row r="10" spans="1:16" ht="29" x14ac:dyDescent="0.35">
      <c r="A10" s="5">
        <v>4</v>
      </c>
      <c r="B10" s="5" t="str">
        <f t="shared" si="0"/>
        <v>I.4</v>
      </c>
      <c r="C10" s="69" t="s">
        <v>191</v>
      </c>
      <c r="D10" s="5" t="s">
        <v>195</v>
      </c>
      <c r="E10" s="37" t="s">
        <v>33</v>
      </c>
      <c r="F10" s="5" t="s">
        <v>36</v>
      </c>
      <c r="G10" s="5" t="s">
        <v>36</v>
      </c>
      <c r="H10" s="68" t="s">
        <v>36</v>
      </c>
      <c r="I10" s="37" t="s">
        <v>9</v>
      </c>
      <c r="J10" s="5" t="s">
        <v>36</v>
      </c>
      <c r="K10" s="5" t="s">
        <v>36</v>
      </c>
      <c r="L10" s="5" t="s">
        <v>36</v>
      </c>
      <c r="M10" s="5" t="s">
        <v>36</v>
      </c>
      <c r="N10" s="5" t="s">
        <v>36</v>
      </c>
      <c r="O10" s="37"/>
    </row>
  </sheetData>
  <autoFilter ref="A6:P6"/>
  <conditionalFormatting sqref="C11:C1048576">
    <cfRule type="cellIs" dxfId="57" priority="14" operator="equal">
      <formula>"WIP (see comments)"</formula>
    </cfRule>
    <cfRule type="cellIs" dxfId="56" priority="15" operator="equal">
      <formula>"Removed"</formula>
    </cfRule>
    <cfRule type="cellIs" dxfId="55" priority="16" operator="equal">
      <formula>"Updated"</formula>
    </cfRule>
    <cfRule type="cellIs" dxfId="54" priority="17" operator="equal">
      <formula>"New"</formula>
    </cfRule>
  </conditionalFormatting>
  <conditionalFormatting sqref="A1:XFD2 A11:XFD1048576 A4:XFD6 A3:C3 E3:XFD3">
    <cfRule type="cellIs" dxfId="53" priority="13" operator="equal">
      <formula>"n/a"</formula>
    </cfRule>
  </conditionalFormatting>
  <conditionalFormatting sqref="D8:D9">
    <cfRule type="cellIs" dxfId="52" priority="12" operator="equal">
      <formula>"-"</formula>
    </cfRule>
  </conditionalFormatting>
  <conditionalFormatting sqref="A8:B9 D9:XFD9 D8:N8 P8:XFD8">
    <cfRule type="cellIs" dxfId="51" priority="11" operator="equal">
      <formula>"n/a"</formula>
    </cfRule>
  </conditionalFormatting>
  <conditionalFormatting sqref="C7:C10">
    <cfRule type="cellIs" dxfId="50" priority="7" operator="equal">
      <formula>"WIP (see comments)"</formula>
    </cfRule>
    <cfRule type="cellIs" dxfId="49" priority="8" operator="equal">
      <formula>"Removed"</formula>
    </cfRule>
    <cfRule type="cellIs" dxfId="48" priority="9" operator="equal">
      <formula>"Updated"</formula>
    </cfRule>
    <cfRule type="cellIs" dxfId="47" priority="10" operator="equal">
      <formula>"New"</formula>
    </cfRule>
  </conditionalFormatting>
  <conditionalFormatting sqref="A7:XFD7 C8:C10">
    <cfRule type="cellIs" dxfId="46" priority="6" operator="equal">
      <formula>"n/a"</formula>
    </cfRule>
  </conditionalFormatting>
  <conditionalFormatting sqref="A10:B10 D10 F10:XFD10">
    <cfRule type="cellIs" dxfId="45" priority="5" operator="equal">
      <formula>"n/a"</formula>
    </cfRule>
  </conditionalFormatting>
  <conditionalFormatting sqref="E10">
    <cfRule type="cellIs" dxfId="44" priority="3" operator="equal">
      <formula>"n/a"</formula>
    </cfRule>
  </conditionalFormatting>
  <conditionalFormatting sqref="O8">
    <cfRule type="cellIs" dxfId="43" priority="2" operator="equal">
      <formula>"n/a"</formula>
    </cfRule>
  </conditionalFormatting>
  <conditionalFormatting sqref="D3">
    <cfRule type="cellIs" dxfId="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7"/>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5" customWidth="1"/>
    <col min="2" max="2" width="12.54296875" style="5" customWidth="1"/>
    <col min="3" max="3" width="19.26953125" style="105" customWidth="1"/>
    <col min="4" max="4" width="45.1796875" style="5" customWidth="1"/>
    <col min="5" max="5" width="28.7265625" style="5" customWidth="1"/>
    <col min="6" max="6" width="37" style="5" customWidth="1"/>
    <col min="7" max="7" width="29.26953125" style="5" customWidth="1"/>
    <col min="8" max="8" width="11.54296875" style="10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541</v>
      </c>
      <c r="C1" s="29"/>
      <c r="D1" s="26"/>
      <c r="H1" s="32"/>
    </row>
    <row r="2" spans="1:16" s="27" customFormat="1" ht="18.5" x14ac:dyDescent="0.35">
      <c r="A2" s="25" t="s">
        <v>7</v>
      </c>
      <c r="B2" s="104" t="s">
        <v>230</v>
      </c>
      <c r="C2" s="32"/>
      <c r="D2" s="104"/>
      <c r="H2" s="32"/>
    </row>
    <row r="3" spans="1:16" s="27" customFormat="1" ht="18.5" x14ac:dyDescent="0.35">
      <c r="A3" s="25" t="s">
        <v>43</v>
      </c>
      <c r="B3" s="104" t="s">
        <v>604</v>
      </c>
      <c r="C3" s="32"/>
      <c r="D3" s="104" t="s">
        <v>888</v>
      </c>
      <c r="H3" s="32"/>
    </row>
    <row r="4" spans="1:16" s="27" customFormat="1" ht="18.5" x14ac:dyDescent="0.35">
      <c r="A4" s="25" t="s">
        <v>8</v>
      </c>
      <c r="B4" s="27" t="s">
        <v>542</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8" customFormat="1" ht="15" customHeight="1" x14ac:dyDescent="0.35">
      <c r="A7" s="107" t="s">
        <v>544</v>
      </c>
      <c r="B7" s="107"/>
      <c r="C7" s="107"/>
      <c r="D7" s="107"/>
      <c r="E7" s="107"/>
    </row>
    <row r="8" spans="1:16" s="37" customFormat="1" ht="29" x14ac:dyDescent="0.35">
      <c r="A8" s="37">
        <v>1</v>
      </c>
      <c r="B8" s="37" t="str">
        <f t="shared" ref="B8:B17" si="0">CONCATENATE($B$2, ".", A8)</f>
        <v>J.1</v>
      </c>
      <c r="C8" s="109" t="s">
        <v>37</v>
      </c>
      <c r="D8" s="37" t="s">
        <v>545</v>
      </c>
      <c r="E8" s="37" t="s">
        <v>115</v>
      </c>
      <c r="F8" s="37" t="s">
        <v>36</v>
      </c>
      <c r="G8" s="37" t="s">
        <v>36</v>
      </c>
      <c r="H8" s="109" t="s">
        <v>36</v>
      </c>
      <c r="I8" s="37" t="s">
        <v>546</v>
      </c>
      <c r="J8" s="37" t="s">
        <v>36</v>
      </c>
      <c r="K8" s="37" t="s">
        <v>36</v>
      </c>
      <c r="L8" s="37" t="s">
        <v>36</v>
      </c>
      <c r="M8" s="37" t="s">
        <v>36</v>
      </c>
      <c r="N8" s="37" t="s">
        <v>36</v>
      </c>
    </row>
    <row r="9" spans="1:16" s="37" customFormat="1" ht="29" x14ac:dyDescent="0.35">
      <c r="A9" s="37">
        <v>2</v>
      </c>
      <c r="B9" s="37" t="str">
        <f t="shared" si="0"/>
        <v>J.2</v>
      </c>
      <c r="C9" s="109" t="s">
        <v>37</v>
      </c>
      <c r="D9" s="37" t="s">
        <v>547</v>
      </c>
      <c r="E9" s="37" t="s">
        <v>115</v>
      </c>
      <c r="F9" s="37" t="s">
        <v>36</v>
      </c>
      <c r="G9" s="37" t="s">
        <v>36</v>
      </c>
      <c r="H9" s="109" t="s">
        <v>36</v>
      </c>
      <c r="I9" s="37" t="s">
        <v>548</v>
      </c>
      <c r="J9" s="37" t="s">
        <v>36</v>
      </c>
      <c r="K9" s="37" t="s">
        <v>36</v>
      </c>
      <c r="L9" s="37" t="s">
        <v>36</v>
      </c>
      <c r="M9" s="37" t="s">
        <v>36</v>
      </c>
      <c r="N9" s="37" t="s">
        <v>36</v>
      </c>
    </row>
    <row r="10" spans="1:16" s="108" customFormat="1" ht="15" customHeight="1" x14ac:dyDescent="0.35">
      <c r="A10" s="107" t="s">
        <v>549</v>
      </c>
      <c r="B10" s="107"/>
      <c r="C10" s="107"/>
      <c r="D10" s="107"/>
      <c r="E10" s="107"/>
    </row>
    <row r="11" spans="1:16" ht="98.25" customHeight="1" x14ac:dyDescent="0.35">
      <c r="A11" s="5">
        <v>3</v>
      </c>
      <c r="B11" s="5" t="str">
        <f t="shared" si="0"/>
        <v>J.3</v>
      </c>
      <c r="C11" s="105" t="s">
        <v>39</v>
      </c>
      <c r="D11" s="37" t="s">
        <v>550</v>
      </c>
      <c r="E11" s="37" t="s">
        <v>33</v>
      </c>
      <c r="F11" s="5" t="s">
        <v>36</v>
      </c>
      <c r="G11" s="5" t="s">
        <v>36</v>
      </c>
      <c r="H11" s="105" t="s">
        <v>36</v>
      </c>
      <c r="I11" s="37" t="s">
        <v>551</v>
      </c>
      <c r="J11" s="5" t="s">
        <v>36</v>
      </c>
      <c r="K11" s="5" t="s">
        <v>36</v>
      </c>
      <c r="L11" s="5" t="s">
        <v>36</v>
      </c>
      <c r="M11" s="5" t="s">
        <v>36</v>
      </c>
      <c r="N11" s="5" t="s">
        <v>36</v>
      </c>
    </row>
    <row r="12" spans="1:16" ht="50.25" customHeight="1" x14ac:dyDescent="0.35">
      <c r="A12" s="5">
        <v>4</v>
      </c>
      <c r="B12" s="5" t="str">
        <f t="shared" si="0"/>
        <v>J.4</v>
      </c>
      <c r="C12" s="105" t="s">
        <v>39</v>
      </c>
      <c r="D12" s="37" t="s">
        <v>552</v>
      </c>
      <c r="E12" s="37" t="s">
        <v>33</v>
      </c>
      <c r="F12" s="5" t="s">
        <v>36</v>
      </c>
      <c r="G12" s="5" t="s">
        <v>36</v>
      </c>
      <c r="H12" s="105" t="s">
        <v>36</v>
      </c>
      <c r="I12" s="37" t="s">
        <v>553</v>
      </c>
      <c r="J12" s="5" t="s">
        <v>36</v>
      </c>
      <c r="K12" s="5" t="s">
        <v>36</v>
      </c>
      <c r="L12" s="5" t="s">
        <v>36</v>
      </c>
      <c r="M12" s="5" t="s">
        <v>36</v>
      </c>
      <c r="N12" s="5" t="s">
        <v>36</v>
      </c>
    </row>
    <row r="13" spans="1:16" s="37" customFormat="1" ht="90.75" customHeight="1" x14ac:dyDescent="0.35">
      <c r="A13" s="37">
        <v>5</v>
      </c>
      <c r="B13" s="37" t="str">
        <f t="shared" si="0"/>
        <v>J.5</v>
      </c>
      <c r="C13" s="109" t="s">
        <v>37</v>
      </c>
      <c r="D13" s="37" t="s">
        <v>554</v>
      </c>
      <c r="E13" s="37" t="s">
        <v>33</v>
      </c>
      <c r="F13" s="37" t="s">
        <v>36</v>
      </c>
      <c r="G13" s="37" t="s">
        <v>36</v>
      </c>
      <c r="H13" s="109" t="s">
        <v>36</v>
      </c>
      <c r="I13" s="37" t="s">
        <v>548</v>
      </c>
      <c r="J13" s="37" t="s">
        <v>36</v>
      </c>
      <c r="K13" s="37" t="s">
        <v>36</v>
      </c>
      <c r="L13" s="37" t="s">
        <v>36</v>
      </c>
      <c r="M13" s="37" t="s">
        <v>36</v>
      </c>
      <c r="N13" s="37" t="s">
        <v>36</v>
      </c>
    </row>
    <row r="14" spans="1:16" s="108" customFormat="1" ht="15" customHeight="1" x14ac:dyDescent="0.35">
      <c r="A14" s="107" t="s">
        <v>555</v>
      </c>
      <c r="B14" s="107"/>
      <c r="C14" s="107"/>
      <c r="D14" s="107"/>
      <c r="E14" s="107"/>
    </row>
    <row r="15" spans="1:16" ht="72" customHeight="1" x14ac:dyDescent="0.35">
      <c r="A15" s="5">
        <v>6</v>
      </c>
      <c r="B15" s="5" t="str">
        <f t="shared" si="0"/>
        <v>J.6</v>
      </c>
      <c r="C15" s="105" t="s">
        <v>37</v>
      </c>
      <c r="D15" s="103" t="s">
        <v>595</v>
      </c>
      <c r="E15" s="37" t="s">
        <v>99</v>
      </c>
      <c r="F15" s="37" t="s">
        <v>36</v>
      </c>
      <c r="G15" s="37" t="s">
        <v>36</v>
      </c>
      <c r="H15" s="109" t="s">
        <v>36</v>
      </c>
      <c r="I15" s="168" t="s">
        <v>546</v>
      </c>
      <c r="J15" s="5" t="s">
        <v>36</v>
      </c>
      <c r="K15" s="5" t="s">
        <v>36</v>
      </c>
      <c r="L15" s="5" t="s">
        <v>36</v>
      </c>
      <c r="M15" s="5" t="s">
        <v>36</v>
      </c>
      <c r="N15" s="5" t="s">
        <v>36</v>
      </c>
      <c r="O15" s="5" t="s">
        <v>416</v>
      </c>
    </row>
    <row r="16" spans="1:16" ht="30" customHeight="1" x14ac:dyDescent="0.35">
      <c r="A16" s="5">
        <v>7</v>
      </c>
      <c r="B16" s="5" t="str">
        <f t="shared" si="0"/>
        <v>J.7</v>
      </c>
      <c r="C16" s="105" t="s">
        <v>39</v>
      </c>
      <c r="D16" s="37" t="s">
        <v>543</v>
      </c>
      <c r="E16" s="37" t="s">
        <v>35</v>
      </c>
      <c r="F16" s="37" t="s">
        <v>36</v>
      </c>
      <c r="G16" s="37" t="s">
        <v>36</v>
      </c>
      <c r="H16" s="109" t="s">
        <v>36</v>
      </c>
      <c r="I16" s="168"/>
      <c r="J16" s="5" t="s">
        <v>36</v>
      </c>
      <c r="K16" s="5" t="s">
        <v>36</v>
      </c>
      <c r="L16" s="5" t="s">
        <v>36</v>
      </c>
      <c r="M16" s="5" t="s">
        <v>36</v>
      </c>
      <c r="N16" s="5" t="s">
        <v>36</v>
      </c>
    </row>
    <row r="17" spans="1:15" ht="29" x14ac:dyDescent="0.35">
      <c r="A17" s="5">
        <v>8</v>
      </c>
      <c r="B17" s="5" t="str">
        <f t="shared" si="0"/>
        <v>J.8</v>
      </c>
      <c r="C17" s="105" t="s">
        <v>39</v>
      </c>
      <c r="D17" s="37" t="s">
        <v>195</v>
      </c>
      <c r="E17" s="37" t="s">
        <v>33</v>
      </c>
      <c r="F17" s="37" t="s">
        <v>36</v>
      </c>
      <c r="G17" s="37" t="s">
        <v>36</v>
      </c>
      <c r="H17" s="109" t="s">
        <v>36</v>
      </c>
      <c r="I17" s="168"/>
      <c r="J17" s="5" t="s">
        <v>36</v>
      </c>
      <c r="K17" s="5" t="s">
        <v>36</v>
      </c>
      <c r="L17" s="5" t="s">
        <v>36</v>
      </c>
      <c r="M17" s="5" t="s">
        <v>36</v>
      </c>
      <c r="N17" s="5" t="s">
        <v>36</v>
      </c>
      <c r="O17" s="37"/>
    </row>
  </sheetData>
  <autoFilter ref="A6:P6"/>
  <mergeCells count="1">
    <mergeCell ref="I15:I17"/>
  </mergeCells>
  <conditionalFormatting sqref="A1:XFD1048576">
    <cfRule type="cellIs" dxfId="41" priority="1" operator="equal">
      <formula>"n/a"</formula>
    </cfRule>
  </conditionalFormatting>
  <conditionalFormatting sqref="C1:C1048576">
    <cfRule type="cellIs" dxfId="40" priority="2" operator="equal">
      <formula>"WIP (see comments)"</formula>
    </cfRule>
    <cfRule type="cellIs" dxfId="39" priority="3" operator="equal">
      <formula>"Removed"</formula>
    </cfRule>
    <cfRule type="cellIs" dxfId="38" priority="4" operator="equal">
      <formula>"Updated"</formula>
    </cfRule>
    <cfRule type="cellIs" dxfId="37"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Values'!$A$5:$A$34</xm:f>
          </x14:formula1>
          <xm:sqref>E8:E17</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5" customWidth="1"/>
    <col min="2" max="2" width="12.54296875" style="5" customWidth="1"/>
    <col min="3" max="3" width="13" style="111" customWidth="1"/>
    <col min="4" max="4" width="45.1796875" style="5" customWidth="1"/>
    <col min="5" max="5" width="28.7265625" style="5" customWidth="1"/>
    <col min="6" max="6" width="37" style="5" customWidth="1"/>
    <col min="7" max="7" width="29.26953125" style="5" customWidth="1"/>
    <col min="8" max="8" width="11.54296875" style="11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818</v>
      </c>
      <c r="C1" s="29"/>
      <c r="D1" s="26"/>
      <c r="H1" s="32"/>
    </row>
    <row r="2" spans="1:16" s="27" customFormat="1" ht="18.5" x14ac:dyDescent="0.35">
      <c r="A2" s="25" t="s">
        <v>7</v>
      </c>
      <c r="B2" s="110" t="s">
        <v>234</v>
      </c>
      <c r="C2" s="32"/>
      <c r="D2" s="110"/>
      <c r="H2" s="32"/>
    </row>
    <row r="3" spans="1:16" s="27" customFormat="1" ht="18.5" x14ac:dyDescent="0.35">
      <c r="A3" s="25" t="s">
        <v>43</v>
      </c>
      <c r="B3" s="110" t="s">
        <v>587</v>
      </c>
      <c r="C3" s="32"/>
      <c r="D3" s="110"/>
      <c r="H3" s="32"/>
    </row>
    <row r="4" spans="1:16" s="27" customFormat="1" ht="18.5" x14ac:dyDescent="0.35">
      <c r="A4" s="25" t="s">
        <v>8</v>
      </c>
      <c r="B4" s="27" t="s">
        <v>819</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K.1</v>
      </c>
      <c r="C7" s="125" t="s">
        <v>44</v>
      </c>
      <c r="D7" s="37" t="s">
        <v>36</v>
      </c>
      <c r="E7" s="37" t="s">
        <v>114</v>
      </c>
      <c r="F7" s="5" t="s">
        <v>36</v>
      </c>
      <c r="G7" s="5" t="s">
        <v>36</v>
      </c>
      <c r="H7" s="125" t="s">
        <v>36</v>
      </c>
      <c r="I7" s="37" t="s">
        <v>9</v>
      </c>
      <c r="J7" s="5" t="s">
        <v>36</v>
      </c>
      <c r="K7" s="5" t="s">
        <v>36</v>
      </c>
      <c r="L7" s="5" t="s">
        <v>36</v>
      </c>
      <c r="M7" s="5" t="s">
        <v>36</v>
      </c>
      <c r="N7" s="5" t="s">
        <v>36</v>
      </c>
      <c r="O7" s="5" t="s">
        <v>804</v>
      </c>
      <c r="P7" s="5" t="s">
        <v>418</v>
      </c>
    </row>
    <row r="8" spans="1:16" x14ac:dyDescent="0.35">
      <c r="A8" s="5">
        <v>2</v>
      </c>
      <c r="B8" s="5" t="str">
        <f t="shared" ref="B8:B9" si="0">CONCATENATE($B$2, ".", A8)</f>
        <v>K.2</v>
      </c>
      <c r="C8" s="111" t="s">
        <v>41</v>
      </c>
      <c r="D8" s="37" t="s">
        <v>805</v>
      </c>
      <c r="E8" s="37" t="s">
        <v>115</v>
      </c>
      <c r="F8" s="5" t="s">
        <v>36</v>
      </c>
      <c r="G8" s="5" t="s">
        <v>36</v>
      </c>
      <c r="H8" s="111" t="s">
        <v>36</v>
      </c>
      <c r="I8" s="37" t="s">
        <v>9</v>
      </c>
      <c r="J8" s="5" t="s">
        <v>36</v>
      </c>
      <c r="K8" s="5" t="s">
        <v>36</v>
      </c>
      <c r="L8" s="5" t="s">
        <v>36</v>
      </c>
      <c r="M8" s="5" t="s">
        <v>36</v>
      </c>
      <c r="N8" s="5" t="s">
        <v>36</v>
      </c>
      <c r="P8" s="5" t="s">
        <v>211</v>
      </c>
    </row>
    <row r="9" spans="1:16" ht="87" x14ac:dyDescent="0.35">
      <c r="A9" s="5">
        <v>3</v>
      </c>
      <c r="B9" s="5" t="str">
        <f t="shared" si="0"/>
        <v>K.3</v>
      </c>
      <c r="C9" s="111" t="s">
        <v>41</v>
      </c>
      <c r="D9" s="103" t="s">
        <v>741</v>
      </c>
      <c r="E9" s="37" t="s">
        <v>33</v>
      </c>
      <c r="F9" s="5" t="s">
        <v>36</v>
      </c>
      <c r="G9" s="5" t="s">
        <v>36</v>
      </c>
      <c r="H9" s="111" t="s">
        <v>36</v>
      </c>
      <c r="I9" s="37" t="s">
        <v>9</v>
      </c>
      <c r="J9" s="5" t="s">
        <v>36</v>
      </c>
      <c r="K9" s="5" t="s">
        <v>36</v>
      </c>
      <c r="L9" s="5" t="s">
        <v>36</v>
      </c>
      <c r="M9" s="5" t="s">
        <v>36</v>
      </c>
      <c r="N9" s="5" t="s">
        <v>36</v>
      </c>
      <c r="O9" s="5" t="s">
        <v>36</v>
      </c>
      <c r="P9" s="5" t="s">
        <v>806</v>
      </c>
    </row>
  </sheetData>
  <autoFilter ref="A6:P6"/>
  <conditionalFormatting sqref="C7:C1048576">
    <cfRule type="cellIs" dxfId="36" priority="11" operator="equal">
      <formula>"WIP (see comments)"</formula>
    </cfRule>
    <cfRule type="cellIs" dxfId="35" priority="12" operator="equal">
      <formula>"Removed"</formula>
    </cfRule>
    <cfRule type="cellIs" dxfId="34" priority="13" operator="equal">
      <formula>"Updated"</formula>
    </cfRule>
    <cfRule type="cellIs" dxfId="33" priority="14" operator="equal">
      <formula>"New"</formula>
    </cfRule>
  </conditionalFormatting>
  <conditionalFormatting sqref="A10:XFD1048576 C9 A1:XFD8">
    <cfRule type="cellIs" dxfId="32" priority="10" operator="equal">
      <formula>"n/a"</formula>
    </cfRule>
  </conditionalFormatting>
  <conditionalFormatting sqref="D9">
    <cfRule type="cellIs" dxfId="31" priority="9" operator="equal">
      <formula>"-"</formula>
    </cfRule>
  </conditionalFormatting>
  <conditionalFormatting sqref="D9:XFD9 A9:B9">
    <cfRule type="cellIs" dxfId="30"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sheetView>
  </sheetViews>
  <sheetFormatPr defaultColWidth="9.1796875" defaultRowHeight="14.5" x14ac:dyDescent="0.35"/>
  <cols>
    <col min="1" max="1" width="14.7265625" style="5" customWidth="1"/>
    <col min="2" max="2" width="12.54296875" style="5" customWidth="1"/>
    <col min="3" max="3" width="19.26953125" style="158" customWidth="1"/>
    <col min="4" max="4" width="45.1796875" style="5" customWidth="1"/>
    <col min="5" max="5" width="28.7265625" style="5" customWidth="1"/>
    <col min="6" max="6" width="37" style="5" customWidth="1"/>
    <col min="7" max="7" width="29.26953125" style="5" customWidth="1"/>
    <col min="8" max="8" width="11.54296875" style="15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997</v>
      </c>
      <c r="C1" s="29"/>
      <c r="D1" s="26"/>
      <c r="H1" s="32"/>
    </row>
    <row r="2" spans="1:16" s="27" customFormat="1" ht="18.5" x14ac:dyDescent="0.35">
      <c r="A2" s="25" t="s">
        <v>7</v>
      </c>
      <c r="B2" s="157" t="s">
        <v>996</v>
      </c>
      <c r="C2" s="32"/>
      <c r="D2" s="157"/>
      <c r="H2" s="32"/>
    </row>
    <row r="3" spans="1:16" s="27" customFormat="1" ht="18.5" x14ac:dyDescent="0.35">
      <c r="A3" s="25" t="s">
        <v>43</v>
      </c>
      <c r="B3" s="157" t="s">
        <v>995</v>
      </c>
      <c r="C3" s="32"/>
      <c r="D3" s="156" t="s">
        <v>1004</v>
      </c>
      <c r="H3" s="32"/>
    </row>
    <row r="4" spans="1:16" s="27" customFormat="1" ht="18.5" x14ac:dyDescent="0.35">
      <c r="A4" s="25" t="s">
        <v>8</v>
      </c>
      <c r="B4" s="27" t="s">
        <v>213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 si="0">CONCATENATE($B$2, ".", A7)</f>
        <v>L.1</v>
      </c>
      <c r="C7" s="158" t="s">
        <v>41</v>
      </c>
      <c r="D7" s="37" t="s">
        <v>910</v>
      </c>
      <c r="E7" s="37" t="s">
        <v>114</v>
      </c>
      <c r="F7" s="5" t="s">
        <v>36</v>
      </c>
      <c r="G7" s="5" t="s">
        <v>36</v>
      </c>
      <c r="H7" s="158" t="s">
        <v>36</v>
      </c>
      <c r="I7" s="37" t="s">
        <v>9</v>
      </c>
      <c r="J7" s="5" t="s">
        <v>36</v>
      </c>
      <c r="K7" s="5" t="s">
        <v>36</v>
      </c>
      <c r="L7" s="5" t="s">
        <v>36</v>
      </c>
      <c r="M7" s="5" t="s">
        <v>36</v>
      </c>
      <c r="N7" s="5" t="s">
        <v>36</v>
      </c>
      <c r="O7" s="5" t="s">
        <v>998</v>
      </c>
      <c r="P7" s="5" t="s">
        <v>999</v>
      </c>
    </row>
    <row r="8" spans="1:16" x14ac:dyDescent="0.35">
      <c r="A8" s="5">
        <v>2</v>
      </c>
      <c r="B8" s="5" t="str">
        <f t="shared" ref="B8:B11" si="1">CONCATENATE($B$2, ".", A8)</f>
        <v>L.2</v>
      </c>
      <c r="C8" s="158" t="s">
        <v>41</v>
      </c>
      <c r="D8" s="37" t="s">
        <v>196</v>
      </c>
      <c r="E8" s="37" t="s">
        <v>115</v>
      </c>
      <c r="F8" s="5" t="s">
        <v>36</v>
      </c>
      <c r="G8" s="5" t="s">
        <v>36</v>
      </c>
      <c r="H8" s="158" t="s">
        <v>36</v>
      </c>
      <c r="I8" s="37" t="s">
        <v>9</v>
      </c>
      <c r="J8" s="5" t="s">
        <v>36</v>
      </c>
      <c r="K8" s="5" t="s">
        <v>36</v>
      </c>
      <c r="L8" s="5" t="s">
        <v>36</v>
      </c>
      <c r="M8" s="5" t="s">
        <v>36</v>
      </c>
      <c r="N8" s="5" t="s">
        <v>36</v>
      </c>
    </row>
    <row r="9" spans="1:16" ht="120.5" customHeight="1" x14ac:dyDescent="0.35">
      <c r="A9" s="5">
        <v>3</v>
      </c>
      <c r="B9" s="5" t="str">
        <f t="shared" si="1"/>
        <v>L.3</v>
      </c>
      <c r="C9" s="158" t="s">
        <v>41</v>
      </c>
      <c r="D9" s="91" t="s">
        <v>1000</v>
      </c>
      <c r="E9" s="37" t="s">
        <v>33</v>
      </c>
      <c r="F9" s="5" t="s">
        <v>36</v>
      </c>
      <c r="G9" s="5" t="s">
        <v>36</v>
      </c>
      <c r="H9" s="158" t="s">
        <v>36</v>
      </c>
      <c r="I9" s="37" t="s">
        <v>9</v>
      </c>
      <c r="J9" s="5" t="s">
        <v>36</v>
      </c>
      <c r="K9" s="5" t="s">
        <v>36</v>
      </c>
      <c r="L9" s="5" t="s">
        <v>36</v>
      </c>
      <c r="M9" s="5" t="s">
        <v>36</v>
      </c>
      <c r="N9" s="5" t="s">
        <v>36</v>
      </c>
      <c r="O9" s="5" t="s">
        <v>139</v>
      </c>
      <c r="P9" s="5" t="s">
        <v>1001</v>
      </c>
    </row>
    <row r="10" spans="1:16" x14ac:dyDescent="0.35">
      <c r="A10" s="5">
        <v>4</v>
      </c>
      <c r="B10" s="5" t="str">
        <f t="shared" si="1"/>
        <v>L.4</v>
      </c>
      <c r="C10" s="158" t="s">
        <v>41</v>
      </c>
      <c r="D10" s="42" t="s">
        <v>194</v>
      </c>
      <c r="E10" s="37" t="s">
        <v>35</v>
      </c>
      <c r="F10" s="5" t="s">
        <v>36</v>
      </c>
      <c r="G10" s="5" t="s">
        <v>36</v>
      </c>
      <c r="H10" s="158" t="s">
        <v>36</v>
      </c>
      <c r="I10" s="37" t="s">
        <v>9</v>
      </c>
      <c r="J10" s="5" t="s">
        <v>36</v>
      </c>
      <c r="K10" s="5" t="s">
        <v>36</v>
      </c>
      <c r="L10" s="5" t="s">
        <v>36</v>
      </c>
      <c r="M10" s="5" t="s">
        <v>36</v>
      </c>
      <c r="N10" s="5" t="s">
        <v>36</v>
      </c>
    </row>
    <row r="11" spans="1:16" ht="29" x14ac:dyDescent="0.35">
      <c r="A11" s="5">
        <v>5</v>
      </c>
      <c r="B11" s="5" t="str">
        <f t="shared" si="1"/>
        <v>L.5</v>
      </c>
      <c r="C11" s="158" t="s">
        <v>41</v>
      </c>
      <c r="D11" s="5" t="s">
        <v>195</v>
      </c>
      <c r="E11" s="37" t="s">
        <v>33</v>
      </c>
      <c r="F11" s="5" t="s">
        <v>36</v>
      </c>
      <c r="G11" s="5" t="s">
        <v>36</v>
      </c>
      <c r="H11" s="158" t="s">
        <v>36</v>
      </c>
      <c r="I11" s="37" t="s">
        <v>9</v>
      </c>
      <c r="J11" s="5" t="s">
        <v>36</v>
      </c>
      <c r="K11" s="5" t="s">
        <v>36</v>
      </c>
      <c r="L11" s="5" t="s">
        <v>36</v>
      </c>
      <c r="M11" s="5" t="s">
        <v>36</v>
      </c>
      <c r="N11" s="5" t="s">
        <v>36</v>
      </c>
      <c r="O11" s="37"/>
    </row>
  </sheetData>
  <autoFilter ref="A6:P6"/>
  <conditionalFormatting sqref="C12:C1048576">
    <cfRule type="cellIs" dxfId="29" priority="13" operator="equal">
      <formula>"WIP (see comments)"</formula>
    </cfRule>
    <cfRule type="cellIs" dxfId="28" priority="14" operator="equal">
      <formula>"Removed"</formula>
    </cfRule>
    <cfRule type="cellIs" dxfId="27" priority="15" operator="equal">
      <formula>"Updated"</formula>
    </cfRule>
    <cfRule type="cellIs" dxfId="26" priority="16" operator="equal">
      <formula>"New"</formula>
    </cfRule>
  </conditionalFormatting>
  <conditionalFormatting sqref="A1:XFD2 A12:XFD1048576 A4:XFD6 A3:C3 E3:XFD3">
    <cfRule type="cellIs" dxfId="25" priority="12" operator="equal">
      <formula>"n/a"</formula>
    </cfRule>
  </conditionalFormatting>
  <conditionalFormatting sqref="D9:D10">
    <cfRule type="cellIs" dxfId="24" priority="11" operator="equal">
      <formula>"-"</formula>
    </cfRule>
  </conditionalFormatting>
  <conditionalFormatting sqref="A9:B10 D10:XFD10 D9:N9 P9:XFD9">
    <cfRule type="cellIs" dxfId="23" priority="10" operator="equal">
      <formula>"n/a"</formula>
    </cfRule>
  </conditionalFormatting>
  <conditionalFormatting sqref="C7:C11">
    <cfRule type="cellIs" dxfId="22" priority="6" operator="equal">
      <formula>"WIP (see comments)"</formula>
    </cfRule>
    <cfRule type="cellIs" dxfId="21" priority="7" operator="equal">
      <formula>"Removed"</formula>
    </cfRule>
    <cfRule type="cellIs" dxfId="20" priority="8" operator="equal">
      <formula>"Updated"</formula>
    </cfRule>
    <cfRule type="cellIs" dxfId="19" priority="9" operator="equal">
      <formula>"New"</formula>
    </cfRule>
  </conditionalFormatting>
  <conditionalFormatting sqref="A7:XFD8 C8:C11">
    <cfRule type="cellIs" dxfId="18" priority="5" operator="equal">
      <formula>"n/a"</formula>
    </cfRule>
  </conditionalFormatting>
  <conditionalFormatting sqref="A11:B11 D11 F11:XFD11">
    <cfRule type="cellIs" dxfId="17" priority="4" operator="equal">
      <formula>"n/a"</formula>
    </cfRule>
  </conditionalFormatting>
  <conditionalFormatting sqref="E11">
    <cfRule type="cellIs" dxfId="16" priority="3" operator="equal">
      <formula>"n/a"</formula>
    </cfRule>
  </conditionalFormatting>
  <conditionalFormatting sqref="O9">
    <cfRule type="cellIs" dxfId="15" priority="2" operator="equal">
      <formula>"n/a"</formula>
    </cfRule>
  </conditionalFormatting>
  <conditionalFormatting sqref="D3">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Values'!$A$5:$A$35</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231</v>
      </c>
      <c r="C1" s="29"/>
      <c r="D1" s="26"/>
      <c r="H1" s="32"/>
    </row>
    <row r="2" spans="1:16" s="27" customFormat="1" ht="18.5" x14ac:dyDescent="0.35">
      <c r="A2" s="25" t="s">
        <v>7</v>
      </c>
      <c r="B2" s="78" t="s">
        <v>230</v>
      </c>
      <c r="C2" s="32"/>
      <c r="D2" s="78"/>
      <c r="H2" s="32"/>
    </row>
    <row r="3" spans="1:16" s="27" customFormat="1" ht="18.5" x14ac:dyDescent="0.35">
      <c r="A3" s="25" t="s">
        <v>43</v>
      </c>
      <c r="B3" s="78" t="s">
        <v>206</v>
      </c>
      <c r="C3" s="32"/>
      <c r="D3" s="78" t="s">
        <v>68</v>
      </c>
      <c r="H3" s="32"/>
    </row>
    <row r="4" spans="1:16" s="27" customFormat="1" ht="18.5" x14ac:dyDescent="0.35">
      <c r="A4" s="25" t="s">
        <v>8</v>
      </c>
      <c r="B4" s="27" t="s">
        <v>213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J.1</v>
      </c>
      <c r="C7" s="77" t="s">
        <v>39</v>
      </c>
      <c r="D7" s="5" t="s">
        <v>36</v>
      </c>
      <c r="E7" s="37" t="s">
        <v>114</v>
      </c>
      <c r="F7" s="5" t="s">
        <v>36</v>
      </c>
      <c r="G7" s="5" t="s">
        <v>36</v>
      </c>
      <c r="H7" s="77" t="s">
        <v>36</v>
      </c>
      <c r="I7" s="37" t="s">
        <v>9</v>
      </c>
      <c r="J7" s="5" t="s">
        <v>36</v>
      </c>
      <c r="K7" s="5" t="s">
        <v>36</v>
      </c>
      <c r="L7" s="5" t="s">
        <v>36</v>
      </c>
      <c r="M7" s="5" t="s">
        <v>36</v>
      </c>
      <c r="N7" s="5" t="s">
        <v>36</v>
      </c>
      <c r="O7" s="5" t="s">
        <v>159</v>
      </c>
    </row>
    <row r="8" spans="1:16" x14ac:dyDescent="0.35">
      <c r="A8" s="5">
        <v>2</v>
      </c>
      <c r="B8" s="5" t="str">
        <f t="shared" ref="B8:B10" si="0">CONCATENATE($B$2, ".", A8)</f>
        <v>J.2</v>
      </c>
      <c r="C8" s="77" t="s">
        <v>39</v>
      </c>
      <c r="D8" s="37" t="s">
        <v>119</v>
      </c>
      <c r="E8" s="37" t="s">
        <v>115</v>
      </c>
      <c r="F8" s="5" t="s">
        <v>36</v>
      </c>
      <c r="G8" s="5" t="s">
        <v>36</v>
      </c>
      <c r="H8" s="77" t="s">
        <v>36</v>
      </c>
      <c r="I8" s="37" t="s">
        <v>9</v>
      </c>
      <c r="J8" s="5" t="s">
        <v>36</v>
      </c>
      <c r="K8" s="5" t="s">
        <v>36</v>
      </c>
      <c r="L8" s="5" t="s">
        <v>36</v>
      </c>
      <c r="M8" s="5" t="s">
        <v>36</v>
      </c>
      <c r="N8" s="5" t="s">
        <v>36</v>
      </c>
    </row>
    <row r="9" spans="1:16" ht="43.5" x14ac:dyDescent="0.35">
      <c r="A9" s="5">
        <v>3</v>
      </c>
      <c r="B9" s="5" t="str">
        <f t="shared" si="0"/>
        <v>J.3</v>
      </c>
      <c r="C9" s="77" t="s">
        <v>39</v>
      </c>
      <c r="D9" s="5" t="s">
        <v>229</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J.4</v>
      </c>
      <c r="C10" s="77" t="s">
        <v>39</v>
      </c>
      <c r="D10" s="5" t="s">
        <v>228</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233</v>
      </c>
      <c r="C1" s="29"/>
      <c r="D1" s="26"/>
      <c r="H1" s="32"/>
    </row>
    <row r="2" spans="1:16" s="27" customFormat="1" ht="18.5" x14ac:dyDescent="0.35">
      <c r="A2" s="25" t="s">
        <v>7</v>
      </c>
      <c r="B2" s="78" t="s">
        <v>234</v>
      </c>
      <c r="C2" s="32"/>
      <c r="D2" s="78"/>
      <c r="H2" s="32"/>
    </row>
    <row r="3" spans="1:16" s="27" customFormat="1" ht="18.5" x14ac:dyDescent="0.35">
      <c r="A3" s="25" t="s">
        <v>43</v>
      </c>
      <c r="B3" s="78" t="s">
        <v>206</v>
      </c>
      <c r="C3" s="32"/>
      <c r="D3" s="78" t="s">
        <v>68</v>
      </c>
      <c r="H3" s="32"/>
    </row>
    <row r="4" spans="1:16" s="27" customFormat="1" ht="18.5" x14ac:dyDescent="0.35">
      <c r="A4" s="25" t="s">
        <v>8</v>
      </c>
      <c r="B4" s="27" t="s">
        <v>213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K.1</v>
      </c>
      <c r="C7" s="77" t="s">
        <v>39</v>
      </c>
      <c r="D7" s="5" t="s">
        <v>36</v>
      </c>
      <c r="E7" s="37" t="s">
        <v>114</v>
      </c>
      <c r="F7" s="5" t="s">
        <v>36</v>
      </c>
      <c r="G7" s="5" t="s">
        <v>36</v>
      </c>
      <c r="H7" s="77" t="s">
        <v>36</v>
      </c>
      <c r="I7" s="37" t="s">
        <v>9</v>
      </c>
      <c r="J7" s="5" t="s">
        <v>36</v>
      </c>
      <c r="K7" s="5" t="s">
        <v>36</v>
      </c>
      <c r="L7" s="5" t="s">
        <v>36</v>
      </c>
      <c r="M7" s="5" t="s">
        <v>36</v>
      </c>
      <c r="N7" s="5" t="s">
        <v>36</v>
      </c>
      <c r="O7" s="5" t="s">
        <v>159</v>
      </c>
    </row>
    <row r="8" spans="1:16" x14ac:dyDescent="0.35">
      <c r="A8" s="5">
        <v>2</v>
      </c>
      <c r="B8" s="5" t="str">
        <f t="shared" ref="B8:B10" si="0">CONCATENATE($B$2, ".", A8)</f>
        <v>K.2</v>
      </c>
      <c r="C8" s="77" t="s">
        <v>39</v>
      </c>
      <c r="D8" s="37" t="s">
        <v>119</v>
      </c>
      <c r="E8" s="37" t="s">
        <v>115</v>
      </c>
      <c r="F8" s="5" t="s">
        <v>36</v>
      </c>
      <c r="G8" s="5" t="s">
        <v>36</v>
      </c>
      <c r="H8" s="77" t="s">
        <v>36</v>
      </c>
      <c r="I8" s="37" t="s">
        <v>9</v>
      </c>
      <c r="J8" s="5" t="s">
        <v>36</v>
      </c>
      <c r="K8" s="5" t="s">
        <v>36</v>
      </c>
      <c r="L8" s="5" t="s">
        <v>36</v>
      </c>
      <c r="M8" s="5" t="s">
        <v>36</v>
      </c>
      <c r="N8" s="5" t="s">
        <v>36</v>
      </c>
    </row>
    <row r="9" spans="1:16" ht="43.5" x14ac:dyDescent="0.35">
      <c r="A9" s="5">
        <v>3</v>
      </c>
      <c r="B9" s="5" t="str">
        <f t="shared" si="0"/>
        <v>K.3</v>
      </c>
      <c r="C9" s="77" t="s">
        <v>39</v>
      </c>
      <c r="D9" s="5" t="s">
        <v>229</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K.4</v>
      </c>
      <c r="C10" s="77" t="s">
        <v>39</v>
      </c>
      <c r="D10" s="5" t="s">
        <v>228</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Values'!$A$5:$A$35</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FB28DB1D-79F9-47F8-8B13-B5165C607496}"/>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Unable to Resume</vt:lpstr>
      <vt:lpstr>L. Submission Complete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2021-02-12T21:42:48Z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559100</vt:r8>
  </property>
  <property fmtid="{D5CDD505-2E9C-101B-9397-08002B2CF9AE}" pid="4" name="URL">
    <vt:lpwstr/>
  </property>
  <property fmtid="{D5CDD505-2E9C-101B-9397-08002B2CF9AE}" pid="5" name="MediaServiceImageTags">
    <vt:lpwstr/>
  </property>
</Properties>
</file>