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Revision Control" sheetId="2" r:id="rId1"/>
    <sheet name="List Values" sheetId="3" r:id="rId2"/>
    <sheet name="Business Accts-Tiles only" sheetId="4" r:id="rId3"/>
    <sheet name="Business Accts-Full attribution" sheetId="5" state="hidden" r:id="rId4"/>
    <sheet name="Product Spec-Personal" sheetId="1" state="hidden"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<sst xmlns="http://schemas.openxmlformats.org/spreadsheetml/2006/main" count="284" uniqueCount="139">
  <si>
    <t>Motive Digital Client Onboarding (DCO)</t>
  </si>
  <si>
    <t>Document Version</t>
  </si>
  <si>
    <t>Revision Date</t>
  </si>
  <si>
    <t>Change Summary</t>
  </si>
  <si>
    <t>Updated by</t>
  </si>
  <si>
    <t>Reviewed By</t>
  </si>
  <si>
    <t>Approved by</t>
  </si>
  <si>
    <t>1.0</t>
  </si>
  <si>
    <t>Digital Client Onboarding (DCO)</t>
  </si>
  <si>
    <t>Product Name</t>
  </si>
  <si>
    <t>Product Type</t>
  </si>
  <si>
    <t>Tag Line</t>
  </si>
  <si>
    <t>Effective Date</t>
  </si>
  <si>
    <t>Expiry Date</t>
  </si>
  <si>
    <t>Minimum Age</t>
  </si>
  <si>
    <t>Maximum Age</t>
  </si>
  <si>
    <t>Monthly Free Transactions</t>
  </si>
  <si>
    <t>Monthly Fee</t>
  </si>
  <si>
    <t>Fee Waiver Balance</t>
  </si>
  <si>
    <t>Field Status</t>
  </si>
  <si>
    <t>New</t>
  </si>
  <si>
    <t>No Change</t>
  </si>
  <si>
    <t>Removed</t>
  </si>
  <si>
    <t>Updated</t>
  </si>
  <si>
    <t>WIP (see comments)</t>
  </si>
  <si>
    <t>Transaction Fee</t>
  </si>
  <si>
    <t>E-transfer Fee</t>
  </si>
  <si>
    <t>Non-CWB ATM Fee</t>
  </si>
  <si>
    <t>Product Specification - Revision Control Form</t>
  </si>
  <si>
    <t>Product Specification - List Values</t>
  </si>
  <si>
    <t>Product Specification</t>
  </si>
  <si>
    <t>Visible to Public</t>
  </si>
  <si>
    <t>Interest Rate</t>
  </si>
  <si>
    <t>DMDC-10500</t>
  </si>
  <si>
    <t>Product ID</t>
  </si>
  <si>
    <t>Chequing</t>
  </si>
  <si>
    <t>Gold Leaf PLUS Account</t>
  </si>
  <si>
    <t>DMDC-10501</t>
  </si>
  <si>
    <t>Standard Chequing Account</t>
  </si>
  <si>
    <t>DMDC-13100</t>
  </si>
  <si>
    <t>Student Account</t>
  </si>
  <si>
    <t>DMDC-12200</t>
  </si>
  <si>
    <t>Summit Savings Account</t>
  </si>
  <si>
    <t>DMDS-61001</t>
  </si>
  <si>
    <t>Savings</t>
  </si>
  <si>
    <t>Yes</t>
  </si>
  <si>
    <t>A smarter chequing account with a suite of banking services that makes your banking smarter and easier with a simple monthly fee.</t>
  </si>
  <si>
    <t>The foundation for daily financial success</t>
  </si>
  <si>
    <t>Being a student is expensive - this account isn't.</t>
  </si>
  <si>
    <t>When you reach a certain age, you should expect certain perks</t>
  </si>
  <si>
    <t>Save faster for what matters to you</t>
  </si>
  <si>
    <t>Change Status</t>
  </si>
  <si>
    <t>Unlimited</t>
  </si>
  <si>
    <t>Reach your financial peak with an everyday banking account that makes your banking smarter and easier with a simple monthly fee.</t>
  </si>
  <si>
    <t>The chequing account for your everyday banking needs in a simple and flexible package that allows you to only pay for what you use.</t>
  </si>
  <si>
    <t>Make banking one less thing to worry about while at school. This no-hassle account is designed for the everyday needs of full-time post-secondary students.</t>
  </si>
  <si>
    <t>This comprehensive package is specifically crafted for clients aged 57 and over, offering great additional services and benefits. </t>
  </si>
  <si>
    <t>Keep your savings close at hand while achieving your financial goals with this high-interest savings account.</t>
  </si>
  <si>
    <t>Short Description</t>
  </si>
  <si>
    <t>Long Description</t>
  </si>
  <si>
    <t>Product Attributes (to be exposed to user interface)</t>
  </si>
  <si>
    <t>Classification &amp; Eligibility Restrictions (for internal system use)</t>
  </si>
  <si>
    <t>Interest Rate Effective Date</t>
  </si>
  <si>
    <t>Apex Account</t>
  </si>
  <si>
    <t>Student Only</t>
  </si>
  <si>
    <t>No</t>
  </si>
  <si>
    <t xml:space="preserve">This comprehensive package is specifically crafted for clients aged 57 and over, offering great additional services and benefits.
● Unlimited transactions*
● Electronic or paper statements with heque images available
● Option to receive GIC interest monthly with no penalty
● Safe deposit box discount </t>
  </si>
  <si>
    <t>Keep your savings close at hand while achieving your financial goals with this high-interest savings account.
● Competitive interest rates 
● No monthly fee
● Transfer between your CWB accounts for free</t>
  </si>
  <si>
    <t>Reach your financial peak with an everyday banking account that makes your banking smarter and easier with a simple monthly fee.
● Unlimited transactions*
● Complimentary personal cheques
● Optional free line of credit upon approval</t>
  </si>
  <si>
    <t>The chequing account for your everyday banking needs in a simple and flexible package that allows you to only pay for what you use.
● 15 free transactions*
● Transfer between your CWB accounts for free
● Electronic or paper statements with cheque images available</t>
  </si>
  <si>
    <t xml:space="preserve">Make banking one less thing to worry about while at school. This no-hassle account is designed for the everyday needs of full-time post-secondary students.
● Unlimited transactions* 
● No monthly fee </t>
  </si>
  <si>
    <t>Account Type</t>
  </si>
  <si>
    <t>Interest Rate Tiered?</t>
  </si>
  <si>
    <t>Rate Tier 1</t>
  </si>
  <si>
    <t>Tier 1 Min</t>
  </si>
  <si>
    <t>Tier 1 Max</t>
  </si>
  <si>
    <t>Rate Tier 2</t>
  </si>
  <si>
    <t>Tier 2 Min</t>
  </si>
  <si>
    <t>Tier 2 Max</t>
  </si>
  <si>
    <t>Rate Tier 3</t>
  </si>
  <si>
    <t>Tier 3 Min</t>
  </si>
  <si>
    <t>Tier 3 Max</t>
  </si>
  <si>
    <t>Upgrade suggestion</t>
  </si>
  <si>
    <t>Incentive offer</t>
  </si>
  <si>
    <t>Business Current Account</t>
  </si>
  <si>
    <t>Cash Management Account (XL)</t>
  </si>
  <si>
    <t>Business Savings Account</t>
  </si>
  <si>
    <t>Cash Management Account (Small)</t>
  </si>
  <si>
    <t>Cash Management Account (Standard)</t>
  </si>
  <si>
    <t>Cash Management Account (Large)</t>
  </si>
  <si>
    <t>A low-cost account with competitive transaction fees</t>
  </si>
  <si>
    <t>The only smart account you need to run a smart business. You'll pay fees on just the bank services used each month. The perfect pay-as-you-go solution for customers that are operating accounts with fluctuating balances or low transaction volumes.</t>
  </si>
  <si>
    <t>An account that fits the daily cash flow requirements for your business</t>
  </si>
  <si>
    <t>A business savings account with competitive, tiered interest paid monthly</t>
  </si>
  <si>
    <t xml:space="preserve">Earn competitive interest rates that allow you to earn more on the surplus cash flow in your account. </t>
  </si>
  <si>
    <t>n/a</t>
  </si>
  <si>
    <t>Cash Management Account</t>
  </si>
  <si>
    <t>DMDC-15100</t>
  </si>
  <si>
    <t>DMDC-15400</t>
  </si>
  <si>
    <t>DMDC-15450</t>
  </si>
  <si>
    <t>DMDC-15800</t>
  </si>
  <si>
    <t>DMDC-15850</t>
  </si>
  <si>
    <t>DMDS-63750</t>
  </si>
  <si>
    <t>Ian Hicks</t>
  </si>
  <si>
    <t>A business operating account to meet your cash flow needs, with a flat monthly fee and competitive interest rates.
Pay $18 a month and enjoy 22 free transactions with standard cash management account benefits.</t>
  </si>
  <si>
    <t>A business operating account to meet your cash flow needs, with a flat monthly fee and competitive interest rates.
Pay $40 a month and enjoy 50 free transactions with standard cash management account benefits.</t>
  </si>
  <si>
    <t>A business operating account to meet your cash flow needs, with a flat monthly fee and competitive interest rates.
Pay $75 a month and enjoy 100 free transactions with standard cash management account benefits.</t>
  </si>
  <si>
    <t>A business operating account to meet your cash flow needs, with a flat monthly fee and competitive interest rates.
Pay $150 a month and enjoy 250 free transactions with standard cash management account benefits.</t>
  </si>
  <si>
    <t>Description</t>
  </si>
  <si>
    <t>null</t>
  </si>
  <si>
    <t>Configurable Feature 1</t>
  </si>
  <si>
    <t>Configurable Feature 2</t>
  </si>
  <si>
    <t>Transaction fee type 1</t>
  </si>
  <si>
    <t>Transaction fee 1</t>
  </si>
  <si>
    <t>Transaction fee type 2</t>
  </si>
  <si>
    <t>Transaction fee 2</t>
  </si>
  <si>
    <t>Paper</t>
  </si>
  <si>
    <t>Electronic</t>
  </si>
  <si>
    <t>Debit</t>
  </si>
  <si>
    <t>Credit</t>
  </si>
  <si>
    <t>Listed per item service fee applies once the free monthly transaction limit is exceeded.</t>
  </si>
  <si>
    <t>Transaction fee disclaimer</t>
  </si>
  <si>
    <t>Interest Rate Disclaimer</t>
  </si>
  <si>
    <t>Interest is calculated on the daily closing balance at the applicable rate tier and paid on the last day of the month, for the period beginning on the last day of the previous month and ending on the second last day of the month. Interest and rate tiers are subject to change without notice. Interest is paid in the currency of the account. Posted rates available at branches only. All rates are per annum and are subject to change without notice.</t>
  </si>
  <si>
    <t>Competitive tiered interest rate</t>
  </si>
  <si>
    <t>Earn interest on balances over $100,000</t>
  </si>
  <si>
    <t>Product Specification - Business Accounts - Full attribution</t>
  </si>
  <si>
    <t>Product Specification - Business Accounts - Tiles only</t>
  </si>
  <si>
    <t>Product Image</t>
  </si>
  <si>
    <r>
      <t xml:space="preserve">Tag Line (short description)
</t>
    </r>
    <r>
      <rPr>
        <sz val="11"/>
        <color theme="1"/>
        <rFont val="Calibri"/>
        <family val="2"/>
        <scheme val="minor"/>
      </rPr>
      <t>250 characters max.</t>
    </r>
  </si>
  <si>
    <r>
      <t xml:space="preserve">Configurable Feature 1
</t>
    </r>
    <r>
      <rPr>
        <sz val="11"/>
        <color theme="1"/>
        <rFont val="Calibri"/>
        <family val="2"/>
        <scheme val="minor"/>
      </rPr>
      <t>50 characters max.</t>
    </r>
  </si>
  <si>
    <r>
      <t xml:space="preserve">Configurable Feature 2
</t>
    </r>
    <r>
      <rPr>
        <sz val="11"/>
        <color theme="1"/>
        <rFont val="Calibri"/>
        <family val="2"/>
        <scheme val="minor"/>
      </rPr>
      <t>50 characters max.</t>
    </r>
  </si>
  <si>
    <t>CWBSB-432</t>
  </si>
  <si>
    <t>Business Accounts</t>
  </si>
  <si>
    <t>Product Link</t>
  </si>
  <si>
    <t>https://www.cwbank.com/en/business/accounts/day-to-day/cash-management-account</t>
  </si>
  <si>
    <t>https://www.cwbank.com/en/business/accounts/day-to-day/business-current-account</t>
  </si>
  <si>
    <t>https://www.cwbank.com/en/business/accounts/savings/business-savings-account</t>
  </si>
  <si>
    <t>Added attribution for business accounts.
MVP to include limited attribution required for presentation on tiles/cards in account selection.
Added product link attribute (hyperlink to web resource for "Learn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</si>
</sst>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1"/>
      <color theme="1"/>
      <name val="Calibri"/>
      <family val="2"/>
    </font>
    <font>
      <u/>
      <sz val="11"/>
      <color theme="1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0" fontId="5" fillId="0" borderId="0" applyNumberFormat="0" applyFill="0" applyBorder="0" applyAlignment="0" applyProtection="0"/>
  </cellStyleXfs>
  <cellXfs count="70">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vertical="center"/>
    </xf>
    <xf numFmtId="49"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3" fillId="0" borderId="6" xfId="0" quotePrefix="1" applyFont="1" applyBorder="1" applyAlignment="1">
      <alignmen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xf>
    <xf numFmtId="0" fontId="3" fillId="0" borderId="6" xfId="0" applyFont="1" applyBorder="1" applyAlignment="1">
      <alignment vertical="center" wrapText="1"/>
    </xf>
    <xf numFmtId="49" fontId="0" fillId="0" borderId="9" xfId="0" applyNumberFormat="1" applyBorder="1" applyAlignment="1">
      <alignment horizontal="center" vertical="center"/>
    </xf>
    <xf numFmtId="164" fontId="0" fillId="0" borderId="10" xfId="0" applyNumberFormat="1" applyBorder="1" applyAlignment="1">
      <alignment horizontal="center" vertical="center"/>
    </xf>
    <xf numFmtId="0" fontId="3" fillId="0" borderId="10" xfId="0" applyFont="1" applyBorder="1" applyAlignment="1">
      <alignmen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wrapText="1"/>
    </xf>
    <xf numFmtId="0" fontId="3" fillId="0" borderId="10" xfId="0" quotePrefix="1" applyFont="1" applyBorder="1" applyAlignment="1">
      <alignment vertical="center" wrapText="1"/>
    </xf>
    <xf numFmtId="0" fontId="0" fillId="0" borderId="11" xfId="0" applyBorder="1" applyAlignment="1">
      <alignment horizontal="center"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applyFont="1" applyBorder="1" applyAlignment="1">
      <alignmen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 fillId="0" borderId="0" xfId="0" applyFont="1"/>
    <xf numFmtId="0" fontId="1"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xf>
    <xf numFmtId="0" fontId="1" fillId="2" borderId="0" xfId="0" applyFont="1" applyFill="1" applyAlignment="1">
      <alignment horizontal="center" vertical="center"/>
    </xf>
    <xf numFmtId="164" fontId="1" fillId="2" borderId="0" xfId="0" applyNumberFormat="1" applyFont="1" applyFill="1" applyAlignment="1">
      <alignment horizontal="center" vertical="center"/>
    </xf>
    <xf numFmtId="164" fontId="0" fillId="0" borderId="0" xfId="0" applyNumberFormat="1" applyAlignment="1">
      <alignment horizontal="center" vertical="center" wrapText="1"/>
    </xf>
    <xf numFmtId="2" fontId="1" fillId="2" borderId="0" xfId="0" applyNumberFormat="1" applyFont="1" applyFill="1" applyAlignment="1">
      <alignment horizontal="center" vertical="center"/>
    </xf>
    <xf numFmtId="2" fontId="0" fillId="0" borderId="0" xfId="0" applyNumberFormat="1" applyAlignment="1">
      <alignment horizontal="center" vertical="center" wrapText="1"/>
    </xf>
    <xf numFmtId="2" fontId="2" fillId="2" borderId="0" xfId="0" applyNumberFormat="1" applyFont="1" applyFill="1" applyAlignment="1">
      <alignment horizontal="center" vertical="center"/>
    </xf>
    <xf numFmtId="0" fontId="4" fillId="0" borderId="0" xfId="0" applyFont="1" applyAlignment="1">
      <alignment vertical="center" wrapText="1"/>
    </xf>
    <xf numFmtId="0" fontId="0" fillId="0" borderId="0" xfId="0" applyFill="1" applyAlignment="1">
      <alignment vertical="center" wrapText="1"/>
    </xf>
    <xf numFmtId="0" fontId="0" fillId="0" borderId="0" xfId="0" applyFill="1" applyAlignment="1">
      <alignment horizontal="center" vertical="center" wrapText="1"/>
    </xf>
    <xf numFmtId="164" fontId="0" fillId="0" borderId="0" xfId="0" applyNumberFormat="1" applyFill="1" applyAlignment="1">
      <alignment horizontal="center" vertical="center" wrapText="1"/>
    </xf>
    <xf numFmtId="2" fontId="0" fillId="0" borderId="0" xfId="0" applyNumberFormat="1" applyFill="1" applyAlignment="1">
      <alignment horizontal="center" vertical="center" wrapText="1"/>
    </xf>
    <xf numFmtId="2" fontId="1" fillId="4" borderId="0" xfId="0" applyNumberFormat="1" applyFont="1" applyFill="1" applyAlignment="1">
      <alignment horizontal="center" vertical="center" wrapText="1"/>
    </xf>
    <xf numFmtId="164" fontId="1" fillId="4" borderId="0" xfId="0" applyNumberFormat="1"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164" fontId="1" fillId="5" borderId="0" xfId="0" applyNumberFormat="1"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Fill="1" applyAlignment="1">
      <alignment vertical="center" wrapText="1"/>
    </xf>
    <xf numFmtId="0" fontId="1" fillId="5" borderId="0" xfId="0" applyFont="1" applyFill="1" applyAlignment="1">
      <alignment horizontal="center" vertical="center" wrapText="1"/>
    </xf>
    <xf numFmtId="0" fontId="1" fillId="2" borderId="0" xfId="0" applyFont="1" applyFill="1" applyAlignment="1">
      <alignment horizontal="left" vertical="center" wrapText="1"/>
    </xf>
    <xf numFmtId="0" fontId="1" fillId="2" borderId="6" xfId="0" applyFont="1" applyFill="1" applyBorder="1" applyAlignment="1">
      <alignment vertical="center" wrapText="1"/>
    </xf>
    <xf numFmtId="0" fontId="0" fillId="0" borderId="6" xfId="0" applyBorder="1" applyAlignment="1">
      <alignment vertical="center" wrapText="1"/>
    </xf>
    <xf numFmtId="164" fontId="0" fillId="0" borderId="6" xfId="0" applyNumberFormat="1" applyBorder="1" applyAlignment="1">
      <alignment horizontal="center" vertical="center" wrapText="1"/>
    </xf>
    <xf numFmtId="2" fontId="0" fillId="0" borderId="6" xfId="0" applyNumberFormat="1" applyBorder="1" applyAlignment="1">
      <alignment horizontal="center" vertical="center" wrapText="1"/>
    </xf>
    <xf numFmtId="3" fontId="0" fillId="0" borderId="6" xfId="0" applyNumberFormat="1" applyBorder="1" applyAlignment="1">
      <alignment horizontal="center" vertical="center" wrapText="1"/>
    </xf>
    <xf numFmtId="2" fontId="0" fillId="0" borderId="6" xfId="0" applyNumberFormat="1" applyBorder="1" applyAlignment="1">
      <alignment horizontal="left" vertical="center" wrapText="1"/>
    </xf>
    <xf numFmtId="0" fontId="0" fillId="0" borderId="6" xfId="0" applyBorder="1" applyAlignment="1">
      <alignment horizontal="left" vertical="center" wrapText="1"/>
    </xf>
    <xf numFmtId="4" fontId="0" fillId="0" borderId="6" xfId="0" applyNumberFormat="1" applyBorder="1" applyAlignment="1">
      <alignment horizontal="center" vertical="center" wrapText="1"/>
    </xf>
    <xf numFmtId="2" fontId="1" fillId="4" borderId="0" xfId="0" applyNumberFormat="1" applyFont="1" applyFill="1" applyAlignment="1">
      <alignment horizontal="center" vertical="center" wrapText="1"/>
    </xf>
    <xf numFmtId="0" fontId="1" fillId="5" borderId="0" xfId="0" applyFont="1" applyFill="1" applyAlignment="1">
      <alignment horizontal="center" vertical="center" wrapText="1"/>
    </xf>
    <xf numFmtId="0" fontId="5" fillId="0" borderId="6" xfId="1" applyBorder="1" applyAlignment="1">
      <alignment vertical="center" wrapText="1"/>
    </xf>
  </cellXfs>
  <cellStyles count="2">
    <cellStyle name="Hyperlink" xfId="1" builtinId="8"/>
    <cellStyle name="Normal" xfId="0" builtinId="0"/>
  </cellStyles>
  <dxfs count="77">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cwbank.com/en/business/accounts/day-to-day/cash-management-account" TargetMode="External"/><Relationship Id="rId7" Type="http://schemas.openxmlformats.org/officeDocument/2006/relationships/printerSettings" Target="../printerSettings/printerSettings2.bin"/><Relationship Id="rId2" Type="http://schemas.openxmlformats.org/officeDocument/2006/relationships/hyperlink" Target="https://www.cwbank.com/en/business/accounts/day-to-day/cash-management-account" TargetMode="External"/><Relationship Id="rId1" Type="http://schemas.openxmlformats.org/officeDocument/2006/relationships/hyperlink" Target="https://www.cwbank.com/en/business/accounts/day-to-day/cash-management-account" TargetMode="External"/><Relationship Id="rId6" Type="http://schemas.openxmlformats.org/officeDocument/2006/relationships/hyperlink" Target="https://www.cwbank.com/en/business/accounts/savings/business-savings-account" TargetMode="External"/><Relationship Id="rId5" Type="http://schemas.openxmlformats.org/officeDocument/2006/relationships/hyperlink" Target="https://www.cwbank.com/en/business/accounts/day-to-day/business-current-account" TargetMode="External"/><Relationship Id="rId4" Type="http://schemas.openxmlformats.org/officeDocument/2006/relationships/hyperlink" Target="https://www.cwbank.com/en/business/accounts/day-to-day/cash-management-accoun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abSelected="1" zoomScaleNormal="100" workbookViewId="0">
      <selection activeCell="D6" sqref="D6"/>
    </sheetView>
  </sheetViews>
  <sheetFormatPr defaultRowHeight="14.5" x14ac:dyDescent="0.35"/>
  <cols>
    <col min="1" max="1" width="19.81640625" customWidth="1"/>
    <col min="2" max="2" width="18.7265625" bestFit="1" customWidth="1"/>
    <col min="3" max="3" width="52.26953125" customWidth="1"/>
    <col min="4" max="5" width="21.54296875" customWidth="1"/>
    <col min="6" max="6" width="25.7265625" customWidth="1"/>
    <col min="7" max="7" width="20.1796875" customWidth="1"/>
  </cols>
  <sheetData>
    <row r="1" spans="1:16" s="1" customFormat="1" ht="18.5" x14ac:dyDescent="0.35">
      <c r="A1" s="1" t="s">
        <v>8</v>
      </c>
      <c r="B1" s="2"/>
      <c r="C1" s="2"/>
      <c r="D1" s="2"/>
      <c r="E1" s="2"/>
      <c r="F1" s="2"/>
      <c r="G1" s="3"/>
      <c r="H1" s="2"/>
      <c r="I1" s="3"/>
      <c r="J1" s="3"/>
      <c r="K1" s="3"/>
      <c r="L1" s="2"/>
      <c r="M1" s="2"/>
      <c r="N1" s="2"/>
      <c r="O1" s="2"/>
      <c r="P1" s="2"/>
    </row>
    <row r="2" spans="1:16" s="1" customFormat="1" ht="18.5" x14ac:dyDescent="0.35">
      <c r="A2" s="1" t="s">
        <v>28</v>
      </c>
      <c r="B2" s="2"/>
      <c r="C2" s="2"/>
      <c r="D2" s="2"/>
      <c r="E2" s="2"/>
      <c r="F2" s="2"/>
      <c r="G2" s="3"/>
      <c r="H2" s="2"/>
      <c r="I2" s="3"/>
      <c r="J2" s="3"/>
      <c r="K2" s="3"/>
      <c r="L2" s="2"/>
      <c r="M2" s="2"/>
      <c r="N2" s="2"/>
      <c r="O2" s="2"/>
      <c r="P2" s="2"/>
    </row>
    <row r="3" spans="1:16" s="4" customFormat="1" x14ac:dyDescent="0.35">
      <c r="A3" s="11" t="s">
        <v>133</v>
      </c>
      <c r="C3" s="5"/>
    </row>
    <row r="4" spans="1:16" ht="15" thickBot="1" x14ac:dyDescent="0.4"/>
    <row r="5" spans="1:16" s="11" customFormat="1" ht="15" thickBot="1" x14ac:dyDescent="0.4">
      <c r="A5" s="6" t="s">
        <v>1</v>
      </c>
      <c r="B5" s="7" t="s">
        <v>2</v>
      </c>
      <c r="C5" s="8" t="s">
        <v>3</v>
      </c>
      <c r="D5" s="7" t="s">
        <v>4</v>
      </c>
      <c r="E5" s="9" t="s">
        <v>5</v>
      </c>
      <c r="F5" s="10" t="s">
        <v>6</v>
      </c>
    </row>
    <row r="6" spans="1:16" s="4" customFormat="1" ht="65" x14ac:dyDescent="0.35">
      <c r="A6" s="12" t="s">
        <v>7</v>
      </c>
      <c r="B6" s="13">
        <v>44245</v>
      </c>
      <c r="C6" s="14" t="s">
        <v>138</v>
      </c>
      <c r="D6" s="15" t="s">
        <v>103</v>
      </c>
      <c r="E6" s="16"/>
      <c r="F6" s="17"/>
    </row>
    <row r="7" spans="1:16" s="4" customFormat="1" x14ac:dyDescent="0.35">
      <c r="A7" s="12"/>
      <c r="B7" s="13"/>
      <c r="C7" s="14"/>
      <c r="D7" s="15"/>
      <c r="E7" s="16"/>
      <c r="F7" s="17"/>
    </row>
    <row r="8" spans="1:16" s="4" customFormat="1" x14ac:dyDescent="0.35">
      <c r="A8" s="12"/>
      <c r="B8" s="13"/>
      <c r="C8" s="14"/>
      <c r="D8" s="18"/>
      <c r="E8" s="16"/>
      <c r="F8" s="17"/>
    </row>
    <row r="9" spans="1:16" s="4" customFormat="1" x14ac:dyDescent="0.35">
      <c r="A9" s="12"/>
      <c r="B9" s="13"/>
      <c r="C9" s="19"/>
      <c r="D9" s="18"/>
      <c r="E9" s="16"/>
      <c r="F9" s="17"/>
    </row>
    <row r="10" spans="1:16" s="4" customFormat="1" x14ac:dyDescent="0.35">
      <c r="A10" s="20"/>
      <c r="B10" s="21"/>
      <c r="C10" s="22"/>
      <c r="D10" s="23"/>
      <c r="E10" s="24"/>
      <c r="F10" s="25"/>
    </row>
    <row r="11" spans="1:16" s="4" customFormat="1" x14ac:dyDescent="0.35">
      <c r="A11" s="20"/>
      <c r="B11" s="21"/>
      <c r="C11" s="26"/>
      <c r="D11" s="23"/>
      <c r="E11" s="27"/>
      <c r="F11" s="25"/>
    </row>
    <row r="12" spans="1:16" s="4" customFormat="1" ht="15" thickBot="1" x14ac:dyDescent="0.4">
      <c r="A12" s="28"/>
      <c r="B12" s="29"/>
      <c r="C12" s="30"/>
      <c r="D12" s="31"/>
      <c r="E12" s="32"/>
      <c r="F12" s="33"/>
    </row>
  </sheetData>
  <conditionalFormatting sqref="I1:J2">
    <cfRule type="cellIs" dxfId="76" priority="3" operator="equal">
      <formula>"Not Applicable"</formula>
    </cfRule>
    <cfRule type="cellIs" dxfId="75" priority="4" operator="equal">
      <formula>"4 - Future Initiative (out of scope)"</formula>
    </cfRule>
    <cfRule type="cellIs" dxfId="74" priority="5" operator="equal">
      <formula>"3 - Desirable (Nice To Have)"</formula>
    </cfRule>
    <cfRule type="cellIs" dxfId="73" priority="6" operator="equal">
      <formula>"2 - Recommended (Best Practice)"</formula>
    </cfRule>
    <cfRule type="cellIs" dxfId="72" priority="7" operator="equal">
      <formula>"1 - Mandatory (Must Have)"</formula>
    </cfRule>
  </conditionalFormatting>
  <conditionalFormatting sqref="G1:G2">
    <cfRule type="cellIs" dxfId="71" priority="1" operator="equal">
      <formula>"Non-functional"</formula>
    </cfRule>
    <cfRule type="cellIs" dxfId="70" priority="2"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3" sqref="A3"/>
    </sheetView>
  </sheetViews>
  <sheetFormatPr defaultRowHeight="14.5" x14ac:dyDescent="0.35"/>
  <cols>
    <col min="1" max="1" width="47.26953125" bestFit="1" customWidth="1"/>
  </cols>
  <sheetData>
    <row r="1" spans="1:14" s="1" customFormat="1" ht="18.5" x14ac:dyDescent="0.35">
      <c r="A1" s="1" t="s">
        <v>0</v>
      </c>
      <c r="B1" s="2"/>
      <c r="C1" s="2"/>
      <c r="D1" s="2"/>
      <c r="E1" s="3"/>
      <c r="F1" s="2"/>
      <c r="G1" s="3"/>
      <c r="H1" s="3"/>
      <c r="I1" s="3"/>
      <c r="J1" s="2"/>
      <c r="K1" s="2"/>
      <c r="L1" s="2"/>
      <c r="M1" s="2"/>
      <c r="N1" s="2"/>
    </row>
    <row r="2" spans="1:14" s="1" customFormat="1" ht="18.5" x14ac:dyDescent="0.35">
      <c r="A2" s="1" t="s">
        <v>29</v>
      </c>
      <c r="B2" s="2"/>
      <c r="C2" s="2"/>
      <c r="D2" s="2"/>
      <c r="E2" s="3"/>
      <c r="F2" s="2"/>
      <c r="G2" s="3"/>
      <c r="H2" s="3"/>
      <c r="I2" s="3"/>
      <c r="J2" s="2"/>
      <c r="K2" s="2"/>
      <c r="L2" s="2"/>
      <c r="M2" s="2"/>
      <c r="N2" s="2"/>
    </row>
    <row r="4" spans="1:14" s="34" customFormat="1" x14ac:dyDescent="0.35">
      <c r="A4" s="34" t="s">
        <v>19</v>
      </c>
    </row>
    <row r="5" spans="1:14" x14ac:dyDescent="0.35">
      <c r="A5" t="s">
        <v>20</v>
      </c>
    </row>
    <row r="6" spans="1:14" x14ac:dyDescent="0.35">
      <c r="A6" t="s">
        <v>21</v>
      </c>
    </row>
    <row r="7" spans="1:14" x14ac:dyDescent="0.35">
      <c r="A7" t="s">
        <v>22</v>
      </c>
    </row>
    <row r="8" spans="1:14" x14ac:dyDescent="0.35">
      <c r="A8" t="s">
        <v>23</v>
      </c>
    </row>
    <row r="9" spans="1:14" x14ac:dyDescent="0.35">
      <c r="A9" t="s">
        <v>24</v>
      </c>
    </row>
  </sheetData>
  <conditionalFormatting sqref="G1:H2">
    <cfRule type="cellIs" dxfId="69" priority="3" operator="equal">
      <formula>"Not Applicable"</formula>
    </cfRule>
    <cfRule type="cellIs" dxfId="68" priority="4" operator="equal">
      <formula>"4 - Future Initiative (out of scope)"</formula>
    </cfRule>
    <cfRule type="cellIs" dxfId="67" priority="5" operator="equal">
      <formula>"3 - Desirable (Nice To Have)"</formula>
    </cfRule>
    <cfRule type="cellIs" dxfId="66" priority="6" operator="equal">
      <formula>"2 - Recommended (Best Practice)"</formula>
    </cfRule>
    <cfRule type="cellIs" dxfId="65" priority="7" operator="equal">
      <formula>"1 - Mandatory (Must Have)"</formula>
    </cfRule>
  </conditionalFormatting>
  <conditionalFormatting sqref="E1:E2">
    <cfRule type="cellIs" dxfId="64" priority="1" operator="equal">
      <formula>"Non-functional"</formula>
    </cfRule>
    <cfRule type="cellIs" dxfId="63"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8"/>
  <sheetViews>
    <sheetView zoomScaleNormal="100" workbookViewId="0">
      <pane ySplit="2" topLeftCell="A3" activePane="bottomLeft" state="frozen"/>
      <selection pane="bottomLeft" activeCell="A19" sqref="A19"/>
    </sheetView>
  </sheetViews>
  <sheetFormatPr defaultColWidth="9.1796875" defaultRowHeight="14.5" x14ac:dyDescent="0.35"/>
  <cols>
    <col min="1" max="1" width="27.26953125" style="5" customWidth="1"/>
    <col min="2" max="2" width="36.36328125" style="5" customWidth="1"/>
    <col min="3" max="3" width="36.36328125" style="36" customWidth="1"/>
    <col min="4" max="5" width="36.36328125" style="5" customWidth="1"/>
    <col min="6" max="7" width="36.36328125" style="40" customWidth="1"/>
    <col min="8" max="8" width="11.453125" style="36" customWidth="1"/>
    <col min="9" max="10" width="12.1796875" style="36" customWidth="1"/>
    <col min="11" max="11" width="11.7265625" style="42" customWidth="1"/>
    <col min="12" max="12" width="19.453125" style="42" customWidth="1"/>
    <col min="13" max="13" width="23.7265625" style="5" customWidth="1"/>
    <col min="14" max="14" width="12.36328125" style="42" customWidth="1"/>
    <col min="15" max="15" width="14.1796875" style="42" customWidth="1"/>
    <col min="16" max="16" width="9.1796875" style="42"/>
    <col min="17" max="17" width="15.26953125" style="40" customWidth="1"/>
    <col min="18" max="29" width="12.1796875" style="36" customWidth="1"/>
    <col min="30" max="30" width="17" style="42" customWidth="1"/>
    <col min="31" max="31" width="12.81640625" style="36" customWidth="1"/>
    <col min="32" max="32" width="13" style="42" customWidth="1"/>
    <col min="33" max="33" width="11.54296875" style="42" customWidth="1"/>
    <col min="34" max="16384" width="9.1796875" style="5"/>
  </cols>
  <sheetData>
    <row r="1" spans="1:33" s="1" customFormat="1" ht="18.5" x14ac:dyDescent="0.35">
      <c r="A1" s="1" t="s">
        <v>8</v>
      </c>
      <c r="B1" s="3"/>
      <c r="C1" s="37"/>
      <c r="D1" s="3"/>
      <c r="E1" s="3"/>
      <c r="F1" s="39"/>
      <c r="G1" s="39"/>
      <c r="H1" s="38"/>
      <c r="I1" s="38"/>
      <c r="J1" s="38"/>
      <c r="K1" s="41"/>
      <c r="L1" s="41"/>
      <c r="M1" s="3"/>
      <c r="N1" s="41"/>
      <c r="O1" s="41"/>
      <c r="P1" s="41"/>
      <c r="Q1" s="39"/>
      <c r="R1" s="38"/>
      <c r="S1" s="38"/>
      <c r="T1" s="38"/>
      <c r="U1" s="38"/>
      <c r="V1" s="38"/>
      <c r="W1" s="38"/>
      <c r="X1" s="38"/>
      <c r="Y1" s="38"/>
      <c r="Z1" s="38"/>
      <c r="AA1" s="38"/>
      <c r="AB1" s="38"/>
      <c r="AC1" s="38"/>
      <c r="AD1" s="41"/>
      <c r="AE1" s="38"/>
      <c r="AF1" s="41"/>
      <c r="AG1" s="43"/>
    </row>
    <row r="2" spans="1:33" s="1" customFormat="1" ht="18.5" x14ac:dyDescent="0.35">
      <c r="A2" s="1" t="s">
        <v>127</v>
      </c>
      <c r="B2" s="3"/>
      <c r="C2" s="37"/>
      <c r="D2" s="3"/>
      <c r="E2" s="3"/>
      <c r="F2" s="39"/>
      <c r="G2" s="39"/>
      <c r="H2" s="38"/>
      <c r="I2" s="38"/>
      <c r="J2" s="38"/>
      <c r="K2" s="41"/>
      <c r="L2" s="41"/>
      <c r="M2" s="3"/>
      <c r="N2" s="41"/>
      <c r="O2" s="41"/>
      <c r="P2" s="41"/>
      <c r="Q2" s="39"/>
      <c r="R2" s="38"/>
      <c r="S2" s="38"/>
      <c r="T2" s="38"/>
      <c r="U2" s="38"/>
      <c r="V2" s="38"/>
      <c r="W2" s="38"/>
      <c r="X2" s="38"/>
      <c r="Y2" s="38"/>
      <c r="Z2" s="38"/>
      <c r="AA2" s="38"/>
      <c r="AB2" s="38"/>
      <c r="AC2" s="38"/>
      <c r="AD2" s="41"/>
      <c r="AE2" s="38"/>
      <c r="AF2" s="41"/>
      <c r="AG2" s="43"/>
    </row>
    <row r="3" spans="1:33" x14ac:dyDescent="0.35">
      <c r="A3" s="5" t="s">
        <v>132</v>
      </c>
      <c r="F3" s="47"/>
      <c r="G3" s="47"/>
      <c r="H3" s="46"/>
      <c r="I3" s="46"/>
      <c r="J3" s="46"/>
      <c r="K3" s="48"/>
      <c r="L3" s="48"/>
      <c r="M3" s="45"/>
      <c r="N3" s="48"/>
      <c r="O3" s="48"/>
      <c r="P3" s="48"/>
      <c r="Q3" s="47"/>
      <c r="R3" s="46"/>
      <c r="S3" s="46"/>
      <c r="T3" s="46"/>
      <c r="U3" s="46"/>
      <c r="V3" s="46"/>
      <c r="W3" s="46"/>
      <c r="X3" s="46"/>
      <c r="Y3" s="46"/>
      <c r="Z3" s="46"/>
      <c r="AA3" s="46"/>
      <c r="AB3" s="46"/>
      <c r="AC3" s="46"/>
      <c r="AD3" s="48"/>
      <c r="AE3" s="46"/>
      <c r="AF3" s="48"/>
      <c r="AG3" s="48"/>
    </row>
    <row r="4" spans="1:33" x14ac:dyDescent="0.35">
      <c r="A4" s="58" t="s">
        <v>51</v>
      </c>
      <c r="B4" s="36" t="s">
        <v>20</v>
      </c>
      <c r="C4" s="36" t="s">
        <v>20</v>
      </c>
      <c r="D4" s="36" t="s">
        <v>20</v>
      </c>
      <c r="E4" s="36" t="s">
        <v>20</v>
      </c>
      <c r="F4" s="36" t="s">
        <v>20</v>
      </c>
      <c r="G4" s="36" t="s">
        <v>20</v>
      </c>
      <c r="J4" s="42"/>
      <c r="L4" s="5"/>
      <c r="M4" s="42"/>
      <c r="P4" s="40"/>
      <c r="Q4" s="36"/>
      <c r="AC4" s="42"/>
      <c r="AD4" s="36"/>
      <c r="AE4" s="42"/>
      <c r="AG4" s="5"/>
    </row>
    <row r="5" spans="1:33" x14ac:dyDescent="0.35">
      <c r="A5" s="59" t="s">
        <v>34</v>
      </c>
      <c r="B5" s="60" t="s">
        <v>97</v>
      </c>
      <c r="C5" s="60" t="s">
        <v>98</v>
      </c>
      <c r="D5" s="60" t="s">
        <v>99</v>
      </c>
      <c r="E5" s="60" t="s">
        <v>100</v>
      </c>
      <c r="F5" s="60" t="s">
        <v>101</v>
      </c>
      <c r="G5" s="60" t="s">
        <v>102</v>
      </c>
      <c r="J5" s="42"/>
      <c r="L5" s="5"/>
      <c r="M5" s="42"/>
      <c r="P5" s="40"/>
      <c r="Q5" s="36"/>
      <c r="AC5" s="42"/>
      <c r="AD5" s="36"/>
      <c r="AE5" s="42"/>
      <c r="AG5" s="5"/>
    </row>
    <row r="6" spans="1:33" ht="43.5" x14ac:dyDescent="0.35">
      <c r="A6" s="59" t="s">
        <v>9</v>
      </c>
      <c r="B6" s="60" t="s">
        <v>84</v>
      </c>
      <c r="C6" s="60" t="s">
        <v>87</v>
      </c>
      <c r="D6" s="60" t="s">
        <v>88</v>
      </c>
      <c r="E6" s="60" t="s">
        <v>89</v>
      </c>
      <c r="F6" s="60" t="s">
        <v>85</v>
      </c>
      <c r="G6" s="60" t="s">
        <v>86</v>
      </c>
      <c r="J6" s="42"/>
      <c r="L6" s="5"/>
      <c r="M6" s="42"/>
      <c r="P6" s="40"/>
      <c r="Q6" s="36"/>
      <c r="AC6" s="42"/>
      <c r="AD6" s="36"/>
      <c r="AE6" s="42"/>
      <c r="AG6" s="5"/>
    </row>
    <row r="7" spans="1:33" x14ac:dyDescent="0.35">
      <c r="A7" s="59" t="s">
        <v>128</v>
      </c>
      <c r="B7" s="60"/>
      <c r="C7" s="60"/>
      <c r="D7" s="60"/>
      <c r="E7" s="60"/>
      <c r="F7" s="60"/>
      <c r="G7" s="60"/>
      <c r="J7" s="42"/>
      <c r="L7" s="5"/>
      <c r="M7" s="42"/>
      <c r="P7" s="40"/>
      <c r="Q7" s="36"/>
      <c r="AC7" s="42"/>
      <c r="AD7" s="36"/>
      <c r="AE7" s="42"/>
      <c r="AG7" s="5"/>
    </row>
    <row r="8" spans="1:33" ht="29" x14ac:dyDescent="0.35">
      <c r="A8" s="59" t="s">
        <v>129</v>
      </c>
      <c r="B8" s="60" t="s">
        <v>90</v>
      </c>
      <c r="C8" s="60" t="s">
        <v>92</v>
      </c>
      <c r="D8" s="60" t="s">
        <v>92</v>
      </c>
      <c r="E8" s="60" t="s">
        <v>92</v>
      </c>
      <c r="F8" s="60" t="s">
        <v>92</v>
      </c>
      <c r="G8" s="60" t="s">
        <v>93</v>
      </c>
      <c r="J8" s="42"/>
      <c r="L8" s="5"/>
      <c r="M8" s="42"/>
      <c r="P8" s="40"/>
      <c r="Q8" s="36"/>
      <c r="AC8" s="42"/>
      <c r="AD8" s="36"/>
      <c r="AE8" s="42"/>
      <c r="AG8" s="5"/>
    </row>
    <row r="9" spans="1:33" ht="43.5" x14ac:dyDescent="0.35">
      <c r="A9" s="59" t="s">
        <v>134</v>
      </c>
      <c r="B9" s="69" t="s">
        <v>136</v>
      </c>
      <c r="C9" s="69" t="s">
        <v>135</v>
      </c>
      <c r="D9" s="69" t="s">
        <v>135</v>
      </c>
      <c r="E9" s="69" t="s">
        <v>135</v>
      </c>
      <c r="F9" s="69" t="s">
        <v>135</v>
      </c>
      <c r="G9" s="69" t="s">
        <v>137</v>
      </c>
      <c r="J9" s="42"/>
      <c r="L9" s="5"/>
      <c r="M9" s="42"/>
      <c r="P9" s="40"/>
      <c r="Q9" s="36"/>
      <c r="AC9" s="42"/>
      <c r="AD9" s="36"/>
      <c r="AE9" s="42"/>
      <c r="AG9" s="5"/>
    </row>
    <row r="10" spans="1:33" x14ac:dyDescent="0.35">
      <c r="A10" s="59" t="s">
        <v>71</v>
      </c>
      <c r="B10" s="62" t="s">
        <v>35</v>
      </c>
      <c r="C10" s="62" t="s">
        <v>35</v>
      </c>
      <c r="D10" s="62" t="s">
        <v>35</v>
      </c>
      <c r="E10" s="62" t="s">
        <v>35</v>
      </c>
      <c r="F10" s="62" t="s">
        <v>35</v>
      </c>
      <c r="G10" s="62" t="s">
        <v>44</v>
      </c>
      <c r="J10" s="42"/>
      <c r="L10" s="5"/>
      <c r="M10" s="42"/>
      <c r="P10" s="40"/>
      <c r="Q10" s="36"/>
      <c r="AC10" s="42"/>
      <c r="AD10" s="36"/>
      <c r="AE10" s="42"/>
      <c r="AG10" s="5"/>
    </row>
    <row r="11" spans="1:33" ht="14.5" customHeight="1" x14ac:dyDescent="0.35">
      <c r="A11" s="59" t="s">
        <v>12</v>
      </c>
      <c r="B11" s="61"/>
      <c r="C11" s="61"/>
      <c r="D11" s="61"/>
      <c r="E11" s="61"/>
      <c r="F11" s="61"/>
      <c r="G11" s="61"/>
      <c r="J11" s="42"/>
      <c r="L11" s="5"/>
      <c r="M11" s="42"/>
      <c r="P11" s="40"/>
      <c r="Q11" s="36"/>
      <c r="AC11" s="42"/>
      <c r="AD11" s="36"/>
      <c r="AE11" s="42"/>
      <c r="AG11" s="5"/>
    </row>
    <row r="12" spans="1:33" x14ac:dyDescent="0.35">
      <c r="A12" s="59" t="s">
        <v>13</v>
      </c>
      <c r="B12" s="61"/>
      <c r="C12" s="61"/>
      <c r="D12" s="61"/>
      <c r="E12" s="61"/>
      <c r="F12" s="61"/>
      <c r="G12" s="61"/>
      <c r="J12" s="42"/>
      <c r="L12" s="5"/>
      <c r="M12" s="42"/>
      <c r="P12" s="40"/>
      <c r="Q12" s="36"/>
      <c r="AC12" s="42"/>
      <c r="AD12" s="36"/>
      <c r="AE12" s="42"/>
      <c r="AG12" s="5"/>
    </row>
    <row r="13" spans="1:33" x14ac:dyDescent="0.35">
      <c r="A13" s="59" t="s">
        <v>31</v>
      </c>
      <c r="B13" s="15" t="b">
        <v>1</v>
      </c>
      <c r="C13" s="15" t="b">
        <v>1</v>
      </c>
      <c r="D13" s="15" t="b">
        <v>1</v>
      </c>
      <c r="E13" s="15" t="b">
        <v>1</v>
      </c>
      <c r="F13" s="15" t="b">
        <v>1</v>
      </c>
      <c r="G13" s="15" t="b">
        <v>1</v>
      </c>
      <c r="J13" s="42"/>
      <c r="L13" s="5"/>
      <c r="M13" s="42"/>
      <c r="P13" s="40"/>
      <c r="Q13" s="36"/>
      <c r="AC13" s="42"/>
      <c r="AD13" s="36"/>
      <c r="AE13" s="42"/>
      <c r="AG13" s="5"/>
    </row>
    <row r="14" spans="1:33" x14ac:dyDescent="0.35">
      <c r="A14" s="59" t="s">
        <v>17</v>
      </c>
      <c r="B14" s="62">
        <v>5</v>
      </c>
      <c r="C14" s="62">
        <v>18</v>
      </c>
      <c r="D14" s="62">
        <v>40</v>
      </c>
      <c r="E14" s="62">
        <v>75</v>
      </c>
      <c r="F14" s="62">
        <v>150</v>
      </c>
      <c r="G14" s="62">
        <v>0</v>
      </c>
      <c r="J14" s="42"/>
      <c r="L14" s="5"/>
      <c r="M14" s="42"/>
      <c r="P14" s="40"/>
      <c r="Q14" s="36"/>
      <c r="AC14" s="42"/>
      <c r="AD14" s="36"/>
      <c r="AE14" s="42"/>
      <c r="AG14" s="5"/>
    </row>
    <row r="15" spans="1:33" x14ac:dyDescent="0.35">
      <c r="A15" s="59" t="s">
        <v>82</v>
      </c>
      <c r="B15" s="62" t="s">
        <v>96</v>
      </c>
      <c r="C15" s="62"/>
      <c r="D15" s="62"/>
      <c r="E15" s="62"/>
      <c r="F15" s="62"/>
      <c r="G15" s="62"/>
      <c r="J15" s="42"/>
      <c r="L15" s="5"/>
      <c r="M15" s="42"/>
      <c r="P15" s="40"/>
      <c r="Q15" s="36"/>
      <c r="AC15" s="42"/>
      <c r="AD15" s="36"/>
      <c r="AE15" s="42"/>
      <c r="AG15" s="5"/>
    </row>
    <row r="16" spans="1:33" x14ac:dyDescent="0.35">
      <c r="A16" s="59" t="s">
        <v>16</v>
      </c>
      <c r="B16" s="15">
        <v>0</v>
      </c>
      <c r="C16" s="15">
        <v>22</v>
      </c>
      <c r="D16" s="15">
        <v>50</v>
      </c>
      <c r="E16" s="15">
        <v>100</v>
      </c>
      <c r="F16" s="15">
        <v>250</v>
      </c>
      <c r="G16" s="15">
        <v>0</v>
      </c>
      <c r="J16" s="42"/>
      <c r="L16" s="5"/>
      <c r="M16" s="42"/>
      <c r="P16" s="40"/>
      <c r="Q16" s="36"/>
      <c r="AC16" s="42"/>
      <c r="AD16" s="36"/>
      <c r="AE16" s="42"/>
      <c r="AG16" s="5"/>
    </row>
    <row r="17" spans="1:7" ht="29" x14ac:dyDescent="0.35">
      <c r="A17" s="59" t="s">
        <v>130</v>
      </c>
      <c r="B17" s="62"/>
      <c r="C17" s="62" t="s">
        <v>125</v>
      </c>
      <c r="D17" s="62" t="s">
        <v>125</v>
      </c>
      <c r="E17" s="62" t="s">
        <v>125</v>
      </c>
      <c r="F17" s="62" t="s">
        <v>125</v>
      </c>
      <c r="G17" s="62" t="s">
        <v>124</v>
      </c>
    </row>
    <row r="18" spans="1:7" ht="29" x14ac:dyDescent="0.35">
      <c r="A18" s="59" t="s">
        <v>131</v>
      </c>
      <c r="B18" s="62"/>
      <c r="C18" s="62"/>
      <c r="D18" s="62"/>
      <c r="E18" s="62"/>
      <c r="F18" s="62"/>
      <c r="G18" s="62"/>
    </row>
  </sheetData>
  <conditionalFormatting sqref="AD1:XFD3 A1:U3 A4:XFD1048576">
    <cfRule type="cellIs" dxfId="62" priority="80" operator="equal">
      <formula>"n/a"</formula>
    </cfRule>
  </conditionalFormatting>
  <conditionalFormatting sqref="C1:C3 C19:C1048576 A4:G4">
    <cfRule type="cellIs" dxfId="61" priority="81" operator="equal">
      <formula>"WIP (see comments)"</formula>
    </cfRule>
    <cfRule type="cellIs" dxfId="60" priority="82" operator="equal">
      <formula>"Removed"</formula>
    </cfRule>
    <cfRule type="cellIs" dxfId="59" priority="83" operator="equal">
      <formula>"Updated"</formula>
    </cfRule>
    <cfRule type="cellIs" dxfId="58" priority="84" operator="equal">
      <formula>"New"</formula>
    </cfRule>
  </conditionalFormatting>
  <conditionalFormatting sqref="V1:Y3">
    <cfRule type="cellIs" dxfId="57" priority="78" operator="equal">
      <formula>"n/a"</formula>
    </cfRule>
  </conditionalFormatting>
  <conditionalFormatting sqref="Z1:AC3">
    <cfRule type="cellIs" dxfId="56" priority="77" operator="equal">
      <formula>"n/a"</formula>
    </cfRule>
  </conditionalFormatting>
  <hyperlinks>
    <hyperlink ref="C9" r:id="rId1"/>
    <hyperlink ref="D9" r:id="rId2"/>
    <hyperlink ref="E9" r:id="rId3"/>
    <hyperlink ref="F9" r:id="rId4"/>
    <hyperlink ref="B9" r:id="rId5"/>
    <hyperlink ref="G9" r:id="rId6"/>
  </hyperlinks>
  <pageMargins left="0.7" right="0.7" top="0.75" bottom="0.75" header="0.3" footer="0.3"/>
  <pageSetup orientation="portrait" r:id="rId7"/>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Values'!$A$5:$A$10</xm:f>
          </x14:formula1>
          <xm:sqref>B4:G4 C19:C1048576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9"/>
  <sheetViews>
    <sheetView zoomScaleNormal="100" workbookViewId="0">
      <pane ySplit="6" topLeftCell="A7" activePane="bottomLeft" state="frozen"/>
      <selection pane="bottomLeft" activeCell="A3" sqref="A3"/>
    </sheetView>
  </sheetViews>
  <sheetFormatPr defaultColWidth="9.1796875" defaultRowHeight="14.5" x14ac:dyDescent="0.35"/>
  <cols>
    <col min="1" max="1" width="27.26953125" style="5" customWidth="1"/>
    <col min="2" max="2" width="36.36328125" style="5" customWidth="1"/>
    <col min="3" max="3" width="36.36328125" style="36" customWidth="1"/>
    <col min="4" max="5" width="36.36328125" style="5" customWidth="1"/>
    <col min="6" max="7" width="36.36328125" style="40" customWidth="1"/>
    <col min="8" max="8" width="11.453125" style="36" customWidth="1"/>
    <col min="9" max="10" width="12.1796875" style="36" customWidth="1"/>
    <col min="11" max="11" width="11.7265625" style="42" customWidth="1"/>
    <col min="12" max="12" width="19.453125" style="42" customWidth="1"/>
    <col min="13" max="13" width="23.7265625" style="5" customWidth="1"/>
    <col min="14" max="14" width="12.36328125" style="42" customWidth="1"/>
    <col min="15" max="15" width="14.1796875" style="42" customWidth="1"/>
    <col min="16" max="16" width="9.1796875" style="42"/>
    <col min="17" max="17" width="15.26953125" style="40" customWidth="1"/>
    <col min="18" max="29" width="12.1796875" style="36" customWidth="1"/>
    <col min="30" max="30" width="17" style="42" customWidth="1"/>
    <col min="31" max="31" width="12.81640625" style="36" customWidth="1"/>
    <col min="32" max="32" width="13" style="42" customWidth="1"/>
    <col min="33" max="33" width="11.54296875" style="42" customWidth="1"/>
    <col min="34" max="16384" width="9.1796875" style="5"/>
  </cols>
  <sheetData>
    <row r="1" spans="1:33" s="1" customFormat="1" ht="18.5" x14ac:dyDescent="0.35">
      <c r="A1" s="1" t="s">
        <v>8</v>
      </c>
      <c r="B1" s="3"/>
      <c r="C1" s="37"/>
      <c r="D1" s="3"/>
      <c r="E1" s="3"/>
      <c r="F1" s="39"/>
      <c r="G1" s="39"/>
      <c r="H1" s="38"/>
      <c r="I1" s="38"/>
      <c r="J1" s="38"/>
      <c r="K1" s="41"/>
      <c r="L1" s="41"/>
      <c r="M1" s="3"/>
      <c r="N1" s="41"/>
      <c r="O1" s="41"/>
      <c r="P1" s="41"/>
      <c r="Q1" s="39"/>
      <c r="R1" s="38"/>
      <c r="S1" s="38"/>
      <c r="T1" s="38"/>
      <c r="U1" s="38"/>
      <c r="V1" s="38"/>
      <c r="W1" s="38"/>
      <c r="X1" s="38"/>
      <c r="Y1" s="38"/>
      <c r="Z1" s="38"/>
      <c r="AA1" s="38"/>
      <c r="AB1" s="38"/>
      <c r="AC1" s="38"/>
      <c r="AD1" s="41"/>
      <c r="AE1" s="38"/>
      <c r="AF1" s="41"/>
      <c r="AG1" s="43"/>
    </row>
    <row r="2" spans="1:33" s="1" customFormat="1" ht="18.5" x14ac:dyDescent="0.35">
      <c r="A2" s="1" t="s">
        <v>126</v>
      </c>
      <c r="B2" s="3"/>
      <c r="C2" s="37"/>
      <c r="D2" s="3"/>
      <c r="E2" s="3"/>
      <c r="F2" s="39"/>
      <c r="G2" s="39"/>
      <c r="H2" s="38"/>
      <c r="I2" s="38"/>
      <c r="J2" s="38"/>
      <c r="K2" s="41"/>
      <c r="L2" s="41"/>
      <c r="M2" s="3"/>
      <c r="N2" s="41"/>
      <c r="O2" s="41"/>
      <c r="P2" s="41"/>
      <c r="Q2" s="39"/>
      <c r="R2" s="38"/>
      <c r="S2" s="38"/>
      <c r="T2" s="38"/>
      <c r="U2" s="38"/>
      <c r="V2" s="38"/>
      <c r="W2" s="38"/>
      <c r="X2" s="38"/>
      <c r="Y2" s="38"/>
      <c r="Z2" s="38"/>
      <c r="AA2" s="38"/>
      <c r="AB2" s="38"/>
      <c r="AC2" s="38"/>
      <c r="AD2" s="41"/>
      <c r="AE2" s="38"/>
      <c r="AF2" s="41"/>
      <c r="AG2" s="43"/>
    </row>
    <row r="3" spans="1:33" x14ac:dyDescent="0.35">
      <c r="F3" s="47"/>
      <c r="G3" s="47"/>
      <c r="H3" s="46"/>
      <c r="I3" s="46"/>
      <c r="J3" s="46"/>
      <c r="K3" s="48"/>
      <c r="L3" s="48"/>
      <c r="M3" s="45"/>
      <c r="N3" s="48"/>
      <c r="O3" s="48"/>
      <c r="P3" s="48"/>
      <c r="Q3" s="47"/>
      <c r="R3" s="46"/>
      <c r="S3" s="46"/>
      <c r="T3" s="46"/>
      <c r="U3" s="46"/>
      <c r="V3" s="46"/>
      <c r="W3" s="46"/>
      <c r="X3" s="46"/>
      <c r="Y3" s="46"/>
      <c r="Z3" s="46"/>
      <c r="AA3" s="46"/>
      <c r="AB3" s="46"/>
      <c r="AC3" s="46"/>
      <c r="AD3" s="48"/>
      <c r="AE3" s="46"/>
      <c r="AF3" s="48"/>
      <c r="AG3" s="48"/>
    </row>
    <row r="4" spans="1:33" x14ac:dyDescent="0.35">
      <c r="A4" s="58" t="s">
        <v>51</v>
      </c>
      <c r="B4" s="36" t="s">
        <v>20</v>
      </c>
      <c r="C4" s="36" t="s">
        <v>20</v>
      </c>
      <c r="D4" s="36" t="s">
        <v>20</v>
      </c>
      <c r="E4" s="36" t="s">
        <v>20</v>
      </c>
      <c r="F4" s="36" t="s">
        <v>20</v>
      </c>
      <c r="G4" s="36" t="s">
        <v>20</v>
      </c>
      <c r="J4" s="42"/>
      <c r="L4" s="5"/>
      <c r="M4" s="42"/>
      <c r="P4" s="40"/>
      <c r="Q4" s="36"/>
      <c r="AC4" s="42"/>
      <c r="AD4" s="36"/>
      <c r="AE4" s="42"/>
      <c r="AG4" s="5"/>
    </row>
    <row r="5" spans="1:33" x14ac:dyDescent="0.35">
      <c r="A5" s="59" t="s">
        <v>34</v>
      </c>
      <c r="B5" s="60" t="s">
        <v>97</v>
      </c>
      <c r="C5" s="60" t="s">
        <v>98</v>
      </c>
      <c r="D5" s="60" t="s">
        <v>99</v>
      </c>
      <c r="E5" s="60" t="s">
        <v>100</v>
      </c>
      <c r="F5" s="60" t="s">
        <v>101</v>
      </c>
      <c r="G5" s="60" t="s">
        <v>102</v>
      </c>
      <c r="J5" s="42"/>
      <c r="L5" s="5"/>
      <c r="M5" s="42"/>
      <c r="P5" s="40"/>
      <c r="Q5" s="36"/>
      <c r="AC5" s="42"/>
      <c r="AD5" s="36"/>
      <c r="AE5" s="42"/>
      <c r="AG5" s="5"/>
    </row>
    <row r="6" spans="1:33" ht="43.5" x14ac:dyDescent="0.35">
      <c r="A6" s="59" t="s">
        <v>9</v>
      </c>
      <c r="B6" s="60" t="s">
        <v>84</v>
      </c>
      <c r="C6" s="60" t="s">
        <v>87</v>
      </c>
      <c r="D6" s="60" t="s">
        <v>88</v>
      </c>
      <c r="E6" s="60" t="s">
        <v>89</v>
      </c>
      <c r="F6" s="60" t="s">
        <v>85</v>
      </c>
      <c r="G6" s="60" t="s">
        <v>86</v>
      </c>
      <c r="J6" s="42"/>
      <c r="L6" s="5"/>
      <c r="M6" s="42"/>
      <c r="P6" s="40"/>
      <c r="Q6" s="36"/>
      <c r="AC6" s="42"/>
      <c r="AD6" s="36"/>
      <c r="AE6" s="42"/>
      <c r="AG6" s="5"/>
    </row>
    <row r="7" spans="1:33" ht="101.5" x14ac:dyDescent="0.35">
      <c r="A7" s="59" t="s">
        <v>108</v>
      </c>
      <c r="B7" s="60" t="s">
        <v>91</v>
      </c>
      <c r="C7" s="60" t="s">
        <v>104</v>
      </c>
      <c r="D7" s="60" t="s">
        <v>105</v>
      </c>
      <c r="E7" s="60" t="s">
        <v>106</v>
      </c>
      <c r="F7" s="60" t="s">
        <v>107</v>
      </c>
      <c r="G7" s="60" t="s">
        <v>94</v>
      </c>
      <c r="J7" s="42"/>
      <c r="L7" s="5"/>
      <c r="M7" s="42"/>
      <c r="P7" s="40"/>
      <c r="Q7" s="36"/>
      <c r="AC7" s="42"/>
      <c r="AD7" s="36"/>
      <c r="AE7" s="42"/>
      <c r="AG7" s="5"/>
    </row>
    <row r="8" spans="1:33" ht="29" x14ac:dyDescent="0.35">
      <c r="A8" s="59" t="s">
        <v>11</v>
      </c>
      <c r="B8" s="60" t="s">
        <v>90</v>
      </c>
      <c r="C8" s="60" t="s">
        <v>92</v>
      </c>
      <c r="D8" s="60" t="s">
        <v>92</v>
      </c>
      <c r="E8" s="60" t="s">
        <v>92</v>
      </c>
      <c r="F8" s="60" t="s">
        <v>92</v>
      </c>
      <c r="G8" s="60" t="s">
        <v>93</v>
      </c>
      <c r="J8" s="42"/>
      <c r="L8" s="5"/>
      <c r="M8" s="42"/>
      <c r="P8" s="40"/>
      <c r="Q8" s="36"/>
      <c r="AC8" s="42"/>
      <c r="AD8" s="36"/>
      <c r="AE8" s="42"/>
      <c r="AG8" s="5"/>
    </row>
    <row r="9" spans="1:33" x14ac:dyDescent="0.35">
      <c r="A9" s="59" t="s">
        <v>71</v>
      </c>
      <c r="B9" s="62" t="s">
        <v>35</v>
      </c>
      <c r="C9" s="62" t="s">
        <v>35</v>
      </c>
      <c r="D9" s="62" t="s">
        <v>35</v>
      </c>
      <c r="E9" s="62" t="s">
        <v>35</v>
      </c>
      <c r="F9" s="62" t="s">
        <v>35</v>
      </c>
      <c r="G9" s="62" t="s">
        <v>44</v>
      </c>
      <c r="J9" s="42"/>
      <c r="L9" s="5"/>
      <c r="M9" s="42"/>
      <c r="P9" s="40"/>
      <c r="Q9" s="36"/>
      <c r="AC9" s="42"/>
      <c r="AD9" s="36"/>
      <c r="AE9" s="42"/>
      <c r="AG9" s="5"/>
    </row>
    <row r="10" spans="1:33" ht="14.5" customHeight="1" x14ac:dyDescent="0.35">
      <c r="A10" s="59" t="s">
        <v>12</v>
      </c>
      <c r="B10" s="61"/>
      <c r="C10" s="61"/>
      <c r="D10" s="61"/>
      <c r="E10" s="61"/>
      <c r="F10" s="61"/>
      <c r="G10" s="61"/>
      <c r="J10" s="42"/>
      <c r="L10" s="5"/>
      <c r="M10" s="42"/>
      <c r="P10" s="40"/>
      <c r="Q10" s="36"/>
      <c r="AC10" s="42"/>
      <c r="AD10" s="36"/>
      <c r="AE10" s="42"/>
      <c r="AG10" s="5"/>
    </row>
    <row r="11" spans="1:33" x14ac:dyDescent="0.35">
      <c r="A11" s="59" t="s">
        <v>13</v>
      </c>
      <c r="B11" s="61"/>
      <c r="C11" s="61"/>
      <c r="D11" s="61"/>
      <c r="E11" s="61"/>
      <c r="F11" s="61"/>
      <c r="G11" s="61"/>
      <c r="J11" s="42"/>
      <c r="L11" s="5"/>
      <c r="M11" s="42"/>
      <c r="P11" s="40"/>
      <c r="Q11" s="36"/>
      <c r="AC11" s="42"/>
      <c r="AD11" s="36"/>
      <c r="AE11" s="42"/>
      <c r="AG11" s="5"/>
    </row>
    <row r="12" spans="1:33" x14ac:dyDescent="0.35">
      <c r="A12" s="59" t="s">
        <v>31</v>
      </c>
      <c r="B12" s="15" t="b">
        <v>1</v>
      </c>
      <c r="C12" s="15" t="b">
        <v>1</v>
      </c>
      <c r="D12" s="15" t="b">
        <v>1</v>
      </c>
      <c r="E12" s="15" t="b">
        <v>1</v>
      </c>
      <c r="F12" s="15" t="b">
        <v>1</v>
      </c>
      <c r="G12" s="15" t="b">
        <v>1</v>
      </c>
      <c r="J12" s="42"/>
      <c r="L12" s="5"/>
      <c r="M12" s="42"/>
      <c r="P12" s="40"/>
      <c r="Q12" s="36"/>
      <c r="AC12" s="42"/>
      <c r="AD12" s="36"/>
      <c r="AE12" s="42"/>
      <c r="AG12" s="5"/>
    </row>
    <row r="13" spans="1:33" x14ac:dyDescent="0.35">
      <c r="A13" s="59" t="s">
        <v>17</v>
      </c>
      <c r="B13" s="62">
        <v>5</v>
      </c>
      <c r="C13" s="62">
        <v>18</v>
      </c>
      <c r="D13" s="62">
        <v>40</v>
      </c>
      <c r="E13" s="62">
        <v>75</v>
      </c>
      <c r="F13" s="62">
        <v>150</v>
      </c>
      <c r="G13" s="62">
        <v>0</v>
      </c>
      <c r="J13" s="42"/>
      <c r="L13" s="5"/>
      <c r="M13" s="42"/>
      <c r="P13" s="40"/>
      <c r="Q13" s="36"/>
      <c r="AC13" s="42"/>
      <c r="AD13" s="36"/>
      <c r="AE13" s="42"/>
      <c r="AG13" s="5"/>
    </row>
    <row r="14" spans="1:33" x14ac:dyDescent="0.35">
      <c r="A14" s="59" t="s">
        <v>18</v>
      </c>
      <c r="B14" s="62"/>
      <c r="C14" s="62"/>
      <c r="D14" s="62"/>
      <c r="E14" s="62"/>
      <c r="F14" s="62"/>
      <c r="G14" s="62"/>
      <c r="J14" s="42"/>
      <c r="L14" s="5"/>
      <c r="M14" s="42"/>
      <c r="P14" s="40"/>
      <c r="Q14" s="36"/>
      <c r="AC14" s="42"/>
      <c r="AD14" s="36"/>
      <c r="AE14" s="42"/>
      <c r="AG14" s="5"/>
    </row>
    <row r="15" spans="1:33" x14ac:dyDescent="0.35">
      <c r="A15" s="59" t="s">
        <v>83</v>
      </c>
      <c r="B15" s="60"/>
      <c r="C15" s="60"/>
      <c r="D15" s="60"/>
      <c r="E15" s="60"/>
      <c r="F15" s="60"/>
      <c r="G15" s="60"/>
      <c r="J15" s="42"/>
      <c r="L15" s="5"/>
      <c r="M15" s="42"/>
      <c r="P15" s="40"/>
      <c r="Q15" s="36"/>
      <c r="AC15" s="42"/>
      <c r="AD15" s="36"/>
      <c r="AE15" s="42"/>
      <c r="AG15" s="5"/>
    </row>
    <row r="16" spans="1:33" x14ac:dyDescent="0.35">
      <c r="A16" s="59" t="s">
        <v>82</v>
      </c>
      <c r="B16" s="62" t="s">
        <v>96</v>
      </c>
      <c r="C16" s="62"/>
      <c r="D16" s="62"/>
      <c r="E16" s="62"/>
      <c r="F16" s="62"/>
      <c r="G16" s="62"/>
      <c r="J16" s="42"/>
      <c r="L16" s="5"/>
      <c r="M16" s="42"/>
      <c r="P16" s="40"/>
      <c r="Q16" s="36"/>
      <c r="AC16" s="42"/>
      <c r="AD16" s="36"/>
      <c r="AE16" s="42"/>
      <c r="AG16" s="5"/>
    </row>
    <row r="17" spans="1:33" x14ac:dyDescent="0.35">
      <c r="A17" s="59" t="s">
        <v>72</v>
      </c>
      <c r="B17" s="15" t="b">
        <v>0</v>
      </c>
      <c r="C17" s="15" t="b">
        <v>1</v>
      </c>
      <c r="D17" s="15" t="b">
        <v>1</v>
      </c>
      <c r="E17" s="15" t="b">
        <v>1</v>
      </c>
      <c r="F17" s="15" t="b">
        <v>1</v>
      </c>
      <c r="G17" s="15" t="b">
        <v>1</v>
      </c>
      <c r="J17" s="42"/>
      <c r="L17" s="5"/>
      <c r="M17" s="42"/>
      <c r="P17" s="40"/>
      <c r="Q17" s="36"/>
      <c r="AC17" s="42"/>
      <c r="AD17" s="36"/>
      <c r="AE17" s="42"/>
      <c r="AG17" s="5"/>
    </row>
    <row r="18" spans="1:33" x14ac:dyDescent="0.35">
      <c r="A18" s="59" t="s">
        <v>32</v>
      </c>
      <c r="B18" s="62" t="s">
        <v>109</v>
      </c>
      <c r="C18" s="62" t="s">
        <v>95</v>
      </c>
      <c r="D18" s="62" t="s">
        <v>95</v>
      </c>
      <c r="E18" s="62" t="s">
        <v>95</v>
      </c>
      <c r="F18" s="62" t="s">
        <v>95</v>
      </c>
      <c r="G18" s="62" t="s">
        <v>95</v>
      </c>
      <c r="J18" s="42"/>
      <c r="L18" s="5"/>
      <c r="M18" s="42"/>
      <c r="P18" s="40"/>
      <c r="Q18" s="36"/>
      <c r="AC18" s="42"/>
      <c r="AD18" s="36"/>
      <c r="AE18" s="42"/>
      <c r="AG18" s="5"/>
    </row>
    <row r="19" spans="1:33" ht="174" x14ac:dyDescent="0.35">
      <c r="A19" s="59" t="s">
        <v>122</v>
      </c>
      <c r="B19" s="62" t="s">
        <v>95</v>
      </c>
      <c r="C19" s="64" t="s">
        <v>123</v>
      </c>
      <c r="D19" s="64" t="s">
        <v>123</v>
      </c>
      <c r="E19" s="64" t="s">
        <v>123</v>
      </c>
      <c r="F19" s="64" t="s">
        <v>123</v>
      </c>
      <c r="G19" s="64" t="s">
        <v>123</v>
      </c>
      <c r="J19" s="42"/>
      <c r="L19" s="5"/>
      <c r="M19" s="42"/>
      <c r="P19" s="40"/>
      <c r="Q19" s="36"/>
      <c r="AC19" s="42"/>
      <c r="AD19" s="36"/>
      <c r="AE19" s="42"/>
      <c r="AG19" s="5"/>
    </row>
    <row r="20" spans="1:33" x14ac:dyDescent="0.35">
      <c r="A20" s="59" t="s">
        <v>62</v>
      </c>
      <c r="B20" s="61" t="s">
        <v>95</v>
      </c>
      <c r="C20" s="61">
        <v>44235</v>
      </c>
      <c r="D20" s="61">
        <v>44235</v>
      </c>
      <c r="E20" s="61">
        <v>44235</v>
      </c>
      <c r="F20" s="61">
        <v>44235</v>
      </c>
      <c r="G20" s="61">
        <v>44235</v>
      </c>
      <c r="J20" s="42"/>
      <c r="L20" s="5"/>
      <c r="M20" s="42"/>
      <c r="P20" s="40"/>
      <c r="Q20" s="36"/>
      <c r="AC20" s="42"/>
      <c r="AD20" s="36"/>
      <c r="AE20" s="42"/>
      <c r="AG20" s="5"/>
    </row>
    <row r="21" spans="1:33" x14ac:dyDescent="0.35">
      <c r="A21" s="59" t="s">
        <v>73</v>
      </c>
      <c r="B21" s="15" t="s">
        <v>95</v>
      </c>
      <c r="C21" s="62">
        <v>0</v>
      </c>
      <c r="D21" s="62">
        <v>0</v>
      </c>
      <c r="E21" s="62">
        <v>0</v>
      </c>
      <c r="F21" s="62">
        <v>0</v>
      </c>
      <c r="G21" s="62">
        <v>0.35</v>
      </c>
      <c r="J21" s="42"/>
      <c r="L21" s="5"/>
      <c r="M21" s="42"/>
      <c r="P21" s="40"/>
      <c r="Q21" s="36"/>
      <c r="AC21" s="42"/>
      <c r="AD21" s="36"/>
      <c r="AE21" s="42"/>
      <c r="AG21" s="5"/>
    </row>
    <row r="22" spans="1:33" x14ac:dyDescent="0.35">
      <c r="A22" s="59" t="s">
        <v>74</v>
      </c>
      <c r="B22" s="15" t="s">
        <v>95</v>
      </c>
      <c r="C22" s="63">
        <v>0</v>
      </c>
      <c r="D22" s="63">
        <v>0</v>
      </c>
      <c r="E22" s="63">
        <v>0</v>
      </c>
      <c r="F22" s="63">
        <v>0</v>
      </c>
      <c r="G22" s="63">
        <v>0</v>
      </c>
      <c r="J22" s="42"/>
      <c r="L22" s="5"/>
      <c r="M22" s="42"/>
      <c r="P22" s="40"/>
      <c r="Q22" s="36"/>
      <c r="AC22" s="42"/>
      <c r="AD22" s="36"/>
      <c r="AE22" s="42"/>
      <c r="AG22" s="5"/>
    </row>
    <row r="23" spans="1:33" x14ac:dyDescent="0.35">
      <c r="A23" s="59" t="s">
        <v>75</v>
      </c>
      <c r="B23" s="15" t="s">
        <v>95</v>
      </c>
      <c r="C23" s="66">
        <v>100000</v>
      </c>
      <c r="D23" s="66">
        <v>100000</v>
      </c>
      <c r="E23" s="66">
        <v>100000</v>
      </c>
      <c r="F23" s="66">
        <v>100000</v>
      </c>
      <c r="G23" s="66">
        <v>250000</v>
      </c>
      <c r="J23" s="42"/>
      <c r="L23" s="5"/>
      <c r="M23" s="42"/>
      <c r="P23" s="40"/>
      <c r="Q23" s="36"/>
      <c r="AC23" s="42"/>
      <c r="AD23" s="36"/>
      <c r="AE23" s="42"/>
      <c r="AG23" s="5"/>
    </row>
    <row r="24" spans="1:33" x14ac:dyDescent="0.35">
      <c r="A24" s="59" t="s">
        <v>76</v>
      </c>
      <c r="B24" s="15" t="s">
        <v>95</v>
      </c>
      <c r="C24" s="62">
        <v>0.2</v>
      </c>
      <c r="D24" s="62">
        <v>0.2</v>
      </c>
      <c r="E24" s="62">
        <v>0.2</v>
      </c>
      <c r="F24" s="62">
        <v>0.2</v>
      </c>
      <c r="G24" s="62">
        <v>0.5</v>
      </c>
      <c r="J24" s="42"/>
      <c r="L24" s="5"/>
      <c r="M24" s="42"/>
      <c r="P24" s="40"/>
      <c r="Q24" s="36"/>
      <c r="AC24" s="42"/>
      <c r="AD24" s="36"/>
      <c r="AE24" s="42"/>
      <c r="AG24" s="5"/>
    </row>
    <row r="25" spans="1:33" x14ac:dyDescent="0.35">
      <c r="A25" s="59" t="s">
        <v>77</v>
      </c>
      <c r="B25" s="15" t="s">
        <v>95</v>
      </c>
      <c r="C25" s="66">
        <v>100000.01</v>
      </c>
      <c r="D25" s="66">
        <v>100000.01</v>
      </c>
      <c r="E25" s="66">
        <v>100000.01</v>
      </c>
      <c r="F25" s="66">
        <v>100000.01</v>
      </c>
      <c r="G25" s="66">
        <v>250000.01</v>
      </c>
      <c r="J25" s="42"/>
      <c r="L25" s="5"/>
      <c r="M25" s="42"/>
      <c r="P25" s="40"/>
      <c r="Q25" s="36"/>
      <c r="AC25" s="42"/>
      <c r="AD25" s="36"/>
      <c r="AE25" s="42"/>
      <c r="AG25" s="5"/>
    </row>
    <row r="26" spans="1:33" x14ac:dyDescent="0.35">
      <c r="A26" s="59" t="s">
        <v>78</v>
      </c>
      <c r="B26" s="15" t="s">
        <v>95</v>
      </c>
      <c r="C26" s="63" t="s">
        <v>95</v>
      </c>
      <c r="D26" s="63" t="s">
        <v>95</v>
      </c>
      <c r="E26" s="63" t="s">
        <v>95</v>
      </c>
      <c r="F26" s="63" t="s">
        <v>95</v>
      </c>
      <c r="G26" s="66">
        <v>15000000</v>
      </c>
      <c r="J26" s="42"/>
      <c r="L26" s="5"/>
      <c r="M26" s="42"/>
      <c r="P26" s="40"/>
      <c r="Q26" s="36"/>
      <c r="AC26" s="42"/>
      <c r="AD26" s="36"/>
      <c r="AE26" s="42"/>
      <c r="AG26" s="5"/>
    </row>
    <row r="27" spans="1:33" x14ac:dyDescent="0.35">
      <c r="A27" s="59" t="s">
        <v>79</v>
      </c>
      <c r="B27" s="15" t="s">
        <v>95</v>
      </c>
      <c r="C27" s="15" t="s">
        <v>95</v>
      </c>
      <c r="D27" s="15" t="s">
        <v>95</v>
      </c>
      <c r="E27" s="15" t="s">
        <v>95</v>
      </c>
      <c r="F27" s="15" t="s">
        <v>95</v>
      </c>
      <c r="G27" s="62">
        <v>0.65</v>
      </c>
      <c r="J27" s="42"/>
      <c r="L27" s="5"/>
      <c r="M27" s="42"/>
      <c r="P27" s="40"/>
      <c r="Q27" s="36"/>
      <c r="AC27" s="42"/>
      <c r="AD27" s="36"/>
      <c r="AE27" s="42"/>
      <c r="AG27" s="5"/>
    </row>
    <row r="28" spans="1:33" x14ac:dyDescent="0.35">
      <c r="A28" s="59" t="s">
        <v>80</v>
      </c>
      <c r="B28" s="15" t="s">
        <v>95</v>
      </c>
      <c r="C28" s="15" t="s">
        <v>95</v>
      </c>
      <c r="D28" s="15" t="s">
        <v>95</v>
      </c>
      <c r="E28" s="15" t="s">
        <v>95</v>
      </c>
      <c r="F28" s="15" t="s">
        <v>95</v>
      </c>
      <c r="G28" s="66">
        <v>15000000.01</v>
      </c>
      <c r="J28" s="42"/>
      <c r="L28" s="5"/>
      <c r="M28" s="42"/>
      <c r="P28" s="40"/>
      <c r="Q28" s="36"/>
      <c r="AC28" s="42"/>
      <c r="AD28" s="36"/>
      <c r="AE28" s="42"/>
      <c r="AG28" s="5"/>
    </row>
    <row r="29" spans="1:33" x14ac:dyDescent="0.35">
      <c r="A29" s="59" t="s">
        <v>81</v>
      </c>
      <c r="B29" s="15" t="s">
        <v>95</v>
      </c>
      <c r="C29" s="15" t="s">
        <v>95</v>
      </c>
      <c r="D29" s="15" t="s">
        <v>95</v>
      </c>
      <c r="E29" s="15" t="s">
        <v>95</v>
      </c>
      <c r="F29" s="15" t="s">
        <v>95</v>
      </c>
      <c r="G29" s="63" t="s">
        <v>95</v>
      </c>
      <c r="J29" s="42"/>
      <c r="L29" s="5"/>
      <c r="M29" s="42"/>
      <c r="P29" s="40"/>
      <c r="Q29" s="36"/>
      <c r="AC29" s="42"/>
      <c r="AD29" s="36"/>
      <c r="AE29" s="42"/>
      <c r="AG29" s="5"/>
    </row>
    <row r="30" spans="1:33" x14ac:dyDescent="0.35">
      <c r="A30" s="59" t="s">
        <v>112</v>
      </c>
      <c r="B30" s="15" t="s">
        <v>116</v>
      </c>
      <c r="C30" s="15" t="s">
        <v>116</v>
      </c>
      <c r="D30" s="15" t="s">
        <v>116</v>
      </c>
      <c r="E30" s="15" t="s">
        <v>116</v>
      </c>
      <c r="F30" s="15" t="s">
        <v>116</v>
      </c>
      <c r="G30" s="15" t="s">
        <v>118</v>
      </c>
      <c r="J30" s="42"/>
      <c r="L30" s="5"/>
      <c r="M30" s="42"/>
      <c r="P30" s="40"/>
      <c r="Q30" s="36"/>
      <c r="AC30" s="42"/>
      <c r="AD30" s="36"/>
      <c r="AE30" s="42"/>
      <c r="AG30" s="5"/>
    </row>
    <row r="31" spans="1:33" x14ac:dyDescent="0.35">
      <c r="A31" s="59" t="s">
        <v>113</v>
      </c>
      <c r="B31" s="62">
        <v>0.9</v>
      </c>
      <c r="C31" s="62">
        <v>0.9</v>
      </c>
      <c r="D31" s="62">
        <v>0.9</v>
      </c>
      <c r="E31" s="62">
        <v>0.85</v>
      </c>
      <c r="F31" s="62">
        <v>0.85</v>
      </c>
      <c r="G31" s="62">
        <v>5</v>
      </c>
      <c r="J31" s="42"/>
      <c r="L31" s="5"/>
      <c r="M31" s="42"/>
      <c r="P31" s="40"/>
      <c r="Q31" s="36"/>
      <c r="AC31" s="42"/>
      <c r="AD31" s="36"/>
      <c r="AE31" s="42"/>
      <c r="AG31" s="5"/>
    </row>
    <row r="32" spans="1:33" x14ac:dyDescent="0.35">
      <c r="A32" s="59" t="s">
        <v>114</v>
      </c>
      <c r="B32" s="15" t="s">
        <v>117</v>
      </c>
      <c r="C32" s="15" t="s">
        <v>117</v>
      </c>
      <c r="D32" s="15" t="s">
        <v>117</v>
      </c>
      <c r="E32" s="15" t="s">
        <v>117</v>
      </c>
      <c r="F32" s="15" t="s">
        <v>117</v>
      </c>
      <c r="G32" s="15" t="s">
        <v>119</v>
      </c>
      <c r="J32" s="42"/>
      <c r="L32" s="5"/>
      <c r="M32" s="42"/>
      <c r="P32" s="40"/>
      <c r="Q32" s="36"/>
      <c r="AC32" s="42"/>
      <c r="AD32" s="36"/>
      <c r="AE32" s="42"/>
      <c r="AG32" s="5"/>
    </row>
    <row r="33" spans="1:33" x14ac:dyDescent="0.35">
      <c r="A33" s="59" t="s">
        <v>115</v>
      </c>
      <c r="B33" s="62">
        <v>0.75</v>
      </c>
      <c r="C33" s="62">
        <v>0.75</v>
      </c>
      <c r="D33" s="62">
        <v>0.75</v>
      </c>
      <c r="E33" s="62">
        <v>0.7</v>
      </c>
      <c r="F33" s="62">
        <v>0.7</v>
      </c>
      <c r="G33" s="62">
        <v>1</v>
      </c>
      <c r="J33" s="42"/>
      <c r="L33" s="5"/>
      <c r="M33" s="42"/>
      <c r="P33" s="40"/>
      <c r="Q33" s="36"/>
      <c r="AC33" s="42"/>
      <c r="AD33" s="36"/>
      <c r="AE33" s="42"/>
      <c r="AG33" s="5"/>
    </row>
    <row r="34" spans="1:33" x14ac:dyDescent="0.35">
      <c r="A34" s="59" t="s">
        <v>16</v>
      </c>
      <c r="B34" s="15">
        <v>0</v>
      </c>
      <c r="C34" s="15">
        <v>22</v>
      </c>
      <c r="D34" s="15">
        <v>50</v>
      </c>
      <c r="E34" s="15">
        <v>100</v>
      </c>
      <c r="F34" s="15">
        <v>250</v>
      </c>
      <c r="G34" s="15">
        <v>0</v>
      </c>
      <c r="J34" s="42"/>
      <c r="L34" s="5"/>
      <c r="M34" s="42"/>
      <c r="P34" s="40"/>
      <c r="Q34" s="36"/>
      <c r="AC34" s="42"/>
      <c r="AD34" s="36"/>
      <c r="AE34" s="42"/>
      <c r="AG34" s="5"/>
    </row>
    <row r="35" spans="1:33" ht="43.5" x14ac:dyDescent="0.35">
      <c r="A35" s="59" t="s">
        <v>121</v>
      </c>
      <c r="B35" s="15"/>
      <c r="C35" s="65" t="s">
        <v>120</v>
      </c>
      <c r="D35" s="65" t="s">
        <v>120</v>
      </c>
      <c r="E35" s="65" t="s">
        <v>120</v>
      </c>
      <c r="F35" s="65" t="s">
        <v>120</v>
      </c>
      <c r="G35" s="65" t="s">
        <v>120</v>
      </c>
      <c r="J35" s="42"/>
      <c r="L35" s="5"/>
      <c r="M35" s="42"/>
      <c r="P35" s="40"/>
      <c r="Q35" s="36"/>
      <c r="AC35" s="42"/>
      <c r="AD35" s="36"/>
      <c r="AE35" s="42"/>
      <c r="AG35" s="5"/>
    </row>
    <row r="36" spans="1:33" x14ac:dyDescent="0.35">
      <c r="A36" s="59" t="s">
        <v>26</v>
      </c>
      <c r="B36" s="62"/>
      <c r="C36" s="62"/>
      <c r="D36" s="62"/>
      <c r="E36" s="62"/>
      <c r="F36" s="62"/>
      <c r="G36" s="62"/>
      <c r="J36" s="42"/>
      <c r="L36" s="5"/>
      <c r="M36" s="42"/>
      <c r="P36" s="40"/>
      <c r="Q36" s="36"/>
      <c r="AC36" s="42"/>
      <c r="AD36" s="36"/>
      <c r="AE36" s="42"/>
      <c r="AG36" s="5"/>
    </row>
    <row r="37" spans="1:33" x14ac:dyDescent="0.35">
      <c r="A37" s="59" t="s">
        <v>27</v>
      </c>
      <c r="B37" s="62"/>
      <c r="C37" s="62"/>
      <c r="D37" s="62"/>
      <c r="E37" s="62"/>
      <c r="F37" s="62"/>
      <c r="G37" s="62"/>
      <c r="J37" s="42"/>
      <c r="L37" s="5"/>
      <c r="M37" s="42"/>
      <c r="P37" s="40"/>
      <c r="Q37" s="36"/>
      <c r="AC37" s="42"/>
      <c r="AD37" s="36"/>
      <c r="AE37" s="42"/>
      <c r="AG37" s="5"/>
    </row>
    <row r="38" spans="1:33" x14ac:dyDescent="0.35">
      <c r="A38" s="59" t="s">
        <v>110</v>
      </c>
      <c r="B38" s="62"/>
      <c r="C38" s="62" t="s">
        <v>125</v>
      </c>
      <c r="D38" s="62" t="s">
        <v>125</v>
      </c>
      <c r="E38" s="62" t="s">
        <v>125</v>
      </c>
      <c r="F38" s="62" t="s">
        <v>125</v>
      </c>
      <c r="G38" s="62" t="s">
        <v>124</v>
      </c>
    </row>
    <row r="39" spans="1:33" x14ac:dyDescent="0.35">
      <c r="A39" s="59" t="s">
        <v>111</v>
      </c>
      <c r="B39" s="62"/>
      <c r="C39" s="62"/>
      <c r="D39" s="62"/>
      <c r="E39" s="62"/>
      <c r="F39" s="62"/>
      <c r="G39" s="62"/>
    </row>
  </sheetData>
  <conditionalFormatting sqref="AD1:XFD3 A1:U3 A40:XFD1048576 C18:C23 H31:XFD31 A31 H18:XFD29 A18:B30 A34:A39 H34:XFD39 G30:XFD30 A4:XFD17 D18:E20">
    <cfRule type="cellIs" dxfId="55" priority="46" operator="equal">
      <formula>"n/a"</formula>
    </cfRule>
  </conditionalFormatting>
  <conditionalFormatting sqref="C1:C3 C40:C1048576 A4:G4">
    <cfRule type="cellIs" dxfId="54" priority="47" operator="equal">
      <formula>"WIP (see comments)"</formula>
    </cfRule>
    <cfRule type="cellIs" dxfId="53" priority="48" operator="equal">
      <formula>"Removed"</formula>
    </cfRule>
    <cfRule type="cellIs" dxfId="52" priority="49" operator="equal">
      <formula>"Updated"</formula>
    </cfRule>
    <cfRule type="cellIs" dxfId="51" priority="50" operator="equal">
      <formula>"New"</formula>
    </cfRule>
  </conditionalFormatting>
  <conditionalFormatting sqref="V1:Y3">
    <cfRule type="cellIs" dxfId="50" priority="45" operator="equal">
      <formula>"n/a"</formula>
    </cfRule>
  </conditionalFormatting>
  <conditionalFormatting sqref="Z1:AC3">
    <cfRule type="cellIs" dxfId="49" priority="44" operator="equal">
      <formula>"n/a"</formula>
    </cfRule>
  </conditionalFormatting>
  <conditionalFormatting sqref="C27:D29 G21:G22 B31 G31 B34:G39">
    <cfRule type="cellIs" dxfId="48" priority="43" operator="equal">
      <formula>"n/a"</formula>
    </cfRule>
  </conditionalFormatting>
  <conditionalFormatting sqref="C24 G24">
    <cfRule type="cellIs" dxfId="47" priority="42" operator="equal">
      <formula>"n/a"</formula>
    </cfRule>
  </conditionalFormatting>
  <conditionalFormatting sqref="G27">
    <cfRule type="cellIs" dxfId="46" priority="41" operator="equal">
      <formula>"n/a"</formula>
    </cfRule>
  </conditionalFormatting>
  <conditionalFormatting sqref="C26:D26">
    <cfRule type="cellIs" dxfId="45" priority="40" operator="equal">
      <formula>"n/a"</formula>
    </cfRule>
  </conditionalFormatting>
  <conditionalFormatting sqref="G29">
    <cfRule type="cellIs" dxfId="44" priority="39" operator="equal">
      <formula>"n/a"</formula>
    </cfRule>
  </conditionalFormatting>
  <conditionalFormatting sqref="D21:D22">
    <cfRule type="cellIs" dxfId="43" priority="38" operator="equal">
      <formula>"n/a"</formula>
    </cfRule>
  </conditionalFormatting>
  <conditionalFormatting sqref="D24">
    <cfRule type="cellIs" dxfId="42" priority="37" operator="equal">
      <formula>"n/a"</formula>
    </cfRule>
  </conditionalFormatting>
  <conditionalFormatting sqref="E27:E29">
    <cfRule type="cellIs" dxfId="41" priority="36" operator="equal">
      <formula>"n/a"</formula>
    </cfRule>
  </conditionalFormatting>
  <conditionalFormatting sqref="E26">
    <cfRule type="cellIs" dxfId="40" priority="35" operator="equal">
      <formula>"n/a"</formula>
    </cfRule>
  </conditionalFormatting>
  <conditionalFormatting sqref="E21:E22">
    <cfRule type="cellIs" dxfId="39" priority="34" operator="equal">
      <formula>"n/a"</formula>
    </cfRule>
  </conditionalFormatting>
  <conditionalFormatting sqref="E24">
    <cfRule type="cellIs" dxfId="38" priority="33" operator="equal">
      <formula>"n/a"</formula>
    </cfRule>
  </conditionalFormatting>
  <conditionalFormatting sqref="F18:G18">
    <cfRule type="cellIs" dxfId="37" priority="32" operator="equal">
      <formula>"n/a"</formula>
    </cfRule>
  </conditionalFormatting>
  <conditionalFormatting sqref="F27:F29">
    <cfRule type="cellIs" dxfId="36" priority="31" operator="equal">
      <formula>"n/a"</formula>
    </cfRule>
  </conditionalFormatting>
  <conditionalFormatting sqref="F26">
    <cfRule type="cellIs" dxfId="35" priority="30" operator="equal">
      <formula>"n/a"</formula>
    </cfRule>
  </conditionalFormatting>
  <conditionalFormatting sqref="F21:F22">
    <cfRule type="cellIs" dxfId="34" priority="29" operator="equal">
      <formula>"n/a"</formula>
    </cfRule>
  </conditionalFormatting>
  <conditionalFormatting sqref="F24">
    <cfRule type="cellIs" dxfId="33" priority="28" operator="equal">
      <formula>"n/a"</formula>
    </cfRule>
  </conditionalFormatting>
  <conditionalFormatting sqref="A32:B32 H33:XFD33 A33 G32:XFD32">
    <cfRule type="cellIs" dxfId="32" priority="27" operator="equal">
      <formula>"n/a"</formula>
    </cfRule>
  </conditionalFormatting>
  <conditionalFormatting sqref="B33 G33">
    <cfRule type="cellIs" dxfId="31" priority="26" operator="equal">
      <formula>"n/a"</formula>
    </cfRule>
  </conditionalFormatting>
  <conditionalFormatting sqref="C30">
    <cfRule type="cellIs" dxfId="30" priority="25" operator="equal">
      <formula>"n/a"</formula>
    </cfRule>
  </conditionalFormatting>
  <conditionalFormatting sqref="C31">
    <cfRule type="cellIs" dxfId="29" priority="24" operator="equal">
      <formula>"n/a"</formula>
    </cfRule>
  </conditionalFormatting>
  <conditionalFormatting sqref="C32">
    <cfRule type="cellIs" dxfId="28" priority="23" operator="equal">
      <formula>"n/a"</formula>
    </cfRule>
  </conditionalFormatting>
  <conditionalFormatting sqref="C33">
    <cfRule type="cellIs" dxfId="27" priority="22" operator="equal">
      <formula>"n/a"</formula>
    </cfRule>
  </conditionalFormatting>
  <conditionalFormatting sqref="D30">
    <cfRule type="cellIs" dxfId="26" priority="21" operator="equal">
      <formula>"n/a"</formula>
    </cfRule>
  </conditionalFormatting>
  <conditionalFormatting sqref="D31">
    <cfRule type="cellIs" dxfId="25" priority="20" operator="equal">
      <formula>"n/a"</formula>
    </cfRule>
  </conditionalFormatting>
  <conditionalFormatting sqref="D32">
    <cfRule type="cellIs" dxfId="24" priority="19" operator="equal">
      <formula>"n/a"</formula>
    </cfRule>
  </conditionalFormatting>
  <conditionalFormatting sqref="D33">
    <cfRule type="cellIs" dxfId="23" priority="18" operator="equal">
      <formula>"n/a"</formula>
    </cfRule>
  </conditionalFormatting>
  <conditionalFormatting sqref="E30">
    <cfRule type="cellIs" dxfId="22" priority="17" operator="equal">
      <formula>"n/a"</formula>
    </cfRule>
  </conditionalFormatting>
  <conditionalFormatting sqref="E31">
    <cfRule type="cellIs" dxfId="21" priority="16" operator="equal">
      <formula>"n/a"</formula>
    </cfRule>
  </conditionalFormatting>
  <conditionalFormatting sqref="E32">
    <cfRule type="cellIs" dxfId="20" priority="15" operator="equal">
      <formula>"n/a"</formula>
    </cfRule>
  </conditionalFormatting>
  <conditionalFormatting sqref="E33">
    <cfRule type="cellIs" dxfId="19" priority="14" operator="equal">
      <formula>"n/a"</formula>
    </cfRule>
  </conditionalFormatting>
  <conditionalFormatting sqref="F30">
    <cfRule type="cellIs" dxfId="18" priority="13" operator="equal">
      <formula>"n/a"</formula>
    </cfRule>
  </conditionalFormatting>
  <conditionalFormatting sqref="F31">
    <cfRule type="cellIs" dxfId="17" priority="12" operator="equal">
      <formula>"n/a"</formula>
    </cfRule>
  </conditionalFormatting>
  <conditionalFormatting sqref="F32">
    <cfRule type="cellIs" dxfId="16" priority="11" operator="equal">
      <formula>"n/a"</formula>
    </cfRule>
  </conditionalFormatting>
  <conditionalFormatting sqref="F33">
    <cfRule type="cellIs" dxfId="15" priority="10" operator="equal">
      <formula>"n/a"</formula>
    </cfRule>
  </conditionalFormatting>
  <conditionalFormatting sqref="F19:F20">
    <cfRule type="cellIs" dxfId="14" priority="9" operator="equal">
      <formula>"n/a"</formula>
    </cfRule>
  </conditionalFormatting>
  <conditionalFormatting sqref="G19:G20">
    <cfRule type="cellIs" dxfId="13" priority="8" operator="equal">
      <formula>"n/a"</formula>
    </cfRule>
  </conditionalFormatting>
  <conditionalFormatting sqref="G23">
    <cfRule type="cellIs" dxfId="12" priority="7" operator="equal">
      <formula>"n/a"</formula>
    </cfRule>
  </conditionalFormatting>
  <conditionalFormatting sqref="C25:G25">
    <cfRule type="cellIs" dxfId="11" priority="6" operator="equal">
      <formula>"n/a"</formula>
    </cfRule>
  </conditionalFormatting>
  <conditionalFormatting sqref="G26">
    <cfRule type="cellIs" dxfId="10" priority="5" operator="equal">
      <formula>"n/a"</formula>
    </cfRule>
  </conditionalFormatting>
  <conditionalFormatting sqref="G28">
    <cfRule type="cellIs" dxfId="9" priority="4" operator="equal">
      <formula>"n/a"</formula>
    </cfRule>
  </conditionalFormatting>
  <conditionalFormatting sqref="D23">
    <cfRule type="cellIs" dxfId="8" priority="3" operator="equal">
      <formula>"n/a"</formula>
    </cfRule>
  </conditionalFormatting>
  <conditionalFormatting sqref="E23">
    <cfRule type="cellIs" dxfId="7" priority="2" operator="equal">
      <formula>"n/a"</formula>
    </cfRule>
  </conditionalFormatting>
  <conditionalFormatting sqref="F23">
    <cfRule type="cellIs" dxfId="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Values'!$A$5:$A$10</xm:f>
          </x14:formula1>
          <xm:sqref>B4:G4 C40:C1048576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
  <sheetViews>
    <sheetView zoomScale="80" zoomScaleNormal="80" workbookViewId="0">
      <pane xSplit="2" ySplit="5" topLeftCell="C6" activePane="bottomRight" state="frozen"/>
      <selection pane="topRight" activeCell="C1" sqref="C1"/>
      <selection pane="bottomLeft" activeCell="A5" sqref="A5"/>
      <selection pane="bottomRight" activeCell="I10" sqref="I10"/>
    </sheetView>
  </sheetViews>
  <sheetFormatPr defaultColWidth="9.1796875" defaultRowHeight="14.5" x14ac:dyDescent="0.35"/>
  <cols>
    <col min="1" max="1" width="17.453125" style="5" customWidth="1"/>
    <col min="2" max="2" width="27.26953125" style="5" customWidth="1"/>
    <col min="3" max="3" width="19.453125" style="36" customWidth="1"/>
    <col min="4" max="4" width="90.26953125" style="5" customWidth="1"/>
    <col min="5" max="5" width="44.54296875" style="5" customWidth="1"/>
    <col min="6" max="6" width="43.26953125" style="5" customWidth="1"/>
    <col min="7" max="7" width="13.453125" style="36" customWidth="1"/>
    <col min="8" max="8" width="14.54296875" style="40" customWidth="1"/>
    <col min="9" max="9" width="12.81640625" style="40" customWidth="1"/>
    <col min="10" max="10" width="11.453125" style="36" customWidth="1"/>
    <col min="11" max="11" width="12.1796875" style="36" customWidth="1"/>
    <col min="12" max="12" width="11.26953125" style="36" customWidth="1"/>
    <col min="13" max="13" width="11.453125" style="36" customWidth="1"/>
    <col min="14" max="14" width="9.1796875" style="42"/>
    <col min="15" max="15" width="14.1796875" style="42" customWidth="1"/>
    <col min="16" max="16" width="9.1796875" style="42"/>
    <col min="17" max="17" width="15.26953125" style="40" customWidth="1"/>
    <col min="18" max="18" width="12.1796875" style="42" customWidth="1"/>
    <col min="19" max="19" width="12.81640625" style="36" customWidth="1"/>
    <col min="20" max="20" width="13" style="42" customWidth="1"/>
    <col min="21" max="21" width="11.54296875" style="42" customWidth="1"/>
    <col min="22" max="16384" width="9.1796875" style="5"/>
  </cols>
  <sheetData>
    <row r="1" spans="1:21" s="1" customFormat="1" ht="18.5" x14ac:dyDescent="0.35">
      <c r="A1" s="1" t="s">
        <v>8</v>
      </c>
      <c r="B1" s="3"/>
      <c r="C1" s="37"/>
      <c r="D1" s="3"/>
      <c r="E1" s="3"/>
      <c r="F1" s="3"/>
      <c r="G1" s="38"/>
      <c r="H1" s="39"/>
      <c r="I1" s="39"/>
      <c r="J1" s="38"/>
      <c r="K1" s="38"/>
      <c r="L1" s="38"/>
      <c r="M1" s="38"/>
      <c r="N1" s="41"/>
      <c r="O1" s="41"/>
      <c r="P1" s="41"/>
      <c r="Q1" s="39"/>
      <c r="R1" s="41"/>
      <c r="S1" s="38"/>
      <c r="T1" s="41"/>
      <c r="U1" s="43"/>
    </row>
    <row r="2" spans="1:21" s="1" customFormat="1" ht="18.5" x14ac:dyDescent="0.35">
      <c r="A2" s="1" t="s">
        <v>30</v>
      </c>
      <c r="B2" s="3"/>
      <c r="C2" s="37"/>
      <c r="D2" s="3"/>
      <c r="E2" s="3"/>
      <c r="F2" s="3"/>
      <c r="G2" s="38"/>
      <c r="H2" s="39"/>
      <c r="I2" s="39"/>
      <c r="J2" s="38"/>
      <c r="K2" s="38"/>
      <c r="L2" s="38"/>
      <c r="M2" s="38"/>
      <c r="N2" s="41"/>
      <c r="O2" s="41"/>
      <c r="P2" s="41"/>
      <c r="Q2" s="39"/>
      <c r="R2" s="41"/>
      <c r="S2" s="38"/>
      <c r="T2" s="41"/>
      <c r="U2" s="43"/>
    </row>
    <row r="3" spans="1:21" x14ac:dyDescent="0.35">
      <c r="F3" s="45"/>
      <c r="G3" s="46"/>
      <c r="H3" s="47"/>
      <c r="I3" s="47"/>
      <c r="J3" s="46"/>
      <c r="K3" s="46"/>
      <c r="L3" s="46"/>
      <c r="M3" s="46"/>
      <c r="N3" s="48"/>
      <c r="O3" s="48"/>
      <c r="P3" s="48"/>
      <c r="Q3" s="47"/>
      <c r="R3" s="48"/>
      <c r="S3" s="46"/>
      <c r="T3" s="48"/>
      <c r="U3" s="48"/>
    </row>
    <row r="4" spans="1:21" s="54" customFormat="1" ht="15" customHeight="1" x14ac:dyDescent="0.35">
      <c r="C4" s="55"/>
      <c r="F4" s="56"/>
      <c r="G4" s="68" t="s">
        <v>61</v>
      </c>
      <c r="H4" s="68"/>
      <c r="I4" s="68"/>
      <c r="J4" s="68"/>
      <c r="K4" s="68"/>
      <c r="L4" s="68"/>
      <c r="M4" s="68"/>
      <c r="N4" s="67" t="s">
        <v>60</v>
      </c>
      <c r="O4" s="67"/>
      <c r="P4" s="67"/>
      <c r="Q4" s="67"/>
      <c r="R4" s="67"/>
      <c r="S4" s="67"/>
      <c r="T4" s="67"/>
      <c r="U4" s="67"/>
    </row>
    <row r="5" spans="1:21" s="2" customFormat="1" ht="29" x14ac:dyDescent="0.35">
      <c r="A5" s="2" t="s">
        <v>34</v>
      </c>
      <c r="B5" s="2" t="s">
        <v>9</v>
      </c>
      <c r="C5" s="35" t="s">
        <v>51</v>
      </c>
      <c r="D5" s="2" t="s">
        <v>59</v>
      </c>
      <c r="E5" s="2" t="s">
        <v>58</v>
      </c>
      <c r="F5" s="2" t="s">
        <v>11</v>
      </c>
      <c r="G5" s="52" t="s">
        <v>10</v>
      </c>
      <c r="H5" s="53" t="s">
        <v>12</v>
      </c>
      <c r="I5" s="53" t="s">
        <v>13</v>
      </c>
      <c r="J5" s="52" t="s">
        <v>31</v>
      </c>
      <c r="K5" s="52" t="s">
        <v>14</v>
      </c>
      <c r="L5" s="52" t="s">
        <v>15</v>
      </c>
      <c r="M5" s="57" t="s">
        <v>64</v>
      </c>
      <c r="N5" s="49" t="s">
        <v>17</v>
      </c>
      <c r="O5" s="49" t="s">
        <v>18</v>
      </c>
      <c r="P5" s="49" t="s">
        <v>32</v>
      </c>
      <c r="Q5" s="50" t="s">
        <v>62</v>
      </c>
      <c r="R5" s="49" t="s">
        <v>25</v>
      </c>
      <c r="S5" s="51" t="s">
        <v>16</v>
      </c>
      <c r="T5" s="49" t="s">
        <v>26</v>
      </c>
      <c r="U5" s="49" t="s">
        <v>27</v>
      </c>
    </row>
    <row r="6" spans="1:21" ht="120.75" customHeight="1" x14ac:dyDescent="0.35">
      <c r="A6" s="5" t="s">
        <v>33</v>
      </c>
      <c r="B6" s="5" t="s">
        <v>63</v>
      </c>
      <c r="C6" s="36" t="s">
        <v>20</v>
      </c>
      <c r="D6" s="5" t="s">
        <v>68</v>
      </c>
      <c r="E6" s="5" t="s">
        <v>53</v>
      </c>
      <c r="F6" s="5" t="s">
        <v>46</v>
      </c>
      <c r="G6" s="36" t="s">
        <v>35</v>
      </c>
      <c r="H6" s="40">
        <v>44135</v>
      </c>
      <c r="J6" s="36" t="b">
        <v>1</v>
      </c>
      <c r="K6" s="36">
        <v>18</v>
      </c>
      <c r="M6" s="36" t="s">
        <v>65</v>
      </c>
      <c r="N6" s="42">
        <v>14.25</v>
      </c>
      <c r="O6" s="42">
        <v>3000</v>
      </c>
      <c r="Q6" s="40">
        <v>44135</v>
      </c>
      <c r="R6" s="42">
        <v>0</v>
      </c>
      <c r="S6" s="36" t="s">
        <v>52</v>
      </c>
      <c r="T6" s="42">
        <v>1</v>
      </c>
      <c r="U6" s="42">
        <v>1.5</v>
      </c>
    </row>
    <row r="7" spans="1:21" ht="124.5" customHeight="1" x14ac:dyDescent="0.35">
      <c r="A7" s="5" t="s">
        <v>37</v>
      </c>
      <c r="B7" s="5" t="s">
        <v>36</v>
      </c>
      <c r="C7" s="36" t="s">
        <v>20</v>
      </c>
      <c r="D7" s="5" t="s">
        <v>66</v>
      </c>
      <c r="E7" s="5" t="s">
        <v>56</v>
      </c>
      <c r="F7" s="5" t="s">
        <v>49</v>
      </c>
      <c r="G7" s="36" t="s">
        <v>35</v>
      </c>
      <c r="H7" s="40">
        <v>44135</v>
      </c>
      <c r="J7" s="36" t="b">
        <v>1</v>
      </c>
      <c r="K7" s="36">
        <v>57</v>
      </c>
      <c r="M7" s="36" t="s">
        <v>65</v>
      </c>
      <c r="N7" s="42">
        <v>0</v>
      </c>
      <c r="O7" s="42">
        <v>0</v>
      </c>
      <c r="Q7" s="40">
        <v>44135</v>
      </c>
      <c r="R7" s="42">
        <v>0</v>
      </c>
      <c r="S7" s="36" t="s">
        <v>52</v>
      </c>
      <c r="T7" s="42">
        <v>1</v>
      </c>
      <c r="U7" s="42">
        <v>1.5</v>
      </c>
    </row>
    <row r="8" spans="1:21" ht="129.75" customHeight="1" x14ac:dyDescent="0.35">
      <c r="A8" s="5" t="s">
        <v>39</v>
      </c>
      <c r="B8" s="5" t="s">
        <v>38</v>
      </c>
      <c r="C8" s="36" t="s">
        <v>20</v>
      </c>
      <c r="D8" s="5" t="s">
        <v>69</v>
      </c>
      <c r="E8" s="5" t="s">
        <v>54</v>
      </c>
      <c r="F8" s="5" t="s">
        <v>47</v>
      </c>
      <c r="G8" s="36" t="s">
        <v>35</v>
      </c>
      <c r="H8" s="40">
        <v>44135</v>
      </c>
      <c r="J8" s="36" t="b">
        <v>1</v>
      </c>
      <c r="K8" s="36">
        <v>18</v>
      </c>
      <c r="M8" s="36" t="s">
        <v>65</v>
      </c>
      <c r="N8" s="42">
        <v>4</v>
      </c>
      <c r="O8" s="42">
        <v>1000</v>
      </c>
      <c r="Q8" s="40">
        <v>44135</v>
      </c>
      <c r="R8" s="42">
        <v>0.6</v>
      </c>
      <c r="S8" s="36">
        <v>15</v>
      </c>
      <c r="T8" s="42">
        <v>1</v>
      </c>
      <c r="U8" s="42">
        <v>1.5</v>
      </c>
    </row>
    <row r="9" spans="1:21" ht="138" customHeight="1" x14ac:dyDescent="0.35">
      <c r="A9" s="5" t="s">
        <v>41</v>
      </c>
      <c r="B9" s="5" t="s">
        <v>40</v>
      </c>
      <c r="C9" s="36" t="s">
        <v>20</v>
      </c>
      <c r="D9" s="5" t="s">
        <v>70</v>
      </c>
      <c r="E9" s="5" t="s">
        <v>55</v>
      </c>
      <c r="F9" s="5" t="s">
        <v>48</v>
      </c>
      <c r="G9" s="36" t="s">
        <v>35</v>
      </c>
      <c r="H9" s="40">
        <v>44135</v>
      </c>
      <c r="J9" s="36" t="b">
        <v>1</v>
      </c>
      <c r="K9" s="36">
        <v>18</v>
      </c>
      <c r="L9" s="36">
        <v>26</v>
      </c>
      <c r="M9" s="36" t="s">
        <v>45</v>
      </c>
      <c r="N9" s="42">
        <v>0</v>
      </c>
      <c r="O9" s="42">
        <v>0</v>
      </c>
      <c r="Q9" s="40">
        <v>44135</v>
      </c>
      <c r="R9" s="42">
        <v>0</v>
      </c>
      <c r="S9" s="36" t="s">
        <v>52</v>
      </c>
      <c r="T9" s="42">
        <v>1</v>
      </c>
      <c r="U9" s="42">
        <v>1.5</v>
      </c>
    </row>
    <row r="10" spans="1:21" ht="111" customHeight="1" x14ac:dyDescent="0.35">
      <c r="A10" s="5" t="s">
        <v>43</v>
      </c>
      <c r="B10" s="5" t="s">
        <v>42</v>
      </c>
      <c r="C10" s="36" t="s">
        <v>20</v>
      </c>
      <c r="D10" s="5" t="s">
        <v>67</v>
      </c>
      <c r="E10" s="5" t="s">
        <v>57</v>
      </c>
      <c r="F10" s="5" t="s">
        <v>50</v>
      </c>
      <c r="G10" s="36" t="s">
        <v>44</v>
      </c>
      <c r="H10" s="40">
        <v>44135</v>
      </c>
      <c r="J10" s="36" t="b">
        <v>1</v>
      </c>
      <c r="K10" s="36">
        <v>18</v>
      </c>
      <c r="M10" s="36" t="s">
        <v>65</v>
      </c>
      <c r="N10" s="42">
        <v>0</v>
      </c>
      <c r="O10" s="42">
        <v>0</v>
      </c>
      <c r="P10" s="42">
        <v>0.35</v>
      </c>
      <c r="Q10" s="40">
        <v>44135</v>
      </c>
      <c r="R10" s="42">
        <v>5</v>
      </c>
      <c r="S10" s="36">
        <v>0</v>
      </c>
      <c r="T10" s="42">
        <v>1</v>
      </c>
      <c r="U10" s="42">
        <v>1.5</v>
      </c>
    </row>
    <row r="11" spans="1:21" x14ac:dyDescent="0.35">
      <c r="D11" s="44"/>
      <c r="E11" s="44"/>
    </row>
  </sheetData>
  <mergeCells count="2">
    <mergeCell ref="N4:U4"/>
    <mergeCell ref="G4:M4"/>
  </mergeCells>
  <conditionalFormatting sqref="A1:L3 A4:G4 V4:XFD4 N4 N5:XFD1048576 N1:XFD3 A5:L1048576">
    <cfRule type="cellIs" dxfId="5" priority="2" operator="equal">
      <formula>"n/a"</formula>
    </cfRule>
  </conditionalFormatting>
  <conditionalFormatting sqref="C1:C1048576">
    <cfRule type="cellIs" dxfId="4" priority="3" operator="equal">
      <formula>"WIP (see comments)"</formula>
    </cfRule>
    <cfRule type="cellIs" dxfId="3" priority="4" operator="equal">
      <formula>"Removed"</formula>
    </cfRule>
    <cfRule type="cellIs" dxfId="2" priority="5" operator="equal">
      <formula>"Updated"</formula>
    </cfRule>
    <cfRule type="cellIs" dxfId="1" priority="6" operator="equal">
      <formula>"New"</formula>
    </cfRule>
  </conditionalFormatting>
  <conditionalFormatting sqref="M1:M3 M5:M1048576">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Values'!$A$5:$A$10</xm:f>
          </x14:formula1>
          <xm:sqref>C6:C1048576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19580283-A9F6-4D14-AEA0-D14B984BAD6D}"/>
</file>

<file path=customXml/itemProps2.xml><?xml version="1.0" encoding="utf-8"?>
<ds:datastoreItem xmlns:ds="http://schemas.openxmlformats.org/officeDocument/2006/customXml" ds:itemID="{7594CE54-3828-49CF-8243-C188ED570F7B}">
  <ds:schemaRefs>
    <ds:schemaRef ds:uri="http://schemas.microsoft.com/sharepoint/v3/contenttype/forms"/>
  </ds:schemaRefs>
</ds:datastoreItem>
</file>

<file path=customXml/itemProps3.xml><?xml version="1.0" encoding="utf-8"?>
<ds:datastoreItem xmlns:ds="http://schemas.openxmlformats.org/officeDocument/2006/customXml" ds:itemID="{C6A7F019-0178-48C6-982E-8C97ED4DE885}">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microsoft.com/sharepoint/v4"/>
    <ds:schemaRef ds:uri="http://www.w3.org/XML/1998/namespac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Control</vt:lpstr>
      <vt:lpstr>List Values</vt:lpstr>
      <vt:lpstr>Business Accts-Tiles only</vt:lpstr>
      <vt:lpstr>Business Accts-Full attribution</vt:lpstr>
      <vt:lpstr>Product Spec-Personal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2021-02-18T15:23:42Z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