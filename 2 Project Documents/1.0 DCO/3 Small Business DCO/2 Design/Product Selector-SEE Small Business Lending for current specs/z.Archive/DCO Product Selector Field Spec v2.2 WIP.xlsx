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worksheets/sheet13.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330" windowHeight="11520" tabRatio="830" firstSheet="1" activeTab="9"/>
  </bookViews>
  <sheets>
    <sheet name="Revision Control" sheetId="1" r:id="rId1"/>
    <sheet name="List Values" sheetId="3" r:id="rId2"/>
    <sheet name="1. Welcome-Business" sheetId="62" r:id="rId3"/>
    <sheet name="Question SB1" sheetId="53" r:id="rId4"/>
    <sheet name="Question SB2" sheetId="59" r:id="rId5"/>
    <sheet name="2. Account Selection" sheetId="54" r:id="rId6"/>
    <sheet name="DEPRECATED Account Details" sheetId="58" r:id="rId7"/>
    <sheet name="Question SB3" sheetId="60" r:id="rId8"/>
    <sheet name="Question SB4" sheetId="61" r:id="rId9"/>
    <sheet name="3. Service Selection" sheetId="63" r:id="rId10"/>
    <sheet name="DEPRECATED Service Details" sheetId="64" r:id="rId11"/>
    <sheet name="4. Product Review" sheetId="57" r:id="rId12"/>
    <sheet name="1a. Welcome-Personal" sheetId="47" state="hidden" r:id="rId13"/>
    <sheet name="Question P1" sheetId="48" state="hidden" r:id="rId14"/>
    <sheet name="Question P2" sheetId="49" state="hidden" r:id="rId15"/>
    <sheet name="Question P3" sheetId="50" state="hidden" r:id="rId16"/>
    <sheet name="Overlay P3a" sheetId="55" state="hidden" r:id="rId17"/>
    <sheet name="Question P4" sheetId="51" state="hidden" r:id="rId18"/>
    <sheet name="Question P5" sheetId="52" state="hidden" r:id="rId19"/>
  </sheets>
  <definedNames>
    <definedName name="_xlnm._FilterDatabase" localSheetId="2" hidden="1">'1. Welcome-Business'!$A$6:$P$6</definedName>
    <definedName name="_xlnm._FilterDatabase" localSheetId="12" hidden="1">'1a. Welcome-Personal'!$A$6:$P$6</definedName>
    <definedName name="_xlnm._FilterDatabase" localSheetId="5" hidden="1">'2. Account Selection'!$A$6:$P$6</definedName>
    <definedName name="_xlnm._FilterDatabase" localSheetId="9" hidden="1">'3. Service Selection'!$A$6:$P$6</definedName>
    <definedName name="_xlnm._FilterDatabase" localSheetId="11" hidden="1">'4. Product Review'!$A$6:$P$6</definedName>
    <definedName name="_xlnm._FilterDatabase" localSheetId="6" hidden="1">'DEPRECATED Account Details'!$A$6:$P$6</definedName>
    <definedName name="_xlnm._FilterDatabase" localSheetId="10" hidden="1">'DEPRECATED Service Details'!$A$6:$P$6</definedName>
    <definedName name="_xlnm._FilterDatabase" localSheetId="16" hidden="1">'Overlay P3a'!$A$6:$P$6</definedName>
    <definedName name="_xlnm._FilterDatabase" localSheetId="13" hidden="1">'Question P1'!$A$6:$P$6</definedName>
    <definedName name="_xlnm._FilterDatabase" localSheetId="14" hidden="1">'Question P2'!$A$6:$P$6</definedName>
    <definedName name="_xlnm._FilterDatabase" localSheetId="15" hidden="1">'Question P3'!$A$6:$P$6</definedName>
    <definedName name="_xlnm._FilterDatabase" localSheetId="17" hidden="1">'Question P4'!$A$6:$P$6</definedName>
    <definedName name="_xlnm._FilterDatabase" localSheetId="18" hidden="1">'Question P5'!$A$6:$P$6</definedName>
    <definedName name="_xlnm._FilterDatabase" localSheetId="3" hidden="1">'Question SB1'!$A$6:$P$6</definedName>
    <definedName name="_xlnm._FilterDatabase" localSheetId="4" hidden="1">'Question SB2'!$A$6:$P$6</definedName>
    <definedName name="_xlnm._FilterDatabase" localSheetId="7" hidden="1">'Question SB3'!$A$6:$P$6</definedName>
    <definedName name="_xlnm._FilterDatabase" localSheetId="8" hidden="1">'Question SB4'!$A$6:$P$6</definedName>
  </definedNames>
  <calcPr calcId="162913"/>
  <fileRecoveryPr repair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9" i="63" l="1"/>
  <c r="B28" i="63"/>
  <c r="B30" i="63"/>
  <c r="B22" i="63"/>
  <c r="B33" i="57" l="1"/>
  <c r="B20" i="57"/>
  <c r="B31" i="57"/>
  <c r="B21" i="57"/>
  <c r="B8" i="57"/>
  <c r="B7" i="57"/>
  <c r="B23" i="57" l="1"/>
  <c r="B16" i="57"/>
  <c r="B35" i="57"/>
  <c r="B20" i="63" l="1"/>
  <c r="B19" i="63"/>
  <c r="B15" i="58"/>
  <c r="B16" i="58" l="1"/>
  <c r="B53" i="54" l="1"/>
  <c r="B42" i="54"/>
  <c r="B41" i="54"/>
  <c r="B43" i="54"/>
  <c r="B44" i="54"/>
  <c r="B51" i="54"/>
  <c r="B52" i="54"/>
  <c r="B17" i="54"/>
  <c r="B50" i="54"/>
  <c r="B9" i="62" l="1"/>
  <c r="B12" i="62"/>
  <c r="B49" i="54" l="1"/>
  <c r="B25" i="57" l="1"/>
  <c r="B24" i="57"/>
  <c r="B30" i="57" l="1"/>
  <c r="B29" i="57"/>
  <c r="B28" i="57"/>
  <c r="B27" i="57"/>
  <c r="B13" i="64"/>
  <c r="B12" i="64"/>
  <c r="B11" i="64"/>
  <c r="B10" i="64"/>
  <c r="B9" i="64"/>
  <c r="B8" i="64"/>
  <c r="B7" i="64"/>
  <c r="B26" i="63"/>
  <c r="B25" i="63"/>
  <c r="B24" i="63"/>
  <c r="B23" i="63"/>
  <c r="B17" i="63"/>
  <c r="B14" i="63"/>
  <c r="B13" i="63"/>
  <c r="B12" i="63"/>
  <c r="B11" i="63"/>
  <c r="B10" i="63"/>
  <c r="B8" i="63"/>
  <c r="B11" i="62" l="1"/>
  <c r="B10" i="62"/>
  <c r="B8" i="62"/>
  <c r="B7" i="62"/>
  <c r="B17" i="61"/>
  <c r="B16" i="61"/>
  <c r="B15" i="61"/>
  <c r="B13" i="61"/>
  <c r="B12" i="61"/>
  <c r="B11" i="61"/>
  <c r="B9" i="61"/>
  <c r="B8" i="61"/>
  <c r="B7" i="61"/>
  <c r="B17" i="60"/>
  <c r="B16" i="60"/>
  <c r="B15" i="60"/>
  <c r="B13" i="60"/>
  <c r="B12" i="60"/>
  <c r="B11" i="60"/>
  <c r="B9" i="60"/>
  <c r="B8" i="60"/>
  <c r="B7" i="60"/>
  <c r="B17" i="59"/>
  <c r="B16" i="59"/>
  <c r="B15" i="59"/>
  <c r="B13" i="59"/>
  <c r="B12" i="59"/>
  <c r="B11" i="59"/>
  <c r="B9" i="59"/>
  <c r="B8" i="59"/>
  <c r="B7" i="59"/>
  <c r="B12" i="57" l="1"/>
  <c r="B13" i="57"/>
  <c r="B14" i="57"/>
  <c r="B15" i="57"/>
  <c r="B11" i="57"/>
  <c r="B37" i="54"/>
  <c r="B36" i="54"/>
  <c r="B47" i="54"/>
  <c r="B46" i="54"/>
  <c r="B45" i="54"/>
  <c r="B40" i="54"/>
  <c r="B39" i="54"/>
  <c r="B35" i="54"/>
  <c r="B33" i="54"/>
  <c r="B32" i="54"/>
  <c r="B31" i="54"/>
  <c r="B30" i="54"/>
  <c r="B29" i="54"/>
  <c r="B28" i="54"/>
  <c r="B26" i="54"/>
  <c r="B24" i="54"/>
  <c r="B23" i="54"/>
  <c r="B22" i="54"/>
  <c r="B21" i="54"/>
  <c r="B20" i="54"/>
  <c r="B19" i="54"/>
  <c r="B17" i="58"/>
  <c r="B14" i="58"/>
  <c r="B11" i="58"/>
  <c r="B10" i="58"/>
  <c r="B8" i="58"/>
  <c r="B7" i="58"/>
  <c r="B15" i="54"/>
  <c r="B14" i="54"/>
  <c r="B13" i="54"/>
  <c r="B11" i="54"/>
  <c r="B34" i="57"/>
  <c r="B19" i="57"/>
  <c r="B18" i="57"/>
  <c r="B9" i="57"/>
  <c r="B8" i="55"/>
  <c r="B7" i="55"/>
  <c r="B12" i="54"/>
  <c r="B10" i="54"/>
  <c r="B8" i="54"/>
  <c r="B17" i="53"/>
  <c r="B16" i="53"/>
  <c r="B15" i="53"/>
  <c r="B13" i="53"/>
  <c r="B12" i="53"/>
  <c r="B11" i="53"/>
  <c r="B9" i="53"/>
  <c r="B8" i="53"/>
  <c r="B7" i="53"/>
  <c r="B17" i="52"/>
  <c r="B16" i="52"/>
  <c r="B15" i="52"/>
  <c r="B13" i="52"/>
  <c r="B12" i="52"/>
  <c r="B11" i="52"/>
  <c r="B9" i="52"/>
  <c r="B8" i="52"/>
  <c r="B7" i="52"/>
  <c r="B17" i="51"/>
  <c r="B16" i="51"/>
  <c r="B15" i="51"/>
  <c r="B13" i="51"/>
  <c r="B12" i="51"/>
  <c r="B11" i="51"/>
  <c r="B9" i="51"/>
  <c r="B8" i="51"/>
  <c r="B7" i="51"/>
  <c r="B12" i="50"/>
  <c r="B17" i="50"/>
  <c r="B16" i="50"/>
  <c r="B15" i="50"/>
  <c r="B13" i="50"/>
  <c r="B11" i="50"/>
  <c r="B9" i="50"/>
  <c r="B8" i="50"/>
  <c r="B7" i="50"/>
  <c r="B16" i="49"/>
  <c r="B15" i="49"/>
  <c r="B14" i="49"/>
  <c r="B12" i="49"/>
  <c r="B11" i="49"/>
  <c r="B9" i="49"/>
  <c r="B8" i="49"/>
  <c r="B7" i="49"/>
  <c r="B17" i="48"/>
  <c r="B12" i="48"/>
  <c r="B13" i="48"/>
  <c r="B16" i="48"/>
  <c r="B15" i="48"/>
  <c r="B11" i="48"/>
  <c r="B9" i="48"/>
  <c r="B8" i="48"/>
  <c r="B7" i="48"/>
  <c r="B10" i="47" l="1"/>
  <c r="B9" i="47"/>
  <c r="B12" i="47" l="1"/>
  <c r="B11" i="47"/>
  <c r="B8" i="47"/>
  <c r="B7" i="47"/>
</calcChain>
</file>

<file path=xl/sharedStrings.xml><?xml version="1.0" encoding="utf-8"?>
<sst xmlns="http://schemas.openxmlformats.org/spreadsheetml/2006/main" count="2923" uniqueCount="333">
  <si>
    <t>Motive Digital Client Onboarding (DCO)</t>
  </si>
  <si>
    <t>Steve Kelcher</t>
  </si>
  <si>
    <t>Document Version</t>
  </si>
  <si>
    <t>Revision Date</t>
  </si>
  <si>
    <t>Change Summary</t>
  </si>
  <si>
    <t>Updated by</t>
  </si>
  <si>
    <t>Approved by</t>
  </si>
  <si>
    <t>Page Name</t>
  </si>
  <si>
    <t>Page ID</t>
  </si>
  <si>
    <t>Visibility</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</si>
  <si>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</si>
  <si>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</si>
  <si>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</si>
  <si>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</si>
  <si>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</si>
  <si>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</si>
  <si>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</si>
  <si>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</si>
  <si>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</si>
  <si>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</si>
  <si>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</si>
  <si>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</si>
  <si>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</si>
  <si>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</si>
  <si>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</si>
  <si>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</si>
  <si>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Type</t>
  </si>
  <si>
    <t>Section (sub-heading)</t>
  </si>
  <si>
    <t>Checkbox</t>
  </si>
  <si>
    <t>Section (footer)</t>
  </si>
  <si>
    <t>Radio button group</t>
  </si>
  <si>
    <t>Text field</t>
  </si>
  <si>
    <t>Static text</t>
  </si>
  <si>
    <t>Drop-down list</t>
  </si>
  <si>
    <t>Static text with parameter(s)</t>
  </si>
  <si>
    <t>Updated</t>
  </si>
  <si>
    <t>Field Status</t>
  </si>
  <si>
    <t>No Change</t>
  </si>
  <si>
    <t>Removed</t>
  </si>
  <si>
    <t>New</t>
  </si>
  <si>
    <t>Button</t>
  </si>
  <si>
    <t>Story ID</t>
  </si>
  <si>
    <t>WIP (see comments)</t>
  </si>
  <si>
    <t>Progress bar</t>
  </si>
  <si>
    <t>Checkbox Group</t>
  </si>
  <si>
    <t>Text field (with suggestions)</t>
  </si>
  <si>
    <t>Date Picker</t>
  </si>
  <si>
    <t>Static text with hyperlink</t>
  </si>
  <si>
    <t>Image</t>
  </si>
  <si>
    <t>Section (heading)</t>
  </si>
  <si>
    <t>ID Scan Control</t>
  </si>
  <si>
    <t>Timer</t>
  </si>
  <si>
    <t>Google reCAPTCHA</t>
  </si>
  <si>
    <t>Confirmation Message (modal)</t>
  </si>
  <si>
    <t>Always</t>
  </si>
  <si>
    <t>n/a</t>
  </si>
  <si>
    <t>Next</t>
  </si>
  <si>
    <t>Back</t>
  </si>
  <si>
    <t>Flinks Widget</t>
  </si>
  <si>
    <t>Dynamic Text</t>
  </si>
  <si>
    <t>Funding Form Field Specification - List Values</t>
  </si>
  <si>
    <t>Reviewed By</t>
  </si>
  <si>
    <t>Product Selector Field Specification - Revision Control Form</t>
  </si>
  <si>
    <t>1.0</t>
  </si>
  <si>
    <t>Initial design created</t>
  </si>
  <si>
    <t>Welcome to CWB Personal Accounts</t>
  </si>
  <si>
    <t>Welcome Page</t>
  </si>
  <si>
    <t>Only for personal banking applicants (not for small business)</t>
  </si>
  <si>
    <t>We're committed to finding the right account for you</t>
  </si>
  <si>
    <t>Let's start with your name.  How would you like us to refer to you?</t>
  </si>
  <si>
    <t>Your first name (optional)</t>
  </si>
  <si>
    <t>Alphanumeric (plus special chars)</t>
  </si>
  <si>
    <t>[Blank value]</t>
  </si>
  <si>
    <t>No</t>
  </si>
  <si>
    <t>Permit blank values, all alphanumeric characters, plus the following:
‘ ( ) + , - . / : ? &amp;</t>
  </si>
  <si>
    <t>Please provide a valid first name</t>
  </si>
  <si>
    <t>Help me choose</t>
  </si>
  <si>
    <t>Let me choose on my own</t>
  </si>
  <si>
    <r>
      <t xml:space="preserve">On click…
Navigate to </t>
    </r>
    <r>
      <rPr>
        <b/>
        <sz val="11"/>
        <color theme="1"/>
        <rFont val="Calibri"/>
        <family val="2"/>
        <scheme val="minor"/>
      </rPr>
      <t>Question P1</t>
    </r>
    <r>
      <rPr>
        <sz val="11"/>
        <color theme="1"/>
        <rFont val="Calibri"/>
        <family val="2"/>
        <scheme val="minor"/>
      </rPr>
      <t xml:space="preserve"> page</t>
    </r>
  </si>
  <si>
    <r>
      <t xml:space="preserve">On click...
Navigate to </t>
    </r>
    <r>
      <rPr>
        <b/>
        <sz val="11"/>
        <color theme="1"/>
        <rFont val="Calibri"/>
        <family val="2"/>
        <scheme val="minor"/>
      </rPr>
      <t>Account Selection</t>
    </r>
    <r>
      <rPr>
        <sz val="11"/>
        <color theme="1"/>
        <rFont val="Calibri"/>
        <family val="2"/>
        <scheme val="minor"/>
      </rPr>
      <t xml:space="preserve"> page</t>
    </r>
  </si>
  <si>
    <t>Question P1 (Personal)</t>
  </si>
  <si>
    <t>Only for personal banking applicants who have opted for guided product selection</t>
  </si>
  <si>
    <t>Q-P1</t>
  </si>
  <si>
    <t>Helping you choose</t>
  </si>
  <si>
    <t>Kelvin to provide image asset for this field</t>
  </si>
  <si>
    <t>What do you want to do with your money?</t>
  </si>
  <si>
    <t>Radio button</t>
  </si>
  <si>
    <t>Radio button tile</t>
  </si>
  <si>
    <t>[Icon Image]
I want to save</t>
  </si>
  <si>
    <t>a) Selected
b) Unselected</t>
  </si>
  <si>
    <t>b) unselected</t>
  </si>
  <si>
    <t>b) Unselected</t>
  </si>
  <si>
    <t>[Icon Image]
I want to spend</t>
  </si>
  <si>
    <t>[Icon Image]
I want to do both</t>
  </si>
  <si>
    <r>
      <t xml:space="preserve">On click…
Navigate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</si>
  <si>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Welcome</t>
    </r>
    <r>
      <rPr>
        <sz val="11"/>
        <color theme="1"/>
        <rFont val="Calibri"/>
        <family val="2"/>
        <scheme val="minor"/>
      </rPr>
      <t xml:space="preserve"> page</t>
    </r>
  </si>
  <si>
    <t>Display image "[TBD]"</t>
  </si>
  <si>
    <t>Question P2 (Personal)</t>
  </si>
  <si>
    <t>Q-P2</t>
  </si>
  <si>
    <t>New page pending approval</t>
  </si>
  <si>
    <t>[Image asset - progress indicator]</t>
  </si>
  <si>
    <t>Are you a full time, post secondary student?</t>
  </si>
  <si>
    <t>[Icon Image]
Yes</t>
  </si>
  <si>
    <t>[Icon Image]
No</t>
  </si>
  <si>
    <r>
      <t xml:space="preserve">On click…
Navigate to </t>
    </r>
    <r>
      <rPr>
        <b/>
        <sz val="11"/>
        <color theme="1"/>
        <rFont val="Calibri"/>
        <family val="2"/>
        <scheme val="minor"/>
      </rPr>
      <t>Question P3</t>
    </r>
    <r>
      <rPr>
        <sz val="11"/>
        <color theme="1"/>
        <rFont val="Calibri"/>
        <family val="2"/>
        <scheme val="minor"/>
      </rPr>
      <t xml:space="preserve"> page</t>
    </r>
  </si>
  <si>
    <r>
      <t xml:space="preserve">On click...
Navigate back to </t>
    </r>
    <r>
      <rPr>
        <b/>
        <sz val="11"/>
        <color theme="1"/>
        <rFont val="Calibri"/>
        <family val="2"/>
        <scheme val="minor"/>
      </rPr>
      <t>Question P2</t>
    </r>
    <r>
      <rPr>
        <sz val="11"/>
        <color theme="1"/>
        <rFont val="Calibri"/>
        <family val="2"/>
        <scheme val="minor"/>
      </rPr>
      <t xml:space="preserve"> page</t>
    </r>
  </si>
  <si>
    <r>
      <t xml:space="preserve">On click...
Navigate back to </t>
    </r>
    <r>
      <rPr>
        <b/>
        <sz val="11"/>
        <color theme="1"/>
        <rFont val="Calibri"/>
        <family val="2"/>
        <scheme val="minor"/>
      </rPr>
      <t>Question P1</t>
    </r>
    <r>
      <rPr>
        <sz val="11"/>
        <color theme="1"/>
        <rFont val="Calibri"/>
        <family val="2"/>
        <scheme val="minor"/>
      </rPr>
      <t xml:space="preserve"> page</t>
    </r>
  </si>
  <si>
    <t>Question P3 (Personal)</t>
  </si>
  <si>
    <t>Q-P3</t>
  </si>
  <si>
    <t>Which age group do you belong to?</t>
  </si>
  <si>
    <t>[Icon Image]
Under 18</t>
  </si>
  <si>
    <t>[Icon Image]
Between 18 and 57</t>
  </si>
  <si>
    <t>[Icon Image]
57 or older</t>
  </si>
  <si>
    <t>Question P4 (Personal)</t>
  </si>
  <si>
    <t>Q-P4</t>
  </si>
  <si>
    <t>[Icon Image]
Less than $1,000</t>
  </si>
  <si>
    <t>[Icon Image]
$3,000 or more</t>
  </si>
  <si>
    <t>[Icon Image]
Between $1,000 and $2,999</t>
  </si>
  <si>
    <r>
      <t xml:space="preserve">On click…
Navigate to </t>
    </r>
    <r>
      <rPr>
        <b/>
        <sz val="11"/>
        <color theme="1"/>
        <rFont val="Calibri"/>
        <family val="2"/>
        <scheme val="minor"/>
      </rPr>
      <t>Question P5</t>
    </r>
    <r>
      <rPr>
        <sz val="11"/>
        <color theme="1"/>
        <rFont val="Calibri"/>
        <family val="2"/>
        <scheme val="minor"/>
      </rPr>
      <t xml:space="preserve"> page</t>
    </r>
  </si>
  <si>
    <r>
      <t xml:space="preserve">On click...
Navigate back to </t>
    </r>
    <r>
      <rPr>
        <b/>
        <sz val="11"/>
        <color theme="1"/>
        <rFont val="Calibri"/>
        <family val="2"/>
        <scheme val="minor"/>
      </rPr>
      <t>Question P3</t>
    </r>
    <r>
      <rPr>
        <sz val="11"/>
        <color theme="1"/>
        <rFont val="Calibri"/>
        <family val="2"/>
        <scheme val="minor"/>
      </rPr>
      <t xml:space="preserve"> page</t>
    </r>
  </si>
  <si>
    <t>Question P5 (Personal)</t>
  </si>
  <si>
    <t>Q-P5</t>
  </si>
  <si>
    <t>How often do you make transactions or withdrawals?</t>
  </si>
  <si>
    <t>[Icon Image]
Once a week or less</t>
  </si>
  <si>
    <t>[Icon Image]
A few times per week</t>
  </si>
  <si>
    <t>[Icon Image]
Every day</t>
  </si>
  <si>
    <r>
      <t xml:space="preserve">On click…
Navigate to </t>
    </r>
    <r>
      <rPr>
        <b/>
        <sz val="11"/>
        <color theme="1"/>
        <rFont val="Calibri"/>
        <family val="2"/>
        <scheme val="minor"/>
      </rPr>
      <t>Account Selection</t>
    </r>
    <r>
      <rPr>
        <sz val="11"/>
        <color theme="1"/>
        <rFont val="Calibri"/>
        <family val="2"/>
        <scheme val="minor"/>
      </rPr>
      <t xml:space="preserve"> page</t>
    </r>
  </si>
  <si>
    <r>
      <t xml:space="preserve">On click...
Navigate back to </t>
    </r>
    <r>
      <rPr>
        <b/>
        <sz val="11"/>
        <color theme="1"/>
        <rFont val="Calibri"/>
        <family val="2"/>
        <scheme val="minor"/>
      </rPr>
      <t>Question P4</t>
    </r>
    <r>
      <rPr>
        <sz val="11"/>
        <color theme="1"/>
        <rFont val="Calibri"/>
        <family val="2"/>
        <scheme val="minor"/>
      </rPr>
      <t xml:space="preserve"> page</t>
    </r>
  </si>
  <si>
    <t>Radio button tile group for multiple choice answers (one clickable tile per answer, mutually exclusive selection)</t>
  </si>
  <si>
    <t>Question SB1 (Small Bus.)</t>
  </si>
  <si>
    <t>Q-SB1</t>
  </si>
  <si>
    <t>[Question text TBD]</t>
  </si>
  <si>
    <t>[Icon Image]
[Answer TBD]</t>
  </si>
  <si>
    <r>
      <t xml:space="preserve">On click…
Navigate to </t>
    </r>
    <r>
      <rPr>
        <b/>
        <sz val="11"/>
        <color theme="1"/>
        <rFont val="Calibri"/>
        <family val="2"/>
        <scheme val="minor"/>
      </rPr>
      <t>Question SB2</t>
    </r>
    <r>
      <rPr>
        <sz val="11"/>
        <color theme="1"/>
        <rFont val="Calibri"/>
        <family val="2"/>
        <scheme val="minor"/>
      </rPr>
      <t xml:space="preserve"> page</t>
    </r>
  </si>
  <si>
    <t>On click...
[Action TBD]</t>
  </si>
  <si>
    <t>Need to confirm small business entry point into product selector</t>
  </si>
  <si>
    <t>Account Selection</t>
  </si>
  <si>
    <t>Overlay P3a (under age)</t>
  </si>
  <si>
    <t>P3a</t>
  </si>
  <si>
    <t>New modal overlay pending approval</t>
  </si>
  <si>
    <t>Name</t>
  </si>
  <si>
    <t>Okay</t>
  </si>
  <si>
    <t>Modal dialog. Only for applicants who identify as under 18 years old on the Question P3 page</t>
  </si>
  <si>
    <t>We're sorry, but our online application process is only available to applicants age 18 or older.
As an under age applicant, you may still apply for an account, by contacting a CWB branch of your choice.
For more information, contact [contact info TBD].</t>
  </si>
  <si>
    <r>
      <t xml:space="preserve">On click…
Close modal overlay, and return the user to the </t>
    </r>
    <r>
      <rPr>
        <b/>
        <sz val="11"/>
        <color theme="1"/>
        <rFont val="Calibri"/>
        <family val="2"/>
        <scheme val="minor"/>
      </rPr>
      <t>Question P3</t>
    </r>
    <r>
      <rPr>
        <sz val="11"/>
        <color theme="1"/>
        <rFont val="Calibri"/>
        <family val="2"/>
        <scheme val="minor"/>
      </rPr>
      <t xml:space="preserve"> page.</t>
    </r>
  </si>
  <si>
    <r>
      <t xml:space="preserve">On click…
IF (Field Q-P3.4 = Selected) THEN
  Display modal </t>
    </r>
    <r>
      <rPr>
        <b/>
        <sz val="11"/>
        <color theme="1"/>
        <rFont val="Calibri"/>
        <family val="2"/>
        <scheme val="minor"/>
      </rPr>
      <t xml:space="preserve">Overlay P3a
</t>
    </r>
    <r>
      <rPr>
        <sz val="11"/>
        <color theme="1"/>
        <rFont val="Calibri"/>
        <family val="2"/>
        <scheme val="minor"/>
      </rPr>
      <t xml:space="preserve">ELSE
  Navigate to </t>
    </r>
    <r>
      <rPr>
        <b/>
        <sz val="11"/>
        <color theme="1"/>
        <rFont val="Calibri"/>
        <family val="2"/>
        <scheme val="minor"/>
      </rPr>
      <t>Question P4</t>
    </r>
    <r>
      <rPr>
        <sz val="11"/>
        <color theme="1"/>
        <rFont val="Calibri"/>
        <family val="2"/>
        <scheme val="minor"/>
      </rPr>
      <t xml:space="preserve"> page</t>
    </r>
  </si>
  <si>
    <r>
      <t xml:space="preserve">On click…
IF (Field Q-P3.4 = Selected) THEN
  Display modal </t>
    </r>
    <r>
      <rPr>
        <b/>
        <sz val="11"/>
        <color theme="1"/>
        <rFont val="Calibri"/>
        <family val="2"/>
        <scheme val="minor"/>
      </rPr>
      <t>Overlay P3a</t>
    </r>
    <r>
      <rPr>
        <sz val="11"/>
        <color theme="1"/>
        <rFont val="Calibri"/>
        <family val="2"/>
        <scheme val="minor"/>
      </rPr>
      <t xml:space="preserve">
ELSE
  Navigate to </t>
    </r>
    <r>
      <rPr>
        <b/>
        <sz val="11"/>
        <color theme="1"/>
        <rFont val="Calibri"/>
        <family val="2"/>
        <scheme val="minor"/>
      </rPr>
      <t xml:space="preserve">Account Selection </t>
    </r>
    <r>
      <rPr>
        <sz val="11"/>
        <color theme="1"/>
        <rFont val="Calibri"/>
        <family val="2"/>
        <scheme val="minor"/>
      </rPr>
      <t>page</t>
    </r>
  </si>
  <si>
    <t>Here are the accounts you were interested in</t>
  </si>
  <si>
    <t>&lt;&lt;Product_Catalogue.Product_Image&gt;&gt;</t>
  </si>
  <si>
    <t>&lt;&lt;Product_Catalogue.Product_Name&gt;&gt;</t>
  </si>
  <si>
    <t>&lt;&lt;Product_Catalogue.Tag_Line&gt;&gt;</t>
  </si>
  <si>
    <t>Quantity</t>
  </si>
  <si>
    <t>Learn more</t>
  </si>
  <si>
    <t>Only if there is at least one system-generated product recommendation</t>
  </si>
  <si>
    <t>Explore our accounts</t>
  </si>
  <si>
    <t>[Image - Chequing]</t>
  </si>
  <si>
    <t>[Image - Savings]</t>
  </si>
  <si>
    <t>a) selected
b) unselected</t>
  </si>
  <si>
    <t>a) selected</t>
  </si>
  <si>
    <t>On click...
Filter the Product Carousel (below) to show only chequing accounts.</t>
  </si>
  <si>
    <t>On click...
Filter the Product Carousel (below) to show only savings accounts.</t>
  </si>
  <si>
    <t>Horizontal carousel control: Show one tile composed of the following fields, for each product (based on filters set by Field 2.25 and 2.26)</t>
  </si>
  <si>
    <t>[Product attribute 1 - TBD]</t>
  </si>
  <si>
    <t>[Product attribute 2 - TBD]</t>
  </si>
  <si>
    <t>[Product attribute N - TBD]</t>
  </si>
  <si>
    <t>Remove</t>
  </si>
  <si>
    <t>Total monthly fixed fees: $&lt;&lt;fee total&gt;&gt;</t>
  </si>
  <si>
    <t>&lt;&lt;fee total&gt;&gt; should be calculated as the sum of all monthly fees (&lt;&lt;Product_Catalogue.Monthly_Fee&gt;&gt;) of the selected product instances</t>
  </si>
  <si>
    <t>Account Details</t>
  </si>
  <si>
    <t>Close</t>
  </si>
  <si>
    <t>On click…
Close the overlay</t>
  </si>
  <si>
    <t>* Additional transaction fees may apply</t>
  </si>
  <si>
    <t>What is the lowest balance you can comfortably keep in your account to avoid fees?</t>
  </si>
  <si>
    <t>Only for small business banking applicants who have opted for guided product selection</t>
  </si>
  <si>
    <t>2.0</t>
  </si>
  <si>
    <t>Business banking transactions</t>
  </si>
  <si>
    <t>Who do you need to pay?</t>
  </si>
  <si>
    <t>Q-SB2</t>
  </si>
  <si>
    <t>Q-SB3</t>
  </si>
  <si>
    <t>How do you want to get paid?</t>
  </si>
  <si>
    <t>Q-SB4</t>
  </si>
  <si>
    <t>1a</t>
  </si>
  <si>
    <t>Service Selection (cash management products/services)</t>
  </si>
  <si>
    <t>3a</t>
  </si>
  <si>
    <t>Service Details (cash management products/services)</t>
  </si>
  <si>
    <t>Explore (self-select) products section</t>
  </si>
  <si>
    <t>On click...
Add the product to the applicant's cart.</t>
  </si>
  <si>
    <t>Only if additional product/service selected</t>
  </si>
  <si>
    <t>Manage payments and receivables electronically. Includes:
- Interac e-Transfer (including Request Money)
- Bill payments
- Government (tax) payment and filing
- Deposit Anywhere (remote deposit capture).</t>
  </si>
  <si>
    <t>Draft</t>
  </si>
  <si>
    <t>Welcome to CWB Business Accounts</t>
  </si>
  <si>
    <t>Only for business banking applicants</t>
  </si>
  <si>
    <t>CWBSB-200</t>
  </si>
  <si>
    <t>CWBSB-202</t>
  </si>
  <si>
    <t>2a</t>
  </si>
  <si>
    <t>Complementary accounts section</t>
  </si>
  <si>
    <t>Heading for pre-selected accounts: visible only if entering page with pre-selected accounts</t>
  </si>
  <si>
    <t>Only for applicants with pre-selected accounts (URL parameter)</t>
  </si>
  <si>
    <t>Explore (self-select) accounts section</t>
  </si>
  <si>
    <t>Tile set for pre-selected accounts: show one tile composed of the following fields, for each pre-selected account in the form's URL parameter</t>
  </si>
  <si>
    <t>Only if there is at least one complementary account based on either recommended or pre-selected accounts.</t>
  </si>
  <si>
    <t>End carousel control</t>
  </si>
  <si>
    <t>CWBSB-204</t>
  </si>
  <si>
    <t>CWBSB-511</t>
  </si>
  <si>
    <t>CWBSB-201</t>
  </si>
  <si>
    <r>
      <t xml:space="preserve">On click...
Display the </t>
    </r>
    <r>
      <rPr>
        <b/>
        <sz val="11"/>
        <color theme="1"/>
        <rFont val="Calibri"/>
        <family val="2"/>
        <scheme val="minor"/>
      </rPr>
      <t>Service Details</t>
    </r>
    <r>
      <rPr>
        <sz val="11"/>
        <color theme="1"/>
        <rFont val="Calibri"/>
        <family val="2"/>
        <scheme val="minor"/>
      </rPr>
      <t xml:space="preserve"> modal overlay for the applicable product/service (CWBSB-511)</t>
    </r>
  </si>
  <si>
    <t>Product Review (Summary)</t>
  </si>
  <si>
    <t>CWBSB-199</t>
  </si>
  <si>
    <t>We're committed to finding the right banking solutions for your business</t>
  </si>
  <si>
    <t>How would you like to choose your solutions today?</t>
  </si>
  <si>
    <t>Text and image</t>
  </si>
  <si>
    <t>Refer to CWB design system for image asset</t>
  </si>
  <si>
    <t>Render button with 'help me choose' image
On click…
Navigate to Question SB1 page (guided questionnaire)</t>
  </si>
  <si>
    <t>Render button with 'let me choose on my own' image
On click...
Navigate to Account Selection page CWBSB-200 (self-selection)</t>
  </si>
  <si>
    <t>We can assist with some recommendations - just select "Help me choose". If you prefer to browse our solutions yourself, select "Let me choose on my own".</t>
  </si>
  <si>
    <t>Welcome Page (Business)</t>
  </si>
  <si>
    <t>Ian Hicks</t>
  </si>
  <si>
    <t>Digital Team, incl. UX</t>
  </si>
  <si>
    <t>Text/verbiage updates CWBSB-</t>
  </si>
  <si>
    <t>Numerical values 0 through 3</t>
  </si>
  <si>
    <t>Select Account</t>
  </si>
  <si>
    <t>Tile set for complementary accounts: show one tile composed of the following fields, for each complementary account (based on product catalogue attribution)</t>
  </si>
  <si>
    <t>Heading for recommended accounts: visible only if entering page from questionnaire (guided journey)</t>
  </si>
  <si>
    <t>Here are some accounts that would suit your needs</t>
  </si>
  <si>
    <t>Only if entering page from questionnaire (at least one recommended account)</t>
  </si>
  <si>
    <t>Tile set for recommended accounts: show one tile composed of the following fields, for each recommended account (based on questionnaire)</t>
  </si>
  <si>
    <t>You might also like</t>
  </si>
  <si>
    <t>Conditional-omit if null value for Product Catalogue attribute "Monthly Free Transactions"</t>
  </si>
  <si>
    <t>Monthly fee $&lt;&lt;Product_Catalogue.Monthly_Fee&gt;&gt;</t>
  </si>
  <si>
    <t>Render as bullet point (see wireframe for UI treatment).
Omit if null value for Product Catalogue attribute "Monthly Free Transactions"</t>
  </si>
  <si>
    <t>Render as bullet point (see wireframe for UI treatment).
Insert "0" if null value for Product Catalogue attribute "Monthly Fee"</t>
  </si>
  <si>
    <t>&lt;&lt;Product_Catalogue.Configurable_Feature_1&gt;&gt;</t>
  </si>
  <si>
    <t>&lt;&lt;Product_Catalogue.Configurable_Feature_2&gt;&gt;</t>
  </si>
  <si>
    <t>Conditional-omit if null value for Product Catalogue attribute "Configurable feature 1"</t>
  </si>
  <si>
    <t>Conditional-omit if null value for Product Catalogue attribute "Configurable feature 2"</t>
  </si>
  <si>
    <t>Render as bullet point (see wireframe for UI treatment).
Omit if null value for Product Catalogue attribute "Configurable feature 2"</t>
  </si>
  <si>
    <t>Render as bullet point (see wireframe for UI treatment).
Omit if null value for Product Catalogue attribute "Configurable feature 1"</t>
  </si>
  <si>
    <t xml:space="preserve">&lt;&lt;Product_Catalogue.Monthly_Free_Tranactions&gt;&gt; monthly free transactions </t>
  </si>
  <si>
    <r>
      <t xml:space="preserve">Are you sure? If you go back, you will lose the account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</si>
  <si>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&lt;&lt;count&gt;&gt;</t>
  </si>
  <si>
    <t>account(s) added</t>
  </si>
  <si>
    <t>On click, display modal confirmation message 2.38</t>
  </si>
  <si>
    <t>Validate that at least 1 account has been selected</t>
  </si>
  <si>
    <t>Please select at least one account</t>
  </si>
  <si>
    <t>On click, validate that at least one account has been selected (added to "cart").
IF &gt;=1 account has been selected, navigate to [TBD]
ELSE IF no account(s) selected, remain on page and display validation message.</t>
  </si>
  <si>
    <t>Only when 'Back' button is clicked</t>
  </si>
  <si>
    <t>Centre text and hyperlinks ('No, stay here' and 'Yes, go back') in modal.
IF user selects 'No, stay here' close modal and remain on page
ELSE IF user selects 'Yes, go back', empty "cart", close modal and navigate to 'Welcome-Business' page (CWBSB-201)</t>
  </si>
  <si>
    <t>Whole numbers</t>
  </si>
  <si>
    <t>Increment counter (sum) according to number of accounts selected from product tiles above.</t>
  </si>
  <si>
    <t>Insert Product Name attribute from Product Catalogue</t>
  </si>
  <si>
    <t>Insert Tag Line attribute from Product Catalogue</t>
  </si>
  <si>
    <t>Insert Description attribute from Product Catalogue</t>
  </si>
  <si>
    <t>Omit if null value for Product Catalogue attribute "Monthly Free Transactions"</t>
  </si>
  <si>
    <t>Insert "0" if null value for Product Catalogue attribute "Monthly Fee"</t>
  </si>
  <si>
    <t>Omit if null value for Product Catalogue attribute "Configurable feature 1"</t>
  </si>
  <si>
    <t>Conditional-omit if Product Catalogue attribute "Interest Rate Tiered?" = FALSE</t>
  </si>
  <si>
    <t>Insert highest value from Product Catalogue "Interest Rate Tier" attributes (i.e. if 2 rate tiers, use Tier 2 Max, if 3 rate tiers use Tier 3 Max etc.)</t>
  </si>
  <si>
    <r>
      <t xml:space="preserve">Competitive tiered interest rate, up to &lt;&lt;Product_Catalogue.Tier </t>
    </r>
    <r>
      <rPr>
        <i/>
        <sz val="11"/>
        <color theme="1"/>
        <rFont val="Calibri"/>
        <family val="2"/>
        <scheme val="minor"/>
      </rPr>
      <t>n</t>
    </r>
    <r>
      <rPr>
        <sz val="11"/>
        <color theme="1"/>
        <rFont val="Calibri"/>
        <family val="2"/>
        <scheme val="minor"/>
      </rPr>
      <t xml:space="preserve"> Max&gt;&gt;</t>
    </r>
  </si>
  <si>
    <t>&lt;&lt;Product_Catalogue.Description&gt;&gt;</t>
  </si>
  <si>
    <t>DEPRECATED</t>
  </si>
  <si>
    <t>On click, hyperlink to URL in Product Catalogue attribute "Product Link" (open in new tab)</t>
  </si>
  <si>
    <t>Heading for recommended cash management products/services: visible only if entering page from questionnaire (guided journey)</t>
  </si>
  <si>
    <t>On click...
Add the number of product instances in Field 2.5 to the applicant's "cart" and increment counter (2.34)</t>
  </si>
  <si>
    <t>On click...
Add the number of product instances in Field 2.12 to the applicant's "cart" and increment counter (2.34)</t>
  </si>
  <si>
    <t>On click...
Add the number of product instances in Field 2.19 to the applicant's "cart" and increment counter (2.34)</t>
  </si>
  <si>
    <t>On click...
Add the number of product instances in Field 2.31 to the applicant's "cart" and increment counter (2.34)</t>
  </si>
  <si>
    <t>Navigation to be confirmed between account selection and cash management service selection (interim page may be required)</t>
  </si>
  <si>
    <t>Here are some business solutions that would suit your needs</t>
  </si>
  <si>
    <t>Show me</t>
  </si>
  <si>
    <t>[image - &lt;&lt;cash management category&gt;&gt;]</t>
  </si>
  <si>
    <t>&lt;&lt;Product_Catalogue.Cash_Management_Category&gt;&gt;</t>
  </si>
  <si>
    <t>Repeatable cash management solutions section: repeat for each cash management category displayed (controlled by filter 3.8)</t>
  </si>
  <si>
    <t>Chequing &amp; Savings Product Catalogue XML CWBSB-432</t>
  </si>
  <si>
    <t>Cash Management Products/Services XML CWBSB-433</t>
  </si>
  <si>
    <t>CWB Small Business Digital Client Onboarding (DCO)</t>
  </si>
  <si>
    <t>Display number of product instances previously added to "cart"</t>
  </si>
  <si>
    <t>Numerical values 1 through 3</t>
  </si>
  <si>
    <t>1 digit</t>
  </si>
  <si>
    <r>
      <t xml:space="preserve">Are you sure you want to remove this account?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account</t>
    </r>
  </si>
  <si>
    <t>Business Digital Banking</t>
  </si>
  <si>
    <t>(no caption)</t>
  </si>
  <si>
    <t>Digital Banking included with all DCO applications - review page should always include this element</t>
  </si>
  <si>
    <t>See CWB design system for image asset.
Digital Banking included with all DCO applications - review page should always include this element</t>
  </si>
  <si>
    <t>Display image for Business Digital Banking</t>
  </si>
  <si>
    <t>End tile set</t>
  </si>
  <si>
    <t>Tile for Business Digital Banking (always show)</t>
  </si>
  <si>
    <t>Small business pages for SB DCO Sprint 8:
- 1. Welcome-Business (CWBSB-201)
- 2. Account Selection (CWBSB-200)
Accounts Product Specification (CWBSB-432)
Account Product Field Matrix (attached to Epic CWBSB-87)</t>
  </si>
  <si>
    <t>Product summary</t>
  </si>
  <si>
    <t>Your selected account</t>
  </si>
  <si>
    <t>If only one account product has been selected</t>
  </si>
  <si>
    <t>If &gt;1 account products have been selected</t>
  </si>
  <si>
    <t>Your &lt;&lt;n&gt;&gt; selected accounts</t>
  </si>
  <si>
    <t>Insert total number of account products selected in field &lt;&lt;n&gt;&gt;</t>
  </si>
  <si>
    <t>Display modal message only if 'Remove' link is clicked</t>
  </si>
  <si>
    <t>Your complementary business solution(s)</t>
  </si>
  <si>
    <t>Tile set for additional selected complementary (cash management) products/services. Show one tile composed of the following fields, for each business (cash management) product/service selected</t>
  </si>
  <si>
    <t>Tile set for selected accounts. Show one tile composed of the following fields, for each account in the applicant's cart</t>
  </si>
  <si>
    <r>
      <t xml:space="preserve">Are you sure you want to remove this product/service?
</t>
    </r>
    <r>
      <rPr>
        <u/>
        <sz val="11"/>
        <color theme="1"/>
        <rFont val="Calibri"/>
        <family val="2"/>
        <scheme val="minor"/>
      </rPr>
      <t>No, do not remove</t>
    </r>
    <r>
      <rPr>
        <sz val="11"/>
        <color theme="1"/>
        <rFont val="Calibri"/>
        <family val="2"/>
        <scheme val="minor"/>
      </rPr>
      <t xml:space="preserve">   </t>
    </r>
    <r>
      <rPr>
        <u/>
        <sz val="11"/>
        <color theme="1"/>
        <rFont val="Calibri"/>
        <family val="2"/>
        <scheme val="minor"/>
      </rPr>
      <t>Yes, remove this product/service</t>
    </r>
  </si>
  <si>
    <t>On click...
Display modal confirmation message 4.9</t>
  </si>
  <si>
    <t>IF selection = 'No, do not remove', close modal (no further action)
ELSE IF selection = 'Yes, remove this account', remove the account instance; remove the corresponding tile from the page, close the modal and reload the page</t>
  </si>
  <si>
    <t>IF selection = 'No, do not remove', close modal (no further action)
ELSE IF selection = 'Yes, remove this product/service', remove the selection; remove the corresponding tile from the page, close the modal and reload the page</t>
  </si>
  <si>
    <t>On click...
Display modal confirmation message 4.20</t>
  </si>
  <si>
    <r>
      <rPr>
        <sz val="11"/>
        <color theme="1"/>
        <rFont val="Calibri"/>
        <family val="2"/>
        <scheme val="minor"/>
      </rPr>
      <t>Need to add an account?</t>
    </r>
    <r>
      <rPr>
        <u/>
        <sz val="11"/>
        <color theme="1"/>
        <rFont val="Calibri"/>
        <family val="2"/>
        <scheme val="minor"/>
      </rPr>
      <t xml:space="preserve">
Go back to account selection</t>
    </r>
  </si>
  <si>
    <t>On click, navigate back to Account Selection (CWBSB-200).
Note: any prior selections that have not been removed by user should be retained.</t>
  </si>
  <si>
    <r>
      <rPr>
        <sz val="11"/>
        <color theme="1"/>
        <rFont val="Calibri"/>
        <family val="2"/>
        <scheme val="minor"/>
      </rPr>
      <t>Need to add a solution for your business?</t>
    </r>
    <r>
      <rPr>
        <u/>
        <sz val="11"/>
        <color theme="1"/>
        <rFont val="Calibri"/>
        <family val="2"/>
        <scheme val="minor"/>
      </rPr>
      <t xml:space="preserve">
Go back to complementary business solutions</t>
    </r>
  </si>
  <si>
    <t>On click, navigate back to Service Selection (CWBSB-202).
Note: any prior selections that have not been removed by user should be retained.</t>
  </si>
  <si>
    <t>Must be at least one account product selected (Tile Set 4.4-4.8) to continue.</t>
  </si>
  <si>
    <t>Quantity will be based on selection in Account Selection page (CWBSB-200). 
Quantity can be edited in this page if desired (valid values 1-3).</t>
  </si>
  <si>
    <t>You must select at least one account. Click "Go back to account selection" to choose an account.</t>
  </si>
  <si>
    <t>On click...
Navigate back to Service Selection (CWBSB-202)</t>
  </si>
  <si>
    <t>On click…
Validate that at least one account product instance is selected.
IF &gt;=1 account product instance is selected, navigate to Business eConsent (CWBSB-19)
ELSE display validation message and remain on page.</t>
  </si>
  <si>
    <t>2.1</t>
  </si>
  <si>
    <t>Added 4. Product Review page (CWBSB-199) for inclusion in Sprint 8.</t>
  </si>
  <si>
    <t>2.2</t>
  </si>
  <si>
    <t>DEPRECATED - Learn More will link to Sitecore web pages</t>
  </si>
  <si>
    <t>Tile set for filtered products: show one tile composed of the following fields, for each product in the category</t>
  </si>
  <si>
    <t>I'm interested</t>
  </si>
  <si>
    <t>Refer to CWB design system for image assets</t>
  </si>
  <si>
    <t>Display only when entering from guided questionnaire</t>
  </si>
  <si>
    <t>Display only when entering from guided questionnaire.
On click...
Add the product to the applicant's "cart" and increment product counter.</t>
  </si>
  <si>
    <t>Display only when entering from guided questionnaire.
On click, hyperlink to URL in Product Catalogue attribute "Product Link" (open in new tab)</t>
  </si>
  <si>
    <t>All solutions</t>
  </si>
  <si>
    <t>On page load, default "All solutions" and reveal all sections below.
On selection of filter values, show only the section selected.</t>
  </si>
  <si>
    <t>All solutions
Payment solutions
Receivable solutions
Credit Cards
Financing</t>
  </si>
  <si>
    <t>Select the type of solutions you are interested in.</t>
  </si>
  <si>
    <t>Other than "All solutions", enumerated values are defined in Product Specification (Product Type attribute)</t>
  </si>
  <si>
    <t>Tile set for recommended products: show one tile composed of the following fields, for each recommended product (based on questionnaire)</t>
  </si>
  <si>
    <t>End recommended products tile set</t>
  </si>
  <si>
    <t>On click, navigate to Product Review page (CWBSB-199)</t>
  </si>
  <si>
    <t>On click, display modal confirmation message 3.17</t>
  </si>
  <si>
    <r>
      <t xml:space="preserve">Are you sure? If you go back, you will lose the  selections you have made.
</t>
    </r>
    <r>
      <rPr>
        <u/>
        <sz val="11"/>
        <color theme="1"/>
        <rFont val="Calibri"/>
        <family val="2"/>
        <scheme val="minor"/>
      </rPr>
      <t>No, stay here</t>
    </r>
    <r>
      <rPr>
        <sz val="11"/>
        <color theme="1"/>
        <rFont val="Calibri"/>
        <family val="2"/>
        <scheme val="minor"/>
      </rPr>
      <t xml:space="preserve">   </t>
    </r>
    <r>
      <rPr>
        <u/>
        <sz val="11"/>
        <color theme="1"/>
        <rFont val="Calibri"/>
        <family val="2"/>
        <scheme val="minor"/>
      </rPr>
      <t>Yes, go back</t>
    </r>
    <r>
      <rPr>
        <sz val="11"/>
        <color theme="1"/>
        <rFont val="Calibri"/>
        <family val="2"/>
        <scheme val="minor"/>
      </rPr>
      <t xml:space="preserve">
</t>
    </r>
  </si>
  <si>
    <t>Back navigation TBC - depends if there is an interim page between accounts and complementary services sections</t>
  </si>
  <si>
    <t>Centre text and hyperlinks ('No, stay here' and 'Yes, go back') in modal.
IF user selects 'No, stay here' close modal and remain on page
ELSE IF user selects 'Yes, go back', remove complementary products/services from "cart", close modal and navigate to 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</si>
</sst>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0"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b/>
      <sz val="11"/>
      <color theme="0" tint="-4.9989318521683403E-2"/>
      <name val="Calibri"/>
      <family val="2"/>
      <scheme val="minor"/>
    </font>
    <font>
      <u/>
      <sz val="11"/>
      <color theme="1"/>
      <name val="Calibri"/>
      <family val="2"/>
      <scheme val="minor"/>
    </font>
    <font>
      <i/>
      <sz val="11"/>
      <color theme="1"/>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1" tint="0.34998626667073579"/>
        <bgColor indexed="64"/>
      </patternFill>
    </fill>
    <fill>
      <patternFill patternType="solid">
        <fgColor theme="5" tint="0.59999389629810485"/>
        <bgColor indexed="64"/>
      </patternFill>
    </fill>
  </fills>
  <borders count="14">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s>
  <cellStyleXfs count="1">
    <xf numFmtId="0" fontId="0" fillId="0" borderId="0"/>
  </cellStyleXfs>
  <cellXfs count="51">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quotePrefix="1"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applyFont="1" applyBorder="1" applyAlignment="1">
      <alignment vertical="center" wrapText="1"/>
    </xf>
    <xf numFmtId="0" fontId="0" fillId="0" borderId="9"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vertical="center"/>
    </xf>
    <xf numFmtId="0" fontId="0" fillId="0" borderId="6" xfId="0" applyBorder="1" applyAlignment="1">
      <alignment horizontal="center" vertical="center" wrapText="1"/>
    </xf>
    <xf numFmtId="0" fontId="0" fillId="0" borderId="0" xfId="0" applyFill="1" applyAlignment="1">
      <alignment vertical="center" wrapText="1"/>
    </xf>
    <xf numFmtId="0" fontId="7" fillId="5" borderId="0" xfId="0" applyFont="1" applyFill="1" applyAlignment="1">
      <alignment vertical="center" wrapText="1"/>
    </xf>
    <xf numFmtId="0" fontId="0" fillId="0" borderId="0" xfId="0" applyFont="1" applyAlignment="1">
      <alignment vertical="center" wrapText="1"/>
    </xf>
    <xf numFmtId="0" fontId="0" fillId="0" borderId="0" xfId="0" applyFont="1" applyFill="1" applyAlignment="1">
      <alignment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horizontal="center" vertical="center" wrapText="1"/>
    </xf>
    <xf numFmtId="0" fontId="1" fillId="3" borderId="11" xfId="0" applyFont="1" applyFill="1"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xf>
    <xf numFmtId="0" fontId="4" fillId="0" borderId="0" xfId="0" applyFont="1" applyAlignment="1">
      <alignment vertical="center" wrapText="1"/>
    </xf>
    <xf numFmtId="0" fontId="0" fillId="6" borderId="0" xfId="0" applyFont="1" applyFill="1" applyAlignment="1">
      <alignment vertical="center" wrapText="1"/>
    </xf>
    <xf numFmtId="0" fontId="6" fillId="0" borderId="0" xfId="0" applyFont="1" applyAlignment="1">
      <alignment horizontal="left" vertical="center"/>
    </xf>
    <xf numFmtId="0" fontId="0" fillId="0" borderId="0" xfId="0" applyFont="1" applyAlignment="1">
      <alignment horizontal="left" vertical="center" wrapText="1"/>
    </xf>
    <xf numFmtId="0" fontId="0" fillId="0" borderId="0" xfId="0" applyFont="1" applyFill="1" applyAlignment="1">
      <alignment horizontal="center" vertical="center" wrapText="1"/>
    </xf>
    <xf numFmtId="0" fontId="7" fillId="0" borderId="0" xfId="0" applyFont="1" applyFill="1" applyAlignment="1">
      <alignment vertical="center" wrapText="1"/>
    </xf>
    <xf numFmtId="0" fontId="5" fillId="0" borderId="0" xfId="0" applyFont="1" applyAlignment="1">
      <alignment horizontal="left" vertical="center"/>
    </xf>
    <xf numFmtId="0" fontId="8" fillId="0" borderId="0" xfId="0" applyFont="1" applyFill="1" applyAlignment="1">
      <alignment horizontal="left" vertical="center" wrapText="1"/>
    </xf>
    <xf numFmtId="0" fontId="7" fillId="5" borderId="0" xfId="0" applyFont="1" applyFill="1" applyAlignment="1">
      <alignment horizontal="left" vertical="center"/>
    </xf>
    <xf numFmtId="0" fontId="7" fillId="5" borderId="0" xfId="0" applyFont="1" applyFill="1" applyAlignment="1">
      <alignment horizontal="left" vertical="center" wrapText="1"/>
    </xf>
  </cellXfs>
  <cellStyles count="1">
    <cellStyle name="Normal" xfId="0" builtinId="0"/>
  </cellStyles>
  <dxfs count="462">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zoomScaleNormal="100" workbookViewId="0">
      <selection activeCell="C9" sqref="C9"/>
    </sheetView>
  </sheetViews>
  <sheetFormatPr defaultRowHeight="14.5" x14ac:dyDescent="0.35"/>
  <cols>
    <col min="1" max="1" width="19.81640625" customWidth="1"/>
    <col min="2" max="2" width="18.7265625" bestFit="1" customWidth="1"/>
    <col min="3" max="3" width="52.26953125" customWidth="1"/>
    <col min="4" max="6" width="21.54296875" customWidth="1"/>
    <col min="7" max="7" width="20.1796875" customWidth="1"/>
  </cols>
  <sheetData>
    <row r="1" spans="1:16" s="1" customFormat="1" ht="18.5" x14ac:dyDescent="0.35">
      <c r="A1" s="1" t="s">
        <v>274</v>
      </c>
      <c r="B1" s="2"/>
      <c r="C1" s="2"/>
      <c r="D1" s="2"/>
      <c r="E1" s="2"/>
      <c r="F1" s="2"/>
      <c r="G1" s="3"/>
      <c r="H1" s="2"/>
      <c r="I1" s="3"/>
      <c r="J1" s="3"/>
      <c r="K1" s="3"/>
      <c r="L1" s="2"/>
      <c r="M1" s="2"/>
      <c r="N1" s="2"/>
      <c r="O1" s="2"/>
      <c r="P1" s="2"/>
    </row>
    <row r="2" spans="1:16" s="1" customFormat="1" ht="18.5" x14ac:dyDescent="0.35">
      <c r="A2" s="1" t="s">
        <v>62</v>
      </c>
      <c r="B2" s="2"/>
      <c r="C2" s="2"/>
      <c r="D2" s="2"/>
      <c r="E2" s="2"/>
      <c r="F2" s="2"/>
      <c r="G2" s="3"/>
      <c r="H2" s="2"/>
      <c r="I2" s="3"/>
      <c r="J2" s="3"/>
      <c r="K2" s="3"/>
      <c r="L2" s="2"/>
      <c r="M2" s="2"/>
      <c r="N2" s="2"/>
      <c r="O2" s="2"/>
      <c r="P2" s="2"/>
    </row>
    <row r="3" spans="1:16" s="4" customFormat="1" x14ac:dyDescent="0.35">
      <c r="C3" s="5"/>
    </row>
    <row r="4" spans="1:16" ht="15" thickBot="1" x14ac:dyDescent="0.4"/>
    <row r="5" spans="1:16" s="10" customFormat="1" ht="15" thickBot="1" x14ac:dyDescent="0.4">
      <c r="A5" s="6" t="s">
        <v>2</v>
      </c>
      <c r="B5" s="7" t="s">
        <v>3</v>
      </c>
      <c r="C5" s="8" t="s">
        <v>4</v>
      </c>
      <c r="D5" s="7" t="s">
        <v>5</v>
      </c>
      <c r="E5" s="38" t="s">
        <v>61</v>
      </c>
      <c r="F5" s="9" t="s">
        <v>6</v>
      </c>
    </row>
    <row r="6" spans="1:16" s="4" customFormat="1" x14ac:dyDescent="0.35">
      <c r="A6" s="11" t="s">
        <v>63</v>
      </c>
      <c r="B6" s="12">
        <v>44054</v>
      </c>
      <c r="C6" s="13" t="s">
        <v>64</v>
      </c>
      <c r="D6" s="19" t="s">
        <v>1</v>
      </c>
      <c r="E6" s="39"/>
      <c r="F6" s="30"/>
    </row>
    <row r="7" spans="1:16" s="4" customFormat="1" ht="65" x14ac:dyDescent="0.35">
      <c r="A7" s="11" t="s">
        <v>174</v>
      </c>
      <c r="B7" s="12">
        <v>44244</v>
      </c>
      <c r="C7" s="13" t="s">
        <v>286</v>
      </c>
      <c r="D7" s="19" t="s">
        <v>216</v>
      </c>
      <c r="E7" s="39" t="s">
        <v>217</v>
      </c>
      <c r="F7" s="30"/>
    </row>
    <row r="8" spans="1:16" s="4" customFormat="1" ht="26" x14ac:dyDescent="0.35">
      <c r="A8" s="11" t="s">
        <v>311</v>
      </c>
      <c r="B8" s="12">
        <v>44245</v>
      </c>
      <c r="C8" s="13" t="s">
        <v>312</v>
      </c>
      <c r="D8" s="19" t="s">
        <v>216</v>
      </c>
      <c r="E8" s="39" t="s">
        <v>217</v>
      </c>
      <c r="F8" s="30"/>
    </row>
    <row r="9" spans="1:16" s="4" customFormat="1" x14ac:dyDescent="0.35">
      <c r="A9" s="11" t="s">
        <v>313</v>
      </c>
      <c r="B9" s="12"/>
      <c r="C9" s="13"/>
      <c r="D9" s="19"/>
      <c r="E9" s="39"/>
      <c r="F9" s="30"/>
    </row>
    <row r="10" spans="1:16" s="4" customFormat="1" x14ac:dyDescent="0.35">
      <c r="A10" s="11"/>
      <c r="B10" s="12"/>
      <c r="C10" s="13"/>
      <c r="D10" s="19"/>
      <c r="E10" s="39"/>
      <c r="F10" s="30"/>
    </row>
    <row r="11" spans="1:16" s="4" customFormat="1" x14ac:dyDescent="0.35">
      <c r="A11" s="11"/>
      <c r="B11" s="12"/>
      <c r="C11" s="13"/>
      <c r="D11" s="19"/>
      <c r="E11" s="39"/>
      <c r="F11" s="30"/>
    </row>
    <row r="12" spans="1:16" s="4" customFormat="1" ht="15" thickBot="1" x14ac:dyDescent="0.4">
      <c r="A12" s="14"/>
      <c r="B12" s="15"/>
      <c r="C12" s="16"/>
      <c r="D12" s="18"/>
      <c r="E12" s="40"/>
      <c r="F12" s="17"/>
    </row>
  </sheetData>
  <conditionalFormatting sqref="I1:J2">
    <cfRule type="cellIs" dxfId="461" priority="10" operator="equal">
      <formula>"Not Applicable"</formula>
    </cfRule>
    <cfRule type="cellIs" dxfId="460" priority="11" operator="equal">
      <formula>"4 - Future Initiative (out of scope)"</formula>
    </cfRule>
    <cfRule type="cellIs" dxfId="459" priority="12" operator="equal">
      <formula>"3 - Desirable (Nice To Have)"</formula>
    </cfRule>
    <cfRule type="cellIs" dxfId="458" priority="13" operator="equal">
      <formula>"2 - Recommended (Best Practice)"</formula>
    </cfRule>
    <cfRule type="cellIs" dxfId="457" priority="14" operator="equal">
      <formula>"1 - Mandatory (Must Have)"</formula>
    </cfRule>
  </conditionalFormatting>
  <conditionalFormatting sqref="G1:G2">
    <cfRule type="cellIs" dxfId="456" priority="8" operator="equal">
      <formula>"Non-functional"</formula>
    </cfRule>
    <cfRule type="cellIs" dxfId="455"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8"/>
  <sheetViews>
    <sheetView workbookViewId="0">
      <selection activeCell="A22" sqref="A22"/>
    </sheetView>
  </sheetViews>
  <sheetFormatPr defaultRowHeight="14.5" x14ac:dyDescent="0.35"/>
  <cols>
    <col min="1" max="1" width="47.26953125" bestFit="1" customWidth="1"/>
    <col min="2" max="2" width="25.54296875" customWidth="1"/>
  </cols>
  <sheetData>
    <row r="1" spans="1:15" s="1" customFormat="1" ht="18.5" x14ac:dyDescent="0.35">
      <c r="A1" s="1" t="s">
        <v>0</v>
      </c>
      <c r="B1" s="2"/>
      <c r="C1" s="2"/>
      <c r="D1" s="2"/>
      <c r="E1" s="2"/>
      <c r="F1" s="3"/>
      <c r="G1" s="2"/>
      <c r="H1" s="3"/>
      <c r="I1" s="3"/>
      <c r="J1" s="3"/>
      <c r="K1" s="2"/>
      <c r="L1" s="2"/>
      <c r="M1" s="2"/>
      <c r="N1" s="2"/>
      <c r="O1" s="2"/>
    </row>
    <row r="2" spans="1:15" s="1" customFormat="1" ht="18.5" x14ac:dyDescent="0.35">
      <c r="A2" s="1" t="s">
        <v>60</v>
      </c>
      <c r="B2" s="2"/>
      <c r="C2" s="2"/>
      <c r="D2" s="2"/>
      <c r="E2" s="2"/>
      <c r="F2" s="3"/>
      <c r="G2" s="2"/>
      <c r="H2" s="3"/>
      <c r="I2" s="3"/>
      <c r="J2" s="3"/>
      <c r="K2" s="2"/>
      <c r="L2" s="2"/>
      <c r="M2" s="2"/>
      <c r="N2" s="2"/>
      <c r="O2" s="2"/>
    </row>
    <row r="4" spans="1:15" s="20" customFormat="1" x14ac:dyDescent="0.35">
      <c r="A4" s="20" t="s">
        <v>26</v>
      </c>
      <c r="B4" s="20" t="s">
        <v>36</v>
      </c>
    </row>
    <row r="5" spans="1:15" x14ac:dyDescent="0.35">
      <c r="A5" t="s">
        <v>40</v>
      </c>
      <c r="B5" t="s">
        <v>39</v>
      </c>
    </row>
    <row r="6" spans="1:15" x14ac:dyDescent="0.35">
      <c r="A6" t="s">
        <v>28</v>
      </c>
      <c r="B6" t="s">
        <v>37</v>
      </c>
    </row>
    <row r="7" spans="1:15" x14ac:dyDescent="0.35">
      <c r="A7" t="s">
        <v>44</v>
      </c>
      <c r="B7" t="s">
        <v>38</v>
      </c>
    </row>
    <row r="8" spans="1:15" x14ac:dyDescent="0.35">
      <c r="A8" t="s">
        <v>53</v>
      </c>
      <c r="B8" t="s">
        <v>35</v>
      </c>
    </row>
    <row r="9" spans="1:15" x14ac:dyDescent="0.35">
      <c r="A9" t="s">
        <v>46</v>
      </c>
      <c r="B9" t="s">
        <v>42</v>
      </c>
    </row>
    <row r="10" spans="1:15" x14ac:dyDescent="0.35">
      <c r="A10" t="s">
        <v>33</v>
      </c>
    </row>
    <row r="11" spans="1:15" x14ac:dyDescent="0.35">
      <c r="A11" t="s">
        <v>59</v>
      </c>
    </row>
    <row r="12" spans="1:15" x14ac:dyDescent="0.35">
      <c r="A12" t="s">
        <v>58</v>
      </c>
    </row>
    <row r="13" spans="1:15" x14ac:dyDescent="0.35">
      <c r="A13" t="s">
        <v>52</v>
      </c>
    </row>
    <row r="14" spans="1:15" x14ac:dyDescent="0.35">
      <c r="A14" t="s">
        <v>50</v>
      </c>
    </row>
    <row r="15" spans="1:15" x14ac:dyDescent="0.35">
      <c r="A15" t="s">
        <v>48</v>
      </c>
    </row>
    <row r="16" spans="1:15" x14ac:dyDescent="0.35">
      <c r="A16" t="s">
        <v>43</v>
      </c>
    </row>
    <row r="17" spans="1:1" x14ac:dyDescent="0.35">
      <c r="A17" t="s">
        <v>86</v>
      </c>
    </row>
    <row r="18" spans="1:1" x14ac:dyDescent="0.35">
      <c r="A18" t="s">
        <v>87</v>
      </c>
    </row>
    <row r="19" spans="1:1" x14ac:dyDescent="0.35">
      <c r="A19" t="s">
        <v>30</v>
      </c>
    </row>
    <row r="20" spans="1:1" x14ac:dyDescent="0.35">
      <c r="A20" t="s">
        <v>29</v>
      </c>
    </row>
    <row r="21" spans="1:1" x14ac:dyDescent="0.35">
      <c r="A21" t="s">
        <v>49</v>
      </c>
    </row>
    <row r="22" spans="1:1" x14ac:dyDescent="0.35">
      <c r="A22" t="s">
        <v>27</v>
      </c>
    </row>
    <row r="23" spans="1:1" x14ac:dyDescent="0.35">
      <c r="A23" t="s">
        <v>47</v>
      </c>
    </row>
    <row r="24" spans="1:1" x14ac:dyDescent="0.35">
      <c r="A24" t="s">
        <v>32</v>
      </c>
    </row>
    <row r="25" spans="1:1" x14ac:dyDescent="0.35">
      <c r="A25" t="s">
        <v>34</v>
      </c>
    </row>
    <row r="26" spans="1:1" x14ac:dyDescent="0.35">
      <c r="A26" t="s">
        <v>31</v>
      </c>
    </row>
    <row r="27" spans="1:1" x14ac:dyDescent="0.35">
      <c r="A27" t="s">
        <v>45</v>
      </c>
    </row>
    <row r="28" spans="1:1" x14ac:dyDescent="0.35">
      <c r="A28" t="s">
        <v>51</v>
      </c>
    </row>
  </sheetData>
  <sortState ref="A5:A15">
    <sortCondition ref="A16"/>
  </sortState>
  <conditionalFormatting sqref="H1:I2">
    <cfRule type="cellIs" dxfId="454" priority="3" operator="equal">
      <formula>"Not Applicable"</formula>
    </cfRule>
    <cfRule type="cellIs" dxfId="453" priority="4" operator="equal">
      <formula>"4 - Future Initiative (out of scope)"</formula>
    </cfRule>
    <cfRule type="cellIs" dxfId="452" priority="5" operator="equal">
      <formula>"3 - Desirable (Nice To Have)"</formula>
    </cfRule>
    <cfRule type="cellIs" dxfId="451" priority="6" operator="equal">
      <formula>"2 - Recommended (Best Practice)"</formula>
    </cfRule>
    <cfRule type="cellIs" dxfId="450" priority="7" operator="equal">
      <formula>"1 - Mandatory (Must Have)"</formula>
    </cfRule>
  </conditionalFormatting>
  <conditionalFormatting sqref="F1:F2">
    <cfRule type="cellIs" dxfId="449" priority="1" operator="equal">
      <formula>"Non-functional"</formula>
    </cfRule>
    <cfRule type="cellIs" dxfId="448"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12"/>
  <sheetViews>
    <sheetView workbookViewId="0">
      <pane xSplit="4" ySplit="6" topLeftCell="E7" activePane="bottomRight" state="frozen"/>
      <selection pane="topRight" activeCell="E1" sqref="E1"/>
      <selection pane="bottomLeft" activeCell="A7" sqref="A7"/>
      <selection pane="bottomRight" activeCell="A12" sqref="A1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215</v>
      </c>
      <c r="C1" s="25"/>
      <c r="D1" s="22"/>
      <c r="F1" s="41"/>
      <c r="H1" s="27"/>
    </row>
    <row r="2" spans="1:16" s="23" customFormat="1" ht="18.5" x14ac:dyDescent="0.35">
      <c r="A2" s="21" t="s">
        <v>8</v>
      </c>
      <c r="B2" s="28">
        <v>1</v>
      </c>
      <c r="C2" s="27"/>
      <c r="D2" s="28"/>
      <c r="F2" s="41"/>
      <c r="H2" s="27"/>
    </row>
    <row r="3" spans="1:16" s="23" customFormat="1" ht="18.5" x14ac:dyDescent="0.35">
      <c r="A3" s="21" t="s">
        <v>41</v>
      </c>
      <c r="B3" s="28" t="s">
        <v>204</v>
      </c>
      <c r="C3" s="27"/>
      <c r="D3" s="28" t="s">
        <v>218</v>
      </c>
      <c r="F3" s="41"/>
      <c r="H3" s="27"/>
    </row>
    <row r="4" spans="1:16" s="23" customFormat="1" ht="18.5" x14ac:dyDescent="0.35">
      <c r="A4" s="21" t="s">
        <v>9</v>
      </c>
      <c r="B4" s="23" t="s">
        <v>191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2" si="0">CONCATENATE($B$2, ".", A7)</f>
        <v>1.1</v>
      </c>
      <c r="C7" s="37" t="s">
        <v>39</v>
      </c>
      <c r="D7" s="33" t="s">
        <v>190</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1.2</v>
      </c>
      <c r="C8" s="37" t="s">
        <v>39</v>
      </c>
      <c r="D8" s="34" t="s">
        <v>208</v>
      </c>
      <c r="E8" s="34" t="s">
        <v>27</v>
      </c>
      <c r="F8" s="33" t="s">
        <v>55</v>
      </c>
      <c r="G8" s="33" t="s">
        <v>55</v>
      </c>
      <c r="H8" s="37" t="s">
        <v>55</v>
      </c>
      <c r="I8" s="34" t="s">
        <v>54</v>
      </c>
      <c r="J8" s="33" t="s">
        <v>55</v>
      </c>
      <c r="K8" s="33" t="s">
        <v>55</v>
      </c>
      <c r="L8" s="33" t="s">
        <v>55</v>
      </c>
      <c r="M8" s="33" t="s">
        <v>55</v>
      </c>
      <c r="N8" s="33" t="s">
        <v>55</v>
      </c>
    </row>
    <row r="9" spans="1:16" ht="58" x14ac:dyDescent="0.35">
      <c r="A9" s="33">
        <v>3</v>
      </c>
      <c r="B9" s="33" t="str">
        <f t="shared" si="0"/>
        <v>1.3</v>
      </c>
      <c r="C9" s="37" t="s">
        <v>39</v>
      </c>
      <c r="D9" s="34" t="s">
        <v>214</v>
      </c>
      <c r="E9" s="34" t="s">
        <v>32</v>
      </c>
      <c r="F9" s="33" t="s">
        <v>55</v>
      </c>
      <c r="G9" s="33" t="s">
        <v>55</v>
      </c>
      <c r="H9" s="37" t="s">
        <v>55</v>
      </c>
      <c r="I9" s="34" t="s">
        <v>54</v>
      </c>
      <c r="J9" s="33" t="s">
        <v>55</v>
      </c>
      <c r="K9" s="33" t="s">
        <v>55</v>
      </c>
      <c r="L9" s="33" t="s">
        <v>55</v>
      </c>
      <c r="M9" s="33" t="s">
        <v>55</v>
      </c>
      <c r="N9" s="33" t="s">
        <v>55</v>
      </c>
    </row>
    <row r="10" spans="1:16" x14ac:dyDescent="0.35">
      <c r="A10" s="33">
        <v>4</v>
      </c>
      <c r="B10" s="33" t="str">
        <f t="shared" si="0"/>
        <v>1.4</v>
      </c>
      <c r="C10" s="37" t="s">
        <v>39</v>
      </c>
      <c r="D10" s="34" t="s">
        <v>209</v>
      </c>
      <c r="E10" s="34" t="s">
        <v>27</v>
      </c>
      <c r="F10" s="33" t="s">
        <v>55</v>
      </c>
      <c r="G10" s="33" t="s">
        <v>55</v>
      </c>
      <c r="H10" s="37" t="s">
        <v>55</v>
      </c>
      <c r="I10" s="34" t="s">
        <v>54</v>
      </c>
      <c r="J10" s="33" t="s">
        <v>55</v>
      </c>
      <c r="K10" s="33" t="s">
        <v>55</v>
      </c>
      <c r="L10" s="33" t="s">
        <v>55</v>
      </c>
      <c r="M10" s="33" t="s">
        <v>55</v>
      </c>
      <c r="N10" s="33" t="s">
        <v>55</v>
      </c>
    </row>
    <row r="11" spans="1:16" ht="43.5" x14ac:dyDescent="0.35">
      <c r="A11" s="33">
        <v>5</v>
      </c>
      <c r="B11" s="33" t="str">
        <f t="shared" si="0"/>
        <v>1.5</v>
      </c>
      <c r="C11" s="37" t="s">
        <v>39</v>
      </c>
      <c r="D11" s="34" t="s">
        <v>76</v>
      </c>
      <c r="E11" s="33" t="s">
        <v>40</v>
      </c>
      <c r="F11" s="33" t="s">
        <v>210</v>
      </c>
      <c r="G11" s="33" t="s">
        <v>55</v>
      </c>
      <c r="H11" s="37" t="s">
        <v>55</v>
      </c>
      <c r="I11" s="34" t="s">
        <v>54</v>
      </c>
      <c r="J11" s="33" t="s">
        <v>55</v>
      </c>
      <c r="K11" s="33" t="s">
        <v>55</v>
      </c>
      <c r="L11" s="33" t="s">
        <v>55</v>
      </c>
      <c r="M11" s="33" t="s">
        <v>55</v>
      </c>
      <c r="N11" s="33" t="s">
        <v>55</v>
      </c>
      <c r="O11" s="31" t="s">
        <v>212</v>
      </c>
      <c r="P11" s="33" t="s">
        <v>211</v>
      </c>
    </row>
    <row r="12" spans="1:16" ht="58" x14ac:dyDescent="0.35">
      <c r="A12" s="33">
        <v>6</v>
      </c>
      <c r="B12" s="33" t="str">
        <f t="shared" si="0"/>
        <v>1.6</v>
      </c>
      <c r="C12" s="37" t="s">
        <v>39</v>
      </c>
      <c r="D12" s="33" t="s">
        <v>77</v>
      </c>
      <c r="E12" s="33" t="s">
        <v>40</v>
      </c>
      <c r="F12" s="33" t="s">
        <v>210</v>
      </c>
      <c r="G12" s="33" t="s">
        <v>55</v>
      </c>
      <c r="H12" s="37" t="s">
        <v>55</v>
      </c>
      <c r="I12" s="34" t="s">
        <v>54</v>
      </c>
      <c r="J12" s="33" t="s">
        <v>55</v>
      </c>
      <c r="K12" s="33" t="s">
        <v>55</v>
      </c>
      <c r="L12" s="33" t="s">
        <v>55</v>
      </c>
      <c r="M12" s="33" t="s">
        <v>55</v>
      </c>
      <c r="N12" s="33" t="s">
        <v>55</v>
      </c>
      <c r="O12" s="33" t="s">
        <v>213</v>
      </c>
      <c r="P12" s="33" t="s">
        <v>211</v>
      </c>
    </row>
  </sheetData>
  <autoFilter ref="A6:P6"/>
  <conditionalFormatting sqref="C13:C1048576 C7:C11">
    <cfRule type="cellIs" dxfId="447" priority="10" operator="equal">
      <formula>"WIP (see comments)"</formula>
    </cfRule>
    <cfRule type="cellIs" dxfId="446" priority="11" operator="equal">
      <formula>"Removed"</formula>
    </cfRule>
    <cfRule type="cellIs" dxfId="445" priority="12" operator="equal">
      <formula>"Updated"</formula>
    </cfRule>
    <cfRule type="cellIs" dxfId="444" priority="13" operator="equal">
      <formula>"New"</formula>
    </cfRule>
  </conditionalFormatting>
  <conditionalFormatting sqref="D7:D10">
    <cfRule type="cellIs" dxfId="443" priority="9" operator="equal">
      <formula>"-"</formula>
    </cfRule>
  </conditionalFormatting>
  <conditionalFormatting sqref="P11:XFD11 A11:N11 A7:XFD10">
    <cfRule type="cellIs" dxfId="442" priority="8" operator="equal">
      <formula>"n/a"</formula>
    </cfRule>
  </conditionalFormatting>
  <conditionalFormatting sqref="O11">
    <cfRule type="cellIs" dxfId="441" priority="7" operator="equal">
      <formula>"n/a"</formula>
    </cfRule>
  </conditionalFormatting>
  <conditionalFormatting sqref="C12">
    <cfRule type="cellIs" dxfId="440" priority="2" operator="equal">
      <formula>"WIP (see comments)"</formula>
    </cfRule>
    <cfRule type="cellIs" dxfId="439" priority="3" operator="equal">
      <formula>"Removed"</formula>
    </cfRule>
    <cfRule type="cellIs" dxfId="438" priority="4" operator="equal">
      <formula>"Updated"</formula>
    </cfRule>
    <cfRule type="cellIs" dxfId="437" priority="5" operator="equal">
      <formula>"New"</formula>
    </cfRule>
  </conditionalFormatting>
  <conditionalFormatting sqref="B12:C12 E12:N12">
    <cfRule type="cellIs" dxfId="43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E7" activePane="bottomRight" state="frozen"/>
      <selection pane="topRight" activeCell="E1" sqref="E1"/>
      <selection pane="bottomLeft" activeCell="A7" sqref="A7"/>
      <selection pane="bottomRight" activeCell="D1" sqref="D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189</v>
      </c>
      <c r="F1" s="41"/>
      <c r="H1" s="27"/>
    </row>
    <row r="2" spans="1:16" s="23" customFormat="1" ht="18.5" x14ac:dyDescent="0.35">
      <c r="A2" s="21" t="s">
        <v>8</v>
      </c>
      <c r="B2" s="28" t="s">
        <v>130</v>
      </c>
      <c r="C2" s="27"/>
      <c r="D2" s="28"/>
      <c r="F2" s="41"/>
      <c r="H2" s="27"/>
    </row>
    <row r="3" spans="1:16" s="23" customFormat="1" ht="18.5" x14ac:dyDescent="0.35">
      <c r="A3" s="21" t="s">
        <v>41</v>
      </c>
      <c r="B3" s="28"/>
      <c r="C3" s="27"/>
      <c r="D3" s="28"/>
      <c r="F3" s="41"/>
      <c r="H3" s="27"/>
    </row>
    <row r="4" spans="1:16" s="23" customFormat="1" ht="18.5" x14ac:dyDescent="0.35">
      <c r="A4" s="21" t="s">
        <v>9</v>
      </c>
      <c r="B4" s="23" t="s">
        <v>173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Q-SB1.2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Q-SB1.3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Q-SB1.4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Q-SB1.5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Q-SB1.6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Q-SB1.6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Q-SB1.7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Q-SB1.8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435" priority="15" operator="equal">
      <formula>"WIP (see comments)"</formula>
    </cfRule>
    <cfRule type="cellIs" dxfId="434" priority="16" operator="equal">
      <formula>"Removed"</formula>
    </cfRule>
    <cfRule type="cellIs" dxfId="433" priority="17" operator="equal">
      <formula>"Updated"</formula>
    </cfRule>
    <cfRule type="cellIs" dxfId="432" priority="18" operator="equal">
      <formula>"New"</formula>
    </cfRule>
  </conditionalFormatting>
  <conditionalFormatting sqref="D7:D9 D11:D13">
    <cfRule type="cellIs" dxfId="431" priority="14" operator="equal">
      <formula>"-"</formula>
    </cfRule>
  </conditionalFormatting>
  <conditionalFormatting sqref="P15:XFD15 A11:L11 A15:N15 N11:XFD11 B16:C17 E16:N17 A13:C13 N13:XFD13 K12:L13 A7:XFD9 E13:J13 D12:D13">
    <cfRule type="cellIs" dxfId="430" priority="13" operator="equal">
      <formula>"n/a"</formula>
    </cfRule>
  </conditionalFormatting>
  <conditionalFormatting sqref="O15">
    <cfRule type="cellIs" dxfId="429" priority="12" operator="equal">
      <formula>"n/a"</formula>
    </cfRule>
  </conditionalFormatting>
  <conditionalFormatting sqref="M11 M13">
    <cfRule type="cellIs" dxfId="428" priority="11" operator="equal">
      <formula>"n/a"</formula>
    </cfRule>
  </conditionalFormatting>
  <conditionalFormatting sqref="F10:XFD10">
    <cfRule type="cellIs" dxfId="427" priority="10" operator="equal">
      <formula>"n/a"</formula>
    </cfRule>
  </conditionalFormatting>
  <conditionalFormatting sqref="F14:XFD14 A14">
    <cfRule type="cellIs" dxfId="426" priority="9" operator="equal">
      <formula>"n/a"</formula>
    </cfRule>
  </conditionalFormatting>
  <conditionalFormatting sqref="C12">
    <cfRule type="cellIs" dxfId="425" priority="5" operator="equal">
      <formula>"WIP (see comments)"</formula>
    </cfRule>
    <cfRule type="cellIs" dxfId="424" priority="6" operator="equal">
      <formula>"Removed"</formula>
    </cfRule>
    <cfRule type="cellIs" dxfId="423" priority="7" operator="equal">
      <formula>"Updated"</formula>
    </cfRule>
    <cfRule type="cellIs" dxfId="422" priority="8" operator="equal">
      <formula>"New"</formula>
    </cfRule>
  </conditionalFormatting>
  <conditionalFormatting sqref="A12:C12 N12:XFD12 E12:J12">
    <cfRule type="cellIs" dxfId="421" priority="3" operator="equal">
      <formula>"n/a"</formula>
    </cfRule>
  </conditionalFormatting>
  <conditionalFormatting sqref="M12">
    <cfRule type="cellIs" dxfId="420" priority="2" operator="equal">
      <formula>"n/a"</formula>
    </cfRule>
  </conditionalFormatting>
  <conditionalFormatting sqref="A10">
    <cfRule type="cellIs" dxfId="4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C11:C13 C15:C1048576 C7:C9</xm:sqref>
        </x14:dataValidation>
        <x14:dataValidation type="list" allowBlank="1" showInputMessage="1" showErrorMessage="1">
          <x14:formula1>
            <xm:f>'List Values'!$A$5:$A$31</xm:f>
          </x14:formula1>
          <xm:sqref>E7:E1048576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xSplit="4" ySplit="6" topLeftCell="E7" activePane="bottomRight" state="frozen"/>
      <selection pane="topRight" activeCell="E1" sqref="E1"/>
      <selection pane="bottomLeft" activeCell="A7" sqref="A7"/>
      <selection pane="bottomRight" activeCell="D2" sqref="D2"/>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189</v>
      </c>
      <c r="F1" s="41"/>
      <c r="H1" s="27"/>
    </row>
    <row r="2" spans="1:16" s="23" customFormat="1" ht="18.5" x14ac:dyDescent="0.35">
      <c r="A2" s="21" t="s">
        <v>8</v>
      </c>
      <c r="B2" s="28" t="s">
        <v>177</v>
      </c>
      <c r="C2" s="27"/>
      <c r="D2" s="28"/>
      <c r="F2" s="41"/>
      <c r="H2" s="27"/>
    </row>
    <row r="3" spans="1:16" s="23" customFormat="1" ht="18.5" x14ac:dyDescent="0.35">
      <c r="A3" s="21" t="s">
        <v>41</v>
      </c>
      <c r="B3" s="28"/>
      <c r="C3" s="27"/>
      <c r="D3" s="28"/>
      <c r="F3" s="41"/>
      <c r="H3" s="27"/>
    </row>
    <row r="4" spans="1:16" s="23" customFormat="1" ht="18.5" x14ac:dyDescent="0.35">
      <c r="A4" s="21" t="s">
        <v>9</v>
      </c>
      <c r="B4" s="23" t="s">
        <v>173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Q-SB2.1</v>
      </c>
      <c r="C7" s="37" t="s">
        <v>39</v>
      </c>
      <c r="D7" s="33" t="s">
        <v>175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Q-SB2.2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Q-SB2.3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Q-SB2.4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Q-SB2.5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Q-SB2.6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Q-SB2.6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Q-SB2.7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Q-SB2.8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418" priority="14" operator="equal">
      <formula>"WIP (see comments)"</formula>
    </cfRule>
    <cfRule type="cellIs" dxfId="417" priority="15" operator="equal">
      <formula>"Removed"</formula>
    </cfRule>
    <cfRule type="cellIs" dxfId="416" priority="16" operator="equal">
      <formula>"Updated"</formula>
    </cfRule>
    <cfRule type="cellIs" dxfId="415" priority="17" operator="equal">
      <formula>"New"</formula>
    </cfRule>
  </conditionalFormatting>
  <conditionalFormatting sqref="D7:D9 D11:D13">
    <cfRule type="cellIs" dxfId="414" priority="13" operator="equal">
      <formula>"-"</formula>
    </cfRule>
  </conditionalFormatting>
  <conditionalFormatting sqref="P15:XFD15 A11:L11 A15:N15 N11:XFD11 B16:C17 E16:N17 A13:C13 N13:XFD13 K12:L13 A7:XFD9 E13:J13 D12:D13">
    <cfRule type="cellIs" dxfId="413" priority="12" operator="equal">
      <formula>"n/a"</formula>
    </cfRule>
  </conditionalFormatting>
  <conditionalFormatting sqref="O15">
    <cfRule type="cellIs" dxfId="412" priority="11" operator="equal">
      <formula>"n/a"</formula>
    </cfRule>
  </conditionalFormatting>
  <conditionalFormatting sqref="M11 M13">
    <cfRule type="cellIs" dxfId="411" priority="10" operator="equal">
      <formula>"n/a"</formula>
    </cfRule>
  </conditionalFormatting>
  <conditionalFormatting sqref="F10:XFD10">
    <cfRule type="cellIs" dxfId="410" priority="9" operator="equal">
      <formula>"n/a"</formula>
    </cfRule>
  </conditionalFormatting>
  <conditionalFormatting sqref="F14:XFD14 A14">
    <cfRule type="cellIs" dxfId="409" priority="8" operator="equal">
      <formula>"n/a"</formula>
    </cfRule>
  </conditionalFormatting>
  <conditionalFormatting sqref="C12">
    <cfRule type="cellIs" dxfId="408" priority="4" operator="equal">
      <formula>"WIP (see comments)"</formula>
    </cfRule>
    <cfRule type="cellIs" dxfId="407" priority="5" operator="equal">
      <formula>"Removed"</formula>
    </cfRule>
    <cfRule type="cellIs" dxfId="406" priority="6" operator="equal">
      <formula>"Updated"</formula>
    </cfRule>
    <cfRule type="cellIs" dxfId="405" priority="7" operator="equal">
      <formula>"New"</formula>
    </cfRule>
  </conditionalFormatting>
  <conditionalFormatting sqref="A12:C12 N12:XFD12 E12:J12">
    <cfRule type="cellIs" dxfId="404" priority="3" operator="equal">
      <formula>"n/a"</formula>
    </cfRule>
  </conditionalFormatting>
  <conditionalFormatting sqref="M12">
    <cfRule type="cellIs" dxfId="403" priority="2" operator="equal">
      <formula>"n/a"</formula>
    </cfRule>
  </conditionalFormatting>
  <conditionalFormatting sqref="A10">
    <cfRule type="cellIs" dxfId="40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C11:C13 C15:C1048576 C7:C9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53"/>
  <sheetViews>
    <sheetView zoomScaleNormal="100" workbookViewId="0">
      <pane xSplit="4" ySplit="6" topLeftCell="M43" activePane="bottomRight" state="frozen"/>
      <selection pane="topRight" activeCell="E1" sqref="E1"/>
      <selection pane="bottomLeft" activeCell="A7" sqref="A7"/>
      <selection pane="bottomRight" activeCell="A51" sqref="A51:P5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136</v>
      </c>
      <c r="C1" s="25"/>
      <c r="D1" s="22"/>
      <c r="F1" s="41"/>
      <c r="H1" s="27"/>
    </row>
    <row r="2" spans="1:16" s="23" customFormat="1" ht="18.5" x14ac:dyDescent="0.35">
      <c r="A2" s="21" t="s">
        <v>8</v>
      </c>
      <c r="B2" s="28">
        <v>2</v>
      </c>
      <c r="C2" s="27"/>
      <c r="D2" s="28" t="s">
        <v>272</v>
      </c>
      <c r="F2" s="41"/>
      <c r="H2" s="27"/>
    </row>
    <row r="3" spans="1:16" s="23" customFormat="1" ht="18.5" x14ac:dyDescent="0.35">
      <c r="A3" s="21" t="s">
        <v>41</v>
      </c>
      <c r="B3" s="28" t="s">
        <v>192</v>
      </c>
      <c r="C3" s="27"/>
      <c r="D3" s="28" t="s">
        <v>218</v>
      </c>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s="32" customFormat="1" ht="15" customHeight="1" x14ac:dyDescent="0.35">
      <c r="A7" s="50" t="s">
        <v>196</v>
      </c>
      <c r="B7" s="50"/>
      <c r="C7" s="50"/>
      <c r="D7" s="50"/>
      <c r="E7" s="50"/>
      <c r="F7" s="50"/>
    </row>
    <row r="8" spans="1:16" ht="29" x14ac:dyDescent="0.35">
      <c r="A8" s="33">
        <v>1</v>
      </c>
      <c r="B8" s="33" t="str">
        <f>CONCATENATE($B$2, ".", A8)</f>
        <v>2.1</v>
      </c>
      <c r="C8" s="37" t="s">
        <v>39</v>
      </c>
      <c r="D8" s="34" t="s">
        <v>147</v>
      </c>
      <c r="E8" s="34" t="s">
        <v>49</v>
      </c>
      <c r="F8" s="33" t="s">
        <v>55</v>
      </c>
      <c r="G8" s="33" t="s">
        <v>55</v>
      </c>
      <c r="H8" s="37" t="s">
        <v>55</v>
      </c>
      <c r="I8" s="34" t="s">
        <v>197</v>
      </c>
      <c r="J8" s="33" t="s">
        <v>55</v>
      </c>
      <c r="K8" s="33" t="s">
        <v>55</v>
      </c>
      <c r="L8" s="33" t="s">
        <v>55</v>
      </c>
      <c r="M8" s="34" t="s">
        <v>55</v>
      </c>
      <c r="N8" s="33" t="s">
        <v>55</v>
      </c>
    </row>
    <row r="9" spans="1:16" s="32" customFormat="1" ht="15" customHeight="1" x14ac:dyDescent="0.35">
      <c r="A9" s="50" t="s">
        <v>199</v>
      </c>
      <c r="B9" s="50"/>
      <c r="C9" s="50"/>
      <c r="D9" s="50"/>
      <c r="E9" s="50"/>
      <c r="F9" s="50"/>
    </row>
    <row r="10" spans="1:16" ht="29" x14ac:dyDescent="0.35">
      <c r="A10" s="33">
        <v>2</v>
      </c>
      <c r="B10" s="33" t="str">
        <f t="shared" ref="B10:B15" si="0">CONCATENATE($B$2, ".", A10)</f>
        <v>2.2</v>
      </c>
      <c r="C10" s="37" t="s">
        <v>39</v>
      </c>
      <c r="D10" s="34" t="s">
        <v>148</v>
      </c>
      <c r="E10" s="34" t="s">
        <v>48</v>
      </c>
      <c r="F10" s="33" t="s">
        <v>55</v>
      </c>
      <c r="G10" s="33" t="s">
        <v>55</v>
      </c>
      <c r="H10" s="37" t="s">
        <v>55</v>
      </c>
      <c r="I10" s="34" t="s">
        <v>197</v>
      </c>
      <c r="J10" s="33" t="s">
        <v>55</v>
      </c>
      <c r="K10" s="33" t="s">
        <v>55</v>
      </c>
      <c r="L10" s="33" t="s">
        <v>55</v>
      </c>
      <c r="M10" s="34" t="s">
        <v>55</v>
      </c>
      <c r="N10" s="33" t="s">
        <v>55</v>
      </c>
    </row>
    <row r="11" spans="1:16" ht="29" x14ac:dyDescent="0.35">
      <c r="A11" s="33">
        <v>3</v>
      </c>
      <c r="B11" s="33" t="str">
        <f>CONCATENATE($B$2, ".", A11)</f>
        <v>2.3</v>
      </c>
      <c r="C11" s="37" t="s">
        <v>39</v>
      </c>
      <c r="D11" s="34" t="s">
        <v>149</v>
      </c>
      <c r="E11" s="34" t="s">
        <v>27</v>
      </c>
      <c r="F11" s="33" t="s">
        <v>55</v>
      </c>
      <c r="G11" s="33" t="s">
        <v>55</v>
      </c>
      <c r="H11" s="37" t="s">
        <v>55</v>
      </c>
      <c r="I11" s="34" t="s">
        <v>197</v>
      </c>
      <c r="J11" s="33" t="s">
        <v>55</v>
      </c>
      <c r="K11" s="33" t="s">
        <v>55</v>
      </c>
      <c r="L11" s="33" t="s">
        <v>55</v>
      </c>
      <c r="M11" s="34" t="s">
        <v>55</v>
      </c>
      <c r="N11" s="33" t="s">
        <v>55</v>
      </c>
    </row>
    <row r="12" spans="1:16" ht="29" x14ac:dyDescent="0.35">
      <c r="A12" s="33">
        <v>4</v>
      </c>
      <c r="B12" s="33" t="str">
        <f t="shared" si="0"/>
        <v>2.4</v>
      </c>
      <c r="C12" s="37" t="s">
        <v>39</v>
      </c>
      <c r="D12" s="34" t="s">
        <v>150</v>
      </c>
      <c r="E12" s="34" t="s">
        <v>27</v>
      </c>
      <c r="F12" s="33" t="s">
        <v>55</v>
      </c>
      <c r="G12" s="33" t="s">
        <v>55</v>
      </c>
      <c r="H12" s="37" t="s">
        <v>55</v>
      </c>
      <c r="I12" s="34" t="s">
        <v>197</v>
      </c>
      <c r="J12" s="33" t="s">
        <v>55</v>
      </c>
      <c r="K12" s="33" t="s">
        <v>55</v>
      </c>
      <c r="L12" s="33" t="s">
        <v>55</v>
      </c>
      <c r="M12" s="34" t="s">
        <v>55</v>
      </c>
      <c r="N12" s="33" t="s">
        <v>55</v>
      </c>
    </row>
    <row r="13" spans="1:16" ht="29" x14ac:dyDescent="0.35">
      <c r="A13" s="33">
        <v>5</v>
      </c>
      <c r="B13" s="33" t="str">
        <f t="shared" si="0"/>
        <v>2.5</v>
      </c>
      <c r="C13" s="37" t="s">
        <v>39</v>
      </c>
      <c r="D13" s="34" t="s">
        <v>151</v>
      </c>
      <c r="E13" s="34" t="s">
        <v>33</v>
      </c>
      <c r="F13" s="33" t="s">
        <v>219</v>
      </c>
      <c r="G13" s="33" t="s">
        <v>55</v>
      </c>
      <c r="H13" s="37">
        <v>1</v>
      </c>
      <c r="I13" s="34" t="s">
        <v>197</v>
      </c>
      <c r="J13" s="44">
        <v>1</v>
      </c>
      <c r="K13" s="33" t="s">
        <v>73</v>
      </c>
      <c r="L13" s="33" t="s">
        <v>55</v>
      </c>
      <c r="M13" s="34" t="s">
        <v>55</v>
      </c>
      <c r="N13" s="33" t="s">
        <v>55</v>
      </c>
    </row>
    <row r="14" spans="1:16" ht="43.5" x14ac:dyDescent="0.35">
      <c r="A14" s="33">
        <v>6</v>
      </c>
      <c r="B14" s="33" t="str">
        <f t="shared" si="0"/>
        <v>2.6</v>
      </c>
      <c r="C14" s="37" t="s">
        <v>39</v>
      </c>
      <c r="D14" s="34" t="s">
        <v>220</v>
      </c>
      <c r="E14" s="34" t="s">
        <v>40</v>
      </c>
      <c r="F14" s="33" t="s">
        <v>55</v>
      </c>
      <c r="G14" s="33" t="s">
        <v>55</v>
      </c>
      <c r="H14" s="37" t="s">
        <v>55</v>
      </c>
      <c r="I14" s="34" t="s">
        <v>197</v>
      </c>
      <c r="J14" s="33" t="s">
        <v>55</v>
      </c>
      <c r="K14" s="33" t="s">
        <v>55</v>
      </c>
      <c r="L14" s="33" t="s">
        <v>55</v>
      </c>
      <c r="M14" s="34" t="s">
        <v>55</v>
      </c>
      <c r="N14" s="33" t="s">
        <v>55</v>
      </c>
      <c r="O14" s="33" t="s">
        <v>262</v>
      </c>
    </row>
    <row r="15" spans="1:16" ht="29" x14ac:dyDescent="0.35">
      <c r="A15" s="33">
        <v>7</v>
      </c>
      <c r="B15" s="33" t="str">
        <f t="shared" si="0"/>
        <v>2.7</v>
      </c>
      <c r="C15" s="37" t="s">
        <v>39</v>
      </c>
      <c r="D15" s="34" t="s">
        <v>152</v>
      </c>
      <c r="E15" s="34" t="s">
        <v>47</v>
      </c>
      <c r="F15" s="33" t="s">
        <v>55</v>
      </c>
      <c r="G15" s="33" t="s">
        <v>55</v>
      </c>
      <c r="H15" s="37" t="s">
        <v>55</v>
      </c>
      <c r="I15" s="34" t="s">
        <v>197</v>
      </c>
      <c r="J15" s="33" t="s">
        <v>55</v>
      </c>
      <c r="K15" s="33" t="s">
        <v>55</v>
      </c>
      <c r="L15" s="33" t="s">
        <v>55</v>
      </c>
      <c r="M15" s="34" t="s">
        <v>55</v>
      </c>
      <c r="N15" s="33" t="s">
        <v>55</v>
      </c>
      <c r="O15" s="33" t="s">
        <v>260</v>
      </c>
    </row>
    <row r="16" spans="1:16" s="32" customFormat="1" ht="15" customHeight="1" x14ac:dyDescent="0.35">
      <c r="A16" s="50" t="s">
        <v>222</v>
      </c>
      <c r="B16" s="50"/>
      <c r="C16" s="50"/>
      <c r="D16" s="50"/>
      <c r="E16" s="50"/>
      <c r="F16" s="50"/>
    </row>
    <row r="17" spans="1:15" ht="43.5" x14ac:dyDescent="0.35">
      <c r="A17" s="33">
        <v>8</v>
      </c>
      <c r="B17" s="33" t="str">
        <f>CONCATENATE($B$2, ".", A17)</f>
        <v>2.8</v>
      </c>
      <c r="C17" s="37" t="s">
        <v>39</v>
      </c>
      <c r="D17" s="34" t="s">
        <v>223</v>
      </c>
      <c r="E17" s="34" t="s">
        <v>49</v>
      </c>
      <c r="F17" s="33" t="s">
        <v>55</v>
      </c>
      <c r="G17" s="33" t="s">
        <v>55</v>
      </c>
      <c r="H17" s="37" t="s">
        <v>55</v>
      </c>
      <c r="I17" s="34" t="s">
        <v>224</v>
      </c>
      <c r="J17" s="33" t="s">
        <v>55</v>
      </c>
      <c r="K17" s="33" t="s">
        <v>55</v>
      </c>
      <c r="L17" s="33" t="s">
        <v>55</v>
      </c>
      <c r="M17" s="34" t="s">
        <v>55</v>
      </c>
      <c r="N17" s="33" t="s">
        <v>55</v>
      </c>
    </row>
    <row r="18" spans="1:15" s="32" customFormat="1" ht="15" customHeight="1" x14ac:dyDescent="0.35">
      <c r="A18" s="50" t="s">
        <v>225</v>
      </c>
      <c r="B18" s="50"/>
      <c r="C18" s="50"/>
      <c r="D18" s="50"/>
      <c r="E18" s="50"/>
      <c r="F18" s="50"/>
    </row>
    <row r="19" spans="1:15" ht="43.5" x14ac:dyDescent="0.35">
      <c r="A19" s="33">
        <v>9</v>
      </c>
      <c r="B19" s="33" t="str">
        <f t="shared" ref="B19:B24" si="1">CONCATENATE($B$2, ".", A19)</f>
        <v>2.9</v>
      </c>
      <c r="C19" s="37" t="s">
        <v>39</v>
      </c>
      <c r="D19" s="34" t="s">
        <v>148</v>
      </c>
      <c r="E19" s="34" t="s">
        <v>48</v>
      </c>
      <c r="F19" s="33" t="s">
        <v>55</v>
      </c>
      <c r="G19" s="33" t="s">
        <v>55</v>
      </c>
      <c r="H19" s="37" t="s">
        <v>55</v>
      </c>
      <c r="I19" s="34" t="s">
        <v>224</v>
      </c>
      <c r="J19" s="33" t="s">
        <v>55</v>
      </c>
      <c r="K19" s="33" t="s">
        <v>55</v>
      </c>
      <c r="L19" s="33" t="s">
        <v>55</v>
      </c>
      <c r="M19" s="34" t="s">
        <v>55</v>
      </c>
      <c r="N19" s="33" t="s">
        <v>55</v>
      </c>
    </row>
    <row r="20" spans="1:15" ht="43.5" x14ac:dyDescent="0.35">
      <c r="A20" s="33">
        <v>10</v>
      </c>
      <c r="B20" s="33" t="str">
        <f t="shared" si="1"/>
        <v>2.10</v>
      </c>
      <c r="C20" s="37" t="s">
        <v>39</v>
      </c>
      <c r="D20" s="34" t="s">
        <v>149</v>
      </c>
      <c r="E20" s="34" t="s">
        <v>27</v>
      </c>
      <c r="F20" s="33" t="s">
        <v>55</v>
      </c>
      <c r="G20" s="33" t="s">
        <v>55</v>
      </c>
      <c r="H20" s="37" t="s">
        <v>55</v>
      </c>
      <c r="I20" s="34" t="s">
        <v>224</v>
      </c>
      <c r="J20" s="33" t="s">
        <v>55</v>
      </c>
      <c r="K20" s="33" t="s">
        <v>55</v>
      </c>
      <c r="L20" s="33" t="s">
        <v>55</v>
      </c>
      <c r="M20" s="34" t="s">
        <v>55</v>
      </c>
      <c r="N20" s="33" t="s">
        <v>55</v>
      </c>
    </row>
    <row r="21" spans="1:15" ht="43.5" x14ac:dyDescent="0.35">
      <c r="A21" s="33">
        <v>11</v>
      </c>
      <c r="B21" s="33" t="str">
        <f t="shared" si="1"/>
        <v>2.11</v>
      </c>
      <c r="C21" s="37" t="s">
        <v>39</v>
      </c>
      <c r="D21" s="34" t="s">
        <v>150</v>
      </c>
      <c r="E21" s="34" t="s">
        <v>27</v>
      </c>
      <c r="F21" s="33" t="s">
        <v>55</v>
      </c>
      <c r="G21" s="33" t="s">
        <v>55</v>
      </c>
      <c r="H21" s="37" t="s">
        <v>55</v>
      </c>
      <c r="I21" s="34" t="s">
        <v>224</v>
      </c>
      <c r="J21" s="33" t="s">
        <v>55</v>
      </c>
      <c r="K21" s="33" t="s">
        <v>55</v>
      </c>
      <c r="L21" s="33" t="s">
        <v>55</v>
      </c>
      <c r="M21" s="34" t="s">
        <v>55</v>
      </c>
      <c r="N21" s="33" t="s">
        <v>55</v>
      </c>
    </row>
    <row r="22" spans="1:15" ht="43.5" x14ac:dyDescent="0.35">
      <c r="A22" s="33">
        <v>12</v>
      </c>
      <c r="B22" s="33" t="str">
        <f t="shared" si="1"/>
        <v>2.12</v>
      </c>
      <c r="C22" s="37" t="s">
        <v>39</v>
      </c>
      <c r="D22" s="34" t="s">
        <v>151</v>
      </c>
      <c r="E22" s="34" t="s">
        <v>33</v>
      </c>
      <c r="F22" s="33" t="s">
        <v>219</v>
      </c>
      <c r="G22" s="33" t="s">
        <v>55</v>
      </c>
      <c r="H22" s="37">
        <v>1</v>
      </c>
      <c r="I22" s="34" t="s">
        <v>224</v>
      </c>
      <c r="J22" s="44">
        <v>1</v>
      </c>
      <c r="K22" s="33" t="s">
        <v>55</v>
      </c>
      <c r="L22" s="33" t="s">
        <v>55</v>
      </c>
      <c r="M22" s="34" t="s">
        <v>55</v>
      </c>
      <c r="N22" s="33" t="s">
        <v>55</v>
      </c>
    </row>
    <row r="23" spans="1:15" ht="43.5" x14ac:dyDescent="0.35">
      <c r="A23" s="33">
        <v>13</v>
      </c>
      <c r="B23" s="33" t="str">
        <f t="shared" si="1"/>
        <v>2.13</v>
      </c>
      <c r="C23" s="37" t="s">
        <v>39</v>
      </c>
      <c r="D23" s="34" t="s">
        <v>220</v>
      </c>
      <c r="E23" s="34" t="s">
        <v>40</v>
      </c>
      <c r="F23" s="33" t="s">
        <v>55</v>
      </c>
      <c r="G23" s="33" t="s">
        <v>55</v>
      </c>
      <c r="H23" s="37" t="s">
        <v>55</v>
      </c>
      <c r="I23" s="34" t="s">
        <v>224</v>
      </c>
      <c r="J23" s="33" t="s">
        <v>55</v>
      </c>
      <c r="K23" s="33" t="s">
        <v>55</v>
      </c>
      <c r="L23" s="33" t="s">
        <v>55</v>
      </c>
      <c r="M23" s="34" t="s">
        <v>55</v>
      </c>
      <c r="N23" s="33" t="s">
        <v>55</v>
      </c>
      <c r="O23" s="33" t="s">
        <v>263</v>
      </c>
    </row>
    <row r="24" spans="1:15" ht="43.5" x14ac:dyDescent="0.35">
      <c r="A24" s="33">
        <v>14</v>
      </c>
      <c r="B24" s="33" t="str">
        <f t="shared" si="1"/>
        <v>2.14</v>
      </c>
      <c r="C24" s="37" t="s">
        <v>39</v>
      </c>
      <c r="D24" s="34" t="s">
        <v>152</v>
      </c>
      <c r="E24" s="34" t="s">
        <v>47</v>
      </c>
      <c r="F24" s="33" t="s">
        <v>55</v>
      </c>
      <c r="G24" s="33" t="s">
        <v>55</v>
      </c>
      <c r="H24" s="37" t="s">
        <v>55</v>
      </c>
      <c r="I24" s="34" t="s">
        <v>224</v>
      </c>
      <c r="J24" s="33" t="s">
        <v>55</v>
      </c>
      <c r="K24" s="33" t="s">
        <v>55</v>
      </c>
      <c r="L24" s="33" t="s">
        <v>55</v>
      </c>
      <c r="M24" s="34" t="s">
        <v>55</v>
      </c>
      <c r="N24" s="33" t="s">
        <v>55</v>
      </c>
      <c r="O24" s="33" t="s">
        <v>260</v>
      </c>
    </row>
    <row r="25" spans="1:15" s="32" customFormat="1" x14ac:dyDescent="0.35">
      <c r="A25" s="50" t="s">
        <v>195</v>
      </c>
      <c r="B25" s="50"/>
      <c r="C25" s="50"/>
      <c r="D25" s="50"/>
      <c r="E25" s="50"/>
    </row>
    <row r="26" spans="1:15" ht="58" x14ac:dyDescent="0.35">
      <c r="A26" s="33">
        <v>15</v>
      </c>
      <c r="B26" s="33" t="str">
        <f>CONCATENATE($B$2, ".", A26)</f>
        <v>2.15</v>
      </c>
      <c r="C26" s="37" t="s">
        <v>39</v>
      </c>
      <c r="D26" s="34" t="s">
        <v>226</v>
      </c>
      <c r="E26" s="34" t="s">
        <v>49</v>
      </c>
      <c r="F26" s="33" t="s">
        <v>55</v>
      </c>
      <c r="G26" s="33" t="s">
        <v>55</v>
      </c>
      <c r="H26" s="37" t="s">
        <v>55</v>
      </c>
      <c r="I26" s="34" t="s">
        <v>200</v>
      </c>
      <c r="J26" s="33" t="s">
        <v>55</v>
      </c>
      <c r="K26" s="33" t="s">
        <v>55</v>
      </c>
      <c r="L26" s="33" t="s">
        <v>55</v>
      </c>
      <c r="M26" s="34" t="s">
        <v>55</v>
      </c>
      <c r="N26" s="33" t="s">
        <v>55</v>
      </c>
    </row>
    <row r="27" spans="1:15" s="32" customFormat="1" ht="15" customHeight="1" x14ac:dyDescent="0.35">
      <c r="A27" s="50" t="s">
        <v>221</v>
      </c>
      <c r="B27" s="50"/>
      <c r="C27" s="50"/>
      <c r="D27" s="50"/>
      <c r="E27" s="50"/>
      <c r="F27" s="50"/>
    </row>
    <row r="28" spans="1:15" ht="58" x14ac:dyDescent="0.35">
      <c r="A28" s="33">
        <v>16</v>
      </c>
      <c r="B28" s="33" t="str">
        <f t="shared" ref="B28:B33" si="2">CONCATENATE($B$2, ".", A28)</f>
        <v>2.16</v>
      </c>
      <c r="C28" s="37" t="s">
        <v>39</v>
      </c>
      <c r="D28" s="34" t="s">
        <v>148</v>
      </c>
      <c r="E28" s="34" t="s">
        <v>48</v>
      </c>
      <c r="F28" s="33" t="s">
        <v>55</v>
      </c>
      <c r="G28" s="33" t="s">
        <v>55</v>
      </c>
      <c r="H28" s="37" t="s">
        <v>55</v>
      </c>
      <c r="I28" s="34" t="s">
        <v>200</v>
      </c>
      <c r="J28" s="33" t="s">
        <v>55</v>
      </c>
      <c r="K28" s="33" t="s">
        <v>55</v>
      </c>
      <c r="L28" s="33" t="s">
        <v>55</v>
      </c>
      <c r="M28" s="34" t="s">
        <v>55</v>
      </c>
      <c r="N28" s="33" t="s">
        <v>55</v>
      </c>
    </row>
    <row r="29" spans="1:15" ht="58" x14ac:dyDescent="0.35">
      <c r="A29" s="33">
        <v>17</v>
      </c>
      <c r="B29" s="33" t="str">
        <f t="shared" si="2"/>
        <v>2.17</v>
      </c>
      <c r="C29" s="37" t="s">
        <v>39</v>
      </c>
      <c r="D29" s="34" t="s">
        <v>149</v>
      </c>
      <c r="E29" s="34" t="s">
        <v>27</v>
      </c>
      <c r="F29" s="33" t="s">
        <v>55</v>
      </c>
      <c r="G29" s="33" t="s">
        <v>55</v>
      </c>
      <c r="H29" s="37" t="s">
        <v>55</v>
      </c>
      <c r="I29" s="34" t="s">
        <v>200</v>
      </c>
      <c r="J29" s="33" t="s">
        <v>55</v>
      </c>
      <c r="K29" s="33" t="s">
        <v>55</v>
      </c>
      <c r="L29" s="33" t="s">
        <v>55</v>
      </c>
      <c r="M29" s="34" t="s">
        <v>55</v>
      </c>
      <c r="N29" s="33" t="s">
        <v>55</v>
      </c>
    </row>
    <row r="30" spans="1:15" ht="58" x14ac:dyDescent="0.35">
      <c r="A30" s="33">
        <v>18</v>
      </c>
      <c r="B30" s="33" t="str">
        <f t="shared" si="2"/>
        <v>2.18</v>
      </c>
      <c r="C30" s="37" t="s">
        <v>39</v>
      </c>
      <c r="D30" s="34" t="s">
        <v>150</v>
      </c>
      <c r="E30" s="34" t="s">
        <v>27</v>
      </c>
      <c r="F30" s="33" t="s">
        <v>55</v>
      </c>
      <c r="G30" s="33" t="s">
        <v>55</v>
      </c>
      <c r="H30" s="37" t="s">
        <v>55</v>
      </c>
      <c r="I30" s="34" t="s">
        <v>200</v>
      </c>
      <c r="J30" s="33" t="s">
        <v>55</v>
      </c>
      <c r="K30" s="33" t="s">
        <v>55</v>
      </c>
      <c r="L30" s="33" t="s">
        <v>55</v>
      </c>
      <c r="M30" s="34" t="s">
        <v>55</v>
      </c>
      <c r="N30" s="33" t="s">
        <v>55</v>
      </c>
    </row>
    <row r="31" spans="1:15" ht="58" x14ac:dyDescent="0.35">
      <c r="A31" s="33">
        <v>19</v>
      </c>
      <c r="B31" s="33" t="str">
        <f t="shared" si="2"/>
        <v>2.19</v>
      </c>
      <c r="C31" s="37" t="s">
        <v>39</v>
      </c>
      <c r="D31" s="34" t="s">
        <v>151</v>
      </c>
      <c r="E31" s="34" t="s">
        <v>33</v>
      </c>
      <c r="F31" s="33" t="s">
        <v>219</v>
      </c>
      <c r="G31" s="33" t="s">
        <v>55</v>
      </c>
      <c r="H31" s="37">
        <v>1</v>
      </c>
      <c r="I31" s="34" t="s">
        <v>200</v>
      </c>
      <c r="J31" s="44">
        <v>1</v>
      </c>
      <c r="K31" s="33" t="s">
        <v>55</v>
      </c>
      <c r="L31" s="33" t="s">
        <v>55</v>
      </c>
      <c r="M31" s="34" t="s">
        <v>55</v>
      </c>
      <c r="N31" s="33" t="s">
        <v>55</v>
      </c>
    </row>
    <row r="32" spans="1:15" ht="58" x14ac:dyDescent="0.35">
      <c r="A32" s="33">
        <v>20</v>
      </c>
      <c r="B32" s="33" t="str">
        <f t="shared" si="2"/>
        <v>2.20</v>
      </c>
      <c r="C32" s="37" t="s">
        <v>39</v>
      </c>
      <c r="D32" s="34" t="s">
        <v>220</v>
      </c>
      <c r="E32" s="34" t="s">
        <v>40</v>
      </c>
      <c r="F32" s="33" t="s">
        <v>55</v>
      </c>
      <c r="G32" s="33" t="s">
        <v>55</v>
      </c>
      <c r="H32" s="37" t="s">
        <v>55</v>
      </c>
      <c r="I32" s="34" t="s">
        <v>200</v>
      </c>
      <c r="J32" s="33" t="s">
        <v>55</v>
      </c>
      <c r="K32" s="33" t="s">
        <v>55</v>
      </c>
      <c r="L32" s="33" t="s">
        <v>55</v>
      </c>
      <c r="M32" s="34" t="s">
        <v>55</v>
      </c>
      <c r="N32" s="33" t="s">
        <v>55</v>
      </c>
      <c r="O32" s="33" t="s">
        <v>264</v>
      </c>
    </row>
    <row r="33" spans="1:15" ht="58" x14ac:dyDescent="0.35">
      <c r="A33" s="33">
        <v>21</v>
      </c>
      <c r="B33" s="33" t="str">
        <f t="shared" si="2"/>
        <v>2.21</v>
      </c>
      <c r="C33" s="37" t="s">
        <v>39</v>
      </c>
      <c r="D33" s="34" t="s">
        <v>152</v>
      </c>
      <c r="E33" s="34" t="s">
        <v>47</v>
      </c>
      <c r="F33" s="33" t="s">
        <v>55</v>
      </c>
      <c r="G33" s="33" t="s">
        <v>55</v>
      </c>
      <c r="H33" s="37" t="s">
        <v>55</v>
      </c>
      <c r="I33" s="34" t="s">
        <v>200</v>
      </c>
      <c r="J33" s="33" t="s">
        <v>55</v>
      </c>
      <c r="K33" s="33" t="s">
        <v>55</v>
      </c>
      <c r="L33" s="33" t="s">
        <v>55</v>
      </c>
      <c r="M33" s="34" t="s">
        <v>55</v>
      </c>
      <c r="N33" s="33" t="s">
        <v>55</v>
      </c>
      <c r="O33" s="33" t="s">
        <v>260</v>
      </c>
    </row>
    <row r="34" spans="1:15" s="32" customFormat="1" x14ac:dyDescent="0.35">
      <c r="A34" s="50" t="s">
        <v>198</v>
      </c>
      <c r="B34" s="50"/>
      <c r="C34" s="50"/>
      <c r="D34" s="50"/>
      <c r="E34" s="50"/>
    </row>
    <row r="35" spans="1:15" x14ac:dyDescent="0.35">
      <c r="A35" s="33">
        <v>22</v>
      </c>
      <c r="B35" s="33" t="str">
        <f>CONCATENATE($B$2, ".", A35)</f>
        <v>2.22</v>
      </c>
      <c r="C35" s="37" t="s">
        <v>39</v>
      </c>
      <c r="D35" s="34" t="s">
        <v>154</v>
      </c>
      <c r="E35" s="34" t="s">
        <v>49</v>
      </c>
      <c r="F35" s="33" t="s">
        <v>55</v>
      </c>
      <c r="G35" s="33" t="s">
        <v>55</v>
      </c>
      <c r="H35" s="37" t="s">
        <v>55</v>
      </c>
      <c r="I35" s="34" t="s">
        <v>54</v>
      </c>
      <c r="J35" s="33" t="s">
        <v>55</v>
      </c>
      <c r="K35" s="33" t="s">
        <v>55</v>
      </c>
      <c r="L35" s="33" t="s">
        <v>55</v>
      </c>
      <c r="M35" s="34" t="s">
        <v>55</v>
      </c>
      <c r="N35" s="33" t="s">
        <v>55</v>
      </c>
    </row>
    <row r="36" spans="1:15" ht="43.5" x14ac:dyDescent="0.35">
      <c r="A36" s="33">
        <v>23</v>
      </c>
      <c r="B36" s="33" t="str">
        <f>CONCATENATE($B$2, ".", A36)</f>
        <v>2.23</v>
      </c>
      <c r="C36" s="37" t="s">
        <v>39</v>
      </c>
      <c r="D36" s="34" t="s">
        <v>155</v>
      </c>
      <c r="E36" s="34" t="s">
        <v>87</v>
      </c>
      <c r="F36" s="33" t="s">
        <v>157</v>
      </c>
      <c r="G36" s="33" t="s">
        <v>55</v>
      </c>
      <c r="H36" s="37" t="s">
        <v>55</v>
      </c>
      <c r="I36" s="34" t="s">
        <v>54</v>
      </c>
      <c r="J36" s="33" t="s">
        <v>158</v>
      </c>
      <c r="K36" s="33" t="s">
        <v>55</v>
      </c>
      <c r="L36" s="33" t="s">
        <v>55</v>
      </c>
      <c r="M36" s="34" t="s">
        <v>55</v>
      </c>
      <c r="N36" s="33" t="s">
        <v>55</v>
      </c>
      <c r="O36" s="33" t="s">
        <v>159</v>
      </c>
    </row>
    <row r="37" spans="1:15" ht="43.5" x14ac:dyDescent="0.35">
      <c r="A37" s="33">
        <v>24</v>
      </c>
      <c r="B37" s="33" t="str">
        <f>CONCATENATE($B$2, ".", A37)</f>
        <v>2.24</v>
      </c>
      <c r="C37" s="37" t="s">
        <v>39</v>
      </c>
      <c r="D37" s="34" t="s">
        <v>156</v>
      </c>
      <c r="E37" s="34" t="s">
        <v>87</v>
      </c>
      <c r="F37" s="33" t="s">
        <v>157</v>
      </c>
      <c r="G37" s="33" t="s">
        <v>55</v>
      </c>
      <c r="H37" s="37" t="s">
        <v>55</v>
      </c>
      <c r="I37" s="34" t="s">
        <v>54</v>
      </c>
      <c r="J37" s="33" t="s">
        <v>90</v>
      </c>
      <c r="K37" s="33" t="s">
        <v>55</v>
      </c>
      <c r="L37" s="33" t="s">
        <v>55</v>
      </c>
      <c r="M37" s="34" t="s">
        <v>55</v>
      </c>
      <c r="N37" s="33" t="s">
        <v>55</v>
      </c>
      <c r="O37" s="33" t="s">
        <v>160</v>
      </c>
    </row>
    <row r="38" spans="1:15" s="32" customFormat="1" ht="15" customHeight="1" x14ac:dyDescent="0.35">
      <c r="A38" s="50" t="s">
        <v>161</v>
      </c>
      <c r="B38" s="50"/>
      <c r="C38" s="50"/>
      <c r="D38" s="50"/>
      <c r="E38" s="50"/>
      <c r="F38" s="50"/>
    </row>
    <row r="39" spans="1:15" x14ac:dyDescent="0.35">
      <c r="A39" s="33">
        <v>25</v>
      </c>
      <c r="B39" s="33" t="str">
        <f t="shared" ref="B39:B47" si="3">CONCATENATE($B$2, ".", A39)</f>
        <v>2.25</v>
      </c>
      <c r="C39" s="37" t="s">
        <v>39</v>
      </c>
      <c r="D39" s="34" t="s">
        <v>149</v>
      </c>
      <c r="E39" s="34" t="s">
        <v>27</v>
      </c>
      <c r="F39" s="33" t="s">
        <v>55</v>
      </c>
      <c r="G39" s="33" t="s">
        <v>55</v>
      </c>
      <c r="H39" s="37" t="s">
        <v>55</v>
      </c>
      <c r="I39" s="34" t="s">
        <v>54</v>
      </c>
      <c r="J39" s="33" t="s">
        <v>55</v>
      </c>
      <c r="K39" s="33" t="s">
        <v>55</v>
      </c>
      <c r="L39" s="33" t="s">
        <v>55</v>
      </c>
      <c r="M39" s="34" t="s">
        <v>55</v>
      </c>
      <c r="N39" s="33" t="s">
        <v>55</v>
      </c>
    </row>
    <row r="40" spans="1:15" x14ac:dyDescent="0.35">
      <c r="A40" s="33">
        <v>26</v>
      </c>
      <c r="B40" s="33" t="str">
        <f t="shared" si="3"/>
        <v>2.26</v>
      </c>
      <c r="C40" s="37" t="s">
        <v>39</v>
      </c>
      <c r="D40" s="34" t="s">
        <v>150</v>
      </c>
      <c r="E40" s="34" t="s">
        <v>27</v>
      </c>
      <c r="F40" s="33" t="s">
        <v>55</v>
      </c>
      <c r="G40" s="33" t="s">
        <v>55</v>
      </c>
      <c r="H40" s="37" t="s">
        <v>55</v>
      </c>
      <c r="I40" s="34" t="s">
        <v>54</v>
      </c>
      <c r="J40" s="33" t="s">
        <v>55</v>
      </c>
      <c r="K40" s="33" t="s">
        <v>55</v>
      </c>
      <c r="L40" s="33" t="s">
        <v>55</v>
      </c>
      <c r="M40" s="34" t="s">
        <v>55</v>
      </c>
      <c r="N40" s="33" t="s">
        <v>55</v>
      </c>
    </row>
    <row r="41" spans="1:15" ht="43.5" x14ac:dyDescent="0.35">
      <c r="A41" s="33">
        <v>27</v>
      </c>
      <c r="B41" s="33" t="str">
        <f t="shared" si="3"/>
        <v>2.27</v>
      </c>
      <c r="C41" s="37" t="s">
        <v>39</v>
      </c>
      <c r="D41" s="34" t="s">
        <v>237</v>
      </c>
      <c r="E41" s="34" t="s">
        <v>34</v>
      </c>
      <c r="F41" s="33" t="s">
        <v>55</v>
      </c>
      <c r="G41" s="33" t="s">
        <v>55</v>
      </c>
      <c r="H41" s="37" t="s">
        <v>55</v>
      </c>
      <c r="I41" s="34" t="s">
        <v>227</v>
      </c>
      <c r="J41" s="33" t="s">
        <v>55</v>
      </c>
      <c r="K41" s="33" t="s">
        <v>55</v>
      </c>
      <c r="L41" s="33" t="s">
        <v>55</v>
      </c>
      <c r="M41" s="34" t="s">
        <v>55</v>
      </c>
      <c r="N41" s="33" t="s">
        <v>55</v>
      </c>
      <c r="O41" s="33" t="s">
        <v>229</v>
      </c>
    </row>
    <row r="42" spans="1:15" ht="43.5" x14ac:dyDescent="0.35">
      <c r="A42" s="33">
        <v>28</v>
      </c>
      <c r="B42" s="33" t="str">
        <f>CONCATENATE($B$2, ".", A42)</f>
        <v>2.28</v>
      </c>
      <c r="C42" s="37" t="s">
        <v>39</v>
      </c>
      <c r="D42" s="34" t="s">
        <v>228</v>
      </c>
      <c r="E42" s="34" t="s">
        <v>34</v>
      </c>
      <c r="F42" s="33" t="s">
        <v>55</v>
      </c>
      <c r="G42" s="33" t="s">
        <v>55</v>
      </c>
      <c r="H42" s="37" t="s">
        <v>55</v>
      </c>
      <c r="I42" s="34" t="s">
        <v>54</v>
      </c>
      <c r="J42" s="33" t="s">
        <v>55</v>
      </c>
      <c r="K42" s="33" t="s">
        <v>55</v>
      </c>
      <c r="L42" s="33" t="s">
        <v>55</v>
      </c>
      <c r="M42" s="34" t="s">
        <v>55</v>
      </c>
      <c r="N42" s="33" t="s">
        <v>55</v>
      </c>
      <c r="O42" s="33" t="s">
        <v>230</v>
      </c>
    </row>
    <row r="43" spans="1:15" ht="43.5" x14ac:dyDescent="0.35">
      <c r="A43" s="33">
        <v>29</v>
      </c>
      <c r="B43" s="33" t="str">
        <f t="shared" si="3"/>
        <v>2.29</v>
      </c>
      <c r="C43" s="37" t="s">
        <v>39</v>
      </c>
      <c r="D43" s="34" t="s">
        <v>231</v>
      </c>
      <c r="E43" s="34" t="s">
        <v>59</v>
      </c>
      <c r="F43" s="33" t="s">
        <v>55</v>
      </c>
      <c r="G43" s="33" t="s">
        <v>55</v>
      </c>
      <c r="H43" s="37" t="s">
        <v>55</v>
      </c>
      <c r="I43" s="34" t="s">
        <v>233</v>
      </c>
      <c r="J43" s="33" t="s">
        <v>55</v>
      </c>
      <c r="K43" s="33" t="s">
        <v>55</v>
      </c>
      <c r="L43" s="33" t="s">
        <v>55</v>
      </c>
      <c r="M43" s="34" t="s">
        <v>55</v>
      </c>
      <c r="N43" s="33" t="s">
        <v>55</v>
      </c>
      <c r="O43" s="33" t="s">
        <v>236</v>
      </c>
    </row>
    <row r="44" spans="1:15" ht="43.5" x14ac:dyDescent="0.35">
      <c r="A44" s="33">
        <v>30</v>
      </c>
      <c r="B44" s="33" t="str">
        <f t="shared" si="3"/>
        <v>2.30</v>
      </c>
      <c r="C44" s="37" t="s">
        <v>39</v>
      </c>
      <c r="D44" s="34" t="s">
        <v>232</v>
      </c>
      <c r="E44" s="34" t="s">
        <v>59</v>
      </c>
      <c r="F44" s="33" t="s">
        <v>55</v>
      </c>
      <c r="G44" s="33" t="s">
        <v>55</v>
      </c>
      <c r="H44" s="37" t="s">
        <v>55</v>
      </c>
      <c r="I44" s="34" t="s">
        <v>234</v>
      </c>
      <c r="J44" s="33" t="s">
        <v>55</v>
      </c>
      <c r="K44" s="33" t="s">
        <v>55</v>
      </c>
      <c r="L44" s="33" t="s">
        <v>55</v>
      </c>
      <c r="M44" s="34" t="s">
        <v>55</v>
      </c>
      <c r="N44" s="33" t="s">
        <v>55</v>
      </c>
      <c r="O44" s="33" t="s">
        <v>235</v>
      </c>
    </row>
    <row r="45" spans="1:15" ht="29" x14ac:dyDescent="0.35">
      <c r="A45" s="33">
        <v>31</v>
      </c>
      <c r="B45" s="33" t="str">
        <f t="shared" si="3"/>
        <v>2.31</v>
      </c>
      <c r="C45" s="37" t="s">
        <v>39</v>
      </c>
      <c r="D45" s="34" t="s">
        <v>151</v>
      </c>
      <c r="E45" s="34" t="s">
        <v>33</v>
      </c>
      <c r="F45" s="33" t="s">
        <v>219</v>
      </c>
      <c r="G45" s="33" t="s">
        <v>55</v>
      </c>
      <c r="H45" s="37">
        <v>1</v>
      </c>
      <c r="I45" s="34" t="s">
        <v>54</v>
      </c>
      <c r="J45" s="44">
        <v>1</v>
      </c>
      <c r="K45" s="33" t="s">
        <v>55</v>
      </c>
      <c r="L45" s="33" t="s">
        <v>55</v>
      </c>
      <c r="M45" s="34" t="s">
        <v>55</v>
      </c>
      <c r="N45" s="33" t="s">
        <v>55</v>
      </c>
    </row>
    <row r="46" spans="1:15" ht="43.5" x14ac:dyDescent="0.35">
      <c r="A46" s="33">
        <v>32</v>
      </c>
      <c r="B46" s="33" t="str">
        <f t="shared" si="3"/>
        <v>2.32</v>
      </c>
      <c r="C46" s="37" t="s">
        <v>39</v>
      </c>
      <c r="D46" s="34" t="s">
        <v>220</v>
      </c>
      <c r="E46" s="34" t="s">
        <v>40</v>
      </c>
      <c r="F46" s="33" t="s">
        <v>55</v>
      </c>
      <c r="G46" s="33" t="s">
        <v>55</v>
      </c>
      <c r="H46" s="37" t="s">
        <v>55</v>
      </c>
      <c r="I46" s="34" t="s">
        <v>54</v>
      </c>
      <c r="J46" s="33" t="s">
        <v>55</v>
      </c>
      <c r="K46" s="33" t="s">
        <v>55</v>
      </c>
      <c r="L46" s="33" t="s">
        <v>55</v>
      </c>
      <c r="M46" s="34" t="s">
        <v>55</v>
      </c>
      <c r="N46" s="33" t="s">
        <v>55</v>
      </c>
      <c r="O46" s="33" t="s">
        <v>265</v>
      </c>
    </row>
    <row r="47" spans="1:15" ht="29" x14ac:dyDescent="0.35">
      <c r="A47" s="33">
        <v>33</v>
      </c>
      <c r="B47" s="33" t="str">
        <f t="shared" si="3"/>
        <v>2.33</v>
      </c>
      <c r="C47" s="37" t="s">
        <v>39</v>
      </c>
      <c r="D47" s="34" t="s">
        <v>152</v>
      </c>
      <c r="E47" s="34" t="s">
        <v>47</v>
      </c>
      <c r="F47" s="33" t="s">
        <v>55</v>
      </c>
      <c r="G47" s="33" t="s">
        <v>55</v>
      </c>
      <c r="H47" s="37" t="s">
        <v>55</v>
      </c>
      <c r="I47" s="34" t="s">
        <v>54</v>
      </c>
      <c r="J47" s="33" t="s">
        <v>55</v>
      </c>
      <c r="K47" s="33" t="s">
        <v>55</v>
      </c>
      <c r="L47" s="33" t="s">
        <v>55</v>
      </c>
      <c r="M47" s="34" t="s">
        <v>55</v>
      </c>
      <c r="N47" s="33" t="s">
        <v>55</v>
      </c>
      <c r="O47" s="33" t="s">
        <v>260</v>
      </c>
    </row>
    <row r="48" spans="1:15" s="32" customFormat="1" ht="15" customHeight="1" x14ac:dyDescent="0.35">
      <c r="A48" s="50" t="s">
        <v>201</v>
      </c>
      <c r="B48" s="50"/>
      <c r="C48" s="50"/>
      <c r="D48" s="50"/>
      <c r="E48" s="50"/>
      <c r="F48" s="50"/>
    </row>
    <row r="49" spans="1:16" ht="29" x14ac:dyDescent="0.35">
      <c r="A49" s="33">
        <v>34</v>
      </c>
      <c r="B49" s="33" t="str">
        <f>CONCATENATE($B$2, ".", A49)</f>
        <v>2.34</v>
      </c>
      <c r="C49" s="37" t="s">
        <v>39</v>
      </c>
      <c r="D49" s="34" t="s">
        <v>239</v>
      </c>
      <c r="E49" s="34" t="s">
        <v>40</v>
      </c>
      <c r="F49" s="33" t="s">
        <v>247</v>
      </c>
      <c r="G49" s="33" t="s">
        <v>55</v>
      </c>
      <c r="H49" s="37" t="s">
        <v>55</v>
      </c>
      <c r="I49" s="34" t="s">
        <v>54</v>
      </c>
      <c r="J49" s="44">
        <v>0</v>
      </c>
      <c r="K49" s="33" t="s">
        <v>55</v>
      </c>
      <c r="L49" s="33" t="s">
        <v>55</v>
      </c>
      <c r="M49" s="34" t="s">
        <v>55</v>
      </c>
      <c r="N49" s="33" t="s">
        <v>55</v>
      </c>
      <c r="O49" s="33" t="s">
        <v>248</v>
      </c>
    </row>
    <row r="50" spans="1:16" x14ac:dyDescent="0.35">
      <c r="A50" s="33">
        <v>35</v>
      </c>
      <c r="B50" s="33" t="str">
        <f>CONCATENATE($B$2, ".", A50)</f>
        <v>2.35</v>
      </c>
      <c r="C50" s="37" t="s">
        <v>39</v>
      </c>
      <c r="D50" s="34" t="s">
        <v>240</v>
      </c>
      <c r="E50" s="34" t="s">
        <v>40</v>
      </c>
      <c r="F50" s="33" t="s">
        <v>55</v>
      </c>
      <c r="G50" s="33" t="s">
        <v>55</v>
      </c>
      <c r="H50" s="37" t="s">
        <v>55</v>
      </c>
      <c r="I50" s="34" t="s">
        <v>54</v>
      </c>
      <c r="J50" s="33" t="s">
        <v>55</v>
      </c>
      <c r="K50" s="33" t="s">
        <v>55</v>
      </c>
      <c r="L50" s="33" t="s">
        <v>55</v>
      </c>
      <c r="M50" s="34" t="s">
        <v>55</v>
      </c>
      <c r="N50" s="33" t="s">
        <v>55</v>
      </c>
    </row>
    <row r="51" spans="1:16" ht="72.5" x14ac:dyDescent="0.35">
      <c r="A51" s="33">
        <v>36</v>
      </c>
      <c r="B51" s="33" t="str">
        <f>CONCATENATE($B$2, ".", A51)</f>
        <v>2.36</v>
      </c>
      <c r="C51" s="37" t="s">
        <v>42</v>
      </c>
      <c r="D51" s="34" t="s">
        <v>56</v>
      </c>
      <c r="E51" s="34" t="s">
        <v>40</v>
      </c>
      <c r="F51" s="33" t="s">
        <v>55</v>
      </c>
      <c r="G51" s="33" t="s">
        <v>55</v>
      </c>
      <c r="H51" s="37" t="s">
        <v>55</v>
      </c>
      <c r="I51" s="34" t="s">
        <v>54</v>
      </c>
      <c r="J51" s="33" t="s">
        <v>55</v>
      </c>
      <c r="K51" s="33" t="s">
        <v>55</v>
      </c>
      <c r="L51" s="33" t="s">
        <v>55</v>
      </c>
      <c r="M51" s="34" t="s">
        <v>242</v>
      </c>
      <c r="N51" s="33" t="s">
        <v>243</v>
      </c>
      <c r="O51" s="33" t="s">
        <v>244</v>
      </c>
      <c r="P51" s="33" t="s">
        <v>266</v>
      </c>
    </row>
    <row r="52" spans="1:16" x14ac:dyDescent="0.35">
      <c r="A52" s="33">
        <v>37</v>
      </c>
      <c r="B52" s="33" t="str">
        <f>CONCATENATE($B$2, ".", A52)</f>
        <v>2.37</v>
      </c>
      <c r="C52" s="37" t="s">
        <v>39</v>
      </c>
      <c r="D52" s="34" t="s">
        <v>57</v>
      </c>
      <c r="E52" s="34" t="s">
        <v>40</v>
      </c>
      <c r="F52" s="33" t="s">
        <v>55</v>
      </c>
      <c r="G52" s="33" t="s">
        <v>55</v>
      </c>
      <c r="H52" s="37" t="s">
        <v>55</v>
      </c>
      <c r="I52" s="34" t="s">
        <v>54</v>
      </c>
      <c r="J52" s="33" t="s">
        <v>55</v>
      </c>
      <c r="K52" s="33" t="s">
        <v>55</v>
      </c>
      <c r="L52" s="33" t="s">
        <v>55</v>
      </c>
      <c r="M52" s="34" t="s">
        <v>55</v>
      </c>
      <c r="N52" s="33" t="s">
        <v>55</v>
      </c>
      <c r="O52" s="33" t="s">
        <v>241</v>
      </c>
    </row>
    <row r="53" spans="1:16" ht="101.5" x14ac:dyDescent="0.35">
      <c r="A53" s="33">
        <v>38</v>
      </c>
      <c r="B53" s="33" t="str">
        <f>CONCATENATE($B$2, ".", A53)</f>
        <v>2.38</v>
      </c>
      <c r="C53" s="37" t="s">
        <v>39</v>
      </c>
      <c r="D53" s="45" t="s">
        <v>238</v>
      </c>
      <c r="E53" s="34" t="s">
        <v>53</v>
      </c>
      <c r="F53" s="33" t="s">
        <v>55</v>
      </c>
      <c r="G53" s="33" t="s">
        <v>55</v>
      </c>
      <c r="H53" s="37" t="s">
        <v>55</v>
      </c>
      <c r="I53" s="34" t="s">
        <v>245</v>
      </c>
      <c r="J53" s="33" t="s">
        <v>55</v>
      </c>
      <c r="K53" s="33" t="s">
        <v>55</v>
      </c>
      <c r="L53" s="33" t="s">
        <v>55</v>
      </c>
      <c r="M53" s="34" t="s">
        <v>55</v>
      </c>
      <c r="N53" s="33" t="s">
        <v>55</v>
      </c>
      <c r="O53" s="33" t="s">
        <v>246</v>
      </c>
    </row>
  </sheetData>
  <autoFilter ref="A6:P6"/>
  <mergeCells count="9">
    <mergeCell ref="A48:F48"/>
    <mergeCell ref="A34:E34"/>
    <mergeCell ref="A38:F38"/>
    <mergeCell ref="A7:F7"/>
    <mergeCell ref="A18:F18"/>
    <mergeCell ref="A25:E25"/>
    <mergeCell ref="A27:F27"/>
    <mergeCell ref="A9:F9"/>
    <mergeCell ref="A16:F16"/>
  </mergeCells>
  <conditionalFormatting sqref="C12:C15 C8 C10 C54:C1048576">
    <cfRule type="cellIs" dxfId="401" priority="104" operator="equal">
      <formula>"WIP (see comments)"</formula>
    </cfRule>
    <cfRule type="cellIs" dxfId="400" priority="105" operator="equal">
      <formula>"Removed"</formula>
    </cfRule>
    <cfRule type="cellIs" dxfId="399" priority="106" operator="equal">
      <formula>"Updated"</formula>
    </cfRule>
    <cfRule type="cellIs" dxfId="398" priority="107" operator="equal">
      <formula>"New"</formula>
    </cfRule>
  </conditionalFormatting>
  <conditionalFormatting sqref="D12:D15 D8 D10">
    <cfRule type="cellIs" dxfId="397" priority="103" operator="equal">
      <formula>"-"</formula>
    </cfRule>
  </conditionalFormatting>
  <conditionalFormatting sqref="P12:XFD15 A12:N13 I14:I15 A14:E15 G14:G15 L14:N15 A8:N8 P8:XFD8 P10:XFD10 A10:N10 A39:A46">
    <cfRule type="cellIs" dxfId="396" priority="102" operator="equal">
      <formula>"n/a"</formula>
    </cfRule>
  </conditionalFormatting>
  <conditionalFormatting sqref="G7:XFD7 A7">
    <cfRule type="cellIs" dxfId="395" priority="99" operator="equal">
      <formula>"n/a"</formula>
    </cfRule>
  </conditionalFormatting>
  <conditionalFormatting sqref="H15">
    <cfRule type="cellIs" dxfId="394" priority="89" operator="equal">
      <formula>"n/a"</formula>
    </cfRule>
  </conditionalFormatting>
  <conditionalFormatting sqref="C11">
    <cfRule type="cellIs" dxfId="393" priority="92" operator="equal">
      <formula>"WIP (see comments)"</formula>
    </cfRule>
    <cfRule type="cellIs" dxfId="392" priority="93" operator="equal">
      <formula>"Removed"</formula>
    </cfRule>
    <cfRule type="cellIs" dxfId="391" priority="94" operator="equal">
      <formula>"Updated"</formula>
    </cfRule>
    <cfRule type="cellIs" dxfId="390" priority="95" operator="equal">
      <formula>"New"</formula>
    </cfRule>
  </conditionalFormatting>
  <conditionalFormatting sqref="D11">
    <cfRule type="cellIs" dxfId="389" priority="91" operator="equal">
      <formula>"-"</formula>
    </cfRule>
  </conditionalFormatting>
  <conditionalFormatting sqref="A11:N11 P11:XFD11">
    <cfRule type="cellIs" dxfId="388" priority="90" operator="equal">
      <formula>"n/a"</formula>
    </cfRule>
  </conditionalFormatting>
  <conditionalFormatting sqref="F14">
    <cfRule type="cellIs" dxfId="387" priority="86" operator="equal">
      <formula>"n/a"</formula>
    </cfRule>
  </conditionalFormatting>
  <conditionalFormatting sqref="H14">
    <cfRule type="cellIs" dxfId="386" priority="88" operator="equal">
      <formula>"n/a"</formula>
    </cfRule>
  </conditionalFormatting>
  <conditionalFormatting sqref="F15">
    <cfRule type="cellIs" dxfId="385" priority="87" operator="equal">
      <formula>"n/a"</formula>
    </cfRule>
  </conditionalFormatting>
  <conditionalFormatting sqref="J15:K15">
    <cfRule type="cellIs" dxfId="384" priority="85" operator="equal">
      <formula>"n/a"</formula>
    </cfRule>
  </conditionalFormatting>
  <conditionalFormatting sqref="J14:K14">
    <cfRule type="cellIs" dxfId="383" priority="84" operator="equal">
      <formula>"n/a"</formula>
    </cfRule>
  </conditionalFormatting>
  <conditionalFormatting sqref="C19 C21:C24">
    <cfRule type="cellIs" dxfId="382" priority="80" operator="equal">
      <formula>"WIP (see comments)"</formula>
    </cfRule>
    <cfRule type="cellIs" dxfId="381" priority="81" operator="equal">
      <formula>"Removed"</formula>
    </cfRule>
    <cfRule type="cellIs" dxfId="380" priority="82" operator="equal">
      <formula>"Updated"</formula>
    </cfRule>
    <cfRule type="cellIs" dxfId="379" priority="83" operator="equal">
      <formula>"New"</formula>
    </cfRule>
  </conditionalFormatting>
  <conditionalFormatting sqref="D19 D21:D24">
    <cfRule type="cellIs" dxfId="378" priority="79" operator="equal">
      <formula>"-"</formula>
    </cfRule>
  </conditionalFormatting>
  <conditionalFormatting sqref="P19:XFD19 P21:XFD24 A21:H21 G23:G24 L23:N24 A19:H19 J21:N21 A22:E24 K22:N22 J19:N19">
    <cfRule type="cellIs" dxfId="377" priority="78" operator="equal">
      <formula>"n/a"</formula>
    </cfRule>
  </conditionalFormatting>
  <conditionalFormatting sqref="G18:XFD18 A18">
    <cfRule type="cellIs" dxfId="376" priority="77" operator="equal">
      <formula>"n/a"</formula>
    </cfRule>
  </conditionalFormatting>
  <conditionalFormatting sqref="F25:XFD25 A25">
    <cfRule type="cellIs" dxfId="375" priority="76" operator="equal">
      <formula>"n/a"</formula>
    </cfRule>
  </conditionalFormatting>
  <conditionalFormatting sqref="C20">
    <cfRule type="cellIs" dxfId="374" priority="72" operator="equal">
      <formula>"WIP (see comments)"</formula>
    </cfRule>
    <cfRule type="cellIs" dxfId="373" priority="73" operator="equal">
      <formula>"Removed"</formula>
    </cfRule>
    <cfRule type="cellIs" dxfId="372" priority="74" operator="equal">
      <formula>"Updated"</formula>
    </cfRule>
    <cfRule type="cellIs" dxfId="371" priority="75" operator="equal">
      <formula>"New"</formula>
    </cfRule>
  </conditionalFormatting>
  <conditionalFormatting sqref="D20">
    <cfRule type="cellIs" dxfId="370" priority="71" operator="equal">
      <formula>"-"</formula>
    </cfRule>
  </conditionalFormatting>
  <conditionalFormatting sqref="A20:H20 P20:XFD20 J20:N20">
    <cfRule type="cellIs" dxfId="369" priority="70" operator="equal">
      <formula>"n/a"</formula>
    </cfRule>
  </conditionalFormatting>
  <conditionalFormatting sqref="H24">
    <cfRule type="cellIs" dxfId="368" priority="69" operator="equal">
      <formula>"n/a"</formula>
    </cfRule>
  </conditionalFormatting>
  <conditionalFormatting sqref="H23">
    <cfRule type="cellIs" dxfId="367" priority="68" operator="equal">
      <formula>"n/a"</formula>
    </cfRule>
  </conditionalFormatting>
  <conditionalFormatting sqref="F24">
    <cfRule type="cellIs" dxfId="366" priority="67" operator="equal">
      <formula>"n/a"</formula>
    </cfRule>
  </conditionalFormatting>
  <conditionalFormatting sqref="F23">
    <cfRule type="cellIs" dxfId="365" priority="66" operator="equal">
      <formula>"n/a"</formula>
    </cfRule>
  </conditionalFormatting>
  <conditionalFormatting sqref="J24:K24">
    <cfRule type="cellIs" dxfId="364" priority="65" operator="equal">
      <formula>"n/a"</formula>
    </cfRule>
  </conditionalFormatting>
  <conditionalFormatting sqref="J23:K23">
    <cfRule type="cellIs" dxfId="363" priority="64" operator="equal">
      <formula>"n/a"</formula>
    </cfRule>
  </conditionalFormatting>
  <conditionalFormatting sqref="C26 C28 C30:C33">
    <cfRule type="cellIs" dxfId="362" priority="60" operator="equal">
      <formula>"WIP (see comments)"</formula>
    </cfRule>
    <cfRule type="cellIs" dxfId="361" priority="61" operator="equal">
      <formula>"Removed"</formula>
    </cfRule>
    <cfRule type="cellIs" dxfId="360" priority="62" operator="equal">
      <formula>"Updated"</formula>
    </cfRule>
    <cfRule type="cellIs" dxfId="359" priority="63" operator="equal">
      <formula>"New"</formula>
    </cfRule>
  </conditionalFormatting>
  <conditionalFormatting sqref="D28 D26 D30:D33">
    <cfRule type="cellIs" dxfId="358" priority="59" operator="equal">
      <formula>"-"</formula>
    </cfRule>
  </conditionalFormatting>
  <conditionalFormatting sqref="P26:XFD26 A26:N26 P28:XFD28 P30:XFD33 A30:H30 G32:G33 L32:N33 A28:N28 I28:I33 A31:E33 J30:N31">
    <cfRule type="cellIs" dxfId="357" priority="58" operator="equal">
      <formula>"n/a"</formula>
    </cfRule>
  </conditionalFormatting>
  <conditionalFormatting sqref="G27:XFD27 A27">
    <cfRule type="cellIs" dxfId="356" priority="57" operator="equal">
      <formula>"n/a"</formula>
    </cfRule>
  </conditionalFormatting>
  <conditionalFormatting sqref="F34:XFD34 A34">
    <cfRule type="cellIs" dxfId="355" priority="56" operator="equal">
      <formula>"n/a"</formula>
    </cfRule>
  </conditionalFormatting>
  <conditionalFormatting sqref="C29">
    <cfRule type="cellIs" dxfId="354" priority="52" operator="equal">
      <formula>"WIP (see comments)"</formula>
    </cfRule>
    <cfRule type="cellIs" dxfId="353" priority="53" operator="equal">
      <formula>"Removed"</formula>
    </cfRule>
    <cfRule type="cellIs" dxfId="352" priority="54" operator="equal">
      <formula>"Updated"</formula>
    </cfRule>
    <cfRule type="cellIs" dxfId="351" priority="55" operator="equal">
      <formula>"New"</formula>
    </cfRule>
  </conditionalFormatting>
  <conditionalFormatting sqref="D29">
    <cfRule type="cellIs" dxfId="350" priority="51" operator="equal">
      <formula>"-"</formula>
    </cfRule>
  </conditionalFormatting>
  <conditionalFormatting sqref="A29:H29 P29:XFD29 J29:N29">
    <cfRule type="cellIs" dxfId="349" priority="50" operator="equal">
      <formula>"n/a"</formula>
    </cfRule>
  </conditionalFormatting>
  <conditionalFormatting sqref="H33">
    <cfRule type="cellIs" dxfId="348" priority="49" operator="equal">
      <formula>"n/a"</formula>
    </cfRule>
  </conditionalFormatting>
  <conditionalFormatting sqref="H32">
    <cfRule type="cellIs" dxfId="347" priority="48" operator="equal">
      <formula>"n/a"</formula>
    </cfRule>
  </conditionalFormatting>
  <conditionalFormatting sqref="F33">
    <cfRule type="cellIs" dxfId="346" priority="47" operator="equal">
      <formula>"n/a"</formula>
    </cfRule>
  </conditionalFormatting>
  <conditionalFormatting sqref="F32">
    <cfRule type="cellIs" dxfId="345" priority="46" operator="equal">
      <formula>"n/a"</formula>
    </cfRule>
  </conditionalFormatting>
  <conditionalFormatting sqref="J33:K33">
    <cfRule type="cellIs" dxfId="344" priority="45" operator="equal">
      <formula>"n/a"</formula>
    </cfRule>
  </conditionalFormatting>
  <conditionalFormatting sqref="J32:K32">
    <cfRule type="cellIs" dxfId="343" priority="44" operator="equal">
      <formula>"n/a"</formula>
    </cfRule>
  </conditionalFormatting>
  <conditionalFormatting sqref="C35:C37 C40:C47">
    <cfRule type="cellIs" dxfId="342" priority="40" operator="equal">
      <formula>"WIP (see comments)"</formula>
    </cfRule>
    <cfRule type="cellIs" dxfId="341" priority="41" operator="equal">
      <formula>"Removed"</formula>
    </cfRule>
    <cfRule type="cellIs" dxfId="340" priority="42" operator="equal">
      <formula>"Updated"</formula>
    </cfRule>
    <cfRule type="cellIs" dxfId="339" priority="43" operator="equal">
      <formula>"New"</formula>
    </cfRule>
  </conditionalFormatting>
  <conditionalFormatting sqref="D35:D37 D40:D47">
    <cfRule type="cellIs" dxfId="338" priority="39" operator="equal">
      <formula>"-"</formula>
    </cfRule>
  </conditionalFormatting>
  <conditionalFormatting sqref="P35:XFD37 G46:G47 L46:N47 A35:N37 I39:I41 J40:N41 A40:H41 P40:XFD47 A42:N42 A45:E47 J43:N45 A43:H44 I43:I47">
    <cfRule type="cellIs" dxfId="337" priority="38" operator="equal">
      <formula>"n/a"</formula>
    </cfRule>
  </conditionalFormatting>
  <conditionalFormatting sqref="G38:XFD38 A38">
    <cfRule type="cellIs" dxfId="336" priority="37" operator="equal">
      <formula>"n/a"</formula>
    </cfRule>
  </conditionalFormatting>
  <conditionalFormatting sqref="C39">
    <cfRule type="cellIs" dxfId="335" priority="32" operator="equal">
      <formula>"WIP (see comments)"</formula>
    </cfRule>
    <cfRule type="cellIs" dxfId="334" priority="33" operator="equal">
      <formula>"Removed"</formula>
    </cfRule>
    <cfRule type="cellIs" dxfId="333" priority="34" operator="equal">
      <formula>"Updated"</formula>
    </cfRule>
    <cfRule type="cellIs" dxfId="332" priority="35" operator="equal">
      <formula>"New"</formula>
    </cfRule>
  </conditionalFormatting>
  <conditionalFormatting sqref="D39">
    <cfRule type="cellIs" dxfId="331" priority="31" operator="equal">
      <formula>"-"</formula>
    </cfRule>
  </conditionalFormatting>
  <conditionalFormatting sqref="A39:H39 P39:XFD39 J39:N39">
    <cfRule type="cellIs" dxfId="330" priority="30" operator="equal">
      <formula>"n/a"</formula>
    </cfRule>
  </conditionalFormatting>
  <conditionalFormatting sqref="H47">
    <cfRule type="cellIs" dxfId="329" priority="29" operator="equal">
      <formula>"n/a"</formula>
    </cfRule>
  </conditionalFormatting>
  <conditionalFormatting sqref="H46">
    <cfRule type="cellIs" dxfId="328" priority="28" operator="equal">
      <formula>"n/a"</formula>
    </cfRule>
  </conditionalFormatting>
  <conditionalFormatting sqref="F47">
    <cfRule type="cellIs" dxfId="327" priority="27" operator="equal">
      <formula>"n/a"</formula>
    </cfRule>
  </conditionalFormatting>
  <conditionalFormatting sqref="F46">
    <cfRule type="cellIs" dxfId="326" priority="26" operator="equal">
      <formula>"n/a"</formula>
    </cfRule>
  </conditionalFormatting>
  <conditionalFormatting sqref="J47:K47">
    <cfRule type="cellIs" dxfId="325" priority="25" operator="equal">
      <formula>"n/a"</formula>
    </cfRule>
  </conditionalFormatting>
  <conditionalFormatting sqref="J46:K46">
    <cfRule type="cellIs" dxfId="324" priority="24" operator="equal">
      <formula>"n/a"</formula>
    </cfRule>
  </conditionalFormatting>
  <conditionalFormatting sqref="A40:A44">
    <cfRule type="cellIs" dxfId="323" priority="23" operator="equal">
      <formula>"n/a"</formula>
    </cfRule>
  </conditionalFormatting>
  <conditionalFormatting sqref="G9:XFD9 A9">
    <cfRule type="cellIs" dxfId="322" priority="22" operator="equal">
      <formula>"n/a"</formula>
    </cfRule>
  </conditionalFormatting>
  <conditionalFormatting sqref="G48:XFD48 A48">
    <cfRule type="cellIs" dxfId="321" priority="21" operator="equal">
      <formula>"n/a"</formula>
    </cfRule>
  </conditionalFormatting>
  <conditionalFormatting sqref="C49:C53">
    <cfRule type="cellIs" dxfId="320" priority="17" operator="equal">
      <formula>"WIP (see comments)"</formula>
    </cfRule>
    <cfRule type="cellIs" dxfId="319" priority="18" operator="equal">
      <formula>"Removed"</formula>
    </cfRule>
    <cfRule type="cellIs" dxfId="318" priority="19" operator="equal">
      <formula>"Updated"</formula>
    </cfRule>
    <cfRule type="cellIs" dxfId="317" priority="20" operator="equal">
      <formula>"New"</formula>
    </cfRule>
  </conditionalFormatting>
  <conditionalFormatting sqref="D49:D53">
    <cfRule type="cellIs" dxfId="316" priority="16" operator="equal">
      <formula>"-"</formula>
    </cfRule>
  </conditionalFormatting>
  <conditionalFormatting sqref="A49:E53 G49:G53 L49:N53 I49:I53">
    <cfRule type="cellIs" dxfId="315" priority="15" operator="equal">
      <formula>"n/a"</formula>
    </cfRule>
  </conditionalFormatting>
  <conditionalFormatting sqref="H49:H53">
    <cfRule type="cellIs" dxfId="314" priority="14" operator="equal">
      <formula>"n/a"</formula>
    </cfRule>
  </conditionalFormatting>
  <conditionalFormatting sqref="F49:F53">
    <cfRule type="cellIs" dxfId="313" priority="13" operator="equal">
      <formula>"n/a"</formula>
    </cfRule>
  </conditionalFormatting>
  <conditionalFormatting sqref="J49:K53">
    <cfRule type="cellIs" dxfId="312" priority="12" operator="equal">
      <formula>"n/a"</formula>
    </cfRule>
  </conditionalFormatting>
  <conditionalFormatting sqref="C17">
    <cfRule type="cellIs" dxfId="311" priority="8" operator="equal">
      <formula>"WIP (see comments)"</formula>
    </cfRule>
    <cfRule type="cellIs" dxfId="310" priority="9" operator="equal">
      <formula>"Removed"</formula>
    </cfRule>
    <cfRule type="cellIs" dxfId="309" priority="10" operator="equal">
      <formula>"Updated"</formula>
    </cfRule>
    <cfRule type="cellIs" dxfId="308" priority="11" operator="equal">
      <formula>"New"</formula>
    </cfRule>
  </conditionalFormatting>
  <conditionalFormatting sqref="D17">
    <cfRule type="cellIs" dxfId="307" priority="7" operator="equal">
      <formula>"-"</formula>
    </cfRule>
  </conditionalFormatting>
  <conditionalFormatting sqref="A17:N17 P17:XFD17">
    <cfRule type="cellIs" dxfId="306" priority="6" operator="equal">
      <formula>"n/a"</formula>
    </cfRule>
  </conditionalFormatting>
  <conditionalFormatting sqref="G16:XFD16 A16">
    <cfRule type="cellIs" dxfId="305" priority="5" operator="equal">
      <formula>"n/a"</formula>
    </cfRule>
  </conditionalFormatting>
  <conditionalFormatting sqref="F22:H22 J22">
    <cfRule type="cellIs" dxfId="304" priority="4" operator="equal">
      <formula>"n/a"</formula>
    </cfRule>
  </conditionalFormatting>
  <conditionalFormatting sqref="F31:H31">
    <cfRule type="cellIs" dxfId="303" priority="3" operator="equal">
      <formula>"n/a"</formula>
    </cfRule>
  </conditionalFormatting>
  <conditionalFormatting sqref="I19:I24">
    <cfRule type="cellIs" dxfId="302" priority="2" operator="equal">
      <formula>"n/a"</formula>
    </cfRule>
  </conditionalFormatting>
  <conditionalFormatting sqref="F45:H45">
    <cfRule type="cellIs" dxfId="30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C17 C19:C24 C26 C28:C33 C35:C37 C8 C39:C47 C10:C15 C49:C1048576</xm:sqref>
        </x14:dataValidation>
        <x14:dataValidation type="list" allowBlank="1" showInputMessage="1" showErrorMessage="1">
          <x14:formula1>
            <xm:f>'List Values'!$A$5:$A$31</xm:f>
          </x14:formula1>
          <xm:sqref>E17 E19:E26 E28:E37 E8 E39:E47 E10:E15 E49:E1048576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7"/>
  <sheetViews>
    <sheetView workbookViewId="0">
      <pane xSplit="4" ySplit="6" topLeftCell="J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168</v>
      </c>
      <c r="C1" s="25"/>
      <c r="D1" s="22" t="s">
        <v>259</v>
      </c>
      <c r="F1" s="41"/>
      <c r="H1" s="27"/>
    </row>
    <row r="2" spans="1:16" s="23" customFormat="1" ht="18.5" x14ac:dyDescent="0.35">
      <c r="A2" s="21" t="s">
        <v>8</v>
      </c>
      <c r="B2" s="28" t="s">
        <v>194</v>
      </c>
      <c r="C2" s="27"/>
      <c r="D2" s="28"/>
      <c r="F2" s="41"/>
      <c r="H2" s="27"/>
    </row>
    <row r="3" spans="1:16" s="23" customFormat="1" ht="18.5" x14ac:dyDescent="0.35">
      <c r="A3" s="21" t="s">
        <v>41</v>
      </c>
      <c r="B3" s="28" t="s">
        <v>202</v>
      </c>
      <c r="C3" s="27"/>
      <c r="D3" s="28"/>
      <c r="F3" s="41"/>
      <c r="H3" s="27"/>
    </row>
    <row r="4" spans="1:16" s="23" customFormat="1" ht="18.5" x14ac:dyDescent="0.35">
      <c r="A4" s="21" t="s">
        <v>9</v>
      </c>
      <c r="B4" s="28" t="s">
        <v>314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B7" s="33" t="str">
        <f t="shared" ref="B7:B17" si="0">CONCATENATE($B$2, ".", A7)</f>
        <v>2a.</v>
      </c>
      <c r="C7" s="37" t="s">
        <v>38</v>
      </c>
      <c r="D7" s="34" t="s">
        <v>149</v>
      </c>
      <c r="E7" s="34" t="s">
        <v>49</v>
      </c>
      <c r="F7" s="33" t="s">
        <v>55</v>
      </c>
      <c r="G7" s="33" t="s">
        <v>55</v>
      </c>
      <c r="H7" s="37" t="s">
        <v>55</v>
      </c>
      <c r="I7" s="34" t="s">
        <v>54</v>
      </c>
      <c r="J7" s="33" t="s">
        <v>55</v>
      </c>
      <c r="K7" s="33" t="s">
        <v>55</v>
      </c>
      <c r="L7" s="33" t="s">
        <v>55</v>
      </c>
      <c r="M7" s="34" t="s">
        <v>55</v>
      </c>
      <c r="N7" s="33" t="s">
        <v>55</v>
      </c>
      <c r="O7" s="33" t="s">
        <v>249</v>
      </c>
    </row>
    <row r="8" spans="1:16" x14ac:dyDescent="0.35">
      <c r="B8" s="33" t="str">
        <f t="shared" si="0"/>
        <v>2a.</v>
      </c>
      <c r="C8" s="37" t="s">
        <v>38</v>
      </c>
      <c r="D8" s="34" t="s">
        <v>150</v>
      </c>
      <c r="E8" s="34" t="s">
        <v>27</v>
      </c>
      <c r="F8" s="33" t="s">
        <v>55</v>
      </c>
      <c r="G8" s="33" t="s">
        <v>55</v>
      </c>
      <c r="H8" s="37" t="s">
        <v>55</v>
      </c>
      <c r="I8" s="34" t="s">
        <v>54</v>
      </c>
      <c r="J8" s="33" t="s">
        <v>55</v>
      </c>
      <c r="K8" s="33" t="s">
        <v>55</v>
      </c>
      <c r="L8" s="33" t="s">
        <v>55</v>
      </c>
      <c r="M8" s="34" t="s">
        <v>55</v>
      </c>
      <c r="N8" s="33" t="s">
        <v>55</v>
      </c>
      <c r="O8" s="33" t="s">
        <v>250</v>
      </c>
    </row>
    <row r="9" spans="1:16" ht="43.5" x14ac:dyDescent="0.35">
      <c r="C9" s="37" t="s">
        <v>38</v>
      </c>
      <c r="D9" s="34" t="s">
        <v>257</v>
      </c>
      <c r="E9" s="34" t="s">
        <v>34</v>
      </c>
      <c r="F9" s="33" t="s">
        <v>55</v>
      </c>
      <c r="G9" s="33" t="s">
        <v>55</v>
      </c>
      <c r="H9" s="37" t="s">
        <v>55</v>
      </c>
      <c r="I9" s="34" t="s">
        <v>255</v>
      </c>
      <c r="J9" s="33" t="s">
        <v>55</v>
      </c>
      <c r="K9" s="33" t="s">
        <v>55</v>
      </c>
      <c r="L9" s="33" t="s">
        <v>55</v>
      </c>
      <c r="M9" s="34" t="s">
        <v>55</v>
      </c>
      <c r="N9" s="33" t="s">
        <v>55</v>
      </c>
      <c r="O9" s="33" t="s">
        <v>256</v>
      </c>
    </row>
    <row r="10" spans="1:16" ht="43.5" x14ac:dyDescent="0.35">
      <c r="B10" s="33" t="str">
        <f t="shared" si="0"/>
        <v>2a.</v>
      </c>
      <c r="C10" s="37" t="s">
        <v>38</v>
      </c>
      <c r="D10" s="34" t="s">
        <v>237</v>
      </c>
      <c r="E10" s="34" t="s">
        <v>34</v>
      </c>
      <c r="F10" s="33" t="s">
        <v>55</v>
      </c>
      <c r="G10" s="33" t="s">
        <v>55</v>
      </c>
      <c r="H10" s="37" t="s">
        <v>55</v>
      </c>
      <c r="I10" s="34" t="s">
        <v>227</v>
      </c>
      <c r="J10" s="33" t="s">
        <v>55</v>
      </c>
      <c r="K10" s="33" t="s">
        <v>55</v>
      </c>
      <c r="L10" s="33" t="s">
        <v>55</v>
      </c>
      <c r="M10" s="34" t="s">
        <v>55</v>
      </c>
      <c r="N10" s="33" t="s">
        <v>55</v>
      </c>
      <c r="O10" s="33" t="s">
        <v>252</v>
      </c>
    </row>
    <row r="11" spans="1:16" ht="29" x14ac:dyDescent="0.35">
      <c r="B11" s="33" t="str">
        <f t="shared" si="0"/>
        <v>2a.</v>
      </c>
      <c r="C11" s="37" t="s">
        <v>38</v>
      </c>
      <c r="D11" s="34" t="s">
        <v>228</v>
      </c>
      <c r="E11" s="34" t="s">
        <v>34</v>
      </c>
      <c r="F11" s="33" t="s">
        <v>55</v>
      </c>
      <c r="G11" s="33" t="s">
        <v>55</v>
      </c>
      <c r="H11" s="37" t="s">
        <v>55</v>
      </c>
      <c r="I11" s="34" t="s">
        <v>54</v>
      </c>
      <c r="J11" s="33" t="s">
        <v>55</v>
      </c>
      <c r="K11" s="33" t="s">
        <v>55</v>
      </c>
      <c r="L11" s="33" t="s">
        <v>55</v>
      </c>
      <c r="M11" s="34" t="s">
        <v>55</v>
      </c>
      <c r="N11" s="33" t="s">
        <v>55</v>
      </c>
      <c r="O11" s="33" t="s">
        <v>253</v>
      </c>
    </row>
    <row r="12" spans="1:16" x14ac:dyDescent="0.35">
      <c r="C12" s="37" t="s">
        <v>38</v>
      </c>
      <c r="D12" s="34"/>
      <c r="E12" s="34"/>
      <c r="I12" s="34"/>
      <c r="M12" s="34"/>
    </row>
    <row r="13" spans="1:16" x14ac:dyDescent="0.35">
      <c r="C13" s="37" t="s">
        <v>38</v>
      </c>
      <c r="D13" s="34"/>
      <c r="E13" s="34"/>
      <c r="I13" s="34"/>
      <c r="M13" s="34"/>
    </row>
    <row r="14" spans="1:16" ht="43.5" x14ac:dyDescent="0.35">
      <c r="B14" s="33" t="str">
        <f t="shared" si="0"/>
        <v>2a.</v>
      </c>
      <c r="C14" s="37" t="s">
        <v>38</v>
      </c>
      <c r="D14" s="34" t="s">
        <v>231</v>
      </c>
      <c r="E14" s="34" t="s">
        <v>59</v>
      </c>
      <c r="F14" s="33" t="s">
        <v>55</v>
      </c>
      <c r="G14" s="33" t="s">
        <v>55</v>
      </c>
      <c r="H14" s="37" t="s">
        <v>55</v>
      </c>
      <c r="I14" s="34" t="s">
        <v>233</v>
      </c>
      <c r="J14" s="33" t="s">
        <v>55</v>
      </c>
      <c r="K14" s="33" t="s">
        <v>55</v>
      </c>
      <c r="L14" s="33" t="s">
        <v>55</v>
      </c>
      <c r="M14" s="34" t="s">
        <v>55</v>
      </c>
      <c r="N14" s="33" t="s">
        <v>55</v>
      </c>
      <c r="O14" s="33" t="s">
        <v>254</v>
      </c>
    </row>
    <row r="15" spans="1:16" ht="43.5" x14ac:dyDescent="0.35">
      <c r="B15" s="33" t="str">
        <f t="shared" si="0"/>
        <v>2a.</v>
      </c>
      <c r="C15" s="37" t="s">
        <v>38</v>
      </c>
      <c r="D15" s="34" t="s">
        <v>232</v>
      </c>
      <c r="E15" s="34" t="s">
        <v>59</v>
      </c>
      <c r="F15" s="33" t="s">
        <v>55</v>
      </c>
      <c r="G15" s="33" t="s">
        <v>55</v>
      </c>
      <c r="H15" s="37" t="s">
        <v>55</v>
      </c>
      <c r="I15" s="34" t="s">
        <v>234</v>
      </c>
      <c r="J15" s="33" t="s">
        <v>55</v>
      </c>
      <c r="K15" s="33" t="s">
        <v>55</v>
      </c>
      <c r="L15" s="33" t="s">
        <v>55</v>
      </c>
      <c r="M15" s="34" t="s">
        <v>55</v>
      </c>
      <c r="N15" s="33" t="s">
        <v>55</v>
      </c>
      <c r="O15" s="33" t="s">
        <v>235</v>
      </c>
    </row>
    <row r="16" spans="1:16" x14ac:dyDescent="0.35">
      <c r="B16" s="33" t="str">
        <f>CONCATENATE($B$2, ".", A16)</f>
        <v>2a.</v>
      </c>
      <c r="C16" s="37" t="s">
        <v>38</v>
      </c>
      <c r="D16" s="34" t="s">
        <v>258</v>
      </c>
      <c r="E16" s="34" t="s">
        <v>59</v>
      </c>
      <c r="F16" s="33" t="s">
        <v>55</v>
      </c>
      <c r="G16" s="33" t="s">
        <v>55</v>
      </c>
      <c r="H16" s="37" t="s">
        <v>55</v>
      </c>
      <c r="I16" s="34" t="s">
        <v>54</v>
      </c>
      <c r="J16" s="33" t="s">
        <v>55</v>
      </c>
      <c r="K16" s="33" t="s">
        <v>55</v>
      </c>
      <c r="L16" s="33" t="s">
        <v>55</v>
      </c>
      <c r="M16" s="34" t="s">
        <v>55</v>
      </c>
      <c r="N16" s="33" t="s">
        <v>55</v>
      </c>
      <c r="O16" s="33" t="s">
        <v>251</v>
      </c>
    </row>
    <row r="17" spans="2:15" ht="29" x14ac:dyDescent="0.35">
      <c r="B17" s="33" t="str">
        <f t="shared" si="0"/>
        <v>2a.</v>
      </c>
      <c r="C17" s="37" t="s">
        <v>38</v>
      </c>
      <c r="D17" s="34" t="s">
        <v>169</v>
      </c>
      <c r="E17" s="34" t="s">
        <v>40</v>
      </c>
      <c r="F17" s="33" t="s">
        <v>55</v>
      </c>
      <c r="G17" s="33" t="s">
        <v>55</v>
      </c>
      <c r="H17" s="37" t="s">
        <v>55</v>
      </c>
      <c r="I17" s="34" t="s">
        <v>54</v>
      </c>
      <c r="J17" s="33" t="s">
        <v>55</v>
      </c>
      <c r="K17" s="33" t="s">
        <v>55</v>
      </c>
      <c r="L17" s="33" t="s">
        <v>55</v>
      </c>
      <c r="M17" s="33" t="s">
        <v>55</v>
      </c>
      <c r="N17" s="33" t="s">
        <v>55</v>
      </c>
      <c r="O17" s="31" t="s">
        <v>170</v>
      </c>
    </row>
  </sheetData>
  <autoFilter ref="A6:P6"/>
  <conditionalFormatting sqref="C18:C1048576">
    <cfRule type="cellIs" dxfId="300" priority="25" operator="equal">
      <formula>"WIP (see comments)"</formula>
    </cfRule>
    <cfRule type="cellIs" dxfId="299" priority="26" operator="equal">
      <formula>"Removed"</formula>
    </cfRule>
    <cfRule type="cellIs" dxfId="298" priority="27" operator="equal">
      <formula>"Updated"</formula>
    </cfRule>
    <cfRule type="cellIs" dxfId="297" priority="28" operator="equal">
      <formula>"New"</formula>
    </cfRule>
  </conditionalFormatting>
  <conditionalFormatting sqref="D8:D9 D16">
    <cfRule type="cellIs" dxfId="296" priority="24" operator="equal">
      <formula>"-"</formula>
    </cfRule>
  </conditionalFormatting>
  <conditionalFormatting sqref="I7:I8 J8:N9 P8:XFD17 A8:B17 D8:H9 D16:N17">
    <cfRule type="cellIs" dxfId="295" priority="23" operator="equal">
      <formula>"n/a"</formula>
    </cfRule>
  </conditionalFormatting>
  <conditionalFormatting sqref="O17">
    <cfRule type="cellIs" dxfId="294" priority="22" operator="equal">
      <formula>"n/a"</formula>
    </cfRule>
  </conditionalFormatting>
  <conditionalFormatting sqref="C7:C17">
    <cfRule type="cellIs" dxfId="293" priority="14" operator="equal">
      <formula>"WIP (see comments)"</formula>
    </cfRule>
    <cfRule type="cellIs" dxfId="292" priority="15" operator="equal">
      <formula>"Removed"</formula>
    </cfRule>
    <cfRule type="cellIs" dxfId="291" priority="16" operator="equal">
      <formula>"Updated"</formula>
    </cfRule>
    <cfRule type="cellIs" dxfId="290" priority="17" operator="equal">
      <formula>"New"</formula>
    </cfRule>
  </conditionalFormatting>
  <conditionalFormatting sqref="D7">
    <cfRule type="cellIs" dxfId="289" priority="13" operator="equal">
      <formula>"-"</formula>
    </cfRule>
  </conditionalFormatting>
  <conditionalFormatting sqref="A7:H7 P7:XFD7 J7:N7 C8:C17">
    <cfRule type="cellIs" dxfId="288" priority="12" operator="equal">
      <formula>"n/a"</formula>
    </cfRule>
  </conditionalFormatting>
  <conditionalFormatting sqref="D10:D15">
    <cfRule type="cellIs" dxfId="287" priority="3" operator="equal">
      <formula>"-"</formula>
    </cfRule>
  </conditionalFormatting>
  <conditionalFormatting sqref="D10:N15">
    <cfRule type="cellIs" dxfId="286" priority="2" operator="equal">
      <formula>"n/a"</formula>
    </cfRule>
  </conditionalFormatting>
  <conditionalFormatting sqref="I9">
    <cfRule type="cellIs" dxfId="28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C7:C1048576</xm:sqref>
        </x14:dataValidation>
        <x14:dataValidation type="list" allowBlank="1" showInputMessage="1" showErrorMessage="1">
          <x14:formula1>
            <xm:f>'List Values'!$A$5:$A$31</xm:f>
          </x14:formula1>
          <xm:sqref>E7:E1048576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D2" sqref="D2"/>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189</v>
      </c>
      <c r="F1" s="41"/>
      <c r="H1" s="27"/>
    </row>
    <row r="2" spans="1:16" s="23" customFormat="1" ht="18.5" x14ac:dyDescent="0.35">
      <c r="A2" s="21" t="s">
        <v>8</v>
      </c>
      <c r="B2" s="28" t="s">
        <v>178</v>
      </c>
      <c r="C2" s="27"/>
      <c r="D2" s="28"/>
      <c r="F2" s="41"/>
      <c r="H2" s="27"/>
    </row>
    <row r="3" spans="1:16" s="23" customFormat="1" ht="18.5" x14ac:dyDescent="0.35">
      <c r="A3" s="21" t="s">
        <v>41</v>
      </c>
      <c r="B3" s="28"/>
      <c r="C3" s="27"/>
      <c r="D3" s="28"/>
      <c r="F3" s="41"/>
      <c r="H3" s="27"/>
    </row>
    <row r="4" spans="1:16" s="23" customFormat="1" ht="18.5" x14ac:dyDescent="0.35">
      <c r="A4" s="21" t="s">
        <v>9</v>
      </c>
      <c r="B4" s="23" t="s">
        <v>173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Q-SB3.1</v>
      </c>
      <c r="C7" s="37" t="s">
        <v>39</v>
      </c>
      <c r="D7" s="33" t="s">
        <v>176</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Q-SB3.2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Q-SB3.3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Q-SB3.4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Q-SB3.5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Q-SB3.6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Q-SB3.6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Q-SB3.7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Q-SB3.8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284" priority="14" operator="equal">
      <formula>"WIP (see comments)"</formula>
    </cfRule>
    <cfRule type="cellIs" dxfId="283" priority="15" operator="equal">
      <formula>"Removed"</formula>
    </cfRule>
    <cfRule type="cellIs" dxfId="282" priority="16" operator="equal">
      <formula>"Updated"</formula>
    </cfRule>
    <cfRule type="cellIs" dxfId="281" priority="17" operator="equal">
      <formula>"New"</formula>
    </cfRule>
  </conditionalFormatting>
  <conditionalFormatting sqref="D7:D9 D11:D13">
    <cfRule type="cellIs" dxfId="280" priority="13" operator="equal">
      <formula>"-"</formula>
    </cfRule>
  </conditionalFormatting>
  <conditionalFormatting sqref="P15:XFD15 A11:L11 A15:N15 N11:XFD11 B16:C17 E16:N17 A13:C13 N13:XFD13 K12:L13 A7:XFD9 E13:J13 D12:D13">
    <cfRule type="cellIs" dxfId="279" priority="12" operator="equal">
      <formula>"n/a"</formula>
    </cfRule>
  </conditionalFormatting>
  <conditionalFormatting sqref="O15">
    <cfRule type="cellIs" dxfId="278" priority="11" operator="equal">
      <formula>"n/a"</formula>
    </cfRule>
  </conditionalFormatting>
  <conditionalFormatting sqref="M11 M13">
    <cfRule type="cellIs" dxfId="277" priority="10" operator="equal">
      <formula>"n/a"</formula>
    </cfRule>
  </conditionalFormatting>
  <conditionalFormatting sqref="F10:XFD10">
    <cfRule type="cellIs" dxfId="276" priority="9" operator="equal">
      <formula>"n/a"</formula>
    </cfRule>
  </conditionalFormatting>
  <conditionalFormatting sqref="F14:XFD14 A14">
    <cfRule type="cellIs" dxfId="275" priority="8" operator="equal">
      <formula>"n/a"</formula>
    </cfRule>
  </conditionalFormatting>
  <conditionalFormatting sqref="C12">
    <cfRule type="cellIs" dxfId="274" priority="4" operator="equal">
      <formula>"WIP (see comments)"</formula>
    </cfRule>
    <cfRule type="cellIs" dxfId="273" priority="5" operator="equal">
      <formula>"Removed"</formula>
    </cfRule>
    <cfRule type="cellIs" dxfId="272" priority="6" operator="equal">
      <formula>"Updated"</formula>
    </cfRule>
    <cfRule type="cellIs" dxfId="271" priority="7" operator="equal">
      <formula>"New"</formula>
    </cfRule>
  </conditionalFormatting>
  <conditionalFormatting sqref="A12:C12 N12:XFD12 E12:J12">
    <cfRule type="cellIs" dxfId="270" priority="3" operator="equal">
      <formula>"n/a"</formula>
    </cfRule>
  </conditionalFormatting>
  <conditionalFormatting sqref="M12">
    <cfRule type="cellIs" dxfId="269" priority="2" operator="equal">
      <formula>"n/a"</formula>
    </cfRule>
  </conditionalFormatting>
  <conditionalFormatting sqref="A10">
    <cfRule type="cellIs" dxfId="26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C11:C13 C15:C1048576 C7:C9</xm:sqref>
        </x14:dataValidation>
        <x14:dataValidation type="list" allowBlank="1" showInputMessage="1" showErrorMessage="1">
          <x14:formula1>
            <xm:f>'List Values'!$A$5:$A$31</xm:f>
          </x14:formula1>
          <xm:sqref>E7:E1048576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E1" sqref="E1"/>
    </sheetView>
  </sheetViews>
  <sheetFormatPr defaultColWidth="9.1796875" defaultRowHeight="14.5" x14ac:dyDescent="0.35"/>
  <cols>
    <col min="1" max="1" width="14.7265625" style="33" customWidth="1"/>
    <col min="2" max="2" width="12.54296875" style="33" customWidth="1"/>
    <col min="3" max="3" width="15.726562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129</v>
      </c>
      <c r="C1" s="25"/>
      <c r="D1" s="22" t="s">
        <v>189</v>
      </c>
      <c r="F1" s="41"/>
      <c r="H1" s="27"/>
    </row>
    <row r="2" spans="1:16" s="23" customFormat="1" ht="18.5" x14ac:dyDescent="0.35">
      <c r="A2" s="21" t="s">
        <v>8</v>
      </c>
      <c r="B2" s="28" t="s">
        <v>180</v>
      </c>
      <c r="C2" s="27"/>
      <c r="D2" s="28"/>
      <c r="F2" s="41"/>
      <c r="H2" s="27"/>
    </row>
    <row r="3" spans="1:16" s="23" customFormat="1" ht="18.5" x14ac:dyDescent="0.35">
      <c r="A3" s="21" t="s">
        <v>41</v>
      </c>
      <c r="B3" s="28"/>
      <c r="C3" s="27"/>
      <c r="D3" s="28"/>
      <c r="F3" s="41"/>
      <c r="H3" s="27"/>
    </row>
    <row r="4" spans="1:16" s="23" customFormat="1" ht="18.5" x14ac:dyDescent="0.35">
      <c r="A4" s="21" t="s">
        <v>9</v>
      </c>
      <c r="B4" s="23" t="s">
        <v>173</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Q-SB4.1</v>
      </c>
      <c r="C7" s="37" t="s">
        <v>39</v>
      </c>
      <c r="D7" s="33" t="s">
        <v>179</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Q-SB4.2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Q-SB4.3</v>
      </c>
      <c r="C9" s="37" t="s">
        <v>42</v>
      </c>
      <c r="D9" s="42" t="s">
        <v>131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Q-SB4.4</v>
      </c>
      <c r="C11" s="37" t="s">
        <v>42</v>
      </c>
      <c r="D11" s="42" t="s">
        <v>132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Q-SB4.5</v>
      </c>
      <c r="C12" s="37" t="s">
        <v>42</v>
      </c>
      <c r="D12" s="42" t="s">
        <v>132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Q-SB4.6</v>
      </c>
      <c r="C13" s="37" t="s">
        <v>42</v>
      </c>
      <c r="D13" s="42" t="s">
        <v>132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Q-SB4.6</v>
      </c>
      <c r="C15" s="37" t="s">
        <v>39</v>
      </c>
      <c r="D15" s="34" t="s">
        <v>56</v>
      </c>
      <c r="E15" s="34" t="s">
        <v>40</v>
      </c>
      <c r="F15" s="33" t="s">
        <v>55</v>
      </c>
      <c r="G15" s="33" t="s">
        <v>55</v>
      </c>
      <c r="H15" s="37" t="s">
        <v>55</v>
      </c>
      <c r="I15" s="34" t="s">
        <v>54</v>
      </c>
      <c r="J15" s="33" t="s">
        <v>55</v>
      </c>
      <c r="K15" s="33" t="s">
        <v>55</v>
      </c>
      <c r="L15" s="33" t="s">
        <v>55</v>
      </c>
      <c r="M15" s="33" t="s">
        <v>55</v>
      </c>
      <c r="N15" s="33" t="s">
        <v>55</v>
      </c>
      <c r="O15" s="31" t="s">
        <v>133</v>
      </c>
    </row>
    <row r="16" spans="1:16" ht="29" x14ac:dyDescent="0.35">
      <c r="A16" s="33">
        <v>7</v>
      </c>
      <c r="B16" s="33" t="str">
        <f t="shared" si="0"/>
        <v>Q-SB4.7</v>
      </c>
      <c r="C16" s="37" t="s">
        <v>42</v>
      </c>
      <c r="D16" s="33" t="s">
        <v>57</v>
      </c>
      <c r="E16" s="34" t="s">
        <v>40</v>
      </c>
      <c r="F16" s="33" t="s">
        <v>55</v>
      </c>
      <c r="G16" s="33" t="s">
        <v>55</v>
      </c>
      <c r="H16" s="37" t="s">
        <v>55</v>
      </c>
      <c r="I16" s="34" t="s">
        <v>54</v>
      </c>
      <c r="J16" s="33" t="s">
        <v>55</v>
      </c>
      <c r="K16" s="33" t="s">
        <v>55</v>
      </c>
      <c r="L16" s="33" t="s">
        <v>55</v>
      </c>
      <c r="M16" s="33" t="s">
        <v>55</v>
      </c>
      <c r="N16" s="33" t="s">
        <v>55</v>
      </c>
      <c r="O16" s="42" t="s">
        <v>134</v>
      </c>
      <c r="P16" s="33" t="s">
        <v>135</v>
      </c>
    </row>
    <row r="17" spans="1:15" ht="29" x14ac:dyDescent="0.35">
      <c r="A17" s="33">
        <v>8</v>
      </c>
      <c r="B17" s="33" t="str">
        <f t="shared" si="0"/>
        <v>Q-SB4.8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15:C1048576 C11 C13 C7:C9">
    <cfRule type="cellIs" dxfId="267" priority="14" operator="equal">
      <formula>"WIP (see comments)"</formula>
    </cfRule>
    <cfRule type="cellIs" dxfId="266" priority="15" operator="equal">
      <formula>"Removed"</formula>
    </cfRule>
    <cfRule type="cellIs" dxfId="265" priority="16" operator="equal">
      <formula>"Updated"</formula>
    </cfRule>
    <cfRule type="cellIs" dxfId="264" priority="17" operator="equal">
      <formula>"New"</formula>
    </cfRule>
  </conditionalFormatting>
  <conditionalFormatting sqref="D7:D9 D11:D13">
    <cfRule type="cellIs" dxfId="263" priority="13" operator="equal">
      <formula>"-"</formula>
    </cfRule>
  </conditionalFormatting>
  <conditionalFormatting sqref="P15:XFD15 A11:L11 A15:N15 N11:XFD11 B16:C17 E16:N17 A13:C13 N13:XFD13 K12:L13 A7:XFD9 E13:J13 D12:D13">
    <cfRule type="cellIs" dxfId="262" priority="12" operator="equal">
      <formula>"n/a"</formula>
    </cfRule>
  </conditionalFormatting>
  <conditionalFormatting sqref="O15">
    <cfRule type="cellIs" dxfId="261" priority="11" operator="equal">
      <formula>"n/a"</formula>
    </cfRule>
  </conditionalFormatting>
  <conditionalFormatting sqref="M11 M13">
    <cfRule type="cellIs" dxfId="260" priority="10" operator="equal">
      <formula>"n/a"</formula>
    </cfRule>
  </conditionalFormatting>
  <conditionalFormatting sqref="F10:XFD10">
    <cfRule type="cellIs" dxfId="259" priority="9" operator="equal">
      <formula>"n/a"</formula>
    </cfRule>
  </conditionalFormatting>
  <conditionalFormatting sqref="F14:XFD14 A14">
    <cfRule type="cellIs" dxfId="258" priority="8" operator="equal">
      <formula>"n/a"</formula>
    </cfRule>
  </conditionalFormatting>
  <conditionalFormatting sqref="C12">
    <cfRule type="cellIs" dxfId="257" priority="4" operator="equal">
      <formula>"WIP (see comments)"</formula>
    </cfRule>
    <cfRule type="cellIs" dxfId="256" priority="5" operator="equal">
      <formula>"Removed"</formula>
    </cfRule>
    <cfRule type="cellIs" dxfId="255" priority="6" operator="equal">
      <formula>"Updated"</formula>
    </cfRule>
    <cfRule type="cellIs" dxfId="254" priority="7" operator="equal">
      <formula>"New"</formula>
    </cfRule>
  </conditionalFormatting>
  <conditionalFormatting sqref="A12:C12 N12:XFD12 E12:J12">
    <cfRule type="cellIs" dxfId="253" priority="3" operator="equal">
      <formula>"n/a"</formula>
    </cfRule>
  </conditionalFormatting>
  <conditionalFormatting sqref="M12">
    <cfRule type="cellIs" dxfId="252" priority="2" operator="equal">
      <formula>"n/a"</formula>
    </cfRule>
  </conditionalFormatting>
  <conditionalFormatting sqref="A10">
    <cfRule type="cellIs" dxfId="25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C11:C13 C15:C1048576 C7:C9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H30"/>
  <sheetViews>
    <sheetView tabSelected="1"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29.5429687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34" s="23" customFormat="1" ht="18.5" x14ac:dyDescent="0.35">
      <c r="A1" s="21" t="s">
        <v>7</v>
      </c>
      <c r="B1" s="29" t="s">
        <v>182</v>
      </c>
      <c r="C1" s="25"/>
      <c r="D1" s="22"/>
      <c r="F1" s="41"/>
      <c r="H1" s="27"/>
    </row>
    <row r="2" spans="1:34" s="23" customFormat="1" ht="18.5" x14ac:dyDescent="0.35">
      <c r="A2" s="21" t="s">
        <v>8</v>
      </c>
      <c r="B2" s="28">
        <v>3</v>
      </c>
      <c r="C2" s="27"/>
      <c r="D2" s="47" t="s">
        <v>273</v>
      </c>
      <c r="F2" s="41"/>
      <c r="H2" s="27"/>
    </row>
    <row r="3" spans="1:34" s="23" customFormat="1" ht="18.5" x14ac:dyDescent="0.35">
      <c r="A3" s="21" t="s">
        <v>41</v>
      </c>
      <c r="B3" s="28" t="s">
        <v>193</v>
      </c>
      <c r="C3" s="27"/>
      <c r="F3" s="41"/>
      <c r="H3" s="27"/>
    </row>
    <row r="4" spans="1:34" s="23" customFormat="1" ht="18.5" x14ac:dyDescent="0.35">
      <c r="A4" s="21" t="s">
        <v>9</v>
      </c>
      <c r="B4" s="23" t="s">
        <v>54</v>
      </c>
      <c r="C4" s="27"/>
      <c r="D4" s="47" t="s">
        <v>218</v>
      </c>
      <c r="F4" s="41"/>
      <c r="H4" s="27"/>
    </row>
    <row r="5" spans="1:34" s="35" customFormat="1" x14ac:dyDescent="0.35">
      <c r="C5" s="36"/>
      <c r="F5" s="33"/>
      <c r="H5" s="36"/>
    </row>
    <row r="6" spans="1:34"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34" s="32" customFormat="1" x14ac:dyDescent="0.35">
      <c r="A7" s="50" t="s">
        <v>261</v>
      </c>
      <c r="B7" s="50"/>
      <c r="C7" s="50"/>
      <c r="D7" s="50"/>
      <c r="E7" s="50"/>
      <c r="F7" s="50"/>
      <c r="Q7" s="46"/>
      <c r="R7" s="46"/>
      <c r="S7" s="46"/>
      <c r="T7" s="46"/>
      <c r="U7" s="46"/>
      <c r="V7" s="46"/>
      <c r="W7" s="46"/>
      <c r="X7" s="46"/>
      <c r="Y7" s="46"/>
      <c r="Z7" s="46"/>
      <c r="AA7" s="46"/>
      <c r="AB7" s="46"/>
      <c r="AC7" s="46"/>
      <c r="AD7" s="46"/>
      <c r="AE7" s="46"/>
      <c r="AF7" s="46"/>
      <c r="AG7" s="46"/>
      <c r="AH7" s="46"/>
    </row>
    <row r="8" spans="1:34" s="32" customFormat="1" ht="33.5" customHeight="1" x14ac:dyDescent="0.35">
      <c r="A8" s="33">
        <v>1</v>
      </c>
      <c r="B8" s="33" t="str">
        <f>CONCATENATE($B$2, ".", A8)</f>
        <v>3.1</v>
      </c>
      <c r="C8" s="37" t="s">
        <v>39</v>
      </c>
      <c r="D8" s="34" t="s">
        <v>267</v>
      </c>
      <c r="E8" s="34" t="s">
        <v>49</v>
      </c>
      <c r="F8" s="33" t="s">
        <v>55</v>
      </c>
      <c r="G8" s="33" t="s">
        <v>55</v>
      </c>
      <c r="H8" s="37" t="s">
        <v>55</v>
      </c>
      <c r="I8" s="34" t="s">
        <v>153</v>
      </c>
      <c r="J8" s="33" t="s">
        <v>55</v>
      </c>
      <c r="K8" s="33" t="s">
        <v>55</v>
      </c>
      <c r="L8" s="33" t="s">
        <v>55</v>
      </c>
      <c r="M8" s="34" t="s">
        <v>55</v>
      </c>
      <c r="N8" s="33" t="s">
        <v>55</v>
      </c>
      <c r="O8" s="33" t="s">
        <v>318</v>
      </c>
      <c r="P8" s="33"/>
      <c r="Q8" s="46"/>
      <c r="R8" s="46"/>
      <c r="S8" s="46"/>
      <c r="T8" s="46"/>
      <c r="U8" s="46"/>
      <c r="V8" s="46"/>
      <c r="W8" s="46"/>
      <c r="X8" s="46"/>
      <c r="Y8" s="46"/>
      <c r="Z8" s="46"/>
      <c r="AA8" s="46"/>
      <c r="AB8" s="46"/>
      <c r="AC8" s="46"/>
      <c r="AD8" s="46"/>
      <c r="AE8" s="46"/>
      <c r="AF8" s="46"/>
      <c r="AG8" s="46"/>
      <c r="AH8" s="46"/>
    </row>
    <row r="9" spans="1:34" x14ac:dyDescent="0.35">
      <c r="A9" s="50" t="s">
        <v>326</v>
      </c>
      <c r="B9" s="50"/>
      <c r="C9" s="50"/>
      <c r="D9" s="50"/>
      <c r="E9" s="50"/>
      <c r="F9" s="50"/>
      <c r="G9" s="32"/>
      <c r="H9" s="32"/>
      <c r="I9" s="32"/>
      <c r="J9" s="32"/>
      <c r="K9" s="32"/>
      <c r="L9" s="32"/>
      <c r="M9" s="32"/>
      <c r="N9" s="32"/>
      <c r="O9" s="32"/>
      <c r="P9" s="32"/>
      <c r="Q9" s="34"/>
      <c r="R9" s="34"/>
      <c r="S9" s="34"/>
      <c r="T9" s="34"/>
      <c r="U9" s="34"/>
      <c r="V9" s="34"/>
      <c r="W9" s="34"/>
      <c r="X9" s="34"/>
      <c r="Y9" s="34"/>
      <c r="Z9" s="34"/>
      <c r="AA9" s="34"/>
      <c r="AB9" s="34"/>
      <c r="AC9" s="34"/>
      <c r="AD9" s="34"/>
      <c r="AE9" s="34"/>
      <c r="AF9" s="34"/>
      <c r="AG9" s="34"/>
      <c r="AH9" s="34"/>
    </row>
    <row r="10" spans="1:34" ht="29" x14ac:dyDescent="0.35">
      <c r="A10" s="33">
        <v>2</v>
      </c>
      <c r="B10" s="33" t="str">
        <f>CONCATENATE($B$2, ".", A10)</f>
        <v>3.2</v>
      </c>
      <c r="C10" s="37" t="s">
        <v>39</v>
      </c>
      <c r="D10" s="34" t="s">
        <v>148</v>
      </c>
      <c r="E10" s="34" t="s">
        <v>48</v>
      </c>
      <c r="F10" s="33" t="s">
        <v>55</v>
      </c>
      <c r="G10" s="33" t="s">
        <v>55</v>
      </c>
      <c r="H10" s="37" t="s">
        <v>55</v>
      </c>
      <c r="I10" s="34" t="s">
        <v>153</v>
      </c>
      <c r="J10" s="33" t="s">
        <v>55</v>
      </c>
      <c r="K10" s="33" t="s">
        <v>55</v>
      </c>
      <c r="L10" s="33" t="s">
        <v>55</v>
      </c>
      <c r="M10" s="34" t="s">
        <v>55</v>
      </c>
      <c r="N10" s="33" t="s">
        <v>55</v>
      </c>
      <c r="O10" s="33" t="s">
        <v>318</v>
      </c>
      <c r="Q10" s="34"/>
      <c r="R10" s="34"/>
      <c r="S10" s="34"/>
      <c r="T10" s="34"/>
      <c r="U10" s="34"/>
      <c r="V10" s="34"/>
      <c r="W10" s="34"/>
      <c r="X10" s="34"/>
      <c r="Y10" s="34"/>
      <c r="Z10" s="34"/>
      <c r="AA10" s="34"/>
      <c r="AB10" s="34"/>
      <c r="AC10" s="34"/>
      <c r="AD10" s="34"/>
      <c r="AE10" s="34"/>
      <c r="AF10" s="34"/>
      <c r="AG10" s="34"/>
      <c r="AH10" s="34"/>
    </row>
    <row r="11" spans="1:34" ht="29" x14ac:dyDescent="0.35">
      <c r="A11" s="33">
        <v>3</v>
      </c>
      <c r="B11" s="33" t="str">
        <f>CONCATENATE($B$2, ".", A11)</f>
        <v>3.3</v>
      </c>
      <c r="C11" s="37" t="s">
        <v>39</v>
      </c>
      <c r="D11" s="34" t="s">
        <v>149</v>
      </c>
      <c r="E11" s="34" t="s">
        <v>27</v>
      </c>
      <c r="F11" s="33" t="s">
        <v>55</v>
      </c>
      <c r="G11" s="33" t="s">
        <v>55</v>
      </c>
      <c r="H11" s="37" t="s">
        <v>55</v>
      </c>
      <c r="I11" s="34" t="s">
        <v>153</v>
      </c>
      <c r="J11" s="33" t="s">
        <v>55</v>
      </c>
      <c r="K11" s="33" t="s">
        <v>55</v>
      </c>
      <c r="L11" s="33" t="s">
        <v>55</v>
      </c>
      <c r="M11" s="34" t="s">
        <v>55</v>
      </c>
      <c r="N11" s="33" t="s">
        <v>55</v>
      </c>
      <c r="O11" s="33" t="s">
        <v>318</v>
      </c>
      <c r="Q11" s="34"/>
      <c r="R11" s="34"/>
      <c r="S11" s="34"/>
      <c r="T11" s="34"/>
      <c r="U11" s="34"/>
      <c r="V11" s="34"/>
      <c r="W11" s="34"/>
      <c r="X11" s="34"/>
      <c r="Y11" s="34"/>
      <c r="Z11" s="34"/>
      <c r="AA11" s="34"/>
      <c r="AB11" s="34"/>
      <c r="AC11" s="34"/>
      <c r="AD11" s="34"/>
      <c r="AE11" s="34"/>
      <c r="AF11" s="34"/>
      <c r="AG11" s="34"/>
      <c r="AH11" s="34"/>
    </row>
    <row r="12" spans="1:34" ht="29" x14ac:dyDescent="0.35">
      <c r="A12" s="33">
        <v>4</v>
      </c>
      <c r="B12" s="33" t="str">
        <f>CONCATENATE($B$2, ".", A12)</f>
        <v>3.4</v>
      </c>
      <c r="C12" s="37" t="s">
        <v>39</v>
      </c>
      <c r="D12" s="34" t="s">
        <v>150</v>
      </c>
      <c r="E12" s="34" t="s">
        <v>32</v>
      </c>
      <c r="F12" s="33" t="s">
        <v>55</v>
      </c>
      <c r="G12" s="33" t="s">
        <v>55</v>
      </c>
      <c r="H12" s="37" t="s">
        <v>55</v>
      </c>
      <c r="I12" s="34" t="s">
        <v>153</v>
      </c>
      <c r="J12" s="33" t="s">
        <v>55</v>
      </c>
      <c r="K12" s="33" t="s">
        <v>55</v>
      </c>
      <c r="L12" s="33" t="s">
        <v>55</v>
      </c>
      <c r="M12" s="34" t="s">
        <v>55</v>
      </c>
      <c r="N12" s="33" t="s">
        <v>55</v>
      </c>
      <c r="O12" s="33" t="s">
        <v>318</v>
      </c>
      <c r="Q12" s="34"/>
      <c r="R12" s="34"/>
      <c r="S12" s="34"/>
      <c r="T12" s="34"/>
      <c r="U12" s="34"/>
      <c r="V12" s="34"/>
      <c r="W12" s="34"/>
      <c r="X12" s="34"/>
      <c r="Y12" s="34"/>
      <c r="Z12" s="34"/>
      <c r="AA12" s="34"/>
      <c r="AB12" s="34"/>
      <c r="AC12" s="34"/>
      <c r="AD12" s="34"/>
      <c r="AE12" s="34"/>
      <c r="AF12" s="34"/>
      <c r="AG12" s="34"/>
      <c r="AH12" s="34"/>
    </row>
    <row r="13" spans="1:34" ht="58" x14ac:dyDescent="0.35">
      <c r="A13" s="33">
        <v>5</v>
      </c>
      <c r="B13" s="33" t="str">
        <f>CONCATENATE($B$2, ".", A13)</f>
        <v>3.5</v>
      </c>
      <c r="C13" s="37" t="s">
        <v>39</v>
      </c>
      <c r="D13" s="34" t="s">
        <v>316</v>
      </c>
      <c r="E13" s="34" t="s">
        <v>40</v>
      </c>
      <c r="F13" s="33" t="s">
        <v>55</v>
      </c>
      <c r="G13" s="33" t="s">
        <v>55</v>
      </c>
      <c r="H13" s="37" t="s">
        <v>55</v>
      </c>
      <c r="I13" s="34" t="s">
        <v>153</v>
      </c>
      <c r="J13" s="33" t="s">
        <v>55</v>
      </c>
      <c r="K13" s="33" t="s">
        <v>55</v>
      </c>
      <c r="L13" s="33" t="s">
        <v>55</v>
      </c>
      <c r="M13" s="34" t="s">
        <v>55</v>
      </c>
      <c r="N13" s="33" t="s">
        <v>55</v>
      </c>
      <c r="O13" s="33" t="s">
        <v>319</v>
      </c>
      <c r="Q13" s="34"/>
      <c r="R13" s="34"/>
      <c r="S13" s="34"/>
      <c r="T13" s="34"/>
      <c r="U13" s="34"/>
      <c r="V13" s="34"/>
      <c r="W13" s="34"/>
      <c r="X13" s="34"/>
      <c r="Y13" s="34"/>
      <c r="Z13" s="34"/>
      <c r="AA13" s="34"/>
      <c r="AB13" s="34"/>
      <c r="AC13" s="34"/>
      <c r="AD13" s="34"/>
      <c r="AE13" s="34"/>
      <c r="AF13" s="34"/>
      <c r="AG13" s="34"/>
      <c r="AH13" s="34"/>
    </row>
    <row r="14" spans="1:34" s="32" customFormat="1" ht="43.5" x14ac:dyDescent="0.35">
      <c r="A14" s="33">
        <v>6</v>
      </c>
      <c r="B14" s="33" t="str">
        <f>CONCATENATE($B$2, ".", A14)</f>
        <v>3.6</v>
      </c>
      <c r="C14" s="37" t="s">
        <v>39</v>
      </c>
      <c r="D14" s="34" t="s">
        <v>152</v>
      </c>
      <c r="E14" s="34" t="s">
        <v>47</v>
      </c>
      <c r="F14" s="33" t="s">
        <v>55</v>
      </c>
      <c r="G14" s="33" t="s">
        <v>55</v>
      </c>
      <c r="H14" s="37" t="s">
        <v>55</v>
      </c>
      <c r="I14" s="34" t="s">
        <v>153</v>
      </c>
      <c r="J14" s="33" t="s">
        <v>55</v>
      </c>
      <c r="K14" s="33" t="s">
        <v>55</v>
      </c>
      <c r="L14" s="33" t="s">
        <v>55</v>
      </c>
      <c r="M14" s="34" t="s">
        <v>55</v>
      </c>
      <c r="N14" s="33" t="s">
        <v>55</v>
      </c>
      <c r="O14" s="33" t="s">
        <v>320</v>
      </c>
      <c r="P14" s="33"/>
      <c r="Q14" s="46"/>
      <c r="R14" s="46"/>
      <c r="S14" s="46"/>
      <c r="T14" s="46"/>
      <c r="U14" s="46"/>
      <c r="V14" s="46"/>
      <c r="W14" s="46"/>
      <c r="X14" s="46"/>
      <c r="Y14" s="46"/>
      <c r="Z14" s="46"/>
      <c r="AA14" s="46"/>
      <c r="AB14" s="46"/>
      <c r="AC14" s="46"/>
      <c r="AD14" s="46"/>
      <c r="AE14" s="46"/>
      <c r="AF14" s="46"/>
      <c r="AG14" s="46"/>
      <c r="AH14" s="46"/>
    </row>
    <row r="15" spans="1:34" x14ac:dyDescent="0.35">
      <c r="A15" s="50" t="s">
        <v>327</v>
      </c>
      <c r="B15" s="50"/>
      <c r="C15" s="50"/>
      <c r="D15" s="50"/>
      <c r="E15" s="50"/>
      <c r="F15" s="50"/>
      <c r="G15" s="32"/>
      <c r="H15" s="32"/>
      <c r="I15" s="32"/>
      <c r="J15" s="32"/>
      <c r="K15" s="32"/>
      <c r="L15" s="32"/>
      <c r="M15" s="32"/>
      <c r="N15" s="32"/>
      <c r="O15" s="32"/>
      <c r="P15" s="32"/>
      <c r="Q15" s="34"/>
      <c r="R15" s="34"/>
      <c r="S15" s="34"/>
      <c r="T15" s="34"/>
      <c r="U15" s="34"/>
      <c r="V15" s="34"/>
      <c r="W15" s="34"/>
      <c r="X15" s="34"/>
      <c r="Y15" s="34"/>
      <c r="Z15" s="34"/>
      <c r="AA15" s="34"/>
      <c r="AB15" s="34"/>
      <c r="AC15" s="34"/>
      <c r="AD15" s="34"/>
      <c r="AE15" s="34"/>
      <c r="AF15" s="34"/>
      <c r="AG15" s="34"/>
      <c r="AH15" s="34"/>
    </row>
    <row r="16" spans="1:34" x14ac:dyDescent="0.35">
      <c r="A16" s="50" t="s">
        <v>185</v>
      </c>
      <c r="B16" s="50"/>
      <c r="C16" s="50"/>
      <c r="D16" s="50"/>
      <c r="E16" s="50"/>
      <c r="F16" s="32"/>
      <c r="G16" s="32"/>
      <c r="H16" s="32"/>
      <c r="I16" s="32"/>
      <c r="J16" s="32"/>
      <c r="K16" s="32"/>
      <c r="L16" s="32"/>
      <c r="M16" s="32"/>
      <c r="N16" s="32"/>
      <c r="O16" s="32"/>
      <c r="P16" s="32"/>
      <c r="Q16" s="34"/>
      <c r="R16" s="34"/>
      <c r="S16" s="34"/>
      <c r="T16" s="34"/>
      <c r="U16" s="34"/>
      <c r="V16" s="34"/>
      <c r="W16" s="34"/>
      <c r="X16" s="34"/>
      <c r="Y16" s="34"/>
      <c r="Z16" s="34"/>
      <c r="AA16" s="34"/>
      <c r="AB16" s="34"/>
      <c r="AC16" s="34"/>
      <c r="AD16" s="34"/>
      <c r="AE16" s="34"/>
      <c r="AF16" s="34"/>
      <c r="AG16" s="34"/>
      <c r="AH16" s="34"/>
    </row>
    <row r="17" spans="1:34" ht="72.5" x14ac:dyDescent="0.35">
      <c r="A17" s="33">
        <v>7</v>
      </c>
      <c r="B17" s="33" t="str">
        <f>CONCATENATE($B$2, ".", A17)</f>
        <v>3.7</v>
      </c>
      <c r="C17" s="37" t="s">
        <v>39</v>
      </c>
      <c r="D17" s="34" t="s">
        <v>268</v>
      </c>
      <c r="E17" s="34" t="s">
        <v>33</v>
      </c>
      <c r="F17" s="33" t="s">
        <v>323</v>
      </c>
      <c r="G17" s="33" t="s">
        <v>324</v>
      </c>
      <c r="H17" s="37" t="s">
        <v>55</v>
      </c>
      <c r="I17" s="34" t="s">
        <v>54</v>
      </c>
      <c r="J17" s="33" t="s">
        <v>321</v>
      </c>
      <c r="K17" s="33" t="s">
        <v>55</v>
      </c>
      <c r="L17" s="33" t="s">
        <v>55</v>
      </c>
      <c r="M17" s="34" t="s">
        <v>55</v>
      </c>
      <c r="N17" s="33" t="s">
        <v>55</v>
      </c>
      <c r="O17" s="33" t="s">
        <v>322</v>
      </c>
      <c r="P17" s="33" t="s">
        <v>325</v>
      </c>
      <c r="Q17" s="34"/>
      <c r="R17" s="34"/>
      <c r="S17" s="34"/>
      <c r="T17" s="34"/>
      <c r="U17" s="34"/>
      <c r="V17" s="34"/>
      <c r="W17" s="34"/>
      <c r="X17" s="34"/>
      <c r="Y17" s="34"/>
      <c r="Z17" s="34"/>
      <c r="AA17" s="34"/>
      <c r="AB17" s="34"/>
      <c r="AC17" s="34"/>
      <c r="AD17" s="34"/>
      <c r="AE17" s="34"/>
      <c r="AF17" s="34"/>
      <c r="AG17" s="34"/>
      <c r="AH17" s="34"/>
    </row>
    <row r="18" spans="1:34" x14ac:dyDescent="0.35">
      <c r="A18" s="50" t="s">
        <v>271</v>
      </c>
      <c r="B18" s="50"/>
      <c r="C18" s="50"/>
      <c r="D18" s="50"/>
      <c r="E18" s="50"/>
      <c r="F18" s="50"/>
      <c r="G18" s="32"/>
      <c r="H18" s="32"/>
      <c r="I18" s="32"/>
      <c r="J18" s="32"/>
      <c r="K18" s="32"/>
      <c r="L18" s="32"/>
      <c r="M18" s="32"/>
      <c r="N18" s="32"/>
      <c r="O18" s="32"/>
      <c r="P18" s="32"/>
    </row>
    <row r="19" spans="1:34" x14ac:dyDescent="0.35">
      <c r="A19" s="33">
        <v>8</v>
      </c>
      <c r="B19" s="33" t="str">
        <f t="shared" ref="B19:B26" si="0">CONCATENATE($B$2, ".", A19)</f>
        <v>3.8</v>
      </c>
      <c r="C19" s="37" t="s">
        <v>39</v>
      </c>
      <c r="D19" s="34" t="s">
        <v>269</v>
      </c>
      <c r="E19" s="34" t="s">
        <v>48</v>
      </c>
      <c r="F19" s="33" t="s">
        <v>55</v>
      </c>
      <c r="G19" s="33" t="s">
        <v>55</v>
      </c>
      <c r="H19" s="37" t="s">
        <v>55</v>
      </c>
      <c r="I19" s="34" t="s">
        <v>54</v>
      </c>
      <c r="J19" s="33" t="s">
        <v>55</v>
      </c>
      <c r="K19" s="33" t="s">
        <v>55</v>
      </c>
      <c r="L19" s="33" t="s">
        <v>55</v>
      </c>
      <c r="M19" s="34" t="s">
        <v>55</v>
      </c>
      <c r="N19" s="33" t="s">
        <v>55</v>
      </c>
      <c r="O19" s="33" t="s">
        <v>317</v>
      </c>
    </row>
    <row r="20" spans="1:34" ht="29" x14ac:dyDescent="0.35">
      <c r="A20" s="33">
        <v>9</v>
      </c>
      <c r="B20" s="33" t="str">
        <f>CONCATENATE($B$2, ".", A20)</f>
        <v>3.9</v>
      </c>
      <c r="C20" s="37" t="s">
        <v>39</v>
      </c>
      <c r="D20" s="34" t="s">
        <v>270</v>
      </c>
      <c r="E20" s="34" t="s">
        <v>49</v>
      </c>
      <c r="F20" s="33" t="s">
        <v>55</v>
      </c>
      <c r="G20" s="33" t="s">
        <v>55</v>
      </c>
      <c r="H20" s="37" t="s">
        <v>55</v>
      </c>
      <c r="I20" s="34" t="s">
        <v>54</v>
      </c>
      <c r="J20" s="33" t="s">
        <v>55</v>
      </c>
      <c r="K20" s="33" t="s">
        <v>55</v>
      </c>
      <c r="L20" s="33" t="s">
        <v>55</v>
      </c>
      <c r="M20" s="34" t="s">
        <v>55</v>
      </c>
      <c r="N20" s="33" t="s">
        <v>55</v>
      </c>
    </row>
    <row r="21" spans="1:34" x14ac:dyDescent="0.35">
      <c r="A21" s="50" t="s">
        <v>315</v>
      </c>
      <c r="B21" s="50"/>
      <c r="C21" s="50"/>
      <c r="D21" s="50"/>
      <c r="E21" s="50"/>
      <c r="F21" s="50"/>
      <c r="G21" s="32"/>
      <c r="H21" s="32"/>
      <c r="I21" s="32"/>
      <c r="J21" s="32"/>
      <c r="K21" s="32"/>
      <c r="L21" s="32"/>
      <c r="M21" s="32"/>
      <c r="N21" s="32"/>
      <c r="O21" s="32"/>
      <c r="P21" s="32"/>
      <c r="Q21" s="34"/>
      <c r="R21" s="34"/>
      <c r="S21" s="34"/>
      <c r="T21" s="34"/>
      <c r="U21" s="34"/>
      <c r="V21" s="34"/>
      <c r="W21" s="34"/>
      <c r="X21" s="34"/>
      <c r="Y21" s="34"/>
      <c r="Z21" s="34"/>
      <c r="AA21" s="34"/>
      <c r="AB21" s="34"/>
      <c r="AC21" s="34"/>
      <c r="AD21" s="34"/>
      <c r="AE21" s="34"/>
      <c r="AF21" s="34"/>
      <c r="AG21" s="34"/>
      <c r="AH21" s="34"/>
    </row>
    <row r="22" spans="1:34" x14ac:dyDescent="0.35">
      <c r="A22" s="33">
        <v>10</v>
      </c>
      <c r="B22" s="33" t="str">
        <f>CONCATENATE($B$2, ".", A22)</f>
        <v>3.10</v>
      </c>
      <c r="C22" s="37" t="s">
        <v>39</v>
      </c>
      <c r="D22" s="34" t="s">
        <v>148</v>
      </c>
      <c r="E22" s="34" t="s">
        <v>48</v>
      </c>
      <c r="F22" s="33" t="s">
        <v>55</v>
      </c>
      <c r="G22" s="33" t="s">
        <v>55</v>
      </c>
      <c r="H22" s="37" t="s">
        <v>55</v>
      </c>
      <c r="I22" s="34" t="s">
        <v>54</v>
      </c>
      <c r="J22" s="33" t="s">
        <v>55</v>
      </c>
      <c r="K22" s="33" t="s">
        <v>55</v>
      </c>
      <c r="L22" s="33" t="s">
        <v>55</v>
      </c>
      <c r="M22" s="34" t="s">
        <v>55</v>
      </c>
      <c r="N22" s="33" t="s">
        <v>55</v>
      </c>
      <c r="Q22" s="34"/>
      <c r="R22" s="34"/>
      <c r="S22" s="34"/>
      <c r="T22" s="34"/>
      <c r="U22" s="34"/>
      <c r="V22" s="34"/>
      <c r="W22" s="34"/>
      <c r="X22" s="34"/>
      <c r="Y22" s="34"/>
      <c r="Z22" s="34"/>
      <c r="AA22" s="34"/>
      <c r="AB22" s="34"/>
      <c r="AC22" s="34"/>
      <c r="AD22" s="34"/>
      <c r="AE22" s="34"/>
      <c r="AF22" s="34"/>
      <c r="AG22" s="34"/>
      <c r="AH22" s="34"/>
    </row>
    <row r="23" spans="1:34" x14ac:dyDescent="0.35">
      <c r="A23" s="33">
        <v>11</v>
      </c>
      <c r="B23" s="33" t="str">
        <f t="shared" si="0"/>
        <v>3.11</v>
      </c>
      <c r="C23" s="37" t="s">
        <v>39</v>
      </c>
      <c r="D23" s="34" t="s">
        <v>149</v>
      </c>
      <c r="E23" s="34" t="s">
        <v>27</v>
      </c>
      <c r="F23" s="33" t="s">
        <v>55</v>
      </c>
      <c r="G23" s="33" t="s">
        <v>55</v>
      </c>
      <c r="H23" s="37" t="s">
        <v>55</v>
      </c>
      <c r="I23" s="34" t="s">
        <v>54</v>
      </c>
      <c r="J23" s="33" t="s">
        <v>55</v>
      </c>
      <c r="K23" s="33" t="s">
        <v>55</v>
      </c>
      <c r="L23" s="33" t="s">
        <v>55</v>
      </c>
      <c r="M23" s="34" t="s">
        <v>55</v>
      </c>
      <c r="N23" s="33" t="s">
        <v>55</v>
      </c>
    </row>
    <row r="24" spans="1:34" x14ac:dyDescent="0.35">
      <c r="A24" s="33">
        <v>12</v>
      </c>
      <c r="B24" s="33" t="str">
        <f t="shared" si="0"/>
        <v>3.12</v>
      </c>
      <c r="C24" s="37" t="s">
        <v>39</v>
      </c>
      <c r="D24" s="34" t="s">
        <v>150</v>
      </c>
      <c r="E24" s="34" t="s">
        <v>27</v>
      </c>
      <c r="F24" s="33" t="s">
        <v>55</v>
      </c>
      <c r="G24" s="33" t="s">
        <v>55</v>
      </c>
      <c r="H24" s="37" t="s">
        <v>55</v>
      </c>
      <c r="I24" s="34" t="s">
        <v>54</v>
      </c>
      <c r="J24" s="33" t="s">
        <v>55</v>
      </c>
      <c r="K24" s="33" t="s">
        <v>55</v>
      </c>
      <c r="L24" s="33" t="s">
        <v>55</v>
      </c>
      <c r="M24" s="34" t="s">
        <v>55</v>
      </c>
      <c r="N24" s="33" t="s">
        <v>55</v>
      </c>
    </row>
    <row r="25" spans="1:34" ht="29" x14ac:dyDescent="0.35">
      <c r="A25" s="33">
        <v>13</v>
      </c>
      <c r="B25" s="33" t="str">
        <f t="shared" si="0"/>
        <v>3.13</v>
      </c>
      <c r="C25" s="37" t="s">
        <v>39</v>
      </c>
      <c r="D25" s="34" t="s">
        <v>316</v>
      </c>
      <c r="E25" s="34" t="s">
        <v>40</v>
      </c>
      <c r="F25" s="33" t="s">
        <v>55</v>
      </c>
      <c r="G25" s="33" t="s">
        <v>55</v>
      </c>
      <c r="H25" s="37" t="s">
        <v>55</v>
      </c>
      <c r="I25" s="34" t="s">
        <v>54</v>
      </c>
      <c r="J25" s="33" t="s">
        <v>55</v>
      </c>
      <c r="K25" s="33" t="s">
        <v>55</v>
      </c>
      <c r="L25" s="33" t="s">
        <v>55</v>
      </c>
      <c r="M25" s="34" t="s">
        <v>55</v>
      </c>
      <c r="N25" s="33" t="s">
        <v>55</v>
      </c>
      <c r="O25" s="33" t="s">
        <v>186</v>
      </c>
    </row>
    <row r="26" spans="1:34" ht="43.5" x14ac:dyDescent="0.35">
      <c r="A26" s="33">
        <v>14</v>
      </c>
      <c r="B26" s="33" t="str">
        <f t="shared" si="0"/>
        <v>3.14</v>
      </c>
      <c r="C26" s="37" t="s">
        <v>39</v>
      </c>
      <c r="D26" s="34" t="s">
        <v>152</v>
      </c>
      <c r="E26" s="34" t="s">
        <v>40</v>
      </c>
      <c r="F26" s="33" t="s">
        <v>55</v>
      </c>
      <c r="G26" s="33" t="s">
        <v>55</v>
      </c>
      <c r="H26" s="37" t="s">
        <v>55</v>
      </c>
      <c r="I26" s="34" t="s">
        <v>54</v>
      </c>
      <c r="J26" s="33" t="s">
        <v>55</v>
      </c>
      <c r="K26" s="33" t="s">
        <v>55</v>
      </c>
      <c r="L26" s="33" t="s">
        <v>55</v>
      </c>
      <c r="M26" s="34" t="s">
        <v>55</v>
      </c>
      <c r="N26" s="33" t="s">
        <v>55</v>
      </c>
      <c r="O26" s="33" t="s">
        <v>205</v>
      </c>
    </row>
    <row r="27" spans="1:34" x14ac:dyDescent="0.35">
      <c r="A27" s="50" t="s">
        <v>327</v>
      </c>
      <c r="B27" s="50"/>
      <c r="C27" s="50"/>
      <c r="D27" s="50"/>
      <c r="E27" s="50"/>
      <c r="F27" s="50"/>
      <c r="G27" s="32"/>
      <c r="H27" s="32"/>
      <c r="I27" s="32"/>
      <c r="J27" s="32"/>
      <c r="K27" s="32"/>
      <c r="L27" s="32"/>
      <c r="M27" s="32"/>
      <c r="N27" s="32"/>
      <c r="O27" s="32"/>
      <c r="P27" s="32"/>
      <c r="Q27" s="34"/>
      <c r="R27" s="34"/>
      <c r="S27" s="34"/>
      <c r="T27" s="34"/>
      <c r="U27" s="34"/>
      <c r="V27" s="34"/>
      <c r="W27" s="34"/>
      <c r="X27" s="34"/>
      <c r="Y27" s="34"/>
      <c r="Z27" s="34"/>
      <c r="AA27" s="34"/>
      <c r="AB27" s="34"/>
      <c r="AC27" s="34"/>
      <c r="AD27" s="34"/>
      <c r="AE27" s="34"/>
      <c r="AF27" s="34"/>
      <c r="AG27" s="34"/>
      <c r="AH27" s="34"/>
    </row>
    <row r="28" spans="1:34" x14ac:dyDescent="0.35">
      <c r="A28" s="33">
        <v>15</v>
      </c>
      <c r="B28" s="33" t="str">
        <f>CONCATENATE($B$2, ".", A28)</f>
        <v>3.15</v>
      </c>
      <c r="C28" s="37" t="s">
        <v>39</v>
      </c>
      <c r="D28" s="34" t="s">
        <v>56</v>
      </c>
      <c r="E28" s="34" t="s">
        <v>40</v>
      </c>
      <c r="F28" s="33" t="s">
        <v>55</v>
      </c>
      <c r="G28" s="33" t="s">
        <v>55</v>
      </c>
      <c r="H28" s="37" t="s">
        <v>55</v>
      </c>
      <c r="I28" s="34" t="s">
        <v>54</v>
      </c>
      <c r="J28" s="33" t="s">
        <v>55</v>
      </c>
      <c r="K28" s="33" t="s">
        <v>55</v>
      </c>
      <c r="L28" s="33" t="s">
        <v>55</v>
      </c>
      <c r="M28" s="34" t="s">
        <v>55</v>
      </c>
      <c r="N28" s="33" t="s">
        <v>55</v>
      </c>
      <c r="O28" s="33" t="s">
        <v>328</v>
      </c>
    </row>
    <row r="29" spans="1:34" x14ac:dyDescent="0.35">
      <c r="A29" s="33">
        <v>16</v>
      </c>
      <c r="B29" s="33" t="str">
        <f>CONCATENATE($B$2, ".", A29)</f>
        <v>3.16</v>
      </c>
      <c r="C29" s="37" t="s">
        <v>39</v>
      </c>
      <c r="D29" s="34" t="s">
        <v>57</v>
      </c>
      <c r="E29" s="34" t="s">
        <v>40</v>
      </c>
      <c r="F29" s="33" t="s">
        <v>55</v>
      </c>
      <c r="G29" s="33" t="s">
        <v>55</v>
      </c>
      <c r="H29" s="37" t="s">
        <v>55</v>
      </c>
      <c r="I29" s="34" t="s">
        <v>54</v>
      </c>
      <c r="J29" s="33" t="s">
        <v>55</v>
      </c>
      <c r="K29" s="33" t="s">
        <v>55</v>
      </c>
      <c r="L29" s="33" t="s">
        <v>55</v>
      </c>
      <c r="M29" s="34" t="s">
        <v>55</v>
      </c>
      <c r="N29" s="33" t="s">
        <v>55</v>
      </c>
      <c r="O29" s="33" t="s">
        <v>329</v>
      </c>
    </row>
    <row r="30" spans="1:34" ht="101.5" x14ac:dyDescent="0.35">
      <c r="A30" s="33">
        <v>17</v>
      </c>
      <c r="B30" s="33" t="str">
        <f>CONCATENATE($B$2, ".", A30)</f>
        <v>3.17</v>
      </c>
      <c r="C30" s="37" t="s">
        <v>39</v>
      </c>
      <c r="D30" s="45" t="s">
        <v>330</v>
      </c>
      <c r="E30" s="34" t="s">
        <v>53</v>
      </c>
      <c r="F30" s="33" t="s">
        <v>55</v>
      </c>
      <c r="G30" s="33" t="s">
        <v>55</v>
      </c>
      <c r="H30" s="37" t="s">
        <v>55</v>
      </c>
      <c r="I30" s="34" t="s">
        <v>245</v>
      </c>
      <c r="J30" s="33" t="s">
        <v>55</v>
      </c>
      <c r="K30" s="33" t="s">
        <v>55</v>
      </c>
      <c r="L30" s="33" t="s">
        <v>55</v>
      </c>
      <c r="M30" s="34" t="s">
        <v>55</v>
      </c>
      <c r="N30" s="33" t="s">
        <v>55</v>
      </c>
      <c r="O30" s="33" t="s">
        <v>332</v>
      </c>
      <c r="P30" s="33" t="s">
        <v>331</v>
      </c>
    </row>
  </sheetData>
  <autoFilter ref="A6:P6"/>
  <mergeCells count="7">
    <mergeCell ref="A27:F27"/>
    <mergeCell ref="A7:F7"/>
    <mergeCell ref="A18:F18"/>
    <mergeCell ref="A9:F9"/>
    <mergeCell ref="A16:E16"/>
    <mergeCell ref="A21:F21"/>
    <mergeCell ref="A15:F15"/>
  </mergeCells>
  <conditionalFormatting sqref="C12:C14 C17 C24:C26 C31:C1048576">
    <cfRule type="cellIs" dxfId="250" priority="122" operator="equal">
      <formula>"WIP (see comments)"</formula>
    </cfRule>
    <cfRule type="cellIs" dxfId="249" priority="123" operator="equal">
      <formula>"Removed"</formula>
    </cfRule>
    <cfRule type="cellIs" dxfId="248" priority="124" operator="equal">
      <formula>"Updated"</formula>
    </cfRule>
    <cfRule type="cellIs" dxfId="247" priority="125" operator="equal">
      <formula>"New"</formula>
    </cfRule>
  </conditionalFormatting>
  <conditionalFormatting sqref="D12:D14 D17 D24:D26">
    <cfRule type="cellIs" dxfId="246" priority="121" operator="equal">
      <formula>"-"</formula>
    </cfRule>
  </conditionalFormatting>
  <conditionalFormatting sqref="I11:I14 A19 P8 G9:P9 P10:P14 F16:P16 G18:XFD18 P19:XFD19 I19 P17 Q7:XFD14 A17:N17 I23:I26 P23:P26 Q23:XFD25 A23:A25 Q16:XFD17">
    <cfRule type="cellIs" dxfId="245" priority="120" operator="equal">
      <formula>"n/a"</formula>
    </cfRule>
  </conditionalFormatting>
  <conditionalFormatting sqref="C8 C10">
    <cfRule type="cellIs" dxfId="244" priority="100" operator="equal">
      <formula>"WIP (see comments)"</formula>
    </cfRule>
    <cfRule type="cellIs" dxfId="243" priority="101" operator="equal">
      <formula>"Removed"</formula>
    </cfRule>
    <cfRule type="cellIs" dxfId="242" priority="102" operator="equal">
      <formula>"Updated"</formula>
    </cfRule>
    <cfRule type="cellIs" dxfId="241" priority="103" operator="equal">
      <formula>"New"</formula>
    </cfRule>
  </conditionalFormatting>
  <conditionalFormatting sqref="D10 D8">
    <cfRule type="cellIs" dxfId="240" priority="99" operator="equal">
      <formula>"-"</formula>
    </cfRule>
  </conditionalFormatting>
  <conditionalFormatting sqref="A8:N8 A12:H12 A13:E14 G13:G14 L13:N14 A10:N10 J12:N12">
    <cfRule type="cellIs" dxfId="239" priority="98" operator="equal">
      <formula>"n/a"</formula>
    </cfRule>
  </conditionalFormatting>
  <conditionalFormatting sqref="A9">
    <cfRule type="cellIs" dxfId="238" priority="97" operator="equal">
      <formula>"n/a"</formula>
    </cfRule>
  </conditionalFormatting>
  <conditionalFormatting sqref="C11">
    <cfRule type="cellIs" dxfId="237" priority="92" operator="equal">
      <formula>"WIP (see comments)"</formula>
    </cfRule>
    <cfRule type="cellIs" dxfId="236" priority="93" operator="equal">
      <formula>"Removed"</formula>
    </cfRule>
    <cfRule type="cellIs" dxfId="235" priority="94" operator="equal">
      <formula>"Updated"</formula>
    </cfRule>
    <cfRule type="cellIs" dxfId="234" priority="95" operator="equal">
      <formula>"New"</formula>
    </cfRule>
  </conditionalFormatting>
  <conditionalFormatting sqref="D11">
    <cfRule type="cellIs" dxfId="233" priority="91" operator="equal">
      <formula>"-"</formula>
    </cfRule>
  </conditionalFormatting>
  <conditionalFormatting sqref="A11:H11 J11:N11">
    <cfRule type="cellIs" dxfId="232" priority="90" operator="equal">
      <formula>"n/a"</formula>
    </cfRule>
  </conditionalFormatting>
  <conditionalFormatting sqref="H14">
    <cfRule type="cellIs" dxfId="231" priority="89" operator="equal">
      <formula>"n/a"</formula>
    </cfRule>
  </conditionalFormatting>
  <conditionalFormatting sqref="H13">
    <cfRule type="cellIs" dxfId="230" priority="88" operator="equal">
      <formula>"n/a"</formula>
    </cfRule>
  </conditionalFormatting>
  <conditionalFormatting sqref="F14">
    <cfRule type="cellIs" dxfId="229" priority="87" operator="equal">
      <formula>"n/a"</formula>
    </cfRule>
  </conditionalFormatting>
  <conditionalFormatting sqref="F13">
    <cfRule type="cellIs" dxfId="228" priority="86" operator="equal">
      <formula>"n/a"</formula>
    </cfRule>
  </conditionalFormatting>
  <conditionalFormatting sqref="J14:K14">
    <cfRule type="cellIs" dxfId="227" priority="85" operator="equal">
      <formula>"n/a"</formula>
    </cfRule>
  </conditionalFormatting>
  <conditionalFormatting sqref="J13:K13">
    <cfRule type="cellIs" dxfId="226" priority="84" operator="equal">
      <formula>"n/a"</formula>
    </cfRule>
  </conditionalFormatting>
  <conditionalFormatting sqref="A16">
    <cfRule type="cellIs" dxfId="225" priority="76" operator="equal">
      <formula>"n/a"</formula>
    </cfRule>
  </conditionalFormatting>
  <conditionalFormatting sqref="A25:E26 G25:G26 L25:N26 J24:N24 A24:H24">
    <cfRule type="cellIs" dxfId="224" priority="58" operator="equal">
      <formula>"n/a"</formula>
    </cfRule>
  </conditionalFormatting>
  <conditionalFormatting sqref="A18">
    <cfRule type="cellIs" dxfId="223" priority="57" operator="equal">
      <formula>"n/a"</formula>
    </cfRule>
  </conditionalFormatting>
  <conditionalFormatting sqref="C19 C23">
    <cfRule type="cellIs" dxfId="222" priority="52" operator="equal">
      <formula>"WIP (see comments)"</formula>
    </cfRule>
    <cfRule type="cellIs" dxfId="221" priority="53" operator="equal">
      <formula>"Removed"</formula>
    </cfRule>
    <cfRule type="cellIs" dxfId="220" priority="54" operator="equal">
      <formula>"Updated"</formula>
    </cfRule>
    <cfRule type="cellIs" dxfId="219" priority="55" operator="equal">
      <formula>"New"</formula>
    </cfRule>
  </conditionalFormatting>
  <conditionalFormatting sqref="D19 D23">
    <cfRule type="cellIs" dxfId="218" priority="51" operator="equal">
      <formula>"-"</formula>
    </cfRule>
  </conditionalFormatting>
  <conditionalFormatting sqref="J19:N19 A19:H19 A23:H23 J23:N23">
    <cfRule type="cellIs" dxfId="217" priority="50" operator="equal">
      <formula>"n/a"</formula>
    </cfRule>
  </conditionalFormatting>
  <conditionalFormatting sqref="H26">
    <cfRule type="cellIs" dxfId="216" priority="49" operator="equal">
      <formula>"n/a"</formula>
    </cfRule>
  </conditionalFormatting>
  <conditionalFormatting sqref="H25">
    <cfRule type="cellIs" dxfId="215" priority="48" operator="equal">
      <formula>"n/a"</formula>
    </cfRule>
  </conditionalFormatting>
  <conditionalFormatting sqref="F26">
    <cfRule type="cellIs" dxfId="214" priority="47" operator="equal">
      <formula>"n/a"</formula>
    </cfRule>
  </conditionalFormatting>
  <conditionalFormatting sqref="F25">
    <cfRule type="cellIs" dxfId="213" priority="46" operator="equal">
      <formula>"n/a"</formula>
    </cfRule>
  </conditionalFormatting>
  <conditionalFormatting sqref="J26:K26">
    <cfRule type="cellIs" dxfId="212" priority="45" operator="equal">
      <formula>"n/a"</formula>
    </cfRule>
  </conditionalFormatting>
  <conditionalFormatting sqref="J25:K25">
    <cfRule type="cellIs" dxfId="211" priority="44" operator="equal">
      <formula>"n/a"</formula>
    </cfRule>
  </conditionalFormatting>
  <conditionalFormatting sqref="A24">
    <cfRule type="cellIs" dxfId="210" priority="43" operator="equal">
      <formula>"n/a"</formula>
    </cfRule>
  </conditionalFormatting>
  <conditionalFormatting sqref="G7:P7 A7">
    <cfRule type="cellIs" dxfId="209" priority="38" operator="equal">
      <formula>"n/a"</formula>
    </cfRule>
  </conditionalFormatting>
  <conditionalFormatting sqref="A20 P20:XFD20 I20">
    <cfRule type="cellIs" dxfId="208" priority="37" operator="equal">
      <formula>"n/a"</formula>
    </cfRule>
  </conditionalFormatting>
  <conditionalFormatting sqref="C20">
    <cfRule type="cellIs" dxfId="207" priority="33" operator="equal">
      <formula>"WIP (see comments)"</formula>
    </cfRule>
    <cfRule type="cellIs" dxfId="206" priority="34" operator="equal">
      <formula>"Removed"</formula>
    </cfRule>
    <cfRule type="cellIs" dxfId="205" priority="35" operator="equal">
      <formula>"Updated"</formula>
    </cfRule>
    <cfRule type="cellIs" dxfId="204" priority="36" operator="equal">
      <formula>"New"</formula>
    </cfRule>
  </conditionalFormatting>
  <conditionalFormatting sqref="D20">
    <cfRule type="cellIs" dxfId="203" priority="32" operator="equal">
      <formula>"-"</formula>
    </cfRule>
  </conditionalFormatting>
  <conditionalFormatting sqref="J20:N20 A20:H20">
    <cfRule type="cellIs" dxfId="202" priority="31" operator="equal">
      <formula>"n/a"</formula>
    </cfRule>
  </conditionalFormatting>
  <conditionalFormatting sqref="G21:P21 P22 Q21:XFD22">
    <cfRule type="cellIs" dxfId="201" priority="30" operator="equal">
      <formula>"n/a"</formula>
    </cfRule>
  </conditionalFormatting>
  <conditionalFormatting sqref="C22">
    <cfRule type="cellIs" dxfId="200" priority="26" operator="equal">
      <formula>"WIP (see comments)"</formula>
    </cfRule>
    <cfRule type="cellIs" dxfId="199" priority="27" operator="equal">
      <formula>"Removed"</formula>
    </cfRule>
    <cfRule type="cellIs" dxfId="198" priority="28" operator="equal">
      <formula>"Updated"</formula>
    </cfRule>
    <cfRule type="cellIs" dxfId="197" priority="29" operator="equal">
      <formula>"New"</formula>
    </cfRule>
  </conditionalFormatting>
  <conditionalFormatting sqref="D22">
    <cfRule type="cellIs" dxfId="196" priority="25" operator="equal">
      <formula>"-"</formula>
    </cfRule>
  </conditionalFormatting>
  <conditionalFormatting sqref="A22:N22">
    <cfRule type="cellIs" dxfId="195" priority="24" operator="equal">
      <formula>"n/a"</formula>
    </cfRule>
  </conditionalFormatting>
  <conditionalFormatting sqref="A21">
    <cfRule type="cellIs" dxfId="194" priority="23" operator="equal">
      <formula>"n/a"</formula>
    </cfRule>
  </conditionalFormatting>
  <conditionalFormatting sqref="C30">
    <cfRule type="cellIs" dxfId="193" priority="19" operator="equal">
      <formula>"WIP (see comments)"</formula>
    </cfRule>
    <cfRule type="cellIs" dxfId="192" priority="20" operator="equal">
      <formula>"Removed"</formula>
    </cfRule>
    <cfRule type="cellIs" dxfId="191" priority="21" operator="equal">
      <formula>"Updated"</formula>
    </cfRule>
    <cfRule type="cellIs" dxfId="190" priority="22" operator="equal">
      <formula>"New"</formula>
    </cfRule>
  </conditionalFormatting>
  <conditionalFormatting sqref="D30">
    <cfRule type="cellIs" dxfId="189" priority="18" operator="equal">
      <formula>"-"</formula>
    </cfRule>
  </conditionalFormatting>
  <conditionalFormatting sqref="A30:E30 G30 L30:N30 I30">
    <cfRule type="cellIs" dxfId="188" priority="17" operator="equal">
      <formula>"n/a"</formula>
    </cfRule>
  </conditionalFormatting>
  <conditionalFormatting sqref="H30">
    <cfRule type="cellIs" dxfId="187" priority="16" operator="equal">
      <formula>"n/a"</formula>
    </cfRule>
  </conditionalFormatting>
  <conditionalFormatting sqref="F30">
    <cfRule type="cellIs" dxfId="186" priority="15" operator="equal">
      <formula>"n/a"</formula>
    </cfRule>
  </conditionalFormatting>
  <conditionalFormatting sqref="J30:K30">
    <cfRule type="cellIs" dxfId="185" priority="14" operator="equal">
      <formula>"n/a"</formula>
    </cfRule>
  </conditionalFormatting>
  <conditionalFormatting sqref="G15:XFD15">
    <cfRule type="cellIs" dxfId="184" priority="13" operator="equal">
      <formula>"n/a"</formula>
    </cfRule>
  </conditionalFormatting>
  <conditionalFormatting sqref="A15">
    <cfRule type="cellIs" dxfId="183" priority="12" operator="equal">
      <formula>"n/a"</formula>
    </cfRule>
  </conditionalFormatting>
  <conditionalFormatting sqref="J28:K29">
    <cfRule type="cellIs" dxfId="177" priority="3" operator="equal">
      <formula>"n/a"</formula>
    </cfRule>
  </conditionalFormatting>
  <conditionalFormatting sqref="C28:C29">
    <cfRule type="cellIs" dxfId="173" priority="8" operator="equal">
      <formula>"WIP (see comments)"</formula>
    </cfRule>
    <cfRule type="cellIs" dxfId="172" priority="9" operator="equal">
      <formula>"Removed"</formula>
    </cfRule>
    <cfRule type="cellIs" dxfId="171" priority="10" operator="equal">
      <formula>"Updated"</formula>
    </cfRule>
    <cfRule type="cellIs" dxfId="170" priority="11" operator="equal">
      <formula>"New"</formula>
    </cfRule>
  </conditionalFormatting>
  <conditionalFormatting sqref="D28:D29">
    <cfRule type="cellIs" dxfId="169" priority="7" operator="equal">
      <formula>"-"</formula>
    </cfRule>
  </conditionalFormatting>
  <conditionalFormatting sqref="A28:E29 G28:G29 L28:N29 I28:I29">
    <cfRule type="cellIs" dxfId="168" priority="6" operator="equal">
      <formula>"n/a"</formula>
    </cfRule>
  </conditionalFormatting>
  <conditionalFormatting sqref="H28:H29">
    <cfRule type="cellIs" dxfId="167" priority="5" operator="equal">
      <formula>"n/a"</formula>
    </cfRule>
  </conditionalFormatting>
  <conditionalFormatting sqref="F28:F29">
    <cfRule type="cellIs" dxfId="166" priority="4" operator="equal">
      <formula>"n/a"</formula>
    </cfRule>
  </conditionalFormatting>
  <conditionalFormatting sqref="G27:XFD27">
    <cfRule type="cellIs" dxfId="1" priority="2" operator="equal">
      <formula>"n/a"</formula>
    </cfRule>
  </conditionalFormatting>
  <conditionalFormatting sqref="A2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E8 E19:E20 E16:E17 E10:E14 E22:E26 E28:E1048576</xm:sqref>
        </x14:dataValidation>
        <x14:dataValidation type="list" allowBlank="1" showInputMessage="1" showErrorMessage="1">
          <x14:formula1>
            <xm:f>'List Values'!$B$5:$B$9</xm:f>
          </x14:formula1>
          <xm:sqref>C8 C10:C14 C19:C20 C17 C22:C26 C28:C1048576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P13"/>
  <sheetViews>
    <sheetView workbookViewId="0">
      <pane xSplit="4" ySplit="6" topLeftCell="E7" activePane="bottomRight" state="frozen"/>
      <selection pane="topRight" activeCell="E1" sqref="E1"/>
      <selection pane="bottomLeft" activeCell="A7" sqref="A7"/>
      <selection pane="bottomRight"/>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184</v>
      </c>
      <c r="C1" s="25"/>
      <c r="D1" s="22" t="s">
        <v>259</v>
      </c>
      <c r="F1" s="41"/>
      <c r="H1" s="27"/>
    </row>
    <row r="2" spans="1:16" s="23" customFormat="1" ht="18.5" x14ac:dyDescent="0.35">
      <c r="A2" s="21" t="s">
        <v>8</v>
      </c>
      <c r="B2" s="28" t="s">
        <v>183</v>
      </c>
      <c r="C2" s="27"/>
      <c r="D2" s="43"/>
      <c r="F2" s="41"/>
      <c r="H2" s="27"/>
    </row>
    <row r="3" spans="1:16" s="23" customFormat="1" ht="18.5" x14ac:dyDescent="0.35">
      <c r="A3" s="21" t="s">
        <v>41</v>
      </c>
      <c r="B3" s="28" t="s">
        <v>203</v>
      </c>
      <c r="C3" s="27"/>
      <c r="F3" s="41"/>
      <c r="H3" s="27"/>
    </row>
    <row r="4" spans="1:16" s="23" customFormat="1" ht="18.5" x14ac:dyDescent="0.35">
      <c r="A4" s="21" t="s">
        <v>9</v>
      </c>
      <c r="B4" s="28" t="s">
        <v>314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3" si="0">CONCATENATE($B$2, ".", A7)</f>
        <v>3a.1</v>
      </c>
      <c r="C7" s="37" t="s">
        <v>38</v>
      </c>
      <c r="D7" s="34" t="s">
        <v>148</v>
      </c>
      <c r="E7" s="34" t="s">
        <v>48</v>
      </c>
      <c r="F7" s="33" t="s">
        <v>55</v>
      </c>
      <c r="G7" s="33" t="s">
        <v>55</v>
      </c>
      <c r="H7" s="37" t="s">
        <v>55</v>
      </c>
      <c r="I7" s="34" t="s">
        <v>54</v>
      </c>
      <c r="J7" s="33" t="s">
        <v>55</v>
      </c>
      <c r="K7" s="33" t="s">
        <v>55</v>
      </c>
      <c r="L7" s="33" t="s">
        <v>55</v>
      </c>
      <c r="M7" s="34" t="s">
        <v>55</v>
      </c>
      <c r="N7" s="33" t="s">
        <v>55</v>
      </c>
    </row>
    <row r="8" spans="1:16" x14ac:dyDescent="0.35">
      <c r="A8" s="33">
        <v>2</v>
      </c>
      <c r="B8" s="33" t="str">
        <f t="shared" si="0"/>
        <v>3a.2</v>
      </c>
      <c r="C8" s="37" t="s">
        <v>38</v>
      </c>
      <c r="D8" s="34" t="s">
        <v>149</v>
      </c>
      <c r="E8" s="34" t="s">
        <v>27</v>
      </c>
      <c r="F8" s="33" t="s">
        <v>55</v>
      </c>
      <c r="G8" s="33" t="s">
        <v>55</v>
      </c>
      <c r="H8" s="37" t="s">
        <v>55</v>
      </c>
      <c r="I8" s="34" t="s">
        <v>54</v>
      </c>
      <c r="J8" s="33" t="s">
        <v>55</v>
      </c>
      <c r="K8" s="33" t="s">
        <v>55</v>
      </c>
      <c r="L8" s="33" t="s">
        <v>55</v>
      </c>
      <c r="M8" s="34" t="s">
        <v>55</v>
      </c>
      <c r="N8" s="33" t="s">
        <v>55</v>
      </c>
    </row>
    <row r="9" spans="1:16" x14ac:dyDescent="0.35">
      <c r="A9" s="33">
        <v>3</v>
      </c>
      <c r="B9" s="33" t="str">
        <f t="shared" si="0"/>
        <v>3a.3</v>
      </c>
      <c r="C9" s="37" t="s">
        <v>38</v>
      </c>
      <c r="D9" s="34" t="s">
        <v>150</v>
      </c>
      <c r="E9" s="34" t="s">
        <v>27</v>
      </c>
      <c r="F9" s="33" t="s">
        <v>55</v>
      </c>
      <c r="G9" s="33" t="s">
        <v>55</v>
      </c>
      <c r="H9" s="37" t="s">
        <v>55</v>
      </c>
      <c r="I9" s="34" t="s">
        <v>54</v>
      </c>
      <c r="J9" s="33" t="s">
        <v>55</v>
      </c>
      <c r="K9" s="33" t="s">
        <v>55</v>
      </c>
      <c r="L9" s="33" t="s">
        <v>55</v>
      </c>
      <c r="M9" s="34" t="s">
        <v>55</v>
      </c>
      <c r="N9" s="33" t="s">
        <v>55</v>
      </c>
    </row>
    <row r="10" spans="1:16" x14ac:dyDescent="0.35">
      <c r="A10" s="33">
        <v>4</v>
      </c>
      <c r="B10" s="33" t="str">
        <f t="shared" si="0"/>
        <v>3a.4</v>
      </c>
      <c r="C10" s="37" t="s">
        <v>38</v>
      </c>
      <c r="D10" s="34" t="s">
        <v>162</v>
      </c>
      <c r="E10" s="34" t="s">
        <v>59</v>
      </c>
      <c r="F10" s="33" t="s">
        <v>55</v>
      </c>
      <c r="G10" s="33" t="s">
        <v>55</v>
      </c>
      <c r="H10" s="37" t="s">
        <v>55</v>
      </c>
      <c r="I10" s="34" t="s">
        <v>54</v>
      </c>
      <c r="J10" s="33" t="s">
        <v>55</v>
      </c>
      <c r="K10" s="33" t="s">
        <v>55</v>
      </c>
      <c r="L10" s="33" t="s">
        <v>55</v>
      </c>
      <c r="M10" s="34" t="s">
        <v>55</v>
      </c>
      <c r="N10" s="33" t="s">
        <v>55</v>
      </c>
    </row>
    <row r="11" spans="1:16" x14ac:dyDescent="0.35">
      <c r="A11" s="33">
        <v>5</v>
      </c>
      <c r="B11" s="33" t="str">
        <f t="shared" si="0"/>
        <v>3a.5</v>
      </c>
      <c r="C11" s="37" t="s">
        <v>38</v>
      </c>
      <c r="D11" s="34" t="s">
        <v>163</v>
      </c>
      <c r="E11" s="34" t="s">
        <v>59</v>
      </c>
      <c r="F11" s="33" t="s">
        <v>55</v>
      </c>
      <c r="G11" s="33" t="s">
        <v>55</v>
      </c>
      <c r="H11" s="37" t="s">
        <v>55</v>
      </c>
      <c r="I11" s="34" t="s">
        <v>54</v>
      </c>
      <c r="J11" s="33" t="s">
        <v>55</v>
      </c>
      <c r="K11" s="33" t="s">
        <v>55</v>
      </c>
      <c r="L11" s="33" t="s">
        <v>55</v>
      </c>
      <c r="M11" s="34" t="s">
        <v>55</v>
      </c>
      <c r="N11" s="33" t="s">
        <v>55</v>
      </c>
    </row>
    <row r="12" spans="1:16" x14ac:dyDescent="0.35">
      <c r="A12" s="33">
        <v>6</v>
      </c>
      <c r="B12" s="33" t="str">
        <f t="shared" si="0"/>
        <v>3a.6</v>
      </c>
      <c r="C12" s="37" t="s">
        <v>38</v>
      </c>
      <c r="D12" s="34" t="s">
        <v>164</v>
      </c>
      <c r="E12" s="34" t="s">
        <v>59</v>
      </c>
      <c r="F12" s="33" t="s">
        <v>55</v>
      </c>
      <c r="G12" s="33" t="s">
        <v>55</v>
      </c>
      <c r="H12" s="37" t="s">
        <v>55</v>
      </c>
      <c r="I12" s="34" t="s">
        <v>54</v>
      </c>
      <c r="J12" s="33" t="s">
        <v>55</v>
      </c>
      <c r="K12" s="33" t="s">
        <v>55</v>
      </c>
      <c r="L12" s="33" t="s">
        <v>55</v>
      </c>
      <c r="M12" s="34" t="s">
        <v>55</v>
      </c>
      <c r="N12" s="33" t="s">
        <v>55</v>
      </c>
    </row>
    <row r="13" spans="1:16" ht="29" x14ac:dyDescent="0.35">
      <c r="A13" s="33">
        <v>7</v>
      </c>
      <c r="B13" s="33" t="str">
        <f t="shared" si="0"/>
        <v>3a.7</v>
      </c>
      <c r="C13" s="37" t="s">
        <v>38</v>
      </c>
      <c r="D13" s="34" t="s">
        <v>169</v>
      </c>
      <c r="E13" s="34" t="s">
        <v>40</v>
      </c>
      <c r="F13" s="33" t="s">
        <v>55</v>
      </c>
      <c r="G13" s="33" t="s">
        <v>55</v>
      </c>
      <c r="H13" s="37" t="s">
        <v>55</v>
      </c>
      <c r="I13" s="34" t="s">
        <v>54</v>
      </c>
      <c r="J13" s="33" t="s">
        <v>55</v>
      </c>
      <c r="K13" s="33" t="s">
        <v>55</v>
      </c>
      <c r="L13" s="33" t="s">
        <v>55</v>
      </c>
      <c r="M13" s="33" t="s">
        <v>55</v>
      </c>
      <c r="N13" s="33" t="s">
        <v>55</v>
      </c>
      <c r="O13" s="31" t="s">
        <v>170</v>
      </c>
    </row>
  </sheetData>
  <autoFilter ref="A6:P6"/>
  <conditionalFormatting sqref="C7:C1048576">
    <cfRule type="cellIs" dxfId="164" priority="18" operator="equal">
      <formula>"WIP (see comments)"</formula>
    </cfRule>
    <cfRule type="cellIs" dxfId="163" priority="19" operator="equal">
      <formula>"Removed"</formula>
    </cfRule>
    <cfRule type="cellIs" dxfId="162" priority="20" operator="equal">
      <formula>"Updated"</formula>
    </cfRule>
    <cfRule type="cellIs" dxfId="161" priority="21" operator="equal">
      <formula>"New"</formula>
    </cfRule>
  </conditionalFormatting>
  <conditionalFormatting sqref="D7 D9">
    <cfRule type="cellIs" dxfId="160" priority="17" operator="equal">
      <formula>"-"</formula>
    </cfRule>
  </conditionalFormatting>
  <conditionalFormatting sqref="P7:XFD7 A7:N7 P9:XFD13 G11:G12 L11:N12 A9:B13 E11:E12 E10:H10 I8:I12 J9:N10 D9:H9 D13:N13 C8:C13">
    <cfRule type="cellIs" dxfId="159" priority="16" operator="equal">
      <formula>"n/a"</formula>
    </cfRule>
  </conditionalFormatting>
  <conditionalFormatting sqref="O13">
    <cfRule type="cellIs" dxfId="158" priority="15" operator="equal">
      <formula>"n/a"</formula>
    </cfRule>
  </conditionalFormatting>
  <conditionalFormatting sqref="D8">
    <cfRule type="cellIs" dxfId="157" priority="10" operator="equal">
      <formula>"-"</formula>
    </cfRule>
  </conditionalFormatting>
  <conditionalFormatting sqref="A8:B8 P8:XFD8 J8:N8 D8:H8">
    <cfRule type="cellIs" dxfId="156" priority="9" operator="equal">
      <formula>"n/a"</formula>
    </cfRule>
  </conditionalFormatting>
  <conditionalFormatting sqref="H12">
    <cfRule type="cellIs" dxfId="155" priority="8" operator="equal">
      <formula>"n/a"</formula>
    </cfRule>
  </conditionalFormatting>
  <conditionalFormatting sqref="H11">
    <cfRule type="cellIs" dxfId="154" priority="7" operator="equal">
      <formula>"n/a"</formula>
    </cfRule>
  </conditionalFormatting>
  <conditionalFormatting sqref="F12">
    <cfRule type="cellIs" dxfId="153" priority="6" operator="equal">
      <formula>"n/a"</formula>
    </cfRule>
  </conditionalFormatting>
  <conditionalFormatting sqref="F11">
    <cfRule type="cellIs" dxfId="152" priority="5" operator="equal">
      <formula>"n/a"</formula>
    </cfRule>
  </conditionalFormatting>
  <conditionalFormatting sqref="J12:K12">
    <cfRule type="cellIs" dxfId="151" priority="4" operator="equal">
      <formula>"n/a"</formula>
    </cfRule>
  </conditionalFormatting>
  <conditionalFormatting sqref="J11:K11">
    <cfRule type="cellIs" dxfId="150" priority="3" operator="equal">
      <formula>"n/a"</formula>
    </cfRule>
  </conditionalFormatting>
  <conditionalFormatting sqref="D10:D12">
    <cfRule type="cellIs" dxfId="149" priority="2" operator="equal">
      <formula>"-"</formula>
    </cfRule>
  </conditionalFormatting>
  <conditionalFormatting sqref="D10:D12">
    <cfRule type="cellIs" dxfId="14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35"/>
  <sheetViews>
    <sheetView workbookViewId="0">
      <pane xSplit="4" ySplit="6" topLeftCell="E7" activePane="bottomRight" state="frozen"/>
      <selection pane="topRight" activeCell="E1" sqref="E1"/>
      <selection pane="bottomLeft" activeCell="A7" sqref="A7"/>
      <selection pane="bottomRigh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206</v>
      </c>
      <c r="C1" s="25"/>
      <c r="D1" s="22"/>
      <c r="F1" s="41"/>
      <c r="H1" s="27"/>
    </row>
    <row r="2" spans="1:16" s="23" customFormat="1" ht="18.5" x14ac:dyDescent="0.35">
      <c r="A2" s="21" t="s">
        <v>8</v>
      </c>
      <c r="B2" s="28">
        <v>4</v>
      </c>
      <c r="C2" s="27"/>
      <c r="D2" s="28"/>
      <c r="F2" s="41"/>
      <c r="H2" s="27"/>
    </row>
    <row r="3" spans="1:16" s="23" customFormat="1" ht="18.5" x14ac:dyDescent="0.35">
      <c r="A3" s="21" t="s">
        <v>41</v>
      </c>
      <c r="B3" s="28" t="s">
        <v>207</v>
      </c>
      <c r="C3" s="27"/>
      <c r="D3" s="28" t="s">
        <v>218</v>
      </c>
      <c r="F3" s="41"/>
      <c r="H3" s="27"/>
    </row>
    <row r="4" spans="1:16" s="23" customFormat="1" ht="18.5" x14ac:dyDescent="0.35">
      <c r="A4" s="21" t="s">
        <v>9</v>
      </c>
      <c r="B4" s="23" t="s">
        <v>54</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CONCATENATE($B$2, ".", A7)</f>
        <v>4.1</v>
      </c>
      <c r="C7" s="37" t="s">
        <v>39</v>
      </c>
      <c r="D7" s="33" t="s">
        <v>287</v>
      </c>
      <c r="E7" s="34" t="s">
        <v>49</v>
      </c>
      <c r="F7" s="33" t="s">
        <v>55</v>
      </c>
      <c r="G7" s="33" t="s">
        <v>55</v>
      </c>
      <c r="H7" s="37" t="s">
        <v>55</v>
      </c>
      <c r="I7" s="34" t="s">
        <v>54</v>
      </c>
      <c r="J7" s="33" t="s">
        <v>55</v>
      </c>
      <c r="K7" s="33" t="s">
        <v>55</v>
      </c>
      <c r="L7" s="33" t="s">
        <v>55</v>
      </c>
      <c r="M7" s="33" t="s">
        <v>55</v>
      </c>
      <c r="N7" s="33" t="s">
        <v>55</v>
      </c>
    </row>
    <row r="8" spans="1:16" ht="29" x14ac:dyDescent="0.35">
      <c r="A8" s="33">
        <v>2</v>
      </c>
      <c r="B8" s="33" t="str">
        <f>CONCATENATE($B$2, ".", A8)</f>
        <v>4.2</v>
      </c>
      <c r="C8" s="37" t="s">
        <v>39</v>
      </c>
      <c r="D8" s="34" t="s">
        <v>288</v>
      </c>
      <c r="E8" s="34" t="s">
        <v>27</v>
      </c>
      <c r="F8" s="33" t="s">
        <v>55</v>
      </c>
      <c r="G8" s="33" t="s">
        <v>55</v>
      </c>
      <c r="H8" s="37" t="s">
        <v>55</v>
      </c>
      <c r="I8" s="34" t="s">
        <v>289</v>
      </c>
      <c r="J8" s="33" t="s">
        <v>55</v>
      </c>
      <c r="K8" s="33" t="s">
        <v>55</v>
      </c>
      <c r="L8" s="33" t="s">
        <v>55</v>
      </c>
      <c r="M8" s="33" t="s">
        <v>55</v>
      </c>
      <c r="N8" s="33" t="s">
        <v>55</v>
      </c>
    </row>
    <row r="9" spans="1:16" ht="29" x14ac:dyDescent="0.35">
      <c r="A9" s="33">
        <v>3</v>
      </c>
      <c r="B9" s="33" t="str">
        <f>CONCATENATE($B$2, ".", A9)</f>
        <v>4.3</v>
      </c>
      <c r="C9" s="37" t="s">
        <v>39</v>
      </c>
      <c r="D9" s="34" t="s">
        <v>291</v>
      </c>
      <c r="E9" s="34" t="s">
        <v>27</v>
      </c>
      <c r="F9" s="33" t="s">
        <v>55</v>
      </c>
      <c r="G9" s="33" t="s">
        <v>55</v>
      </c>
      <c r="H9" s="37" t="s">
        <v>55</v>
      </c>
      <c r="I9" s="34" t="s">
        <v>290</v>
      </c>
      <c r="J9" s="33" t="s">
        <v>55</v>
      </c>
      <c r="K9" s="33" t="s">
        <v>55</v>
      </c>
      <c r="L9" s="33" t="s">
        <v>55</v>
      </c>
      <c r="M9" s="33" t="s">
        <v>55</v>
      </c>
      <c r="N9" s="33" t="s">
        <v>55</v>
      </c>
      <c r="O9" s="33" t="s">
        <v>292</v>
      </c>
    </row>
    <row r="10" spans="1:16" s="32" customFormat="1" ht="15" customHeight="1" x14ac:dyDescent="0.35">
      <c r="A10" s="50" t="s">
        <v>296</v>
      </c>
      <c r="B10" s="50"/>
      <c r="C10" s="50"/>
      <c r="D10" s="50"/>
      <c r="E10" s="50"/>
      <c r="F10" s="50"/>
    </row>
    <row r="11" spans="1:16" x14ac:dyDescent="0.35">
      <c r="A11" s="33">
        <v>4</v>
      </c>
      <c r="B11" s="33" t="str">
        <f t="shared" ref="B11:B16" si="0">CONCATENATE($B$2, ".", A11)</f>
        <v>4.4</v>
      </c>
      <c r="C11" s="37" t="s">
        <v>39</v>
      </c>
      <c r="D11" s="34" t="s">
        <v>148</v>
      </c>
      <c r="E11" s="34" t="s">
        <v>48</v>
      </c>
      <c r="F11" s="33" t="s">
        <v>55</v>
      </c>
      <c r="G11" s="33" t="s">
        <v>55</v>
      </c>
      <c r="H11" s="37" t="s">
        <v>55</v>
      </c>
      <c r="I11" s="34" t="s">
        <v>54</v>
      </c>
      <c r="J11" s="33" t="s">
        <v>55</v>
      </c>
      <c r="K11" s="33" t="s">
        <v>55</v>
      </c>
      <c r="L11" s="33" t="s">
        <v>55</v>
      </c>
      <c r="M11" s="34" t="s">
        <v>55</v>
      </c>
      <c r="N11" s="33" t="s">
        <v>55</v>
      </c>
    </row>
    <row r="12" spans="1:16" x14ac:dyDescent="0.35">
      <c r="A12" s="33">
        <v>5</v>
      </c>
      <c r="B12" s="33" t="str">
        <f t="shared" si="0"/>
        <v>4.5</v>
      </c>
      <c r="C12" s="37" t="s">
        <v>39</v>
      </c>
      <c r="D12" s="34" t="s">
        <v>149</v>
      </c>
      <c r="E12" s="34" t="s">
        <v>27</v>
      </c>
      <c r="F12" s="33" t="s">
        <v>55</v>
      </c>
      <c r="G12" s="33" t="s">
        <v>55</v>
      </c>
      <c r="H12" s="37" t="s">
        <v>55</v>
      </c>
      <c r="I12" s="34" t="s">
        <v>54</v>
      </c>
      <c r="J12" s="33" t="s">
        <v>55</v>
      </c>
      <c r="K12" s="33" t="s">
        <v>55</v>
      </c>
      <c r="L12" s="33" t="s">
        <v>55</v>
      </c>
      <c r="M12" s="34" t="s">
        <v>55</v>
      </c>
      <c r="N12" s="33" t="s">
        <v>55</v>
      </c>
    </row>
    <row r="13" spans="1:16" x14ac:dyDescent="0.35">
      <c r="A13" s="33">
        <v>6</v>
      </c>
      <c r="B13" s="33" t="str">
        <f t="shared" si="0"/>
        <v>4.6</v>
      </c>
      <c r="C13" s="37" t="s">
        <v>39</v>
      </c>
      <c r="D13" s="34" t="s">
        <v>150</v>
      </c>
      <c r="E13" s="34" t="s">
        <v>34</v>
      </c>
      <c r="F13" s="33" t="s">
        <v>55</v>
      </c>
      <c r="G13" s="33" t="s">
        <v>55</v>
      </c>
      <c r="H13" s="37" t="s">
        <v>55</v>
      </c>
      <c r="I13" s="34" t="s">
        <v>54</v>
      </c>
      <c r="J13" s="33" t="s">
        <v>55</v>
      </c>
      <c r="K13" s="33" t="s">
        <v>55</v>
      </c>
      <c r="L13" s="33" t="s">
        <v>55</v>
      </c>
      <c r="M13" s="34" t="s">
        <v>55</v>
      </c>
      <c r="N13" s="33" t="s">
        <v>55</v>
      </c>
    </row>
    <row r="14" spans="1:16" ht="58" x14ac:dyDescent="0.35">
      <c r="A14" s="33">
        <v>7</v>
      </c>
      <c r="B14" s="33" t="str">
        <f t="shared" si="0"/>
        <v>4.7</v>
      </c>
      <c r="C14" s="37" t="s">
        <v>39</v>
      </c>
      <c r="D14" s="34" t="s">
        <v>151</v>
      </c>
      <c r="E14" s="34" t="s">
        <v>33</v>
      </c>
      <c r="F14" s="33" t="s">
        <v>276</v>
      </c>
      <c r="G14" s="33" t="s">
        <v>55</v>
      </c>
      <c r="H14" s="37" t="s">
        <v>277</v>
      </c>
      <c r="I14" s="34" t="s">
        <v>54</v>
      </c>
      <c r="J14" s="33" t="s">
        <v>275</v>
      </c>
      <c r="K14" s="33" t="s">
        <v>55</v>
      </c>
      <c r="L14" s="33" t="s">
        <v>55</v>
      </c>
      <c r="M14" s="34" t="s">
        <v>55</v>
      </c>
      <c r="N14" s="33" t="s">
        <v>55</v>
      </c>
      <c r="O14" s="33" t="s">
        <v>307</v>
      </c>
    </row>
    <row r="15" spans="1:16" ht="29" x14ac:dyDescent="0.35">
      <c r="A15" s="33">
        <v>8</v>
      </c>
      <c r="B15" s="33" t="str">
        <f t="shared" si="0"/>
        <v>4.8</v>
      </c>
      <c r="C15" s="37" t="s">
        <v>39</v>
      </c>
      <c r="D15" s="34" t="s">
        <v>165</v>
      </c>
      <c r="E15" s="34" t="s">
        <v>47</v>
      </c>
      <c r="F15" s="33" t="s">
        <v>55</v>
      </c>
      <c r="G15" s="33" t="s">
        <v>55</v>
      </c>
      <c r="H15" s="37" t="s">
        <v>55</v>
      </c>
      <c r="I15" s="34" t="s">
        <v>54</v>
      </c>
      <c r="J15" s="33" t="s">
        <v>55</v>
      </c>
      <c r="K15" s="33" t="s">
        <v>55</v>
      </c>
      <c r="L15" s="33" t="s">
        <v>55</v>
      </c>
      <c r="M15" s="34" t="s">
        <v>55</v>
      </c>
      <c r="N15" s="33" t="s">
        <v>55</v>
      </c>
      <c r="O15" s="33" t="s">
        <v>298</v>
      </c>
    </row>
    <row r="16" spans="1:16" ht="72.5" x14ac:dyDescent="0.35">
      <c r="A16" s="33">
        <v>9</v>
      </c>
      <c r="B16" s="33" t="str">
        <f t="shared" si="0"/>
        <v>4.9</v>
      </c>
      <c r="C16" s="37" t="s">
        <v>39</v>
      </c>
      <c r="D16" s="45" t="s">
        <v>278</v>
      </c>
      <c r="E16" s="34" t="s">
        <v>53</v>
      </c>
      <c r="F16" s="33" t="s">
        <v>55</v>
      </c>
      <c r="G16" s="33" t="s">
        <v>55</v>
      </c>
      <c r="H16" s="37" t="s">
        <v>55</v>
      </c>
      <c r="I16" s="34" t="s">
        <v>293</v>
      </c>
      <c r="J16" s="33" t="s">
        <v>55</v>
      </c>
      <c r="K16" s="33" t="s">
        <v>55</v>
      </c>
      <c r="L16" s="33" t="s">
        <v>55</v>
      </c>
      <c r="M16" s="34" t="s">
        <v>55</v>
      </c>
      <c r="N16" s="33" t="s">
        <v>55</v>
      </c>
      <c r="O16" s="33" t="s">
        <v>299</v>
      </c>
    </row>
    <row r="17" spans="1:16" s="32" customFormat="1" x14ac:dyDescent="0.35">
      <c r="A17" s="50" t="s">
        <v>284</v>
      </c>
      <c r="B17" s="50"/>
      <c r="C17" s="50"/>
      <c r="D17" s="50"/>
      <c r="E17" s="50"/>
    </row>
    <row r="18" spans="1:16" ht="43.5" x14ac:dyDescent="0.35">
      <c r="A18" s="33">
        <v>10</v>
      </c>
      <c r="B18" s="33" t="str">
        <f>CONCATENATE($B$2, ".", A18)</f>
        <v>4.10</v>
      </c>
      <c r="C18" s="37" t="s">
        <v>39</v>
      </c>
      <c r="D18" s="34" t="s">
        <v>166</v>
      </c>
      <c r="E18" s="34" t="s">
        <v>59</v>
      </c>
      <c r="F18" s="33" t="s">
        <v>55</v>
      </c>
      <c r="G18" s="33" t="s">
        <v>55</v>
      </c>
      <c r="H18" s="37" t="s">
        <v>55</v>
      </c>
      <c r="I18" s="34" t="s">
        <v>54</v>
      </c>
      <c r="J18" s="33" t="s">
        <v>55</v>
      </c>
      <c r="K18" s="33" t="s">
        <v>55</v>
      </c>
      <c r="L18" s="33" t="s">
        <v>55</v>
      </c>
      <c r="M18" s="33" t="s">
        <v>55</v>
      </c>
      <c r="N18" s="33" t="s">
        <v>55</v>
      </c>
      <c r="O18" s="31" t="s">
        <v>167</v>
      </c>
    </row>
    <row r="19" spans="1:16" x14ac:dyDescent="0.35">
      <c r="A19" s="33">
        <v>11</v>
      </c>
      <c r="B19" s="33" t="str">
        <f>CONCATENATE($B$2, ".", A19)</f>
        <v>4.11</v>
      </c>
      <c r="C19" s="37" t="s">
        <v>39</v>
      </c>
      <c r="D19" s="33" t="s">
        <v>171</v>
      </c>
      <c r="E19" s="34" t="s">
        <v>32</v>
      </c>
      <c r="F19" s="33" t="s">
        <v>55</v>
      </c>
      <c r="G19" s="33" t="s">
        <v>55</v>
      </c>
      <c r="H19" s="37" t="s">
        <v>55</v>
      </c>
      <c r="I19" s="34" t="s">
        <v>54</v>
      </c>
      <c r="J19" s="33" t="s">
        <v>55</v>
      </c>
      <c r="K19" s="33" t="s">
        <v>55</v>
      </c>
      <c r="L19" s="33" t="s">
        <v>55</v>
      </c>
      <c r="M19" s="33" t="s">
        <v>55</v>
      </c>
      <c r="N19" s="33" t="s">
        <v>55</v>
      </c>
    </row>
    <row r="20" spans="1:16" ht="58" x14ac:dyDescent="0.35">
      <c r="A20" s="33">
        <v>12</v>
      </c>
      <c r="B20" s="33" t="str">
        <f>CONCATENATE($B$2, ".", A20)</f>
        <v>4.12</v>
      </c>
      <c r="C20" s="37" t="s">
        <v>39</v>
      </c>
      <c r="D20" s="48" t="s">
        <v>302</v>
      </c>
      <c r="E20" s="34" t="s">
        <v>47</v>
      </c>
      <c r="F20" s="33" t="s">
        <v>55</v>
      </c>
      <c r="G20" s="33" t="s">
        <v>55</v>
      </c>
      <c r="H20" s="37" t="s">
        <v>55</v>
      </c>
      <c r="I20" s="34" t="s">
        <v>54</v>
      </c>
      <c r="J20" s="33" t="s">
        <v>55</v>
      </c>
      <c r="K20" s="33" t="s">
        <v>55</v>
      </c>
      <c r="L20" s="33" t="s">
        <v>55</v>
      </c>
      <c r="M20" s="34" t="s">
        <v>55</v>
      </c>
      <c r="N20" s="33" t="s">
        <v>55</v>
      </c>
      <c r="O20" s="33" t="s">
        <v>303</v>
      </c>
    </row>
    <row r="21" spans="1:16" x14ac:dyDescent="0.35">
      <c r="A21" s="33">
        <v>13</v>
      </c>
      <c r="B21" s="33" t="str">
        <f>CONCATENATE($B$2, ".", A21)</f>
        <v>4.13</v>
      </c>
      <c r="C21" s="37" t="s">
        <v>39</v>
      </c>
      <c r="D21" s="34" t="s">
        <v>294</v>
      </c>
      <c r="E21" s="34" t="s">
        <v>27</v>
      </c>
      <c r="F21" s="33" t="s">
        <v>55</v>
      </c>
      <c r="G21" s="33" t="s">
        <v>55</v>
      </c>
      <c r="H21" s="37" t="s">
        <v>55</v>
      </c>
      <c r="I21" s="34" t="s">
        <v>54</v>
      </c>
      <c r="J21" s="33" t="s">
        <v>55</v>
      </c>
      <c r="K21" s="33" t="s">
        <v>55</v>
      </c>
      <c r="L21" s="33" t="s">
        <v>55</v>
      </c>
      <c r="M21" s="33" t="s">
        <v>55</v>
      </c>
      <c r="N21" s="33" t="s">
        <v>55</v>
      </c>
    </row>
    <row r="22" spans="1:16" s="32" customFormat="1" ht="15" customHeight="1" x14ac:dyDescent="0.35">
      <c r="A22" s="50" t="s">
        <v>285</v>
      </c>
      <c r="B22" s="50"/>
      <c r="C22" s="50"/>
      <c r="D22" s="50"/>
      <c r="E22" s="50"/>
      <c r="F22" s="50"/>
    </row>
    <row r="23" spans="1:16" ht="58" x14ac:dyDescent="0.35">
      <c r="A23" s="33">
        <v>14</v>
      </c>
      <c r="B23" s="33" t="str">
        <f>CONCATENATE($B$2, ".", A23)</f>
        <v>4.14</v>
      </c>
      <c r="C23" s="37" t="s">
        <v>39</v>
      </c>
      <c r="D23" s="34" t="s">
        <v>280</v>
      </c>
      <c r="E23" s="34" t="s">
        <v>48</v>
      </c>
      <c r="F23" s="33" t="s">
        <v>55</v>
      </c>
      <c r="G23" s="33" t="s">
        <v>55</v>
      </c>
      <c r="H23" s="37" t="s">
        <v>55</v>
      </c>
      <c r="I23" s="34" t="s">
        <v>54</v>
      </c>
      <c r="J23" s="33" t="s">
        <v>55</v>
      </c>
      <c r="K23" s="33" t="s">
        <v>55</v>
      </c>
      <c r="L23" s="33" t="s">
        <v>55</v>
      </c>
      <c r="M23" s="34" t="s">
        <v>55</v>
      </c>
      <c r="N23" s="33" t="s">
        <v>55</v>
      </c>
      <c r="O23" s="33" t="s">
        <v>283</v>
      </c>
      <c r="P23" s="33" t="s">
        <v>282</v>
      </c>
    </row>
    <row r="24" spans="1:16" ht="43.5" x14ac:dyDescent="0.35">
      <c r="A24" s="33">
        <v>15</v>
      </c>
      <c r="B24" s="33" t="str">
        <f>CONCATENATE($B$2, ".", A24)</f>
        <v>4.15</v>
      </c>
      <c r="C24" s="37" t="s">
        <v>39</v>
      </c>
      <c r="D24" s="34" t="s">
        <v>279</v>
      </c>
      <c r="E24" s="34" t="s">
        <v>27</v>
      </c>
      <c r="F24" s="33" t="s">
        <v>55</v>
      </c>
      <c r="G24" s="33" t="s">
        <v>55</v>
      </c>
      <c r="H24" s="37" t="s">
        <v>55</v>
      </c>
      <c r="I24" s="34" t="s">
        <v>54</v>
      </c>
      <c r="J24" s="33" t="s">
        <v>55</v>
      </c>
      <c r="K24" s="33" t="s">
        <v>55</v>
      </c>
      <c r="L24" s="33" t="s">
        <v>55</v>
      </c>
      <c r="M24" s="33" t="s">
        <v>55</v>
      </c>
      <c r="N24" s="33" t="s">
        <v>55</v>
      </c>
      <c r="O24" s="31"/>
      <c r="P24" s="33" t="s">
        <v>281</v>
      </c>
    </row>
    <row r="25" spans="1:16" ht="87" x14ac:dyDescent="0.35">
      <c r="A25" s="33">
        <v>16</v>
      </c>
      <c r="B25" s="33" t="str">
        <f>CONCATENATE($B$2, ".", A25)</f>
        <v>4.16</v>
      </c>
      <c r="C25" s="37" t="s">
        <v>39</v>
      </c>
      <c r="D25" s="33" t="s">
        <v>188</v>
      </c>
      <c r="E25" s="34" t="s">
        <v>32</v>
      </c>
      <c r="F25" s="33" t="s">
        <v>55</v>
      </c>
      <c r="G25" s="33" t="s">
        <v>55</v>
      </c>
      <c r="H25" s="37" t="s">
        <v>55</v>
      </c>
      <c r="I25" s="34" t="s">
        <v>54</v>
      </c>
      <c r="J25" s="33" t="s">
        <v>55</v>
      </c>
      <c r="K25" s="33" t="s">
        <v>55</v>
      </c>
      <c r="L25" s="33" t="s">
        <v>55</v>
      </c>
      <c r="M25" s="33" t="s">
        <v>55</v>
      </c>
      <c r="N25" s="33" t="s">
        <v>55</v>
      </c>
      <c r="P25" s="33" t="s">
        <v>281</v>
      </c>
    </row>
    <row r="26" spans="1:16" s="32" customFormat="1" ht="15" customHeight="1" x14ac:dyDescent="0.35">
      <c r="A26" s="49" t="s">
        <v>295</v>
      </c>
      <c r="B26" s="49"/>
      <c r="C26" s="49"/>
      <c r="D26" s="49"/>
      <c r="E26" s="49"/>
      <c r="F26" s="49"/>
    </row>
    <row r="27" spans="1:16" ht="29" x14ac:dyDescent="0.35">
      <c r="A27" s="33">
        <v>16</v>
      </c>
      <c r="B27" s="33" t="str">
        <f t="shared" ref="B27:B33" si="1">CONCATENATE($B$2, ".", A27)</f>
        <v>4.16</v>
      </c>
      <c r="C27" s="37" t="s">
        <v>39</v>
      </c>
      <c r="D27" s="34" t="s">
        <v>148</v>
      </c>
      <c r="E27" s="34" t="s">
        <v>48</v>
      </c>
      <c r="F27" s="33" t="s">
        <v>55</v>
      </c>
      <c r="G27" s="33" t="s">
        <v>55</v>
      </c>
      <c r="H27" s="37" t="s">
        <v>55</v>
      </c>
      <c r="I27" s="34" t="s">
        <v>187</v>
      </c>
      <c r="J27" s="33" t="s">
        <v>55</v>
      </c>
      <c r="K27" s="33" t="s">
        <v>55</v>
      </c>
      <c r="L27" s="33" t="s">
        <v>55</v>
      </c>
      <c r="M27" s="34" t="s">
        <v>55</v>
      </c>
      <c r="N27" s="33" t="s">
        <v>55</v>
      </c>
    </row>
    <row r="28" spans="1:16" ht="29" x14ac:dyDescent="0.35">
      <c r="A28" s="33">
        <v>17</v>
      </c>
      <c r="B28" s="33" t="str">
        <f t="shared" si="1"/>
        <v>4.17</v>
      </c>
      <c r="C28" s="37" t="s">
        <v>39</v>
      </c>
      <c r="D28" s="34" t="s">
        <v>149</v>
      </c>
      <c r="E28" s="34" t="s">
        <v>27</v>
      </c>
      <c r="F28" s="33" t="s">
        <v>55</v>
      </c>
      <c r="G28" s="33" t="s">
        <v>55</v>
      </c>
      <c r="H28" s="37" t="s">
        <v>55</v>
      </c>
      <c r="I28" s="34" t="s">
        <v>187</v>
      </c>
      <c r="J28" s="33" t="s">
        <v>55</v>
      </c>
      <c r="K28" s="33" t="s">
        <v>55</v>
      </c>
      <c r="L28" s="33" t="s">
        <v>55</v>
      </c>
      <c r="M28" s="34" t="s">
        <v>55</v>
      </c>
      <c r="N28" s="33" t="s">
        <v>55</v>
      </c>
    </row>
    <row r="29" spans="1:16" ht="29" x14ac:dyDescent="0.35">
      <c r="A29" s="33">
        <v>18</v>
      </c>
      <c r="B29" s="33" t="str">
        <f t="shared" si="1"/>
        <v>4.18</v>
      </c>
      <c r="C29" s="37" t="s">
        <v>39</v>
      </c>
      <c r="D29" s="34" t="s">
        <v>150</v>
      </c>
      <c r="E29" s="34" t="s">
        <v>34</v>
      </c>
      <c r="F29" s="33" t="s">
        <v>55</v>
      </c>
      <c r="G29" s="33" t="s">
        <v>55</v>
      </c>
      <c r="H29" s="37" t="s">
        <v>55</v>
      </c>
      <c r="I29" s="34" t="s">
        <v>187</v>
      </c>
      <c r="J29" s="33" t="s">
        <v>55</v>
      </c>
      <c r="K29" s="33" t="s">
        <v>55</v>
      </c>
      <c r="L29" s="33" t="s">
        <v>55</v>
      </c>
      <c r="M29" s="34" t="s">
        <v>55</v>
      </c>
      <c r="N29" s="33" t="s">
        <v>55</v>
      </c>
    </row>
    <row r="30" spans="1:16" ht="29" x14ac:dyDescent="0.35">
      <c r="A30" s="33">
        <v>19</v>
      </c>
      <c r="B30" s="33" t="str">
        <f t="shared" si="1"/>
        <v>4.19</v>
      </c>
      <c r="C30" s="37" t="s">
        <v>39</v>
      </c>
      <c r="D30" s="34" t="s">
        <v>165</v>
      </c>
      <c r="E30" s="34" t="s">
        <v>47</v>
      </c>
      <c r="F30" s="33" t="s">
        <v>55</v>
      </c>
      <c r="G30" s="33" t="s">
        <v>55</v>
      </c>
      <c r="H30" s="37" t="s">
        <v>55</v>
      </c>
      <c r="I30" s="34" t="s">
        <v>187</v>
      </c>
      <c r="J30" s="33" t="s">
        <v>55</v>
      </c>
      <c r="K30" s="33" t="s">
        <v>55</v>
      </c>
      <c r="L30" s="33" t="s">
        <v>55</v>
      </c>
      <c r="M30" s="34" t="s">
        <v>55</v>
      </c>
      <c r="N30" s="33" t="s">
        <v>55</v>
      </c>
      <c r="O30" s="33" t="s">
        <v>301</v>
      </c>
    </row>
    <row r="31" spans="1:16" ht="72.5" x14ac:dyDescent="0.35">
      <c r="A31" s="33">
        <v>20</v>
      </c>
      <c r="B31" s="33" t="str">
        <f t="shared" si="1"/>
        <v>4.20</v>
      </c>
      <c r="C31" s="37" t="s">
        <v>39</v>
      </c>
      <c r="D31" s="45" t="s">
        <v>297</v>
      </c>
      <c r="E31" s="34" t="s">
        <v>53</v>
      </c>
      <c r="F31" s="33" t="s">
        <v>55</v>
      </c>
      <c r="G31" s="33" t="s">
        <v>55</v>
      </c>
      <c r="H31" s="37" t="s">
        <v>55</v>
      </c>
      <c r="I31" s="34" t="s">
        <v>293</v>
      </c>
      <c r="J31" s="33" t="s">
        <v>55</v>
      </c>
      <c r="K31" s="33" t="s">
        <v>55</v>
      </c>
      <c r="L31" s="33" t="s">
        <v>55</v>
      </c>
      <c r="M31" s="34" t="s">
        <v>55</v>
      </c>
      <c r="N31" s="33" t="s">
        <v>55</v>
      </c>
      <c r="O31" s="33" t="s">
        <v>300</v>
      </c>
    </row>
    <row r="32" spans="1:16" s="32" customFormat="1" x14ac:dyDescent="0.35">
      <c r="A32" s="50" t="s">
        <v>284</v>
      </c>
      <c r="B32" s="50"/>
      <c r="C32" s="50"/>
      <c r="D32" s="50"/>
      <c r="E32" s="50"/>
    </row>
    <row r="33" spans="1:15" ht="43.5" x14ac:dyDescent="0.35">
      <c r="A33" s="33">
        <v>10</v>
      </c>
      <c r="B33" s="33" t="str">
        <f t="shared" si="1"/>
        <v>4.10</v>
      </c>
      <c r="C33" s="37" t="s">
        <v>39</v>
      </c>
      <c r="D33" s="48" t="s">
        <v>304</v>
      </c>
      <c r="E33" s="34" t="s">
        <v>47</v>
      </c>
      <c r="F33" s="33" t="s">
        <v>55</v>
      </c>
      <c r="G33" s="33" t="s">
        <v>55</v>
      </c>
      <c r="H33" s="37" t="s">
        <v>55</v>
      </c>
      <c r="I33" s="34" t="s">
        <v>54</v>
      </c>
      <c r="J33" s="33" t="s">
        <v>55</v>
      </c>
      <c r="K33" s="33" t="s">
        <v>55</v>
      </c>
      <c r="L33" s="33" t="s">
        <v>55</v>
      </c>
      <c r="M33" s="34" t="s">
        <v>55</v>
      </c>
      <c r="N33" s="33" t="s">
        <v>55</v>
      </c>
      <c r="O33" s="33" t="s">
        <v>305</v>
      </c>
    </row>
    <row r="34" spans="1:15" ht="91.5" customHeight="1" x14ac:dyDescent="0.35">
      <c r="A34" s="33">
        <v>17</v>
      </c>
      <c r="B34" s="33" t="str">
        <f>CONCATENATE($B$2, ".", A34)</f>
        <v>4.17</v>
      </c>
      <c r="C34" s="37" t="s">
        <v>39</v>
      </c>
      <c r="D34" s="33" t="s">
        <v>56</v>
      </c>
      <c r="E34" s="34" t="s">
        <v>40</v>
      </c>
      <c r="F34" s="33" t="s">
        <v>55</v>
      </c>
      <c r="G34" s="33" t="s">
        <v>55</v>
      </c>
      <c r="H34" s="37" t="s">
        <v>55</v>
      </c>
      <c r="I34" s="34" t="s">
        <v>54</v>
      </c>
      <c r="J34" s="33" t="s">
        <v>55</v>
      </c>
      <c r="K34" s="33" t="s">
        <v>55</v>
      </c>
      <c r="L34" s="33" t="s">
        <v>55</v>
      </c>
      <c r="M34" s="33" t="s">
        <v>306</v>
      </c>
      <c r="N34" s="33" t="s">
        <v>308</v>
      </c>
      <c r="O34" s="33" t="s">
        <v>310</v>
      </c>
    </row>
    <row r="35" spans="1:15" ht="29" x14ac:dyDescent="0.35">
      <c r="A35" s="33">
        <v>18</v>
      </c>
      <c r="B35" s="33" t="str">
        <f>CONCATENATE($B$2, ".", A35)</f>
        <v>4.18</v>
      </c>
      <c r="C35" s="37" t="s">
        <v>39</v>
      </c>
      <c r="D35" s="33" t="s">
        <v>57</v>
      </c>
      <c r="E35" s="34" t="s">
        <v>40</v>
      </c>
      <c r="F35" s="33" t="s">
        <v>55</v>
      </c>
      <c r="G35" s="33" t="s">
        <v>55</v>
      </c>
      <c r="H35" s="37" t="s">
        <v>55</v>
      </c>
      <c r="I35" s="34" t="s">
        <v>54</v>
      </c>
      <c r="J35" s="33" t="s">
        <v>55</v>
      </c>
      <c r="K35" s="33" t="s">
        <v>55</v>
      </c>
      <c r="L35" s="33" t="s">
        <v>55</v>
      </c>
      <c r="M35" s="33" t="s">
        <v>55</v>
      </c>
      <c r="N35" s="33" t="s">
        <v>55</v>
      </c>
      <c r="O35" s="33" t="s">
        <v>309</v>
      </c>
    </row>
  </sheetData>
  <autoFilter ref="A6:P6"/>
  <mergeCells count="4">
    <mergeCell ref="A17:E17"/>
    <mergeCell ref="A10:F10"/>
    <mergeCell ref="A32:E32"/>
    <mergeCell ref="A22:F22"/>
  </mergeCells>
  <conditionalFormatting sqref="C34:C1048576 C7:C9 C27:C30 C11:C16 C18:C20">
    <cfRule type="cellIs" dxfId="147" priority="60" operator="equal">
      <formula>"WIP (see comments)"</formula>
    </cfRule>
    <cfRule type="cellIs" dxfId="146" priority="61" operator="equal">
      <formula>"Removed"</formula>
    </cfRule>
    <cfRule type="cellIs" dxfId="145" priority="62" operator="equal">
      <formula>"Updated"</formula>
    </cfRule>
    <cfRule type="cellIs" dxfId="144" priority="63" operator="equal">
      <formula>"New"</formula>
    </cfRule>
  </conditionalFormatting>
  <conditionalFormatting sqref="D11:D15 D7:D9 D27:D30">
    <cfRule type="cellIs" dxfId="143" priority="59" operator="equal">
      <formula>"-"</formula>
    </cfRule>
  </conditionalFormatting>
  <conditionalFormatting sqref="P18:XFD18 A18:N18 B19:C19 E19:N19 A11:L13 E34:N35 B34:C35 A15:L15 A14:E14 A7:XFD9 A27:XFD30 A16:C16 N11:XFD16 F16:L16 F20:L20 N20:XFD20 A20:C20 G14:L14">
    <cfRule type="cellIs" dxfId="142" priority="58" operator="equal">
      <formula>"n/a"</formula>
    </cfRule>
  </conditionalFormatting>
  <conditionalFormatting sqref="O18">
    <cfRule type="cellIs" dxfId="141" priority="57" operator="equal">
      <formula>"n/a"</formula>
    </cfRule>
  </conditionalFormatting>
  <conditionalFormatting sqref="M11:M16 M20">
    <cfRule type="cellIs" dxfId="140" priority="56" operator="equal">
      <formula>"n/a"</formula>
    </cfRule>
  </conditionalFormatting>
  <conditionalFormatting sqref="G10:XFD10">
    <cfRule type="cellIs" dxfId="139" priority="55" operator="equal">
      <formula>"n/a"</formula>
    </cfRule>
  </conditionalFormatting>
  <conditionalFormatting sqref="F17:XFD17 A17">
    <cfRule type="cellIs" dxfId="138" priority="54" operator="equal">
      <formula>"n/a"</formula>
    </cfRule>
  </conditionalFormatting>
  <conditionalFormatting sqref="A10">
    <cfRule type="cellIs" dxfId="137" priority="51" operator="equal">
      <formula>"n/a"</formula>
    </cfRule>
  </conditionalFormatting>
  <conditionalFormatting sqref="G26:XFD26">
    <cfRule type="cellIs" dxfId="136" priority="43" operator="equal">
      <formula>"n/a"</formula>
    </cfRule>
  </conditionalFormatting>
  <conditionalFormatting sqref="A26">
    <cfRule type="cellIs" dxfId="135" priority="42" operator="equal">
      <formula>"n/a"</formula>
    </cfRule>
  </conditionalFormatting>
  <conditionalFormatting sqref="C24:C25">
    <cfRule type="cellIs" dxfId="134" priority="38" operator="equal">
      <formula>"WIP (see comments)"</formula>
    </cfRule>
    <cfRule type="cellIs" dxfId="133" priority="39" operator="equal">
      <formula>"Removed"</formula>
    </cfRule>
    <cfRule type="cellIs" dxfId="132" priority="40" operator="equal">
      <formula>"Updated"</formula>
    </cfRule>
    <cfRule type="cellIs" dxfId="131" priority="41" operator="equal">
      <formula>"New"</formula>
    </cfRule>
  </conditionalFormatting>
  <conditionalFormatting sqref="P24:XFD24 A24:N24 B25:C25 E25:N25 P23 P25">
    <cfRule type="cellIs" dxfId="130" priority="37" operator="equal">
      <formula>"n/a"</formula>
    </cfRule>
  </conditionalFormatting>
  <conditionalFormatting sqref="O24">
    <cfRule type="cellIs" dxfId="129" priority="36" operator="equal">
      <formula>"n/a"</formula>
    </cfRule>
  </conditionalFormatting>
  <conditionalFormatting sqref="F32:XFD32 A32">
    <cfRule type="cellIs" dxfId="128" priority="35" operator="equal">
      <formula>"n/a"</formula>
    </cfRule>
  </conditionalFormatting>
  <conditionalFormatting sqref="F14">
    <cfRule type="cellIs" dxfId="127" priority="34" operator="equal">
      <formula>"n/a"</formula>
    </cfRule>
  </conditionalFormatting>
  <conditionalFormatting sqref="D16 D20">
    <cfRule type="cellIs" dxfId="126" priority="33" operator="equal">
      <formula>"-"</formula>
    </cfRule>
  </conditionalFormatting>
  <conditionalFormatting sqref="D16:E16 D20:E20">
    <cfRule type="cellIs" dxfId="125" priority="32" operator="equal">
      <formula>"n/a"</formula>
    </cfRule>
  </conditionalFormatting>
  <conditionalFormatting sqref="C23">
    <cfRule type="cellIs" dxfId="124" priority="28" operator="equal">
      <formula>"WIP (see comments)"</formula>
    </cfRule>
    <cfRule type="cellIs" dxfId="123" priority="29" operator="equal">
      <formula>"Removed"</formula>
    </cfRule>
    <cfRule type="cellIs" dxfId="122" priority="30" operator="equal">
      <formula>"Updated"</formula>
    </cfRule>
    <cfRule type="cellIs" dxfId="121" priority="31" operator="equal">
      <formula>"New"</formula>
    </cfRule>
  </conditionalFormatting>
  <conditionalFormatting sqref="D23">
    <cfRule type="cellIs" dxfId="120" priority="27" operator="equal">
      <formula>"-"</formula>
    </cfRule>
  </conditionalFormatting>
  <conditionalFormatting sqref="A23:O23 Q23:XFD23">
    <cfRule type="cellIs" dxfId="119" priority="26" operator="equal">
      <formula>"n/a"</formula>
    </cfRule>
  </conditionalFormatting>
  <conditionalFormatting sqref="G22:XFD22">
    <cfRule type="cellIs" dxfId="118" priority="25" operator="equal">
      <formula>"n/a"</formula>
    </cfRule>
  </conditionalFormatting>
  <conditionalFormatting sqref="A22">
    <cfRule type="cellIs" dxfId="117" priority="24" operator="equal">
      <formula>"n/a"</formula>
    </cfRule>
  </conditionalFormatting>
  <conditionalFormatting sqref="C21">
    <cfRule type="cellIs" dxfId="116" priority="20" operator="equal">
      <formula>"WIP (see comments)"</formula>
    </cfRule>
    <cfRule type="cellIs" dxfId="115" priority="21" operator="equal">
      <formula>"Removed"</formula>
    </cfRule>
    <cfRule type="cellIs" dxfId="114" priority="22" operator="equal">
      <formula>"Updated"</formula>
    </cfRule>
    <cfRule type="cellIs" dxfId="113" priority="23" operator="equal">
      <formula>"New"</formula>
    </cfRule>
  </conditionalFormatting>
  <conditionalFormatting sqref="D21">
    <cfRule type="cellIs" dxfId="112" priority="19" operator="equal">
      <formula>"-"</formula>
    </cfRule>
  </conditionalFormatting>
  <conditionalFormatting sqref="A21:XFD21">
    <cfRule type="cellIs" dxfId="111" priority="18" operator="equal">
      <formula>"n/a"</formula>
    </cfRule>
  </conditionalFormatting>
  <conditionalFormatting sqref="C31">
    <cfRule type="cellIs" dxfId="110" priority="14" operator="equal">
      <formula>"WIP (see comments)"</formula>
    </cfRule>
    <cfRule type="cellIs" dxfId="109" priority="15" operator="equal">
      <formula>"Removed"</formula>
    </cfRule>
    <cfRule type="cellIs" dxfId="108" priority="16" operator="equal">
      <formula>"Updated"</formula>
    </cfRule>
    <cfRule type="cellIs" dxfId="107" priority="17" operator="equal">
      <formula>"New"</formula>
    </cfRule>
  </conditionalFormatting>
  <conditionalFormatting sqref="A31:C31 N31 F31:L31 P31:XFD31">
    <cfRule type="cellIs" dxfId="106" priority="13" operator="equal">
      <formula>"n/a"</formula>
    </cfRule>
  </conditionalFormatting>
  <conditionalFormatting sqref="M31">
    <cfRule type="cellIs" dxfId="105" priority="12" operator="equal">
      <formula>"n/a"</formula>
    </cfRule>
  </conditionalFormatting>
  <conditionalFormatting sqref="D31">
    <cfRule type="cellIs" dxfId="104" priority="11" operator="equal">
      <formula>"-"</formula>
    </cfRule>
  </conditionalFormatting>
  <conditionalFormatting sqref="D31:E31">
    <cfRule type="cellIs" dxfId="103" priority="10" operator="equal">
      <formula>"n/a"</formula>
    </cfRule>
  </conditionalFormatting>
  <conditionalFormatting sqref="O31">
    <cfRule type="cellIs" dxfId="102" priority="9" operator="equal">
      <formula>"n/a"</formula>
    </cfRule>
  </conditionalFormatting>
  <conditionalFormatting sqref="C33">
    <cfRule type="cellIs" dxfId="101" priority="5" operator="equal">
      <formula>"WIP (see comments)"</formula>
    </cfRule>
    <cfRule type="cellIs" dxfId="100" priority="6" operator="equal">
      <formula>"Removed"</formula>
    </cfRule>
    <cfRule type="cellIs" dxfId="99" priority="7" operator="equal">
      <formula>"Updated"</formula>
    </cfRule>
    <cfRule type="cellIs" dxfId="98" priority="8" operator="equal">
      <formula>"New"</formula>
    </cfRule>
  </conditionalFormatting>
  <conditionalFormatting sqref="A33:C33 N33:XFD33 F33:L33">
    <cfRule type="cellIs" dxfId="97" priority="4" operator="equal">
      <formula>"n/a"</formula>
    </cfRule>
  </conditionalFormatting>
  <conditionalFormatting sqref="M33">
    <cfRule type="cellIs" dxfId="96" priority="3" operator="equal">
      <formula>"n/a"</formula>
    </cfRule>
  </conditionalFormatting>
  <conditionalFormatting sqref="D33">
    <cfRule type="cellIs" dxfId="95" priority="2" operator="equal">
      <formula>"-"</formula>
    </cfRule>
  </conditionalFormatting>
  <conditionalFormatting sqref="D33:E33">
    <cfRule type="cellIs" dxfId="9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C23:C25 C7:C9 C11:C16 C18:C21 C27:C31 C33:C1048576</xm:sqref>
        </x14:dataValidation>
        <x14:dataValidation type="list" allowBlank="1" showInputMessage="1" showErrorMessage="1">
          <x14:formula1>
            <xm:f>'List Values'!$A$5:$A$31</xm:f>
          </x14:formula1>
          <xm:sqref>E23:E25 E7:E9 E11:E21 E27:E1048576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workbookViewId="0">
      <pane ySplit="6" topLeftCell="A7" activePane="bottomLeft" state="frozen"/>
      <selection pane="bottomLeft" activeCell="C2" sqref="C2"/>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4"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66</v>
      </c>
      <c r="C1" s="25"/>
      <c r="D1" s="22" t="s">
        <v>99</v>
      </c>
      <c r="F1" s="41"/>
      <c r="H1" s="27"/>
    </row>
    <row r="2" spans="1:16" s="23" customFormat="1" ht="18.5" x14ac:dyDescent="0.35">
      <c r="A2" s="21" t="s">
        <v>8</v>
      </c>
      <c r="B2" s="28" t="s">
        <v>181</v>
      </c>
      <c r="C2" s="27"/>
      <c r="D2" s="28"/>
      <c r="F2" s="41"/>
      <c r="H2" s="27"/>
    </row>
    <row r="3" spans="1:16" s="23" customFormat="1" ht="18.5" x14ac:dyDescent="0.35">
      <c r="A3" s="21" t="s">
        <v>41</v>
      </c>
      <c r="B3" s="28"/>
      <c r="C3" s="27"/>
      <c r="D3" s="28"/>
      <c r="F3" s="41"/>
      <c r="H3" s="27"/>
    </row>
    <row r="4" spans="1:16" s="23" customFormat="1" ht="18.5" x14ac:dyDescent="0.35">
      <c r="A4" s="21" t="s">
        <v>9</v>
      </c>
      <c r="B4" s="23" t="s">
        <v>67</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2" si="0">CONCATENATE($B$2, ".", A7)</f>
        <v>1a.1</v>
      </c>
      <c r="C7" s="37" t="s">
        <v>39</v>
      </c>
      <c r="D7" s="33" t="s">
        <v>65</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1a.2</v>
      </c>
      <c r="C8" s="37" t="s">
        <v>39</v>
      </c>
      <c r="D8" s="34" t="s">
        <v>68</v>
      </c>
      <c r="E8" s="34" t="s">
        <v>27</v>
      </c>
      <c r="F8" s="33" t="s">
        <v>55</v>
      </c>
      <c r="G8" s="33" t="s">
        <v>55</v>
      </c>
      <c r="H8" s="37" t="s">
        <v>55</v>
      </c>
      <c r="I8" s="34" t="s">
        <v>54</v>
      </c>
      <c r="J8" s="33" t="s">
        <v>55</v>
      </c>
      <c r="K8" s="33" t="s">
        <v>55</v>
      </c>
      <c r="L8" s="33" t="s">
        <v>55</v>
      </c>
      <c r="M8" s="33" t="s">
        <v>55</v>
      </c>
      <c r="N8" s="33" t="s">
        <v>55</v>
      </c>
    </row>
    <row r="9" spans="1:16" ht="29" x14ac:dyDescent="0.35">
      <c r="A9" s="33">
        <v>3</v>
      </c>
      <c r="B9" s="33" t="str">
        <f t="shared" si="0"/>
        <v>1a.3</v>
      </c>
      <c r="C9" s="37" t="s">
        <v>39</v>
      </c>
      <c r="D9" s="34" t="s">
        <v>69</v>
      </c>
      <c r="E9" s="34" t="s">
        <v>32</v>
      </c>
      <c r="F9" s="33" t="s">
        <v>55</v>
      </c>
      <c r="G9" s="33" t="s">
        <v>55</v>
      </c>
      <c r="H9" s="37" t="s">
        <v>55</v>
      </c>
      <c r="I9" s="34" t="s">
        <v>54</v>
      </c>
      <c r="J9" s="33" t="s">
        <v>55</v>
      </c>
      <c r="K9" s="33" t="s">
        <v>55</v>
      </c>
      <c r="L9" s="33" t="s">
        <v>55</v>
      </c>
      <c r="M9" s="33" t="s">
        <v>55</v>
      </c>
      <c r="N9" s="33" t="s">
        <v>55</v>
      </c>
    </row>
    <row r="10" spans="1:16" ht="72.75" customHeight="1" x14ac:dyDescent="0.35">
      <c r="A10" s="33">
        <v>4</v>
      </c>
      <c r="B10" s="33" t="str">
        <f t="shared" si="0"/>
        <v>1a.4</v>
      </c>
      <c r="C10" s="37" t="s">
        <v>39</v>
      </c>
      <c r="D10" s="34" t="s">
        <v>70</v>
      </c>
      <c r="E10" s="34" t="s">
        <v>31</v>
      </c>
      <c r="F10" s="33" t="s">
        <v>71</v>
      </c>
      <c r="G10" s="33" t="s">
        <v>55</v>
      </c>
      <c r="H10" s="37" t="s">
        <v>55</v>
      </c>
      <c r="I10" s="34" t="s">
        <v>54</v>
      </c>
      <c r="J10" s="33" t="s">
        <v>72</v>
      </c>
      <c r="K10" s="33" t="s">
        <v>73</v>
      </c>
      <c r="L10" s="33" t="s">
        <v>55</v>
      </c>
      <c r="M10" s="34" t="s">
        <v>74</v>
      </c>
      <c r="N10" s="33" t="s">
        <v>75</v>
      </c>
    </row>
    <row r="11" spans="1:16" ht="29" x14ac:dyDescent="0.35">
      <c r="A11" s="33">
        <v>5</v>
      </c>
      <c r="B11" s="33" t="str">
        <f t="shared" si="0"/>
        <v>1a.5</v>
      </c>
      <c r="C11" s="37" t="s">
        <v>39</v>
      </c>
      <c r="D11" s="34" t="s">
        <v>76</v>
      </c>
      <c r="E11" s="33" t="s">
        <v>40</v>
      </c>
      <c r="F11" s="33" t="s">
        <v>55</v>
      </c>
      <c r="G11" s="33" t="s">
        <v>55</v>
      </c>
      <c r="H11" s="37" t="s">
        <v>55</v>
      </c>
      <c r="I11" s="34" t="s">
        <v>54</v>
      </c>
      <c r="J11" s="33" t="s">
        <v>55</v>
      </c>
      <c r="K11" s="33" t="s">
        <v>55</v>
      </c>
      <c r="L11" s="33" t="s">
        <v>55</v>
      </c>
      <c r="M11" s="33" t="s">
        <v>55</v>
      </c>
      <c r="N11" s="33" t="s">
        <v>55</v>
      </c>
      <c r="O11" s="31" t="s">
        <v>78</v>
      </c>
    </row>
    <row r="12" spans="1:16" ht="29" x14ac:dyDescent="0.35">
      <c r="A12" s="33">
        <v>6</v>
      </c>
      <c r="B12" s="33" t="str">
        <f t="shared" si="0"/>
        <v>1a.6</v>
      </c>
      <c r="C12" s="37" t="s">
        <v>39</v>
      </c>
      <c r="D12" s="33" t="s">
        <v>77</v>
      </c>
      <c r="E12" s="33" t="s">
        <v>40</v>
      </c>
      <c r="F12" s="33" t="s">
        <v>55</v>
      </c>
      <c r="G12" s="33" t="s">
        <v>55</v>
      </c>
      <c r="H12" s="37" t="s">
        <v>55</v>
      </c>
      <c r="I12" s="34" t="s">
        <v>54</v>
      </c>
      <c r="J12" s="33" t="s">
        <v>55</v>
      </c>
      <c r="K12" s="33" t="s">
        <v>55</v>
      </c>
      <c r="L12" s="33" t="s">
        <v>55</v>
      </c>
      <c r="M12" s="33" t="s">
        <v>55</v>
      </c>
      <c r="N12" s="33" t="s">
        <v>55</v>
      </c>
      <c r="O12" s="33" t="s">
        <v>79</v>
      </c>
    </row>
  </sheetData>
  <autoFilter ref="A6:P6"/>
  <conditionalFormatting sqref="C7:C1048576">
    <cfRule type="cellIs" dxfId="93" priority="9" operator="equal">
      <formula>"WIP (see comments)"</formula>
    </cfRule>
    <cfRule type="cellIs" dxfId="92" priority="10" operator="equal">
      <formula>"Removed"</formula>
    </cfRule>
    <cfRule type="cellIs" dxfId="91" priority="11" operator="equal">
      <formula>"Updated"</formula>
    </cfRule>
    <cfRule type="cellIs" dxfId="90" priority="12" operator="equal">
      <formula>"New"</formula>
    </cfRule>
  </conditionalFormatting>
  <conditionalFormatting sqref="D7:D10">
    <cfRule type="cellIs" dxfId="89" priority="4" operator="equal">
      <formula>"-"</formula>
    </cfRule>
  </conditionalFormatting>
  <conditionalFormatting sqref="P11:XFD11 A11:N11 B12 C11:C12 E12:N12 A7:XFD9 A10:L10 N10:XFD10">
    <cfRule type="cellIs" dxfId="88" priority="3" operator="equal">
      <formula>"n/a"</formula>
    </cfRule>
  </conditionalFormatting>
  <conditionalFormatting sqref="O11">
    <cfRule type="cellIs" dxfId="87" priority="2" operator="equal">
      <formula>"n/a"</formula>
    </cfRule>
  </conditionalFormatting>
  <conditionalFormatting sqref="M10">
    <cfRule type="cellIs" dxfId="8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Values'!$A$5:$A$30</xm:f>
          </x14:formula1>
          <xm:sqref>E7:E1048576</xm:sqref>
        </x14:dataValidation>
        <x14:dataValidation type="list" allowBlank="1" showInputMessage="1" showErrorMessage="1">
          <x14:formula1>
            <xm:f>'List Values'!$B$5:$B$9</xm:f>
          </x14:formula1>
          <xm:sqref>C7:C1048576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80</v>
      </c>
      <c r="C1" s="25"/>
      <c r="D1" s="22" t="s">
        <v>99</v>
      </c>
      <c r="F1" s="41"/>
      <c r="H1" s="27"/>
    </row>
    <row r="2" spans="1:16" s="23" customFormat="1" ht="18.5" x14ac:dyDescent="0.35">
      <c r="A2" s="21" t="s">
        <v>8</v>
      </c>
      <c r="B2" s="28" t="s">
        <v>82</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Q-P1.1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Q-P1.2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Q-P1.3</v>
      </c>
      <c r="C9" s="37" t="s">
        <v>39</v>
      </c>
      <c r="D9" s="34" t="s">
        <v>85</v>
      </c>
      <c r="E9" s="34" t="s">
        <v>27</v>
      </c>
      <c r="F9" s="33" t="s">
        <v>55</v>
      </c>
      <c r="G9" s="33" t="s">
        <v>55</v>
      </c>
      <c r="H9" s="37" t="s">
        <v>55</v>
      </c>
      <c r="I9" s="34" t="s">
        <v>54</v>
      </c>
      <c r="J9" s="33" t="s">
        <v>55</v>
      </c>
      <c r="K9" s="33" t="s">
        <v>55</v>
      </c>
      <c r="L9" s="33" t="s">
        <v>55</v>
      </c>
      <c r="M9" s="33" t="s">
        <v>55</v>
      </c>
      <c r="N9" s="33" t="s">
        <v>55</v>
      </c>
    </row>
    <row r="10" spans="1:16" s="32" customFormat="1" x14ac:dyDescent="0.35">
      <c r="A10" s="50" t="s">
        <v>128</v>
      </c>
      <c r="B10" s="50"/>
      <c r="C10" s="50"/>
      <c r="D10" s="50"/>
      <c r="E10" s="50"/>
    </row>
    <row r="11" spans="1:16" ht="29" x14ac:dyDescent="0.35">
      <c r="A11" s="33">
        <v>4</v>
      </c>
      <c r="B11" s="33" t="str">
        <f t="shared" si="0"/>
        <v>Q-P1.4</v>
      </c>
      <c r="C11" s="37" t="s">
        <v>42</v>
      </c>
      <c r="D11" s="34" t="s">
        <v>88</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Q-P1.5</v>
      </c>
      <c r="C12" s="37" t="s">
        <v>42</v>
      </c>
      <c r="D12" s="34" t="s">
        <v>92</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Q-P1.6</v>
      </c>
      <c r="C13" s="37" t="s">
        <v>42</v>
      </c>
      <c r="D13" s="34" t="s">
        <v>93</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7</v>
      </c>
      <c r="B15" s="33" t="str">
        <f t="shared" si="0"/>
        <v>Q-P1.7</v>
      </c>
      <c r="C15" s="37" t="s">
        <v>39</v>
      </c>
      <c r="D15" s="34" t="s">
        <v>56</v>
      </c>
      <c r="E15" s="34" t="s">
        <v>40</v>
      </c>
      <c r="F15" s="33" t="s">
        <v>55</v>
      </c>
      <c r="G15" s="33" t="s">
        <v>55</v>
      </c>
      <c r="H15" s="37" t="s">
        <v>55</v>
      </c>
      <c r="I15" s="34" t="s">
        <v>54</v>
      </c>
      <c r="J15" s="33" t="s">
        <v>55</v>
      </c>
      <c r="K15" s="33" t="s">
        <v>55</v>
      </c>
      <c r="L15" s="33" t="s">
        <v>55</v>
      </c>
      <c r="M15" s="33" t="s">
        <v>55</v>
      </c>
      <c r="N15" s="33" t="s">
        <v>55</v>
      </c>
      <c r="O15" s="31" t="s">
        <v>94</v>
      </c>
    </row>
    <row r="16" spans="1:16" ht="29" x14ac:dyDescent="0.35">
      <c r="A16" s="33">
        <v>8</v>
      </c>
      <c r="B16" s="33" t="str">
        <f t="shared" si="0"/>
        <v>Q-P1.8</v>
      </c>
      <c r="C16" s="37" t="s">
        <v>39</v>
      </c>
      <c r="D16" s="33" t="s">
        <v>57</v>
      </c>
      <c r="E16" s="34" t="s">
        <v>40</v>
      </c>
      <c r="F16" s="33" t="s">
        <v>55</v>
      </c>
      <c r="G16" s="33" t="s">
        <v>55</v>
      </c>
      <c r="H16" s="37" t="s">
        <v>55</v>
      </c>
      <c r="I16" s="34" t="s">
        <v>54</v>
      </c>
      <c r="J16" s="33" t="s">
        <v>55</v>
      </c>
      <c r="K16" s="33" t="s">
        <v>55</v>
      </c>
      <c r="L16" s="33" t="s">
        <v>55</v>
      </c>
      <c r="M16" s="33" t="s">
        <v>55</v>
      </c>
      <c r="N16" s="33" t="s">
        <v>55</v>
      </c>
      <c r="O16" s="33" t="s">
        <v>95</v>
      </c>
    </row>
    <row r="17" spans="1:15" ht="29" x14ac:dyDescent="0.35">
      <c r="A17" s="33">
        <v>9</v>
      </c>
      <c r="B17" s="33" t="str">
        <f>CONCATENATE($B$2, ".", A17)</f>
        <v>Q-P1.9</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C13">
    <cfRule type="cellIs" dxfId="85" priority="9" operator="equal">
      <formula>"WIP (see comments)"</formula>
    </cfRule>
    <cfRule type="cellIs" dxfId="84" priority="10" operator="equal">
      <formula>"Removed"</formula>
    </cfRule>
    <cfRule type="cellIs" dxfId="83" priority="11" operator="equal">
      <formula>"Updated"</formula>
    </cfRule>
    <cfRule type="cellIs" dxfId="82" priority="12" operator="equal">
      <formula>"New"</formula>
    </cfRule>
  </conditionalFormatting>
  <conditionalFormatting sqref="D7 D11:D13 D9">
    <cfRule type="cellIs" dxfId="81" priority="8" operator="equal">
      <formula>"-"</formula>
    </cfRule>
  </conditionalFormatting>
  <conditionalFormatting sqref="P15:XFD15 A7:XFD7 A15:N15 N11:XFD13 B16:C17 E16:N17 A9:XFD9 A8:C8 E8:XFD8 A11:L13">
    <cfRule type="cellIs" dxfId="80" priority="7" operator="equal">
      <formula>"n/a"</formula>
    </cfRule>
  </conditionalFormatting>
  <conditionalFormatting sqref="O15">
    <cfRule type="cellIs" dxfId="79" priority="6" operator="equal">
      <formula>"n/a"</formula>
    </cfRule>
  </conditionalFormatting>
  <conditionalFormatting sqref="M11:M13">
    <cfRule type="cellIs" dxfId="78" priority="5" operator="equal">
      <formula>"n/a"</formula>
    </cfRule>
  </conditionalFormatting>
  <conditionalFormatting sqref="F10:XFD10 A10">
    <cfRule type="cellIs" dxfId="77" priority="4" operator="equal">
      <formula>"n/a"</formula>
    </cfRule>
  </conditionalFormatting>
  <conditionalFormatting sqref="F14:XFD14 A14">
    <cfRule type="cellIs" dxfId="76" priority="3" operator="equal">
      <formula>"n/a"</formula>
    </cfRule>
  </conditionalFormatting>
  <conditionalFormatting sqref="D8">
    <cfRule type="cellIs" dxfId="75" priority="2" operator="equal">
      <formula>"-"</formula>
    </cfRule>
  </conditionalFormatting>
  <conditionalFormatting sqref="D8">
    <cfRule type="cellIs" dxfId="7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Values'!$A$5:$A$31</xm:f>
          </x14:formula1>
          <xm:sqref>E7:E1048576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97</v>
      </c>
      <c r="C1" s="25"/>
      <c r="D1" s="22" t="s">
        <v>99</v>
      </c>
      <c r="F1" s="41"/>
      <c r="H1" s="27"/>
    </row>
    <row r="2" spans="1:16" s="23" customFormat="1" ht="18.5" x14ac:dyDescent="0.35">
      <c r="A2" s="21" t="s">
        <v>8</v>
      </c>
      <c r="B2" s="28" t="s">
        <v>98</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6" si="0">CONCATENATE($B$2, ".", A7)</f>
        <v>Q-P2.1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Q-P2.2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Q-P2.3</v>
      </c>
      <c r="C9" s="37" t="s">
        <v>39</v>
      </c>
      <c r="D9" s="34" t="s">
        <v>101</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Q-P2.4</v>
      </c>
      <c r="C11" s="37" t="s">
        <v>42</v>
      </c>
      <c r="D11" s="34" t="s">
        <v>102</v>
      </c>
      <c r="E11" s="34" t="s">
        <v>87</v>
      </c>
      <c r="F11" s="33" t="s">
        <v>89</v>
      </c>
      <c r="G11" s="33" t="s">
        <v>55</v>
      </c>
      <c r="H11" s="37" t="s">
        <v>55</v>
      </c>
      <c r="I11" s="34" t="s">
        <v>54</v>
      </c>
      <c r="J11" s="33" t="s">
        <v>91</v>
      </c>
      <c r="K11" s="33" t="s">
        <v>73</v>
      </c>
      <c r="L11" s="33" t="s">
        <v>55</v>
      </c>
      <c r="M11" s="34" t="s">
        <v>55</v>
      </c>
      <c r="N11" s="33" t="s">
        <v>55</v>
      </c>
      <c r="O11" s="42" t="s">
        <v>96</v>
      </c>
      <c r="P11" s="33" t="s">
        <v>84</v>
      </c>
    </row>
    <row r="12" spans="1:16" ht="38.25" customHeight="1" x14ac:dyDescent="0.35">
      <c r="A12" s="33">
        <v>5</v>
      </c>
      <c r="B12" s="33" t="str">
        <f t="shared" si="0"/>
        <v>Q-P2.5</v>
      </c>
      <c r="C12" s="37" t="s">
        <v>42</v>
      </c>
      <c r="D12" s="34" t="s">
        <v>103</v>
      </c>
      <c r="E12" s="34" t="s">
        <v>87</v>
      </c>
      <c r="F12" s="33" t="s">
        <v>89</v>
      </c>
      <c r="G12" s="33" t="s">
        <v>55</v>
      </c>
      <c r="H12" s="37" t="s">
        <v>55</v>
      </c>
      <c r="I12" s="34" t="s">
        <v>54</v>
      </c>
      <c r="J12" s="33" t="s">
        <v>91</v>
      </c>
      <c r="K12" s="33" t="s">
        <v>73</v>
      </c>
      <c r="L12" s="33" t="s">
        <v>55</v>
      </c>
      <c r="M12" s="34" t="s">
        <v>55</v>
      </c>
      <c r="N12" s="33" t="s">
        <v>55</v>
      </c>
      <c r="O12" s="42" t="s">
        <v>96</v>
      </c>
      <c r="P12" s="33" t="s">
        <v>84</v>
      </c>
    </row>
    <row r="13" spans="1:16" s="32" customFormat="1" x14ac:dyDescent="0.35">
      <c r="A13" s="50"/>
      <c r="B13" s="50"/>
      <c r="C13" s="50"/>
      <c r="D13" s="50"/>
      <c r="E13" s="50"/>
    </row>
    <row r="14" spans="1:16" ht="29" x14ac:dyDescent="0.35">
      <c r="A14" s="33">
        <v>6</v>
      </c>
      <c r="B14" s="33" t="str">
        <f t="shared" si="0"/>
        <v>Q-P2.6</v>
      </c>
      <c r="C14" s="37" t="s">
        <v>39</v>
      </c>
      <c r="D14" s="34" t="s">
        <v>56</v>
      </c>
      <c r="E14" s="34" t="s">
        <v>40</v>
      </c>
      <c r="F14" s="33" t="s">
        <v>55</v>
      </c>
      <c r="G14" s="33" t="s">
        <v>55</v>
      </c>
      <c r="H14" s="37" t="s">
        <v>55</v>
      </c>
      <c r="I14" s="34" t="s">
        <v>54</v>
      </c>
      <c r="J14" s="33" t="s">
        <v>55</v>
      </c>
      <c r="K14" s="33" t="s">
        <v>55</v>
      </c>
      <c r="L14" s="33" t="s">
        <v>55</v>
      </c>
      <c r="M14" s="33" t="s">
        <v>55</v>
      </c>
      <c r="N14" s="33" t="s">
        <v>55</v>
      </c>
      <c r="O14" s="31" t="s">
        <v>104</v>
      </c>
    </row>
    <row r="15" spans="1:16" ht="29" x14ac:dyDescent="0.35">
      <c r="A15" s="33">
        <v>7</v>
      </c>
      <c r="B15" s="33" t="str">
        <f t="shared" si="0"/>
        <v>Q-P2.7</v>
      </c>
      <c r="C15" s="37" t="s">
        <v>39</v>
      </c>
      <c r="D15" s="33" t="s">
        <v>57</v>
      </c>
      <c r="E15" s="34" t="s">
        <v>40</v>
      </c>
      <c r="F15" s="33" t="s">
        <v>55</v>
      </c>
      <c r="G15" s="33" t="s">
        <v>55</v>
      </c>
      <c r="H15" s="37" t="s">
        <v>55</v>
      </c>
      <c r="I15" s="34" t="s">
        <v>54</v>
      </c>
      <c r="J15" s="33" t="s">
        <v>55</v>
      </c>
      <c r="K15" s="33" t="s">
        <v>55</v>
      </c>
      <c r="L15" s="33" t="s">
        <v>55</v>
      </c>
      <c r="M15" s="33" t="s">
        <v>55</v>
      </c>
      <c r="N15" s="33" t="s">
        <v>55</v>
      </c>
      <c r="O15" s="33" t="s">
        <v>106</v>
      </c>
    </row>
    <row r="16" spans="1:16" ht="29" x14ac:dyDescent="0.35">
      <c r="A16" s="33">
        <v>8</v>
      </c>
      <c r="B16" s="33" t="str">
        <f t="shared" si="0"/>
        <v>Q-P2.8</v>
      </c>
      <c r="C16" s="37" t="s">
        <v>39</v>
      </c>
      <c r="D16" s="33" t="s">
        <v>77</v>
      </c>
      <c r="E16" s="34" t="s">
        <v>40</v>
      </c>
      <c r="F16" s="33" t="s">
        <v>55</v>
      </c>
      <c r="G16" s="33" t="s">
        <v>55</v>
      </c>
      <c r="H16" s="37" t="s">
        <v>55</v>
      </c>
      <c r="I16" s="34" t="s">
        <v>54</v>
      </c>
      <c r="J16" s="33" t="s">
        <v>55</v>
      </c>
      <c r="K16" s="33" t="s">
        <v>55</v>
      </c>
      <c r="L16" s="33" t="s">
        <v>55</v>
      </c>
      <c r="M16" s="33" t="s">
        <v>55</v>
      </c>
      <c r="N16" s="33" t="s">
        <v>55</v>
      </c>
      <c r="O16" s="33" t="s">
        <v>79</v>
      </c>
    </row>
  </sheetData>
  <autoFilter ref="A6:P6"/>
  <mergeCells count="2">
    <mergeCell ref="A10:E10"/>
    <mergeCell ref="A13:E13"/>
  </mergeCells>
  <conditionalFormatting sqref="C7:C9 C14:C1048576 C11:C12">
    <cfRule type="cellIs" dxfId="73" priority="8" operator="equal">
      <formula>"WIP (see comments)"</formula>
    </cfRule>
    <cfRule type="cellIs" dxfId="72" priority="9" operator="equal">
      <formula>"Removed"</formula>
    </cfRule>
    <cfRule type="cellIs" dxfId="71" priority="10" operator="equal">
      <formula>"Updated"</formula>
    </cfRule>
    <cfRule type="cellIs" dxfId="70" priority="11" operator="equal">
      <formula>"New"</formula>
    </cfRule>
  </conditionalFormatting>
  <conditionalFormatting sqref="D7:D9 D11:D12">
    <cfRule type="cellIs" dxfId="69" priority="7" operator="equal">
      <formula>"-"</formula>
    </cfRule>
  </conditionalFormatting>
  <conditionalFormatting sqref="P14:XFD14 A7:XFD9 A14:N14 N11:XFD12 B15:C16 E15:N16 A11:L12">
    <cfRule type="cellIs" dxfId="68" priority="6" operator="equal">
      <formula>"n/a"</formula>
    </cfRule>
  </conditionalFormatting>
  <conditionalFormatting sqref="O14">
    <cfRule type="cellIs" dxfId="67" priority="5" operator="equal">
      <formula>"n/a"</formula>
    </cfRule>
  </conditionalFormatting>
  <conditionalFormatting sqref="M11:M12">
    <cfRule type="cellIs" dxfId="66" priority="4" operator="equal">
      <formula>"n/a"</formula>
    </cfRule>
  </conditionalFormatting>
  <conditionalFormatting sqref="F10:XFD10">
    <cfRule type="cellIs" dxfId="65" priority="3" operator="equal">
      <formula>"n/a"</formula>
    </cfRule>
  </conditionalFormatting>
  <conditionalFormatting sqref="F13:XFD13 A13">
    <cfRule type="cellIs" dxfId="64" priority="2" operator="equal">
      <formula>"n/a"</formula>
    </cfRule>
  </conditionalFormatting>
  <conditionalFormatting sqref="A10">
    <cfRule type="cellIs" dxfId="6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C14:C1048576 C11:C12</xm:sqref>
        </x14:dataValidation>
        <x14:dataValidation type="list" allowBlank="1" showInputMessage="1" showErrorMessage="1">
          <x14:formula1>
            <xm:f>'List Values'!$A$5:$A$31</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107</v>
      </c>
      <c r="C1" s="25"/>
      <c r="D1" s="22" t="s">
        <v>99</v>
      </c>
      <c r="F1" s="41"/>
      <c r="H1" s="27"/>
    </row>
    <row r="2" spans="1:16" s="23" customFormat="1" ht="18.5" x14ac:dyDescent="0.35">
      <c r="A2" s="21" t="s">
        <v>8</v>
      </c>
      <c r="B2" s="28" t="s">
        <v>108</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Q-P3.1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Q-P3.2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x14ac:dyDescent="0.35">
      <c r="A9" s="33">
        <v>3</v>
      </c>
      <c r="B9" s="33" t="str">
        <f t="shared" si="0"/>
        <v>Q-P3.3</v>
      </c>
      <c r="C9" s="37" t="s">
        <v>39</v>
      </c>
      <c r="D9" s="34" t="s">
        <v>109</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Q-P3.4</v>
      </c>
      <c r="C11" s="37" t="s">
        <v>42</v>
      </c>
      <c r="D11" s="34" t="s">
        <v>110</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CONCATENATE($B$2, ".", A12)</f>
        <v>Q-P3.5</v>
      </c>
      <c r="C12" s="37" t="s">
        <v>42</v>
      </c>
      <c r="D12" s="34" t="s">
        <v>111</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Q-P3.6</v>
      </c>
      <c r="C13" s="37" t="s">
        <v>42</v>
      </c>
      <c r="D13" s="34" t="s">
        <v>112</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81.75" customHeight="1" x14ac:dyDescent="0.35">
      <c r="A15" s="33">
        <v>6</v>
      </c>
      <c r="B15" s="33" t="str">
        <f t="shared" si="0"/>
        <v>Q-P3.6</v>
      </c>
      <c r="C15" s="37" t="s">
        <v>39</v>
      </c>
      <c r="D15" s="34" t="s">
        <v>56</v>
      </c>
      <c r="E15" s="34" t="s">
        <v>40</v>
      </c>
      <c r="F15" s="33" t="s">
        <v>55</v>
      </c>
      <c r="G15" s="33" t="s">
        <v>55</v>
      </c>
      <c r="H15" s="37" t="s">
        <v>55</v>
      </c>
      <c r="I15" s="34" t="s">
        <v>54</v>
      </c>
      <c r="J15" s="33" t="s">
        <v>55</v>
      </c>
      <c r="K15" s="33" t="s">
        <v>55</v>
      </c>
      <c r="L15" s="33" t="s">
        <v>55</v>
      </c>
      <c r="M15" s="33" t="s">
        <v>55</v>
      </c>
      <c r="N15" s="33" t="s">
        <v>55</v>
      </c>
      <c r="O15" s="31" t="s">
        <v>145</v>
      </c>
    </row>
    <row r="16" spans="1:16" ht="29" x14ac:dyDescent="0.35">
      <c r="A16" s="33">
        <v>7</v>
      </c>
      <c r="B16" s="33" t="str">
        <f t="shared" si="0"/>
        <v>Q-P3.7</v>
      </c>
      <c r="C16" s="37" t="s">
        <v>39</v>
      </c>
      <c r="D16" s="33" t="s">
        <v>57</v>
      </c>
      <c r="E16" s="34" t="s">
        <v>40</v>
      </c>
      <c r="F16" s="33" t="s">
        <v>55</v>
      </c>
      <c r="G16" s="33" t="s">
        <v>55</v>
      </c>
      <c r="H16" s="37" t="s">
        <v>55</v>
      </c>
      <c r="I16" s="34" t="s">
        <v>54</v>
      </c>
      <c r="J16" s="33" t="s">
        <v>55</v>
      </c>
      <c r="K16" s="33" t="s">
        <v>55</v>
      </c>
      <c r="L16" s="33" t="s">
        <v>55</v>
      </c>
      <c r="M16" s="33" t="s">
        <v>55</v>
      </c>
      <c r="N16" s="33" t="s">
        <v>55</v>
      </c>
      <c r="O16" s="33" t="s">
        <v>105</v>
      </c>
    </row>
    <row r="17" spans="1:15" ht="83.25" customHeight="1" x14ac:dyDescent="0.35">
      <c r="A17" s="33">
        <v>8</v>
      </c>
      <c r="B17" s="33" t="str">
        <f t="shared" si="0"/>
        <v>Q-P3.8</v>
      </c>
      <c r="C17" s="37" t="s">
        <v>39</v>
      </c>
      <c r="D17" s="33" t="s">
        <v>77</v>
      </c>
      <c r="E17" s="34" t="s">
        <v>40</v>
      </c>
      <c r="F17" s="33" t="s">
        <v>55</v>
      </c>
      <c r="G17" s="33" t="s">
        <v>55</v>
      </c>
      <c r="H17" s="37" t="s">
        <v>55</v>
      </c>
      <c r="I17" s="34" t="s">
        <v>54</v>
      </c>
      <c r="J17" s="33" t="s">
        <v>55</v>
      </c>
      <c r="K17" s="33" t="s">
        <v>55</v>
      </c>
      <c r="L17" s="33" t="s">
        <v>55</v>
      </c>
      <c r="M17" s="33" t="s">
        <v>55</v>
      </c>
      <c r="N17" s="33" t="s">
        <v>55</v>
      </c>
      <c r="O17" s="33" t="s">
        <v>146</v>
      </c>
    </row>
  </sheetData>
  <autoFilter ref="A6:P6"/>
  <mergeCells count="2">
    <mergeCell ref="A10:E10"/>
    <mergeCell ref="A14:E14"/>
  </mergeCells>
  <conditionalFormatting sqref="C7:C9 C15:C1048576 C11 C13">
    <cfRule type="cellIs" dxfId="62" priority="15" operator="equal">
      <formula>"WIP (see comments)"</formula>
    </cfRule>
    <cfRule type="cellIs" dxfId="61" priority="16" operator="equal">
      <formula>"Removed"</formula>
    </cfRule>
    <cfRule type="cellIs" dxfId="60" priority="17" operator="equal">
      <formula>"Updated"</formula>
    </cfRule>
    <cfRule type="cellIs" dxfId="59" priority="18" operator="equal">
      <formula>"New"</formula>
    </cfRule>
  </conditionalFormatting>
  <conditionalFormatting sqref="D7:D9 D11 D13">
    <cfRule type="cellIs" dxfId="58" priority="14" operator="equal">
      <formula>"-"</formula>
    </cfRule>
  </conditionalFormatting>
  <conditionalFormatting sqref="P15:XFD15 A7:XFD9 A11:L11 A15:N15 N11:XFD11 B16:C17 E16:N17 A13:J13 N13:XFD13 K12:L13">
    <cfRule type="cellIs" dxfId="57" priority="13" operator="equal">
      <formula>"n/a"</formula>
    </cfRule>
  </conditionalFormatting>
  <conditionalFormatting sqref="O15">
    <cfRule type="cellIs" dxfId="56" priority="12" operator="equal">
      <formula>"n/a"</formula>
    </cfRule>
  </conditionalFormatting>
  <conditionalFormatting sqref="M11 M13">
    <cfRule type="cellIs" dxfId="55" priority="11" operator="equal">
      <formula>"n/a"</formula>
    </cfRule>
  </conditionalFormatting>
  <conditionalFormatting sqref="F10:XFD10">
    <cfRule type="cellIs" dxfId="54" priority="10" operator="equal">
      <formula>"n/a"</formula>
    </cfRule>
  </conditionalFormatting>
  <conditionalFormatting sqref="F14:XFD14 A14">
    <cfRule type="cellIs" dxfId="53" priority="9" operator="equal">
      <formula>"n/a"</formula>
    </cfRule>
  </conditionalFormatting>
  <conditionalFormatting sqref="C12">
    <cfRule type="cellIs" dxfId="52" priority="5" operator="equal">
      <formula>"WIP (see comments)"</formula>
    </cfRule>
    <cfRule type="cellIs" dxfId="51" priority="6" operator="equal">
      <formula>"Removed"</formula>
    </cfRule>
    <cfRule type="cellIs" dxfId="50" priority="7" operator="equal">
      <formula>"Updated"</formula>
    </cfRule>
    <cfRule type="cellIs" dxfId="49" priority="8" operator="equal">
      <formula>"New"</formula>
    </cfRule>
  </conditionalFormatting>
  <conditionalFormatting sqref="D12">
    <cfRule type="cellIs" dxfId="48" priority="4" operator="equal">
      <formula>"-"</formula>
    </cfRule>
  </conditionalFormatting>
  <conditionalFormatting sqref="A12:J12 N12:XFD12">
    <cfRule type="cellIs" dxfId="47" priority="3" operator="equal">
      <formula>"n/a"</formula>
    </cfRule>
  </conditionalFormatting>
  <conditionalFormatting sqref="M12">
    <cfRule type="cellIs" dxfId="46" priority="2" operator="equal">
      <formula>"n/a"</formula>
    </cfRule>
  </conditionalFormatting>
  <conditionalFormatting sqref="A10">
    <cfRule type="cellIs" dxfId="4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C7:C9 C15:C1048576 C11:C13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6"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140</v>
      </c>
      <c r="B1" s="29" t="s">
        <v>137</v>
      </c>
      <c r="C1" s="25"/>
      <c r="D1" s="22" t="s">
        <v>139</v>
      </c>
      <c r="F1" s="41"/>
      <c r="H1" s="27"/>
    </row>
    <row r="2" spans="1:16" s="23" customFormat="1" ht="18.5" x14ac:dyDescent="0.35">
      <c r="A2" s="21" t="s">
        <v>8</v>
      </c>
      <c r="B2" s="28" t="s">
        <v>138</v>
      </c>
      <c r="C2" s="27"/>
      <c r="D2" s="28"/>
      <c r="F2" s="41"/>
      <c r="H2" s="27"/>
    </row>
    <row r="3" spans="1:16" s="23" customFormat="1" ht="18.5" x14ac:dyDescent="0.35">
      <c r="A3" s="21" t="s">
        <v>41</v>
      </c>
      <c r="B3" s="28"/>
      <c r="C3" s="27"/>
      <c r="D3" s="28"/>
      <c r="F3" s="41"/>
      <c r="H3" s="27"/>
    </row>
    <row r="4" spans="1:16" s="23" customFormat="1" ht="18.5" x14ac:dyDescent="0.35">
      <c r="A4" s="21" t="s">
        <v>9</v>
      </c>
      <c r="B4" s="23" t="s">
        <v>142</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ht="101.5" x14ac:dyDescent="0.35">
      <c r="A7" s="33">
        <v>1</v>
      </c>
      <c r="B7" s="33" t="str">
        <f>CONCATENATE($B$2, ".", A7)</f>
        <v>P3a.1</v>
      </c>
      <c r="C7" s="37" t="s">
        <v>42</v>
      </c>
      <c r="D7" s="42" t="s">
        <v>143</v>
      </c>
      <c r="E7" s="34" t="s">
        <v>32</v>
      </c>
      <c r="F7" s="33" t="s">
        <v>55</v>
      </c>
      <c r="G7" s="33" t="s">
        <v>55</v>
      </c>
      <c r="H7" s="37" t="s">
        <v>55</v>
      </c>
      <c r="I7" s="34" t="s">
        <v>54</v>
      </c>
      <c r="J7" s="33" t="s">
        <v>55</v>
      </c>
      <c r="K7" s="33" t="s">
        <v>55</v>
      </c>
      <c r="L7" s="33" t="s">
        <v>55</v>
      </c>
      <c r="M7" s="33" t="s">
        <v>55</v>
      </c>
      <c r="N7" s="33" t="s">
        <v>55</v>
      </c>
    </row>
    <row r="8" spans="1:16" ht="43.5" x14ac:dyDescent="0.35">
      <c r="A8" s="33">
        <v>2</v>
      </c>
      <c r="B8" s="33" t="str">
        <f>CONCATENATE($B$2, ".", A8)</f>
        <v>P3a.2</v>
      </c>
      <c r="C8" s="37" t="s">
        <v>39</v>
      </c>
      <c r="D8" s="34" t="s">
        <v>141</v>
      </c>
      <c r="E8" s="34" t="s">
        <v>40</v>
      </c>
      <c r="F8" s="33" t="s">
        <v>55</v>
      </c>
      <c r="G8" s="33" t="s">
        <v>55</v>
      </c>
      <c r="H8" s="37" t="s">
        <v>55</v>
      </c>
      <c r="I8" s="34" t="s">
        <v>54</v>
      </c>
      <c r="J8" s="33" t="s">
        <v>55</v>
      </c>
      <c r="K8" s="33" t="s">
        <v>55</v>
      </c>
      <c r="L8" s="33" t="s">
        <v>55</v>
      </c>
      <c r="M8" s="33" t="s">
        <v>55</v>
      </c>
      <c r="N8" s="33" t="s">
        <v>55</v>
      </c>
      <c r="O8" s="31" t="s">
        <v>144</v>
      </c>
    </row>
  </sheetData>
  <autoFilter ref="A6:P6"/>
  <conditionalFormatting sqref="C7:C1048576">
    <cfRule type="cellIs" dxfId="44" priority="15" operator="equal">
      <formula>"WIP (see comments)"</formula>
    </cfRule>
    <cfRule type="cellIs" dxfId="43" priority="16" operator="equal">
      <formula>"Removed"</formula>
    </cfRule>
    <cfRule type="cellIs" dxfId="42" priority="17" operator="equal">
      <formula>"Updated"</formula>
    </cfRule>
    <cfRule type="cellIs" dxfId="41" priority="18" operator="equal">
      <formula>"New"</formula>
    </cfRule>
  </conditionalFormatting>
  <conditionalFormatting sqref="D7">
    <cfRule type="cellIs" dxfId="40" priority="14" operator="equal">
      <formula>"-"</formula>
    </cfRule>
  </conditionalFormatting>
  <conditionalFormatting sqref="P8:XFD8 A7:XFD7 A8:N8">
    <cfRule type="cellIs" dxfId="39" priority="13" operator="equal">
      <formula>"n/a"</formula>
    </cfRule>
  </conditionalFormatting>
  <conditionalFormatting sqref="O8">
    <cfRule type="cellIs" dxfId="38" priority="1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 C8:C1048576</xm:sqref>
        </x14:dataValidation>
        <x14:dataValidation type="list" allowBlank="1" showInputMessage="1" showErrorMessage="1">
          <x14:formula1>
            <xm:f>'List Values'!$A$5:$A$31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113</v>
      </c>
      <c r="C1" s="25"/>
      <c r="D1" s="22" t="s">
        <v>99</v>
      </c>
      <c r="F1" s="41"/>
      <c r="H1" s="27"/>
    </row>
    <row r="2" spans="1:16" s="23" customFormat="1" ht="18.5" x14ac:dyDescent="0.35">
      <c r="A2" s="21" t="s">
        <v>8</v>
      </c>
      <c r="B2" s="28" t="s">
        <v>114</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Q-P4.1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Q-P4.2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Q-P4.3</v>
      </c>
      <c r="C9" s="37" t="s">
        <v>39</v>
      </c>
      <c r="D9" s="34" t="s">
        <v>172</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Q-P4.4</v>
      </c>
      <c r="C11" s="37" t="s">
        <v>42</v>
      </c>
      <c r="D11" s="34" t="s">
        <v>115</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Q-P4.5</v>
      </c>
      <c r="C12" s="37" t="s">
        <v>42</v>
      </c>
      <c r="D12" s="34" t="s">
        <v>117</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Q-P4.6</v>
      </c>
      <c r="C13" s="37" t="s">
        <v>42</v>
      </c>
      <c r="D13" s="34" t="s">
        <v>116</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Q-P4.6</v>
      </c>
      <c r="C15" s="37" t="s">
        <v>39</v>
      </c>
      <c r="D15" s="34" t="s">
        <v>56</v>
      </c>
      <c r="E15" s="34" t="s">
        <v>40</v>
      </c>
      <c r="F15" s="33" t="s">
        <v>55</v>
      </c>
      <c r="G15" s="33" t="s">
        <v>55</v>
      </c>
      <c r="H15" s="37" t="s">
        <v>55</v>
      </c>
      <c r="I15" s="34" t="s">
        <v>54</v>
      </c>
      <c r="J15" s="33" t="s">
        <v>55</v>
      </c>
      <c r="K15" s="33" t="s">
        <v>55</v>
      </c>
      <c r="L15" s="33" t="s">
        <v>55</v>
      </c>
      <c r="M15" s="33" t="s">
        <v>55</v>
      </c>
      <c r="N15" s="33" t="s">
        <v>55</v>
      </c>
      <c r="O15" s="31" t="s">
        <v>118</v>
      </c>
    </row>
    <row r="16" spans="1:16" ht="29" x14ac:dyDescent="0.35">
      <c r="A16" s="33">
        <v>7</v>
      </c>
      <c r="B16" s="33" t="str">
        <f t="shared" si="0"/>
        <v>Q-P4.7</v>
      </c>
      <c r="C16" s="37" t="s">
        <v>39</v>
      </c>
      <c r="D16" s="33" t="s">
        <v>57</v>
      </c>
      <c r="E16" s="34" t="s">
        <v>40</v>
      </c>
      <c r="F16" s="33" t="s">
        <v>55</v>
      </c>
      <c r="G16" s="33" t="s">
        <v>55</v>
      </c>
      <c r="H16" s="37" t="s">
        <v>55</v>
      </c>
      <c r="I16" s="34" t="s">
        <v>54</v>
      </c>
      <c r="J16" s="33" t="s">
        <v>55</v>
      </c>
      <c r="K16" s="33" t="s">
        <v>55</v>
      </c>
      <c r="L16" s="33" t="s">
        <v>55</v>
      </c>
      <c r="M16" s="33" t="s">
        <v>55</v>
      </c>
      <c r="N16" s="33" t="s">
        <v>55</v>
      </c>
      <c r="O16" s="33" t="s">
        <v>119</v>
      </c>
    </row>
    <row r="17" spans="1:15" ht="29" x14ac:dyDescent="0.35">
      <c r="A17" s="33">
        <v>8</v>
      </c>
      <c r="B17" s="33" t="str">
        <f t="shared" si="0"/>
        <v>Q-P4.8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37" priority="15" operator="equal">
      <formula>"WIP (see comments)"</formula>
    </cfRule>
    <cfRule type="cellIs" dxfId="36" priority="16" operator="equal">
      <formula>"Removed"</formula>
    </cfRule>
    <cfRule type="cellIs" dxfId="35" priority="17" operator="equal">
      <formula>"Updated"</formula>
    </cfRule>
    <cfRule type="cellIs" dxfId="34" priority="18" operator="equal">
      <formula>"New"</formula>
    </cfRule>
  </conditionalFormatting>
  <conditionalFormatting sqref="D7:D9 D11 D13">
    <cfRule type="cellIs" dxfId="33" priority="14" operator="equal">
      <formula>"-"</formula>
    </cfRule>
  </conditionalFormatting>
  <conditionalFormatting sqref="P15:XFD15 A7:XFD9 A11:L11 A15:N15 N11:XFD11 B16:C17 E16:N17 A13:J13 N13:XFD13 K12:L13">
    <cfRule type="cellIs" dxfId="32" priority="13" operator="equal">
      <formula>"n/a"</formula>
    </cfRule>
  </conditionalFormatting>
  <conditionalFormatting sqref="O15">
    <cfRule type="cellIs" dxfId="31" priority="12" operator="equal">
      <formula>"n/a"</formula>
    </cfRule>
  </conditionalFormatting>
  <conditionalFormatting sqref="M11 M13">
    <cfRule type="cellIs" dxfId="30" priority="11" operator="equal">
      <formula>"n/a"</formula>
    </cfRule>
  </conditionalFormatting>
  <conditionalFormatting sqref="F10:XFD10">
    <cfRule type="cellIs" dxfId="29" priority="10" operator="equal">
      <formula>"n/a"</formula>
    </cfRule>
  </conditionalFormatting>
  <conditionalFormatting sqref="F14:XFD14 A14">
    <cfRule type="cellIs" dxfId="28" priority="9" operator="equal">
      <formula>"n/a"</formula>
    </cfRule>
  </conditionalFormatting>
  <conditionalFormatting sqref="C12">
    <cfRule type="cellIs" dxfId="27" priority="5" operator="equal">
      <formula>"WIP (see comments)"</formula>
    </cfRule>
    <cfRule type="cellIs" dxfId="26" priority="6" operator="equal">
      <formula>"Removed"</formula>
    </cfRule>
    <cfRule type="cellIs" dxfId="25" priority="7" operator="equal">
      <formula>"Updated"</formula>
    </cfRule>
    <cfRule type="cellIs" dxfId="24" priority="8" operator="equal">
      <formula>"New"</formula>
    </cfRule>
  </conditionalFormatting>
  <conditionalFormatting sqref="D12">
    <cfRule type="cellIs" dxfId="23" priority="4" operator="equal">
      <formula>"-"</formula>
    </cfRule>
  </conditionalFormatting>
  <conditionalFormatting sqref="A12:J12 N12:XFD12">
    <cfRule type="cellIs" dxfId="22" priority="3" operator="equal">
      <formula>"n/a"</formula>
    </cfRule>
  </conditionalFormatting>
  <conditionalFormatting sqref="M12">
    <cfRule type="cellIs" dxfId="21" priority="2" operator="equal">
      <formula>"n/a"</formula>
    </cfRule>
  </conditionalFormatting>
  <conditionalFormatting sqref="A10">
    <cfRule type="cellIs" dxfId="2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Values'!$B$5:$B$9</xm:f>
          </x14:formula1>
          <xm:sqref>C7:C9 C15:C1048576 C11:C13</xm:sqref>
        </x14:dataValidation>
        <x14:dataValidation type="list" allowBlank="1" showInputMessage="1" showErrorMessage="1">
          <x14:formula1>
            <xm:f>'List Values'!$A$5:$A$31</xm:f>
          </x14:formula1>
          <xm:sqref>E7:E1048576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
  <sheetViews>
    <sheetView workbookViewId="0">
      <pane ySplit="6" topLeftCell="A7" activePane="bottomLeft" state="frozen"/>
      <selection pane="bottomLeft" activeCell="A5" sqref="A5"/>
    </sheetView>
  </sheetViews>
  <sheetFormatPr defaultColWidth="9.1796875" defaultRowHeight="14.5" x14ac:dyDescent="0.35"/>
  <cols>
    <col min="1" max="1" width="14.7265625" style="33" customWidth="1"/>
    <col min="2" max="2" width="12.54296875" style="33" customWidth="1"/>
    <col min="3" max="3" width="13.54296875" style="37" customWidth="1"/>
    <col min="4" max="4" width="45.1796875" style="33" customWidth="1"/>
    <col min="5" max="5" width="28.7265625" style="33" customWidth="1"/>
    <col min="6" max="6" width="19.453125" style="33" customWidth="1"/>
    <col min="7" max="7" width="29.26953125" style="33" customWidth="1"/>
    <col min="8" max="8" width="11.54296875" style="37" bestFit="1" customWidth="1"/>
    <col min="9" max="9" width="34.81640625" style="33" customWidth="1"/>
    <col min="10" max="10" width="28.1796875" style="33" customWidth="1"/>
    <col min="11" max="11" width="19" style="33" customWidth="1"/>
    <col min="12" max="12" width="23" style="33" customWidth="1"/>
    <col min="13" max="13" width="29" style="33" customWidth="1"/>
    <col min="14" max="14" width="18.7265625" style="33" bestFit="1" customWidth="1"/>
    <col min="15" max="15" width="48.453125" style="33" customWidth="1"/>
    <col min="16" max="16" width="41.81640625" style="33" customWidth="1"/>
    <col min="17" max="16384" width="9.1796875" style="33"/>
  </cols>
  <sheetData>
    <row r="1" spans="1:16" s="23" customFormat="1" ht="18.5" x14ac:dyDescent="0.35">
      <c r="A1" s="21" t="s">
        <v>7</v>
      </c>
      <c r="B1" s="29" t="s">
        <v>120</v>
      </c>
      <c r="C1" s="25"/>
      <c r="D1" s="22" t="s">
        <v>99</v>
      </c>
      <c r="F1" s="41"/>
      <c r="H1" s="27"/>
    </row>
    <row r="2" spans="1:16" s="23" customFormat="1" ht="18.5" x14ac:dyDescent="0.35">
      <c r="A2" s="21" t="s">
        <v>8</v>
      </c>
      <c r="B2" s="28" t="s">
        <v>121</v>
      </c>
      <c r="C2" s="27"/>
      <c r="D2" s="28"/>
      <c r="F2" s="41"/>
      <c r="H2" s="27"/>
    </row>
    <row r="3" spans="1:16" s="23" customFormat="1" ht="18.5" x14ac:dyDescent="0.35">
      <c r="A3" s="21" t="s">
        <v>41</v>
      </c>
      <c r="B3" s="28"/>
      <c r="C3" s="27"/>
      <c r="D3" s="28"/>
      <c r="F3" s="41"/>
      <c r="H3" s="27"/>
    </row>
    <row r="4" spans="1:16" s="23" customFormat="1" ht="18.5" x14ac:dyDescent="0.35">
      <c r="A4" s="21" t="s">
        <v>9</v>
      </c>
      <c r="B4" s="23" t="s">
        <v>81</v>
      </c>
      <c r="C4" s="27"/>
      <c r="F4" s="41"/>
      <c r="H4" s="27"/>
    </row>
    <row r="5" spans="1:16" s="35" customFormat="1" x14ac:dyDescent="0.35">
      <c r="C5" s="36"/>
      <c r="F5" s="33"/>
      <c r="H5" s="36"/>
    </row>
    <row r="6" spans="1:16" s="24" customFormat="1" ht="15" thickBot="1" x14ac:dyDescent="0.4">
      <c r="A6" s="24" t="s">
        <v>10</v>
      </c>
      <c r="B6" s="24" t="s">
        <v>11</v>
      </c>
      <c r="C6" s="26" t="s">
        <v>25</v>
      </c>
      <c r="D6" s="24" t="s">
        <v>24</v>
      </c>
      <c r="E6" s="24" t="s">
        <v>12</v>
      </c>
      <c r="F6" s="24" t="s">
        <v>13</v>
      </c>
      <c r="G6" s="24" t="s">
        <v>14</v>
      </c>
      <c r="H6" s="26" t="s">
        <v>15</v>
      </c>
      <c r="I6" s="24" t="s">
        <v>16</v>
      </c>
      <c r="J6" s="24" t="s">
        <v>17</v>
      </c>
      <c r="K6" s="24" t="s">
        <v>18</v>
      </c>
      <c r="L6" s="24" t="s">
        <v>19</v>
      </c>
      <c r="M6" s="24" t="s">
        <v>20</v>
      </c>
      <c r="N6" s="24" t="s">
        <v>21</v>
      </c>
      <c r="O6" s="24" t="s">
        <v>22</v>
      </c>
      <c r="P6" s="24" t="s">
        <v>23</v>
      </c>
    </row>
    <row r="7" spans="1:16" x14ac:dyDescent="0.35">
      <c r="A7" s="33">
        <v>1</v>
      </c>
      <c r="B7" s="33" t="str">
        <f t="shared" ref="B7:B17" si="0">CONCATENATE($B$2, ".", A7)</f>
        <v>Q-P5.1</v>
      </c>
      <c r="C7" s="37" t="s">
        <v>39</v>
      </c>
      <c r="D7" s="33" t="s">
        <v>83</v>
      </c>
      <c r="E7" s="34" t="s">
        <v>49</v>
      </c>
      <c r="F7" s="33" t="s">
        <v>55</v>
      </c>
      <c r="G7" s="33" t="s">
        <v>55</v>
      </c>
      <c r="H7" s="37" t="s">
        <v>55</v>
      </c>
      <c r="I7" s="34" t="s">
        <v>54</v>
      </c>
      <c r="J7" s="33" t="s">
        <v>55</v>
      </c>
      <c r="K7" s="33" t="s">
        <v>55</v>
      </c>
      <c r="L7" s="33" t="s">
        <v>55</v>
      </c>
      <c r="M7" s="33" t="s">
        <v>55</v>
      </c>
      <c r="N7" s="33" t="s">
        <v>55</v>
      </c>
    </row>
    <row r="8" spans="1:16" ht="29" x14ac:dyDescent="0.35">
      <c r="A8" s="33">
        <v>2</v>
      </c>
      <c r="B8" s="33" t="str">
        <f t="shared" si="0"/>
        <v>Q-P5.2</v>
      </c>
      <c r="C8" s="37" t="s">
        <v>42</v>
      </c>
      <c r="D8" s="34" t="s">
        <v>100</v>
      </c>
      <c r="E8" s="34" t="s">
        <v>48</v>
      </c>
      <c r="F8" s="33" t="s">
        <v>55</v>
      </c>
      <c r="G8" s="33" t="s">
        <v>55</v>
      </c>
      <c r="H8" s="37" t="s">
        <v>55</v>
      </c>
      <c r="I8" s="34" t="s">
        <v>54</v>
      </c>
      <c r="J8" s="33" t="s">
        <v>55</v>
      </c>
      <c r="K8" s="33" t="s">
        <v>55</v>
      </c>
      <c r="L8" s="33" t="s">
        <v>55</v>
      </c>
      <c r="M8" s="33" t="s">
        <v>55</v>
      </c>
      <c r="N8" s="33" t="s">
        <v>55</v>
      </c>
      <c r="O8" s="42" t="s">
        <v>96</v>
      </c>
      <c r="P8" s="33" t="s">
        <v>84</v>
      </c>
    </row>
    <row r="9" spans="1:16" ht="29" x14ac:dyDescent="0.35">
      <c r="A9" s="33">
        <v>3</v>
      </c>
      <c r="B9" s="33" t="str">
        <f t="shared" si="0"/>
        <v>Q-P5.3</v>
      </c>
      <c r="C9" s="37" t="s">
        <v>39</v>
      </c>
      <c r="D9" s="34" t="s">
        <v>122</v>
      </c>
      <c r="E9" s="34" t="s">
        <v>27</v>
      </c>
      <c r="F9" s="33" t="s">
        <v>55</v>
      </c>
      <c r="G9" s="33" t="s">
        <v>55</v>
      </c>
      <c r="H9" s="37" t="s">
        <v>55</v>
      </c>
      <c r="I9" s="34" t="s">
        <v>54</v>
      </c>
      <c r="J9" s="33" t="s">
        <v>55</v>
      </c>
      <c r="K9" s="33" t="s">
        <v>55</v>
      </c>
      <c r="L9" s="33" t="s">
        <v>55</v>
      </c>
      <c r="M9" s="33" t="s">
        <v>55</v>
      </c>
      <c r="N9" s="33" t="s">
        <v>55</v>
      </c>
    </row>
    <row r="10" spans="1:16" s="32" customFormat="1" ht="15" customHeight="1" x14ac:dyDescent="0.35">
      <c r="A10" s="50" t="s">
        <v>128</v>
      </c>
      <c r="B10" s="50"/>
      <c r="C10" s="50"/>
      <c r="D10" s="50"/>
      <c r="E10" s="50"/>
    </row>
    <row r="11" spans="1:16" ht="29" x14ac:dyDescent="0.35">
      <c r="A11" s="33">
        <v>4</v>
      </c>
      <c r="B11" s="33" t="str">
        <f t="shared" si="0"/>
        <v>Q-P5.4</v>
      </c>
      <c r="C11" s="37" t="s">
        <v>42</v>
      </c>
      <c r="D11" s="34" t="s">
        <v>123</v>
      </c>
      <c r="E11" s="34" t="s">
        <v>87</v>
      </c>
      <c r="F11" s="33" t="s">
        <v>89</v>
      </c>
      <c r="G11" s="33" t="s">
        <v>55</v>
      </c>
      <c r="H11" s="37" t="s">
        <v>55</v>
      </c>
      <c r="I11" s="34" t="s">
        <v>54</v>
      </c>
      <c r="J11" s="33" t="s">
        <v>91</v>
      </c>
      <c r="K11" s="33" t="s">
        <v>73</v>
      </c>
      <c r="L11" s="33" t="s">
        <v>55</v>
      </c>
      <c r="M11" s="34" t="s">
        <v>55</v>
      </c>
      <c r="N11" s="33" t="s">
        <v>55</v>
      </c>
      <c r="O11" s="42" t="s">
        <v>96</v>
      </c>
      <c r="P11" s="33" t="s">
        <v>84</v>
      </c>
    </row>
    <row r="12" spans="1:16" ht="29" x14ac:dyDescent="0.35">
      <c r="A12" s="33">
        <v>5</v>
      </c>
      <c r="B12" s="33" t="str">
        <f t="shared" si="0"/>
        <v>Q-P5.5</v>
      </c>
      <c r="C12" s="37" t="s">
        <v>42</v>
      </c>
      <c r="D12" s="34" t="s">
        <v>124</v>
      </c>
      <c r="E12" s="34" t="s">
        <v>87</v>
      </c>
      <c r="F12" s="33" t="s">
        <v>89</v>
      </c>
      <c r="G12" s="33" t="s">
        <v>55</v>
      </c>
      <c r="H12" s="37" t="s">
        <v>55</v>
      </c>
      <c r="I12" s="34" t="s">
        <v>54</v>
      </c>
      <c r="J12" s="33" t="s">
        <v>91</v>
      </c>
      <c r="K12" s="33" t="s">
        <v>73</v>
      </c>
      <c r="L12" s="33" t="s">
        <v>55</v>
      </c>
      <c r="M12" s="34" t="s">
        <v>55</v>
      </c>
      <c r="N12" s="33" t="s">
        <v>55</v>
      </c>
      <c r="O12" s="42" t="s">
        <v>96</v>
      </c>
      <c r="P12" s="33" t="s">
        <v>84</v>
      </c>
    </row>
    <row r="13" spans="1:16" ht="29" x14ac:dyDescent="0.35">
      <c r="A13" s="33">
        <v>6</v>
      </c>
      <c r="B13" s="33" t="str">
        <f t="shared" si="0"/>
        <v>Q-P5.6</v>
      </c>
      <c r="C13" s="37" t="s">
        <v>42</v>
      </c>
      <c r="D13" s="34" t="s">
        <v>125</v>
      </c>
      <c r="E13" s="34" t="s">
        <v>87</v>
      </c>
      <c r="F13" s="33" t="s">
        <v>89</v>
      </c>
      <c r="G13" s="33" t="s">
        <v>55</v>
      </c>
      <c r="H13" s="37" t="s">
        <v>55</v>
      </c>
      <c r="I13" s="34" t="s">
        <v>54</v>
      </c>
      <c r="J13" s="33" t="s">
        <v>91</v>
      </c>
      <c r="K13" s="33" t="s">
        <v>73</v>
      </c>
      <c r="L13" s="33" t="s">
        <v>55</v>
      </c>
      <c r="M13" s="34" t="s">
        <v>55</v>
      </c>
      <c r="N13" s="33" t="s">
        <v>55</v>
      </c>
      <c r="O13" s="42" t="s">
        <v>96</v>
      </c>
      <c r="P13" s="33" t="s">
        <v>84</v>
      </c>
    </row>
    <row r="14" spans="1:16" s="32" customFormat="1" x14ac:dyDescent="0.35">
      <c r="A14" s="50"/>
      <c r="B14" s="50"/>
      <c r="C14" s="50"/>
      <c r="D14" s="50"/>
      <c r="E14" s="50"/>
    </row>
    <row r="15" spans="1:16" ht="29" x14ac:dyDescent="0.35">
      <c r="A15" s="33">
        <v>6</v>
      </c>
      <c r="B15" s="33" t="str">
        <f t="shared" si="0"/>
        <v>Q-P5.6</v>
      </c>
      <c r="C15" s="37" t="s">
        <v>39</v>
      </c>
      <c r="D15" s="34" t="s">
        <v>56</v>
      </c>
      <c r="E15" s="34" t="s">
        <v>40</v>
      </c>
      <c r="F15" s="33" t="s">
        <v>55</v>
      </c>
      <c r="G15" s="33" t="s">
        <v>55</v>
      </c>
      <c r="H15" s="37" t="s">
        <v>55</v>
      </c>
      <c r="I15" s="34" t="s">
        <v>54</v>
      </c>
      <c r="J15" s="33" t="s">
        <v>55</v>
      </c>
      <c r="K15" s="33" t="s">
        <v>55</v>
      </c>
      <c r="L15" s="33" t="s">
        <v>55</v>
      </c>
      <c r="M15" s="33" t="s">
        <v>55</v>
      </c>
      <c r="N15" s="33" t="s">
        <v>55</v>
      </c>
      <c r="O15" s="31" t="s">
        <v>126</v>
      </c>
    </row>
    <row r="16" spans="1:16" ht="29" x14ac:dyDescent="0.35">
      <c r="A16" s="33">
        <v>7</v>
      </c>
      <c r="B16" s="33" t="str">
        <f t="shared" si="0"/>
        <v>Q-P5.7</v>
      </c>
      <c r="C16" s="37" t="s">
        <v>39</v>
      </c>
      <c r="D16" s="33" t="s">
        <v>57</v>
      </c>
      <c r="E16" s="34" t="s">
        <v>40</v>
      </c>
      <c r="F16" s="33" t="s">
        <v>55</v>
      </c>
      <c r="G16" s="33" t="s">
        <v>55</v>
      </c>
      <c r="H16" s="37" t="s">
        <v>55</v>
      </c>
      <c r="I16" s="34" t="s">
        <v>54</v>
      </c>
      <c r="J16" s="33" t="s">
        <v>55</v>
      </c>
      <c r="K16" s="33" t="s">
        <v>55</v>
      </c>
      <c r="L16" s="33" t="s">
        <v>55</v>
      </c>
      <c r="M16" s="33" t="s">
        <v>55</v>
      </c>
      <c r="N16" s="33" t="s">
        <v>55</v>
      </c>
      <c r="O16" s="33" t="s">
        <v>127</v>
      </c>
    </row>
    <row r="17" spans="1:15" ht="29" x14ac:dyDescent="0.35">
      <c r="A17" s="33">
        <v>8</v>
      </c>
      <c r="B17" s="33" t="str">
        <f t="shared" si="0"/>
        <v>Q-P5.8</v>
      </c>
      <c r="C17" s="37" t="s">
        <v>39</v>
      </c>
      <c r="D17" s="33" t="s">
        <v>77</v>
      </c>
      <c r="E17" s="34" t="s">
        <v>40</v>
      </c>
      <c r="F17" s="33" t="s">
        <v>55</v>
      </c>
      <c r="G17" s="33" t="s">
        <v>55</v>
      </c>
      <c r="H17" s="37" t="s">
        <v>55</v>
      </c>
      <c r="I17" s="34" t="s">
        <v>54</v>
      </c>
      <c r="J17" s="33" t="s">
        <v>55</v>
      </c>
      <c r="K17" s="33" t="s">
        <v>55</v>
      </c>
      <c r="L17" s="33" t="s">
        <v>55</v>
      </c>
      <c r="M17" s="33" t="s">
        <v>55</v>
      </c>
      <c r="N17" s="33" t="s">
        <v>55</v>
      </c>
      <c r="O17" s="33" t="s">
        <v>79</v>
      </c>
    </row>
  </sheetData>
  <autoFilter ref="A6:P6"/>
  <mergeCells count="2">
    <mergeCell ref="A10:E10"/>
    <mergeCell ref="A14:E14"/>
  </mergeCells>
  <conditionalFormatting sqref="C7:C9 C15:C1048576 C11 C13">
    <cfRule type="cellIs" dxfId="19" priority="15" operator="equal">
      <formula>"WIP (see comments)"</formula>
    </cfRule>
    <cfRule type="cellIs" dxfId="18" priority="16" operator="equal">
      <formula>"Removed"</formula>
    </cfRule>
    <cfRule type="cellIs" dxfId="17" priority="17" operator="equal">
      <formula>"Updated"</formula>
    </cfRule>
    <cfRule type="cellIs" dxfId="16" priority="18" operator="equal">
      <formula>"New"</formula>
    </cfRule>
  </conditionalFormatting>
  <conditionalFormatting sqref="D7:D9 D11 D13">
    <cfRule type="cellIs" dxfId="15" priority="14" operator="equal">
      <formula>"-"</formula>
    </cfRule>
  </conditionalFormatting>
  <conditionalFormatting sqref="P15:XFD15 A7:XFD9 A11:L11 A15:N15 N11:XFD11 B16:C17 E16:N17 A13:J13 N13:XFD13 K12:L13">
    <cfRule type="cellIs" dxfId="14" priority="13" operator="equal">
      <formula>"n/a"</formula>
    </cfRule>
  </conditionalFormatting>
  <conditionalFormatting sqref="O15">
    <cfRule type="cellIs" dxfId="13" priority="12" operator="equal">
      <formula>"n/a"</formula>
    </cfRule>
  </conditionalFormatting>
  <conditionalFormatting sqref="M11 M13">
    <cfRule type="cellIs" dxfId="12" priority="11" operator="equal">
      <formula>"n/a"</formula>
    </cfRule>
  </conditionalFormatting>
  <conditionalFormatting sqref="F10:XFD10">
    <cfRule type="cellIs" dxfId="11" priority="10" operator="equal">
      <formula>"n/a"</formula>
    </cfRule>
  </conditionalFormatting>
  <conditionalFormatting sqref="F14:XFD14 A14">
    <cfRule type="cellIs" dxfId="10" priority="9" operator="equal">
      <formula>"n/a"</formula>
    </cfRule>
  </conditionalFormatting>
  <conditionalFormatting sqref="C12">
    <cfRule type="cellIs" dxfId="9" priority="5" operator="equal">
      <formula>"WIP (see comments)"</formula>
    </cfRule>
    <cfRule type="cellIs" dxfId="8" priority="6" operator="equal">
      <formula>"Removed"</formula>
    </cfRule>
    <cfRule type="cellIs" dxfId="7" priority="7" operator="equal">
      <formula>"Updated"</formula>
    </cfRule>
    <cfRule type="cellIs" dxfId="6" priority="8" operator="equal">
      <formula>"New"</formula>
    </cfRule>
  </conditionalFormatting>
  <conditionalFormatting sqref="D12">
    <cfRule type="cellIs" dxfId="5" priority="4" operator="equal">
      <formula>"-"</formula>
    </cfRule>
  </conditionalFormatting>
  <conditionalFormatting sqref="A12:J12 N12:XFD12">
    <cfRule type="cellIs" dxfId="4" priority="3" operator="equal">
      <formula>"n/a"</formula>
    </cfRule>
  </conditionalFormatting>
  <conditionalFormatting sqref="M12">
    <cfRule type="cellIs" dxfId="3" priority="2" operator="equal">
      <formula>"n/a"</formula>
    </cfRule>
  </conditionalFormatting>
  <conditionalFormatting sqref="A10">
    <cfRule type="cellIs" dxfId="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'List Values'!$A$5:$A$31</xm:f>
          </x14:formula1>
          <xm:sqref>E7:E1048576</xm:sqref>
        </x14:dataValidation>
        <x14:dataValidation type="list" allowBlank="1" showInputMessage="1" showErrorMessage="1">
          <x14:formula1>
            <xm:f>'List Values'!$B$5:$B$9</xm:f>
          </x14:formula1>
          <xm:sqref>C7:C9 C15:C1048576 C11:C13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D879F9A8-39AF-4905-9259-C6594D6CE9A7}"/>
</file>

<file path=customXml/itemProps2.xml><?xml version="1.0" encoding="utf-8"?>
<ds:datastoreItem xmlns:ds="http://schemas.openxmlformats.org/officeDocument/2006/customXml" ds:itemID="{B40B2AAB-ABC4-44C7-B7A0-12C26D388B94}"/>
</file>

<file path=customXml/itemProps3.xml><?xml version="1.0" encoding="utf-8"?>
<ds:datastoreItem xmlns:ds="http://schemas.openxmlformats.org/officeDocument/2006/customXml" ds:itemID="{D5D1DE63-1EB9-487F-9A2E-796CE75069A0}"/>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Revision Control</vt:lpstr>
      <vt:lpstr>List Values</vt:lpstr>
      <vt:lpstr>1. Welcome-Business</vt:lpstr>
      <vt:lpstr>Question SB1</vt:lpstr>
      <vt:lpstr>Question SB2</vt:lpstr>
      <vt:lpstr>2. Account Selection</vt:lpstr>
      <vt:lpstr>DEPRECATED Account Details</vt:lpstr>
      <vt:lpstr>Question SB3</vt:lpstr>
      <vt:lpstr>Question SB4</vt:lpstr>
      <vt:lpstr>3. Service Selection</vt:lpstr>
      <vt:lpstr>DEPRECATED Service Details</vt:lpstr>
      <vt:lpstr>4. Product Review</vt:lpstr>
      <vt:lpstr>1a. Welcome-Personal</vt:lpstr>
      <vt:lpstr>Question P1</vt:lpstr>
      <vt:lpstr>Question P2</vt:lpstr>
      <vt:lpstr>Question P3</vt:lpstr>
      <vt:lpstr>Overlay P3a</vt:lpstr>
      <vt:lpstr>Question P4</vt:lpstr>
      <vt:lpstr>Question P5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2021-02-26T23:55:26Z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590500</vt:r8>
  </property>
  <property fmtid="{D5CDD505-2E9C-101B-9397-08002B2CF9AE}" pid="4" name="URL">
    <vt:lpwstr/>
  </property>
</Properties>
</file>