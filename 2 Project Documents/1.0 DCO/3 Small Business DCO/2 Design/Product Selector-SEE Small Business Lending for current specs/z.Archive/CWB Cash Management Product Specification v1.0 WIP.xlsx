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Revision Control" sheetId="2" r:id="rId1"/>
    <sheet name="List Values" sheetId="3" r:id="rId2"/>
    <sheet name="Product Spec-Business Cash Mgmt" sheetId="6" r:id="rId3"/>
    <sheet name="Categories" sheetId="7" state="hidden" r:id="rId4"/>
    <sheet name="Product Spec-Personal" sheetId="1" state="hidden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<sst xmlns="http://schemas.openxmlformats.org/spreadsheetml/2006/main" count="198" uniqueCount="130">
  <si>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</si>
  <si>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</si>
  <si>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</si>
  <si>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</si>
  <si>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</si>
  <si>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</si>
  <si>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</si>
  <si>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Digital Client Onboarding (DCO)</t>
  </si>
  <si>
    <t>Product Name</t>
  </si>
  <si>
    <t>Product Type</t>
  </si>
  <si>
    <t>Tag Line</t>
  </si>
  <si>
    <t>Effective Date</t>
  </si>
  <si>
    <t>Expiry Date</t>
  </si>
  <si>
    <t>Minimum Age</t>
  </si>
  <si>
    <t>Maximum Age</t>
  </si>
  <si>
    <t>Monthly Free Transactions</t>
  </si>
  <si>
    <t>Monthly Fee</t>
  </si>
  <si>
    <t>Fee Waiver Balance</t>
  </si>
  <si>
    <t>Field Status</t>
  </si>
  <si>
    <t>New</t>
  </si>
  <si>
    <t>No Change</t>
  </si>
  <si>
    <t>Removed</t>
  </si>
  <si>
    <t>Updated</t>
  </si>
  <si>
    <t>WIP (see comments)</t>
  </si>
  <si>
    <t>Transaction Fee</t>
  </si>
  <si>
    <t>E-transfer Fee</t>
  </si>
  <si>
    <t>Non-CWB ATM Fee</t>
  </si>
  <si>
    <t>Product Specification - List Values</t>
  </si>
  <si>
    <t>Product Specification</t>
  </si>
  <si>
    <t>Visible to Public</t>
  </si>
  <si>
    <t>Interest Rate</t>
  </si>
  <si>
    <t>DMDC-10500</t>
  </si>
  <si>
    <t>Product ID</t>
  </si>
  <si>
    <t>Chequing</t>
  </si>
  <si>
    <t>Gold Leaf PLUS Account</t>
  </si>
  <si>
    <t>DMDC-10501</t>
  </si>
  <si>
    <t>Standard Chequing Account</t>
  </si>
  <si>
    <t>DMDC-13100</t>
  </si>
  <si>
    <t>Student Account</t>
  </si>
  <si>
    <t>DMDC-12200</t>
  </si>
  <si>
    <t>Summit Savings Account</t>
  </si>
  <si>
    <t>DMDS-61001</t>
  </si>
  <si>
    <t>Savings</t>
  </si>
  <si>
    <t>Yes</t>
  </si>
  <si>
    <t>A smarter chequing account with a suite of banking services that makes your banking smarter and easier with a simple monthly fee.</t>
  </si>
  <si>
    <t>The foundation for daily financial success</t>
  </si>
  <si>
    <t>Being a student is expensive - this account isn't.</t>
  </si>
  <si>
    <t>When you reach a certain age, you should expect certain perks</t>
  </si>
  <si>
    <t>Save faster for what matters to you</t>
  </si>
  <si>
    <t>Change Status</t>
  </si>
  <si>
    <t>Unlimited</t>
  </si>
  <si>
    <t>Reach your financial peak with an everyday banking account that makes your banking smarter and easier with a simple monthly fee.</t>
  </si>
  <si>
    <t>The chequing account for your everyday banking needs in a simple and flexible package that allows you to only pay for what you use.</t>
  </si>
  <si>
    <t>Make banking one less thing to worry about while at school. This no-hassle account is designed for the everyday needs of full-time post-secondary students.</t>
  </si>
  <si>
    <t>This comprehensive package is specifically crafted for clients aged 57 and over, offering great additional services and benefits. </t>
  </si>
  <si>
    <t>Keep your savings close at hand while achieving your financial goals with this high-interest savings account.</t>
  </si>
  <si>
    <t>Short Description</t>
  </si>
  <si>
    <t>Long Description</t>
  </si>
  <si>
    <t>Product Attributes (to be exposed to user interface)</t>
  </si>
  <si>
    <t>Classification &amp; Eligibility Restrictions (for internal system use)</t>
  </si>
  <si>
    <t>Interest Rate Effective Date</t>
  </si>
  <si>
    <t>Apex Account</t>
  </si>
  <si>
    <t>Student Only</t>
  </si>
  <si>
    <t>No</t>
  </si>
  <si>
    <t xml:space="preserve">This comprehensive package is specifically crafted for clients aged 57 and over, offering great additional services and benefits.
● Unlimited transactions*
● Electronic or paper statements with heque images available
● Option to receive GIC interest monthly with no penalty
● Safe deposit box discount </t>
  </si>
  <si>
    <t>Keep your savings close at hand while achieving your financial goals with this high-interest savings account.
● Competitive interest rates 
● No monthly fee
● Transfer between your CWB accounts for free</t>
  </si>
  <si>
    <t>Reach your financial peak with an everyday banking account that makes your banking smarter and easier with a simple monthly fee.
● Unlimited transactions*
● Complimentary personal cheques
● Optional free line of credit upon approval</t>
  </si>
  <si>
    <t>The chequing account for your everyday banking needs in a simple and flexible package that allows you to only pay for what you use.
● 15 free transactions*
● Transfer between your CWB accounts for free
● Electronic or paper statements with cheque images available</t>
  </si>
  <si>
    <t xml:space="preserve">Make banking one less thing to worry about while at school. This no-hassle account is designed for the everyday needs of full-time post-secondary students.
● Unlimited transactions* 
● No monthly fee </t>
  </si>
  <si>
    <t>Product Specification - Business Cash Management Products</t>
  </si>
  <si>
    <t>CWB Wire Service</t>
  </si>
  <si>
    <t xml:space="preserve">Remote Deposit Capture </t>
  </si>
  <si>
    <t>An automated payment management system for electronic deposits and pre-authorized payments.</t>
  </si>
  <si>
    <t>Payment Solutions</t>
  </si>
  <si>
    <t>Transfer funds within Canada or internationally from anywhere with internet access.</t>
  </si>
  <si>
    <t>Transaction fee</t>
  </si>
  <si>
    <t>Scan and deposit CAD or USD cheques from the comfort of your workplace, all on your own time.</t>
  </si>
  <si>
    <t>Receivable Solutions</t>
  </si>
  <si>
    <t>Save on customized business cheques.</t>
  </si>
  <si>
    <t>Foreign exchange solutions</t>
  </si>
  <si>
    <t>Payroll and HR solutions</t>
  </si>
  <si>
    <t>In partnership with Western Union, protect your business from currency risk with tailored foreign exchange solutions.</t>
  </si>
  <si>
    <t>In partnership with Ceridian, a leading human capital management software provider, your business can take advantage of exclusive pricing on payroll and HR solutions.</t>
  </si>
  <si>
    <t>Ian Hicks</t>
  </si>
  <si>
    <t>Cash Management Product Specification - Revision Control Form</t>
  </si>
  <si>
    <t>1.0 WIP</t>
  </si>
  <si>
    <t>Split out from CWB Business Accounts specification for ease of maintenance.</t>
  </si>
  <si>
    <t>Diana Tran
Kristen En</t>
  </si>
  <si>
    <t>Electronic Funds Transfer</t>
  </si>
  <si>
    <t>Provisioning info</t>
  </si>
  <si>
    <t>Provisioning link</t>
  </si>
  <si>
    <t>In partnership with Payfirma, accept card payments anytime, anywhere, and on any device.</t>
  </si>
  <si>
    <t>Card processing services</t>
  </si>
  <si>
    <t>Business cheques</t>
  </si>
  <si>
    <t>https://www.cwbank.com/en/business/cash-management/paying-and-receiving/manage-payments/customer-automated-fund-transfer</t>
  </si>
  <si>
    <t>https://www.cwbank.com/en/business/cash-management/paying-and-receiving/manage-payments/cwb-wire-service</t>
  </si>
  <si>
    <t>https://www.cwbank.com/en/business/cash-management/paying-and-receiving/manage-payments/remote-deposit-capture</t>
  </si>
  <si>
    <t>https://www.cwbank.com/en/business/cash-management/paying-and-receiving/manage-payments/foreign-exchange-solutions</t>
  </si>
  <si>
    <t>https://www.cwbank.com/en/business/cash-management/paying-and-receiving/manage-payments/payroll-services</t>
  </si>
  <si>
    <t>https://www.cwbank.com/en/business/cash-management/paying-and-receiving/manage-receivables/card-processing</t>
  </si>
  <si>
    <t>Status</t>
  </si>
  <si>
    <t>Product code</t>
  </si>
  <si>
    <t>Product name</t>
  </si>
  <si>
    <t>Tag line
(short description)</t>
  </si>
  <si>
    <t>Effective date</t>
  </si>
  <si>
    <t>Expiry date</t>
  </si>
  <si>
    <t>Product type 1</t>
  </si>
  <si>
    <t>Product type 2</t>
  </si>
  <si>
    <t>Monthly fee</t>
  </si>
  <si>
    <t>Annual fee</t>
  </si>
  <si>
    <t>Setup fee</t>
  </si>
  <si>
    <t>A CWB team member will contact you within 2 business days.</t>
  </si>
  <si>
    <t>Credit Cards</t>
  </si>
  <si>
    <t>Remote Deposit Capture</t>
  </si>
  <si>
    <t>New auto-adjudicated credit facility</t>
  </si>
  <si>
    <t>CWB Visa Infinite Business card</t>
  </si>
  <si>
    <t>CWB Low Rate Visa Business card</t>
  </si>
  <si>
    <t>CWB No Fee Cash Back Visa Business card</t>
  </si>
  <si>
    <t>Paying / Payment Solutions</t>
  </si>
  <si>
    <t>Receiving / Receivable Solutions</t>
  </si>
  <si>
    <t>Borrowing Solutions / Credit Solutions</t>
  </si>
  <si>
    <t>Product link
(Sitecore info page)</t>
  </si>
  <si>
    <t>Take you business farther with impressive travel, merchandise and concierge rewards from this premium card.</t>
  </si>
  <si>
    <t>Effectively consolidate your business's spending while saving on payments with this low interest rate card.</t>
  </si>
  <si>
    <t>Grow your business and get more from your spending without paying an annual fee.</t>
  </si>
  <si>
    <t>https://www.cwbank.com/en/business/credit-cards/infinite-card</t>
  </si>
  <si>
    <t>https://www.cwbank.com/en/business/credit-cards/low-rate-card</t>
  </si>
  <si>
    <t>https://www.cwbank.com/en/business/credit-cards/no-fee-cash-back-card</t>
  </si>
  <si>
    <t>Product image</t>
  </si>
  <si>
    <t>link to be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</si>
</sst>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2" fontId="0" fillId="0" borderId="0" xfId="0" applyNumberFormat="1" applyFill="1" applyAlignment="1">
      <alignment horizontal="left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2"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wbank.com/en/business/cash-management/paying-and-receiving/manage-payments/payroll-services" TargetMode="External"/><Relationship Id="rId2" Type="http://schemas.openxmlformats.org/officeDocument/2006/relationships/hyperlink" Target="https://www.cwbank.com/en/business/cash-management/paying-and-receiving/manage-payments/foreign-exchange-solutions" TargetMode="External"/><Relationship Id="rId1" Type="http://schemas.openxmlformats.org/officeDocument/2006/relationships/hyperlink" Target="https://www.cwbank.com/en/business/cash-management/paying-and-receiving/manage-payments/remote-deposit-captur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cwbank.com/en/business/cash-management/paying-and-receiving/manage-receivables/card-process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zoomScaleNormal="100" workbookViewId="0">
      <selection activeCell="A6" sqref="A6"/>
    </sheetView>
  </sheetViews>
  <sheetFormatPr defaultRowHeight="14.5" x14ac:dyDescent="0.35"/>
  <cols>
    <col min="1" max="1" width="19.81640625" customWidth="1"/>
    <col min="2" max="2" width="18.7265625" bestFit="1" customWidth="1"/>
    <col min="3" max="3" width="52.26953125" customWidth="1"/>
    <col min="4" max="5" width="21.54296875" customWidth="1"/>
    <col min="6" max="6" width="25.7265625" customWidth="1"/>
    <col min="7" max="7" width="20.1796875" customWidth="1"/>
  </cols>
  <sheetData>
    <row r="1" spans="1:16" s="1" customFormat="1" ht="18.5" x14ac:dyDescent="0.35">
      <c r="A1" s="1" t="s">
        <v>7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5" x14ac:dyDescent="0.35">
      <c r="A2" s="1" t="s">
        <v>84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35">
      <c r="C3" s="5"/>
    </row>
    <row r="4" spans="1:16" ht="15" thickBot="1" x14ac:dyDescent="0.4"/>
    <row r="5" spans="1:16" s="11" customFormat="1" ht="15" thickBot="1" x14ac:dyDescent="0.4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29" x14ac:dyDescent="0.35">
      <c r="A6" s="12" t="s">
        <v>85</v>
      </c>
      <c r="B6" s="13"/>
      <c r="C6" s="14" t="s">
        <v>86</v>
      </c>
      <c r="D6" s="15" t="s">
        <v>83</v>
      </c>
      <c r="E6" s="16" t="s">
        <v>87</v>
      </c>
      <c r="F6" s="17"/>
    </row>
    <row r="7" spans="1:16" s="4" customFormat="1" x14ac:dyDescent="0.35">
      <c r="A7" s="12"/>
      <c r="B7" s="13"/>
      <c r="C7" s="14"/>
      <c r="D7" s="15"/>
      <c r="E7" s="16"/>
      <c r="F7" s="17"/>
    </row>
    <row r="8" spans="1:16" s="4" customFormat="1" x14ac:dyDescent="0.35">
      <c r="A8" s="12"/>
      <c r="B8" s="13"/>
      <c r="C8" s="14"/>
      <c r="D8" s="18"/>
      <c r="E8" s="16"/>
      <c r="F8" s="17"/>
    </row>
    <row r="9" spans="1:16" s="4" customFormat="1" x14ac:dyDescent="0.35">
      <c r="A9" s="12"/>
      <c r="B9" s="13"/>
      <c r="C9" s="19"/>
      <c r="D9" s="18"/>
      <c r="E9" s="16"/>
      <c r="F9" s="17"/>
    </row>
    <row r="10" spans="1:16" s="4" customFormat="1" x14ac:dyDescent="0.35">
      <c r="A10" s="20"/>
      <c r="B10" s="21"/>
      <c r="C10" s="22"/>
      <c r="D10" s="23"/>
      <c r="E10" s="24"/>
      <c r="F10" s="25"/>
    </row>
    <row r="11" spans="1:16" s="4" customFormat="1" x14ac:dyDescent="0.35">
      <c r="A11" s="20"/>
      <c r="B11" s="21"/>
      <c r="C11" s="26"/>
      <c r="D11" s="23"/>
      <c r="E11" s="27"/>
      <c r="F11" s="25"/>
    </row>
    <row r="12" spans="1:16" s="4" customFormat="1" ht="15" thickBot="1" x14ac:dyDescent="0.4">
      <c r="A12" s="28"/>
      <c r="B12" s="29"/>
      <c r="C12" s="30"/>
      <c r="D12" s="31"/>
      <c r="E12" s="32"/>
      <c r="F12" s="33"/>
    </row>
  </sheetData>
  <conditionalFormatting sqref="I1:J2">
    <cfRule type="cellIs" dxfId="41" priority="3" operator="equal">
      <formula>"Not Applicable"</formula>
    </cfRule>
    <cfRule type="cellIs" dxfId="40" priority="4" operator="equal">
      <formula>"4 - Future Initiative (out of scope)"</formula>
    </cfRule>
    <cfRule type="cellIs" dxfId="39" priority="5" operator="equal">
      <formula>"3 - Desirable (Nice To Have)"</formula>
    </cfRule>
    <cfRule type="cellIs" dxfId="38" priority="6" operator="equal">
      <formula>"2 - Recommended (Best Practice)"</formula>
    </cfRule>
    <cfRule type="cellIs" dxfId="37" priority="7" operator="equal">
      <formula>"1 - Mandatory (Must Have)"</formula>
    </cfRule>
  </conditionalFormatting>
  <conditionalFormatting sqref="G1:G2">
    <cfRule type="cellIs" dxfId="36" priority="1" operator="equal">
      <formula>"Non-functional"</formula>
    </cfRule>
    <cfRule type="cellIs" dxfId="35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5" x14ac:dyDescent="0.35"/>
  <cols>
    <col min="1" max="1" width="47.26953125" bestFit="1" customWidth="1"/>
  </cols>
  <sheetData>
    <row r="1" spans="1:14" s="1" customFormat="1" ht="18.5" x14ac:dyDescent="0.3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5" x14ac:dyDescent="0.35">
      <c r="A2" s="1" t="s">
        <v>27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4" customFormat="1" x14ac:dyDescent="0.35">
      <c r="A4" s="34" t="s">
        <v>18</v>
      </c>
    </row>
    <row r="5" spans="1:14" x14ac:dyDescent="0.35">
      <c r="A5" t="s">
        <v>19</v>
      </c>
    </row>
    <row r="6" spans="1:14" x14ac:dyDescent="0.35">
      <c r="A6" t="s">
        <v>20</v>
      </c>
    </row>
    <row r="7" spans="1:14" x14ac:dyDescent="0.35">
      <c r="A7" t="s">
        <v>21</v>
      </c>
    </row>
    <row r="8" spans="1:14" x14ac:dyDescent="0.35">
      <c r="A8" t="s">
        <v>22</v>
      </c>
    </row>
    <row r="9" spans="1:14" x14ac:dyDescent="0.35">
      <c r="A9" t="s">
        <v>23</v>
      </c>
    </row>
  </sheetData>
  <conditionalFormatting sqref="G1:H2">
    <cfRule type="cellIs" dxfId="34" priority="3" operator="equal">
      <formula>"Not Applicable"</formula>
    </cfRule>
    <cfRule type="cellIs" dxfId="33" priority="4" operator="equal">
      <formula>"4 - Future Initiative (out of scope)"</formula>
    </cfRule>
    <cfRule type="cellIs" dxfId="32" priority="5" operator="equal">
      <formula>"3 - Desirable (Nice To Have)"</formula>
    </cfRule>
    <cfRule type="cellIs" dxfId="31" priority="6" operator="equal">
      <formula>"2 - Recommended (Best Practice)"</formula>
    </cfRule>
    <cfRule type="cellIs" dxfId="30" priority="7" operator="equal">
      <formula>"1 - Mandatory (Must Have)"</formula>
    </cfRule>
  </conditionalFormatting>
  <conditionalFormatting sqref="E1:E2">
    <cfRule type="cellIs" dxfId="29" priority="1" operator="equal">
      <formula>"Non-functional"</formula>
    </cfRule>
    <cfRule type="cellIs" dxfId="28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0" sqref="A20"/>
    </sheetView>
  </sheetViews>
  <sheetFormatPr defaultColWidth="9.1796875" defaultRowHeight="14.5" x14ac:dyDescent="0.35"/>
  <cols>
    <col min="1" max="1" width="17.453125" style="5" customWidth="1"/>
    <col min="2" max="2" width="31.81640625" style="5" customWidth="1"/>
    <col min="3" max="3" width="31.81640625" style="36" customWidth="1"/>
    <col min="4" max="5" width="31.81640625" style="5" customWidth="1"/>
    <col min="6" max="6" width="31.81640625" style="40" customWidth="1"/>
    <col min="7" max="7" width="31.81640625" style="42" customWidth="1"/>
    <col min="8" max="12" width="31.81640625" style="5" customWidth="1"/>
    <col min="13" max="16384" width="9.1796875" style="5"/>
  </cols>
  <sheetData>
    <row r="1" spans="1:13" s="1" customFormat="1" ht="18.5" x14ac:dyDescent="0.35">
      <c r="A1" s="1" t="s">
        <v>7</v>
      </c>
      <c r="B1" s="3"/>
      <c r="C1" s="37"/>
      <c r="D1" s="3"/>
      <c r="E1" s="3"/>
      <c r="F1" s="39"/>
      <c r="G1" s="41"/>
    </row>
    <row r="2" spans="1:13" s="1" customFormat="1" ht="18.5" x14ac:dyDescent="0.35">
      <c r="A2" s="1" t="s">
        <v>69</v>
      </c>
      <c r="B2" s="3"/>
      <c r="C2" s="37"/>
      <c r="D2" s="3"/>
      <c r="E2" s="3"/>
      <c r="F2" s="39"/>
      <c r="G2" s="41"/>
    </row>
    <row r="3" spans="1:13" x14ac:dyDescent="0.35">
      <c r="F3" s="47"/>
      <c r="G3" s="48"/>
    </row>
    <row r="4" spans="1:13" x14ac:dyDescent="0.35">
      <c r="A4" s="58" t="s">
        <v>100</v>
      </c>
      <c r="B4" s="36" t="s">
        <v>19</v>
      </c>
      <c r="C4" s="36" t="s">
        <v>19</v>
      </c>
      <c r="D4" s="36" t="s">
        <v>19</v>
      </c>
      <c r="E4" s="36" t="s">
        <v>19</v>
      </c>
      <c r="F4" s="36" t="s">
        <v>19</v>
      </c>
      <c r="G4" s="36" t="s">
        <v>19</v>
      </c>
      <c r="H4" s="36" t="s">
        <v>19</v>
      </c>
      <c r="I4" s="36" t="s">
        <v>19</v>
      </c>
      <c r="J4" s="36" t="s">
        <v>19</v>
      </c>
      <c r="K4" s="36" t="s">
        <v>19</v>
      </c>
      <c r="L4" s="36"/>
      <c r="M4" s="36"/>
    </row>
    <row r="5" spans="1:13" x14ac:dyDescent="0.35">
      <c r="A5" s="2" t="s">
        <v>101</v>
      </c>
      <c r="C5" s="5"/>
      <c r="F5" s="5"/>
      <c r="G5" s="5"/>
    </row>
    <row r="6" spans="1:13" ht="29" x14ac:dyDescent="0.35">
      <c r="A6" s="2" t="s">
        <v>102</v>
      </c>
      <c r="B6" s="5" t="s">
        <v>88</v>
      </c>
      <c r="C6" s="5" t="s">
        <v>70</v>
      </c>
      <c r="D6" s="45" t="s">
        <v>115</v>
      </c>
      <c r="E6" s="45" t="s">
        <v>116</v>
      </c>
      <c r="F6" s="45" t="s">
        <v>117</v>
      </c>
      <c r="G6" s="5" t="s">
        <v>71</v>
      </c>
      <c r="H6" s="5" t="s">
        <v>93</v>
      </c>
      <c r="I6" s="5" t="s">
        <v>79</v>
      </c>
      <c r="J6" s="5" t="s">
        <v>92</v>
      </c>
      <c r="K6" s="5" t="s">
        <v>80</v>
      </c>
    </row>
    <row r="7" spans="1:13" x14ac:dyDescent="0.35">
      <c r="A7" s="2" t="s">
        <v>128</v>
      </c>
      <c r="B7" s="5" t="s">
        <v>129</v>
      </c>
      <c r="C7" s="5" t="s">
        <v>129</v>
      </c>
      <c r="D7" s="5" t="s">
        <v>129</v>
      </c>
      <c r="E7" s="5" t="s">
        <v>129</v>
      </c>
      <c r="F7" s="5" t="s">
        <v>129</v>
      </c>
      <c r="G7" s="5" t="s">
        <v>129</v>
      </c>
      <c r="H7" s="5" t="s">
        <v>129</v>
      </c>
      <c r="I7" s="5" t="s">
        <v>129</v>
      </c>
      <c r="J7" s="5" t="s">
        <v>129</v>
      </c>
      <c r="K7" s="5" t="s">
        <v>129</v>
      </c>
    </row>
    <row r="8" spans="1:13" ht="72.5" x14ac:dyDescent="0.35">
      <c r="A8" s="2" t="s">
        <v>103</v>
      </c>
      <c r="B8" s="5" t="s">
        <v>72</v>
      </c>
      <c r="C8" s="5" t="s">
        <v>74</v>
      </c>
      <c r="D8" s="5" t="s">
        <v>122</v>
      </c>
      <c r="E8" s="5" t="s">
        <v>123</v>
      </c>
      <c r="F8" s="5" t="s">
        <v>124</v>
      </c>
      <c r="G8" s="5" t="s">
        <v>76</v>
      </c>
      <c r="H8" s="44" t="s">
        <v>78</v>
      </c>
      <c r="I8" s="5" t="s">
        <v>81</v>
      </c>
      <c r="J8" s="5" t="s">
        <v>91</v>
      </c>
      <c r="K8" s="5" t="s">
        <v>82</v>
      </c>
    </row>
    <row r="9" spans="1:13" ht="72.5" x14ac:dyDescent="0.35">
      <c r="A9" s="2" t="s">
        <v>121</v>
      </c>
      <c r="B9" s="63" t="s">
        <v>94</v>
      </c>
      <c r="C9" s="63" t="s">
        <v>95</v>
      </c>
      <c r="D9" s="63" t="s">
        <v>125</v>
      </c>
      <c r="E9" s="63" t="s">
        <v>126</v>
      </c>
      <c r="F9" s="63" t="s">
        <v>127</v>
      </c>
      <c r="G9" s="63" t="s">
        <v>96</v>
      </c>
      <c r="H9" s="60"/>
      <c r="I9" s="63" t="s">
        <v>97</v>
      </c>
      <c r="J9" s="63" t="s">
        <v>99</v>
      </c>
      <c r="K9" s="63" t="s">
        <v>98</v>
      </c>
      <c r="L9" s="63"/>
      <c r="M9" s="63"/>
    </row>
    <row r="10" spans="1:13" ht="29" x14ac:dyDescent="0.35">
      <c r="A10" s="2" t="s">
        <v>89</v>
      </c>
      <c r="B10" s="59" t="s">
        <v>111</v>
      </c>
      <c r="C10" s="59" t="s">
        <v>111</v>
      </c>
      <c r="D10" s="59" t="s">
        <v>111</v>
      </c>
      <c r="E10" s="59" t="s">
        <v>111</v>
      </c>
      <c r="F10" s="59" t="s">
        <v>111</v>
      </c>
      <c r="G10" s="59" t="s">
        <v>111</v>
      </c>
      <c r="H10" s="59" t="s">
        <v>111</v>
      </c>
      <c r="I10" s="59" t="s">
        <v>111</v>
      </c>
      <c r="J10" s="59" t="s">
        <v>111</v>
      </c>
      <c r="K10" s="59" t="s">
        <v>111</v>
      </c>
      <c r="L10" s="59"/>
      <c r="M10" s="59"/>
    </row>
    <row r="11" spans="1:13" x14ac:dyDescent="0.35">
      <c r="A11" s="2" t="s">
        <v>90</v>
      </c>
      <c r="B11" s="59"/>
      <c r="C11" s="59"/>
      <c r="D11" s="59"/>
      <c r="E11" s="59"/>
      <c r="F11" s="59"/>
      <c r="G11" s="59"/>
      <c r="H11" s="60"/>
      <c r="I11" s="59"/>
      <c r="J11" s="59"/>
      <c r="K11" s="59"/>
      <c r="L11" s="59"/>
      <c r="M11" s="59"/>
    </row>
    <row r="12" spans="1:13" x14ac:dyDescent="0.35">
      <c r="A12" s="2" t="s">
        <v>104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3" x14ac:dyDescent="0.35">
      <c r="A13" s="2" t="s">
        <v>105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</row>
    <row r="14" spans="1:13" x14ac:dyDescent="0.35">
      <c r="A14" s="2" t="s">
        <v>106</v>
      </c>
      <c r="B14" s="65" t="s">
        <v>73</v>
      </c>
      <c r="C14" s="65" t="s">
        <v>73</v>
      </c>
      <c r="D14" s="65" t="s">
        <v>112</v>
      </c>
      <c r="E14" s="65" t="s">
        <v>112</v>
      </c>
      <c r="F14" s="65" t="s">
        <v>112</v>
      </c>
      <c r="G14" s="65" t="s">
        <v>77</v>
      </c>
      <c r="H14" s="65" t="s">
        <v>73</v>
      </c>
      <c r="I14" s="65" t="s">
        <v>73</v>
      </c>
      <c r="J14" s="65" t="s">
        <v>77</v>
      </c>
      <c r="K14" s="65" t="s">
        <v>73</v>
      </c>
      <c r="L14" s="65"/>
      <c r="M14" s="65"/>
    </row>
    <row r="15" spans="1:13" x14ac:dyDescent="0.35">
      <c r="A15" s="2" t="s">
        <v>107</v>
      </c>
      <c r="B15" s="65" t="s">
        <v>77</v>
      </c>
      <c r="C15" s="65"/>
      <c r="D15" s="45"/>
      <c r="E15" s="45"/>
      <c r="F15" s="45"/>
      <c r="G15" s="65"/>
      <c r="H15" s="65"/>
      <c r="I15" s="65"/>
      <c r="J15" s="65"/>
      <c r="K15" s="65"/>
      <c r="L15" s="65"/>
      <c r="M15" s="65"/>
    </row>
    <row r="16" spans="1:13" x14ac:dyDescent="0.35">
      <c r="A16" s="2" t="s">
        <v>75</v>
      </c>
      <c r="B16" s="62"/>
      <c r="C16" s="62">
        <v>35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1:13" x14ac:dyDescent="0.35">
      <c r="A17" s="2" t="s">
        <v>108</v>
      </c>
      <c r="B17" s="62"/>
      <c r="C17" s="62"/>
      <c r="D17" s="62"/>
      <c r="E17" s="62"/>
      <c r="F17" s="62"/>
      <c r="G17" s="62">
        <v>35</v>
      </c>
      <c r="H17" s="62"/>
      <c r="I17" s="62"/>
      <c r="J17" s="62"/>
      <c r="K17" s="62"/>
      <c r="L17" s="62"/>
      <c r="M17" s="62"/>
    </row>
    <row r="18" spans="1:13" x14ac:dyDescent="0.35">
      <c r="A18" s="2" t="s">
        <v>109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3" x14ac:dyDescent="0.35">
      <c r="A19" s="2" t="s">
        <v>110</v>
      </c>
      <c r="B19" s="62"/>
      <c r="C19" s="62"/>
      <c r="D19" s="62"/>
      <c r="E19" s="62"/>
      <c r="F19" s="62"/>
      <c r="G19" s="62">
        <v>125</v>
      </c>
      <c r="H19" s="62"/>
      <c r="I19" s="62"/>
      <c r="J19" s="62"/>
      <c r="K19" s="62"/>
      <c r="L19" s="62"/>
      <c r="M19" s="62"/>
    </row>
  </sheetData>
  <conditionalFormatting sqref="C21:J21 C22 A21:A23 A30:J1048576 C23:D23 A24:D29 I22:J29 G15:K15 A20:J20 F16:K19 F4:K6 A1:XFD3 K20:XFD1048576 L4:XFD19 A4:C6 A8:C19 F8:K14 A7:K7">
    <cfRule type="cellIs" dxfId="27" priority="24" operator="equal">
      <formula>"n/a"</formula>
    </cfRule>
  </conditionalFormatting>
  <conditionalFormatting sqref="C1:C6 A4:C4 F4:K4 C8:C1048576">
    <cfRule type="cellIs" dxfId="26" priority="25" operator="equal">
      <formula>"WIP (see comments)"</formula>
    </cfRule>
    <cfRule type="cellIs" dxfId="25" priority="26" operator="equal">
      <formula>"Removed"</formula>
    </cfRule>
    <cfRule type="cellIs" dxfId="24" priority="27" operator="equal">
      <formula>"Updated"</formula>
    </cfRule>
    <cfRule type="cellIs" dxfId="23" priority="28" operator="equal">
      <formula>"New"</formula>
    </cfRule>
  </conditionalFormatting>
  <conditionalFormatting sqref="E16:E19 E4:E6 E8:E14">
    <cfRule type="cellIs" dxfId="22" priority="11" operator="equal">
      <formula>"n/a"</formula>
    </cfRule>
  </conditionalFormatting>
  <conditionalFormatting sqref="E4">
    <cfRule type="cellIs" dxfId="21" priority="12" operator="equal">
      <formula>"WIP (see comments)"</formula>
    </cfRule>
    <cfRule type="cellIs" dxfId="20" priority="13" operator="equal">
      <formula>"Removed"</formula>
    </cfRule>
    <cfRule type="cellIs" dxfId="19" priority="14" operator="equal">
      <formula>"Updated"</formula>
    </cfRule>
    <cfRule type="cellIs" dxfId="18" priority="15" operator="equal">
      <formula>"New"</formula>
    </cfRule>
  </conditionalFormatting>
  <conditionalFormatting sqref="L4:M4">
    <cfRule type="cellIs" dxfId="17" priority="7" operator="equal">
      <formula>"WIP (see comments)"</formula>
    </cfRule>
    <cfRule type="cellIs" dxfId="16" priority="8" operator="equal">
      <formula>"Removed"</formula>
    </cfRule>
    <cfRule type="cellIs" dxfId="15" priority="9" operator="equal">
      <formula>"Updated"</formula>
    </cfRule>
    <cfRule type="cellIs" dxfId="14" priority="10" operator="equal">
      <formula>"New"</formula>
    </cfRule>
  </conditionalFormatting>
  <conditionalFormatting sqref="D16:D19 D4:D6 D8:D14">
    <cfRule type="cellIs" dxfId="13" priority="1" operator="equal">
      <formula>"n/a"</formula>
    </cfRule>
  </conditionalFormatting>
  <conditionalFormatting sqref="D4">
    <cfRule type="cellIs" dxfId="12" priority="2" operator="equal">
      <formula>"WIP (see comments)"</formula>
    </cfRule>
    <cfRule type="cellIs" dxfId="11" priority="3" operator="equal">
      <formula>"Removed"</formula>
    </cfRule>
    <cfRule type="cellIs" dxfId="10" priority="4" operator="equal">
      <formula>"Updated"</formula>
    </cfRule>
    <cfRule type="cellIs" dxfId="9" priority="5" operator="equal">
      <formula>"New"</formula>
    </cfRule>
  </conditionalFormatting>
  <hyperlinks>
    <hyperlink ref="G9" r:id="rId1"/>
    <hyperlink ref="I9" r:id="rId2"/>
    <hyperlink ref="K9" r:id="rId3"/>
    <hyperlink ref="J9" r:id="rId4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C20:C1048576 B4:M4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9" sqref="A9"/>
    </sheetView>
  </sheetViews>
  <sheetFormatPr defaultRowHeight="14.5" x14ac:dyDescent="0.35"/>
  <cols>
    <col min="1" max="4" width="31.81640625" customWidth="1"/>
  </cols>
  <sheetData>
    <row r="1" spans="1:4" ht="29" x14ac:dyDescent="0.35">
      <c r="A1" s="54" t="s">
        <v>118</v>
      </c>
      <c r="B1" s="54" t="s">
        <v>119</v>
      </c>
      <c r="C1" s="64" t="s">
        <v>112</v>
      </c>
      <c r="D1" s="54" t="s">
        <v>120</v>
      </c>
    </row>
    <row r="2" spans="1:4" x14ac:dyDescent="0.35">
      <c r="A2" s="5" t="s">
        <v>88</v>
      </c>
      <c r="B2" s="5" t="s">
        <v>88</v>
      </c>
      <c r="C2" s="62" t="s">
        <v>115</v>
      </c>
      <c r="D2" s="5" t="s">
        <v>114</v>
      </c>
    </row>
    <row r="3" spans="1:4" x14ac:dyDescent="0.35">
      <c r="A3" s="5" t="s">
        <v>70</v>
      </c>
      <c r="B3" s="61" t="s">
        <v>113</v>
      </c>
      <c r="C3" s="5" t="s">
        <v>116</v>
      </c>
      <c r="D3" s="62" t="s">
        <v>115</v>
      </c>
    </row>
    <row r="4" spans="1:4" ht="29" x14ac:dyDescent="0.35">
      <c r="A4" s="5" t="s">
        <v>79</v>
      </c>
      <c r="B4" s="61" t="s">
        <v>93</v>
      </c>
      <c r="C4" s="5" t="s">
        <v>117</v>
      </c>
      <c r="D4" s="5" t="s">
        <v>116</v>
      </c>
    </row>
    <row r="5" spans="1:4" ht="29" x14ac:dyDescent="0.35">
      <c r="A5" s="5" t="s">
        <v>80</v>
      </c>
      <c r="B5" s="61" t="s">
        <v>92</v>
      </c>
      <c r="C5" s="42"/>
      <c r="D5" s="5" t="s">
        <v>117</v>
      </c>
    </row>
    <row r="6" spans="1:4" x14ac:dyDescent="0.35">
      <c r="A6" s="62" t="s">
        <v>115</v>
      </c>
      <c r="B6" s="40"/>
      <c r="C6" s="42"/>
      <c r="D6" s="5"/>
    </row>
    <row r="7" spans="1:4" x14ac:dyDescent="0.35">
      <c r="A7" s="5" t="s">
        <v>116</v>
      </c>
      <c r="B7" s="40"/>
      <c r="C7" s="42"/>
      <c r="D7" s="5"/>
    </row>
    <row r="8" spans="1:4" ht="29" x14ac:dyDescent="0.35">
      <c r="A8" s="5" t="s">
        <v>117</v>
      </c>
      <c r="B8" s="40"/>
      <c r="C8" s="42"/>
      <c r="D8" s="5"/>
    </row>
  </sheetData>
  <conditionalFormatting sqref="D3:D5">
    <cfRule type="cellIs" dxfId="8" priority="1" operator="equal">
      <formula>"n/a"</formula>
    </cfRule>
  </conditionalFormatting>
  <conditionalFormatting sqref="A1:D1 A5:C5 A7:D8 C6:D6 A6 A2:B4 D2">
    <cfRule type="cellIs" dxfId="7" priority="3" operator="equal">
      <formula>"n/a"</formula>
    </cfRule>
  </conditionalFormatting>
  <conditionalFormatting sqref="C2:C4">
    <cfRule type="cellIs" dxfId="6" priority="2" operator="equal">
      <formula>"n/a"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I10" sqref="I10"/>
    </sheetView>
  </sheetViews>
  <sheetFormatPr defaultColWidth="9.1796875" defaultRowHeight="14.5" x14ac:dyDescent="0.35"/>
  <cols>
    <col min="1" max="1" width="17.453125" style="5" customWidth="1"/>
    <col min="2" max="2" width="27.26953125" style="5" customWidth="1"/>
    <col min="3" max="3" width="19.453125" style="36" customWidth="1"/>
    <col min="4" max="4" width="90.26953125" style="5" customWidth="1"/>
    <col min="5" max="5" width="44.54296875" style="5" customWidth="1"/>
    <col min="6" max="6" width="43.26953125" style="5" customWidth="1"/>
    <col min="7" max="7" width="13.453125" style="36" customWidth="1"/>
    <col min="8" max="8" width="14.54296875" style="40" customWidth="1"/>
    <col min="9" max="9" width="12.81640625" style="40" customWidth="1"/>
    <col min="10" max="10" width="11.453125" style="36" customWidth="1"/>
    <col min="11" max="11" width="12.1796875" style="36" customWidth="1"/>
    <col min="12" max="12" width="11.26953125" style="36" customWidth="1"/>
    <col min="13" max="13" width="11.453125" style="36" customWidth="1"/>
    <col min="14" max="14" width="9.1796875" style="42"/>
    <col min="15" max="15" width="14.1796875" style="42" customWidth="1"/>
    <col min="16" max="16" width="9.1796875" style="42"/>
    <col min="17" max="17" width="15.26953125" style="40" customWidth="1"/>
    <col min="18" max="18" width="12.1796875" style="42" customWidth="1"/>
    <col min="19" max="19" width="12.81640625" style="36" customWidth="1"/>
    <col min="20" max="20" width="13" style="42" customWidth="1"/>
    <col min="21" max="21" width="11.54296875" style="42" customWidth="1"/>
    <col min="22" max="16384" width="9.1796875" style="5"/>
  </cols>
  <sheetData>
    <row r="1" spans="1:21" s="1" customFormat="1" ht="18.5" x14ac:dyDescent="0.35">
      <c r="A1" s="1" t="s">
        <v>7</v>
      </c>
      <c r="B1" s="3"/>
      <c r="C1" s="37"/>
      <c r="D1" s="3"/>
      <c r="E1" s="3"/>
      <c r="F1" s="3"/>
      <c r="G1" s="38"/>
      <c r="H1" s="39"/>
      <c r="I1" s="39"/>
      <c r="J1" s="38"/>
      <c r="K1" s="38"/>
      <c r="L1" s="38"/>
      <c r="M1" s="38"/>
      <c r="N1" s="41"/>
      <c r="O1" s="41"/>
      <c r="P1" s="41"/>
      <c r="Q1" s="39"/>
      <c r="R1" s="41"/>
      <c r="S1" s="38"/>
      <c r="T1" s="41"/>
      <c r="U1" s="43"/>
    </row>
    <row r="2" spans="1:21" s="1" customFormat="1" ht="18.5" x14ac:dyDescent="0.35">
      <c r="A2" s="1" t="s">
        <v>28</v>
      </c>
      <c r="B2" s="3"/>
      <c r="C2" s="37"/>
      <c r="D2" s="3"/>
      <c r="E2" s="3"/>
      <c r="F2" s="3"/>
      <c r="G2" s="38"/>
      <c r="H2" s="39"/>
      <c r="I2" s="39"/>
      <c r="J2" s="38"/>
      <c r="K2" s="38"/>
      <c r="L2" s="38"/>
      <c r="M2" s="38"/>
      <c r="N2" s="41"/>
      <c r="O2" s="41"/>
      <c r="P2" s="41"/>
      <c r="Q2" s="39"/>
      <c r="R2" s="41"/>
      <c r="S2" s="38"/>
      <c r="T2" s="41"/>
      <c r="U2" s="43"/>
    </row>
    <row r="3" spans="1:21" x14ac:dyDescent="0.35">
      <c r="F3" s="45"/>
      <c r="G3" s="46"/>
      <c r="H3" s="47"/>
      <c r="I3" s="47"/>
      <c r="J3" s="46"/>
      <c r="K3" s="46"/>
      <c r="L3" s="46"/>
      <c r="M3" s="46"/>
      <c r="N3" s="48"/>
      <c r="O3" s="48"/>
      <c r="P3" s="48"/>
      <c r="Q3" s="47"/>
      <c r="R3" s="48"/>
      <c r="S3" s="46"/>
      <c r="T3" s="48"/>
      <c r="U3" s="48"/>
    </row>
    <row r="4" spans="1:21" s="54" customFormat="1" ht="15" customHeight="1" x14ac:dyDescent="0.35">
      <c r="C4" s="55"/>
      <c r="F4" s="56"/>
      <c r="G4" s="67" t="s">
        <v>59</v>
      </c>
      <c r="H4" s="67"/>
      <c r="I4" s="67"/>
      <c r="J4" s="67"/>
      <c r="K4" s="67"/>
      <c r="L4" s="67"/>
      <c r="M4" s="67"/>
      <c r="N4" s="66" t="s">
        <v>58</v>
      </c>
      <c r="O4" s="66"/>
      <c r="P4" s="66"/>
      <c r="Q4" s="66"/>
      <c r="R4" s="66"/>
      <c r="S4" s="66"/>
      <c r="T4" s="66"/>
      <c r="U4" s="66"/>
    </row>
    <row r="5" spans="1:21" s="2" customFormat="1" ht="29" x14ac:dyDescent="0.35">
      <c r="A5" s="2" t="s">
        <v>32</v>
      </c>
      <c r="B5" s="2" t="s">
        <v>8</v>
      </c>
      <c r="C5" s="35" t="s">
        <v>49</v>
      </c>
      <c r="D5" s="2" t="s">
        <v>57</v>
      </c>
      <c r="E5" s="2" t="s">
        <v>56</v>
      </c>
      <c r="F5" s="2" t="s">
        <v>10</v>
      </c>
      <c r="G5" s="52" t="s">
        <v>9</v>
      </c>
      <c r="H5" s="53" t="s">
        <v>11</v>
      </c>
      <c r="I5" s="53" t="s">
        <v>12</v>
      </c>
      <c r="J5" s="52" t="s">
        <v>29</v>
      </c>
      <c r="K5" s="52" t="s">
        <v>13</v>
      </c>
      <c r="L5" s="52" t="s">
        <v>14</v>
      </c>
      <c r="M5" s="57" t="s">
        <v>62</v>
      </c>
      <c r="N5" s="49" t="s">
        <v>16</v>
      </c>
      <c r="O5" s="49" t="s">
        <v>17</v>
      </c>
      <c r="P5" s="49" t="s">
        <v>30</v>
      </c>
      <c r="Q5" s="50" t="s">
        <v>60</v>
      </c>
      <c r="R5" s="49" t="s">
        <v>24</v>
      </c>
      <c r="S5" s="51" t="s">
        <v>15</v>
      </c>
      <c r="T5" s="49" t="s">
        <v>25</v>
      </c>
      <c r="U5" s="49" t="s">
        <v>26</v>
      </c>
    </row>
    <row r="6" spans="1:21" ht="120.75" customHeight="1" x14ac:dyDescent="0.35">
      <c r="A6" s="5" t="s">
        <v>31</v>
      </c>
      <c r="B6" s="5" t="s">
        <v>61</v>
      </c>
      <c r="C6" s="36" t="s">
        <v>19</v>
      </c>
      <c r="D6" s="5" t="s">
        <v>66</v>
      </c>
      <c r="E6" s="5" t="s">
        <v>51</v>
      </c>
      <c r="F6" s="5" t="s">
        <v>44</v>
      </c>
      <c r="G6" s="36" t="s">
        <v>33</v>
      </c>
      <c r="H6" s="40">
        <v>44135</v>
      </c>
      <c r="J6" s="36" t="b">
        <v>1</v>
      </c>
      <c r="K6" s="36">
        <v>18</v>
      </c>
      <c r="M6" s="36" t="s">
        <v>63</v>
      </c>
      <c r="N6" s="42">
        <v>14.25</v>
      </c>
      <c r="O6" s="42">
        <v>3000</v>
      </c>
      <c r="Q6" s="40">
        <v>44135</v>
      </c>
      <c r="R6" s="42">
        <v>0</v>
      </c>
      <c r="S6" s="36" t="s">
        <v>50</v>
      </c>
      <c r="T6" s="42">
        <v>1</v>
      </c>
      <c r="U6" s="42">
        <v>1.5</v>
      </c>
    </row>
    <row r="7" spans="1:21" ht="124.5" customHeight="1" x14ac:dyDescent="0.35">
      <c r="A7" s="5" t="s">
        <v>35</v>
      </c>
      <c r="B7" s="5" t="s">
        <v>34</v>
      </c>
      <c r="C7" s="36" t="s">
        <v>19</v>
      </c>
      <c r="D7" s="5" t="s">
        <v>64</v>
      </c>
      <c r="E7" s="5" t="s">
        <v>54</v>
      </c>
      <c r="F7" s="5" t="s">
        <v>47</v>
      </c>
      <c r="G7" s="36" t="s">
        <v>33</v>
      </c>
      <c r="H7" s="40">
        <v>44135</v>
      </c>
      <c r="J7" s="36" t="b">
        <v>1</v>
      </c>
      <c r="K7" s="36">
        <v>57</v>
      </c>
      <c r="M7" s="36" t="s">
        <v>63</v>
      </c>
      <c r="N7" s="42">
        <v>0</v>
      </c>
      <c r="O7" s="42">
        <v>0</v>
      </c>
      <c r="Q7" s="40">
        <v>44135</v>
      </c>
      <c r="R7" s="42">
        <v>0</v>
      </c>
      <c r="S7" s="36" t="s">
        <v>50</v>
      </c>
      <c r="T7" s="42">
        <v>1</v>
      </c>
      <c r="U7" s="42">
        <v>1.5</v>
      </c>
    </row>
    <row r="8" spans="1:21" ht="129.75" customHeight="1" x14ac:dyDescent="0.35">
      <c r="A8" s="5" t="s">
        <v>37</v>
      </c>
      <c r="B8" s="5" t="s">
        <v>36</v>
      </c>
      <c r="C8" s="36" t="s">
        <v>19</v>
      </c>
      <c r="D8" s="5" t="s">
        <v>67</v>
      </c>
      <c r="E8" s="5" t="s">
        <v>52</v>
      </c>
      <c r="F8" s="5" t="s">
        <v>45</v>
      </c>
      <c r="G8" s="36" t="s">
        <v>33</v>
      </c>
      <c r="H8" s="40">
        <v>44135</v>
      </c>
      <c r="J8" s="36" t="b">
        <v>1</v>
      </c>
      <c r="K8" s="36">
        <v>18</v>
      </c>
      <c r="M8" s="36" t="s">
        <v>63</v>
      </c>
      <c r="N8" s="42">
        <v>4</v>
      </c>
      <c r="O8" s="42">
        <v>1000</v>
      </c>
      <c r="Q8" s="40">
        <v>44135</v>
      </c>
      <c r="R8" s="42">
        <v>0.6</v>
      </c>
      <c r="S8" s="36">
        <v>15</v>
      </c>
      <c r="T8" s="42">
        <v>1</v>
      </c>
      <c r="U8" s="42">
        <v>1.5</v>
      </c>
    </row>
    <row r="9" spans="1:21" ht="138" customHeight="1" x14ac:dyDescent="0.35">
      <c r="A9" s="5" t="s">
        <v>39</v>
      </c>
      <c r="B9" s="5" t="s">
        <v>38</v>
      </c>
      <c r="C9" s="36" t="s">
        <v>19</v>
      </c>
      <c r="D9" s="5" t="s">
        <v>68</v>
      </c>
      <c r="E9" s="5" t="s">
        <v>53</v>
      </c>
      <c r="F9" s="5" t="s">
        <v>46</v>
      </c>
      <c r="G9" s="36" t="s">
        <v>33</v>
      </c>
      <c r="H9" s="40">
        <v>44135</v>
      </c>
      <c r="J9" s="36" t="b">
        <v>1</v>
      </c>
      <c r="K9" s="36">
        <v>18</v>
      </c>
      <c r="L9" s="36">
        <v>26</v>
      </c>
      <c r="M9" s="36" t="s">
        <v>43</v>
      </c>
      <c r="N9" s="42">
        <v>0</v>
      </c>
      <c r="O9" s="42">
        <v>0</v>
      </c>
      <c r="Q9" s="40">
        <v>44135</v>
      </c>
      <c r="R9" s="42">
        <v>0</v>
      </c>
      <c r="S9" s="36" t="s">
        <v>50</v>
      </c>
      <c r="T9" s="42">
        <v>1</v>
      </c>
      <c r="U9" s="42">
        <v>1.5</v>
      </c>
    </row>
    <row r="10" spans="1:21" ht="111" customHeight="1" x14ac:dyDescent="0.35">
      <c r="A10" s="5" t="s">
        <v>41</v>
      </c>
      <c r="B10" s="5" t="s">
        <v>40</v>
      </c>
      <c r="C10" s="36" t="s">
        <v>19</v>
      </c>
      <c r="D10" s="5" t="s">
        <v>65</v>
      </c>
      <c r="E10" s="5" t="s">
        <v>55</v>
      </c>
      <c r="F10" s="5" t="s">
        <v>48</v>
      </c>
      <c r="G10" s="36" t="s">
        <v>42</v>
      </c>
      <c r="H10" s="40">
        <v>44135</v>
      </c>
      <c r="J10" s="36" t="b">
        <v>1</v>
      </c>
      <c r="K10" s="36">
        <v>18</v>
      </c>
      <c r="M10" s="36" t="s">
        <v>63</v>
      </c>
      <c r="N10" s="42">
        <v>0</v>
      </c>
      <c r="O10" s="42">
        <v>0</v>
      </c>
      <c r="P10" s="42">
        <v>0.35</v>
      </c>
      <c r="Q10" s="40">
        <v>44135</v>
      </c>
      <c r="R10" s="42">
        <v>5</v>
      </c>
      <c r="S10" s="36">
        <v>0</v>
      </c>
      <c r="T10" s="42">
        <v>1</v>
      </c>
      <c r="U10" s="42">
        <v>1.5</v>
      </c>
    </row>
    <row r="11" spans="1:21" x14ac:dyDescent="0.35">
      <c r="D11" s="44"/>
      <c r="E11" s="44"/>
    </row>
  </sheetData>
  <mergeCells count="2">
    <mergeCell ref="N4:U4"/>
    <mergeCell ref="G4:M4"/>
  </mergeCells>
  <conditionalFormatting sqref="A1:L3 A4:G4 V4:XFD4 N4 N5:XFD1048576 N1:XFD3 A5:L1048576">
    <cfRule type="cellIs" dxfId="5" priority="2" operator="equal">
      <formula>"n/a"</formula>
    </cfRule>
  </conditionalFormatting>
  <conditionalFormatting sqref="C1:C1048576">
    <cfRule type="cellIs" dxfId="4" priority="3" operator="equal">
      <formula>"WIP (see comments)"</formula>
    </cfRule>
    <cfRule type="cellIs" dxfId="3" priority="4" operator="equal">
      <formula>"Removed"</formula>
    </cfRule>
    <cfRule type="cellIs" dxfId="2" priority="5" operator="equal">
      <formula>"Updated"</formula>
    </cfRule>
    <cfRule type="cellIs" dxfId="1" priority="6" operator="equal">
      <formula>"New"</formula>
    </cfRule>
  </conditionalFormatting>
  <conditionalFormatting sqref="M1:M3 M5:M1048576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C6:C1048576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7594CE54-3828-49CF-8243-C188ED570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BA54B-912B-481C-BBE8-0268C3AC2AC8}"/>
</file>

<file path=customXml/itemProps3.xml><?xml version="1.0" encoding="utf-8"?>
<ds:datastoreItem xmlns:ds="http://schemas.openxmlformats.org/officeDocument/2006/customXml" ds:itemID="{C6A7F019-0178-48C6-982E-8C97ED4DE885}">
  <ds:schemaRefs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Control</vt:lpstr>
      <vt:lpstr>List Values</vt:lpstr>
      <vt:lpstr>Product Spec-Business Cash Mgmt</vt:lpstr>
      <vt:lpstr>Categories</vt:lpstr>
      <vt:lpstr>Product Spec-Personal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2021-02-26T23:24:40Z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590400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