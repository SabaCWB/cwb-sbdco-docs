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3.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tabRatio="830"/>
  </bookViews>
  <sheets>
    <sheet name="Revision Control" sheetId="1" r:id="rId1"/>
    <sheet name="List Values" sheetId="3" r:id="rId2"/>
    <sheet name="DEPRECATED Welcome-Business" sheetId="62" r:id="rId3"/>
    <sheet name="OOS Question SB1" sheetId="53" state="hidden" r:id="rId4"/>
    <sheet name="OOS Question SB2" sheetId="59" state="hidden" r:id="rId5"/>
    <sheet name="2. Account Selection" sheetId="54" r:id="rId6"/>
    <sheet name="DEPRECATED Account Details" sheetId="58" state="hidden" r:id="rId7"/>
    <sheet name="OOS Question SB3" sheetId="60" state="hidden" r:id="rId8"/>
    <sheet name="OOS Question SB4" sheetId="61" state="hidden"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1" hidden="1">'4. Product Review'!$A$6:$P$6</definedName>
    <definedName name="_xlnm._FilterDatabase" localSheetId="6"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7" hidden="1">'OOS Question SB3'!$A$6:$P$6</definedName>
    <definedName name="_xlnm._FilterDatabase" localSheetId="8"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 i="54" l="1"/>
  <c r="B14" i="63" l="1"/>
  <c r="B21" i="63"/>
  <c r="B20" i="63"/>
  <c r="B21" i="54" l="1"/>
  <c r="B20" i="54"/>
  <c r="B19" i="54"/>
  <c r="B18" i="54"/>
  <c r="B8" i="57" l="1"/>
  <c r="B7" i="57"/>
  <c r="B8" i="63"/>
  <c r="B7" i="63"/>
  <c r="B8" i="54"/>
  <c r="B7" i="54"/>
  <c r="B8" i="62"/>
  <c r="B15" i="62" l="1"/>
  <c r="B14" i="62"/>
  <c r="B23" i="63" l="1"/>
  <c r="B22" i="63"/>
  <c r="B24" i="63"/>
  <c r="B15" i="63"/>
  <c r="B36" i="57" l="1"/>
  <c r="B22" i="57"/>
  <c r="B34" i="57"/>
  <c r="B23" i="57"/>
  <c r="B10" i="57"/>
  <c r="B9" i="57"/>
  <c r="B26" i="57" l="1"/>
  <c r="B18" i="57"/>
  <c r="B38" i="57"/>
  <c r="B12" i="63" l="1"/>
  <c r="B11" i="63"/>
  <c r="B15" i="58"/>
  <c r="B16" i="58" l="1"/>
  <c r="B29" i="54" l="1"/>
  <c r="B27" i="54"/>
  <c r="B28" i="54"/>
  <c r="B26" i="54"/>
  <c r="B10" i="62" l="1"/>
  <c r="B13" i="62"/>
  <c r="B25" i="54" l="1"/>
  <c r="B28" i="57" l="1"/>
  <c r="B27" i="57"/>
  <c r="B33" i="57" l="1"/>
  <c r="B32" i="57"/>
  <c r="B31" i="57"/>
  <c r="B30" i="57"/>
  <c r="B13" i="64"/>
  <c r="B12" i="64"/>
  <c r="B11" i="64"/>
  <c r="B10" i="64"/>
  <c r="B9" i="64"/>
  <c r="B8" i="64"/>
  <c r="B7" i="64"/>
  <c r="B18" i="63"/>
  <c r="B17" i="63"/>
  <c r="B16"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4" i="57" l="1"/>
  <c r="B15" i="57"/>
  <c r="B16" i="57"/>
  <c r="B17" i="57"/>
  <c r="B13" i="57"/>
  <c r="B11" i="54"/>
  <c r="B10" i="54"/>
  <c r="B9" i="54"/>
  <c r="B17" i="58"/>
  <c r="B14" i="58"/>
  <c r="B11" i="58"/>
  <c r="B10" i="58"/>
  <c r="B8" i="58"/>
  <c r="B7" i="58"/>
  <c r="B22" i="54"/>
  <c r="B14" i="54"/>
  <c r="B23" i="54"/>
  <c r="B16" i="54"/>
  <c r="B37" i="57"/>
  <c r="B21" i="57"/>
  <c r="B20" i="57"/>
  <c r="B11" i="57"/>
  <c r="B8" i="55"/>
  <c r="B7" i="55"/>
  <c r="B17" i="54"/>
  <c r="B13"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<sst xmlns="http://schemas.openxmlformats.org/spreadsheetml/2006/main" count="2767" uniqueCount="327">
  <si>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</si>
  <si>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</si>
  <si>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</si>
  <si>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</si>
  <si>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</si>
  <si>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</si>
  <si>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</si>
  <si>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</si>
  <si>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</si>
  <si>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</si>
  <si>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</si>
  <si>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</si>
  <si>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</si>
  <si>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</si>
  <si>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</si>
  <si>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</si>
  <si>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</si>
  <si>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</si>
  <si>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</si>
  <si>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</si>
  <si>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</si>
  <si>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</si>
  <si>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</si>
  <si>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</si>
  <si>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</si>
  <si>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</si>
  <si>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</si>
  <si>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</si>
  <si>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</si>
  <si>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</si>
  <si>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</si>
  <si>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</si>
  <si>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</si>
  <si>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</si>
  <si>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</si>
  <si>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</si>
  <si>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</si>
  <si>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</si>
  <si>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</si>
  <si>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</si>
  <si>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</si>
  <si>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</si>
  <si>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</si>
  <si>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</si>
  <si>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</si>
  <si>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</si>
  <si>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</si>
  <si>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</si>
  <si>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</si>
  <si>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</si>
  <si>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</si>
  <si>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</si>
  <si>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</si>
  <si>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</si>
  <si>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</si>
  <si>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</si>
  <si>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</si>
  <si>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</si>
  <si>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</si>
  <si>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</si>
  <si>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</si>
  <si>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</si>
  <si>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</si>
  <si>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</si>
  <si>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</si>
  <si>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</si>
  <si>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</si>
  <si>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</si>
  <si>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</si>
  <si>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</si>
  <si>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</si>
  <si>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</si>
  <si>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</si>
  <si>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</si>
  <si>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</si>
  <si>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</si>
  <si>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</si>
  <si>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</si>
  <si>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</si>
  <si>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</si>
  <si>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</si>
  <si>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</si>
  <si>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</si>
  <si>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</si>
  <si>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</si>
  <si>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</si>
  <si>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</si>
  <si>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</si>
  <si>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</si>
  <si>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</si>
  <si>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</si>
  <si>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</si>
  <si>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</si>
  <si>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</si>
  <si>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</si>
  <si>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</si>
  <si>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</si>
  <si>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</si>
  <si>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</si>
  <si>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</si>
  <si>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</si>
  <si>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</si>
  <si>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</si>
  <si>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</si>
  <si>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</si>
  <si>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</si>
  <si>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</si>
  <si>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</si>
  <si>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</si>
  <si>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</si>
  <si>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</si>
  <si>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</si>
  <si>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</si>
  <si>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</si>
  <si>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</si>
  <si>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</si>
  <si>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</si>
  <si>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</si>
  <si>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</si>
  <si>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</si>
  <si>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</si>
  <si>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</si>
  <si>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</si>
  <si>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</si>
  <si>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</si>
  <si>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</si>
  <si>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</si>
  <si>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</si>
  <si>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</si>
  <si>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</si>
  <si>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</si>
  <si>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</si>
  <si>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</si>
  <si>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</si>
  <si>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</si>
  <si>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</si>
  <si>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</si>
  <si>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</si>
  <si>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</si>
  <si>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</si>
  <si>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</si>
  <si>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</si>
  <si>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</si>
  <si>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</si>
  <si>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</si>
  <si>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</si>
  <si>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&lt;&lt;Product_Catalogue.Product_Image&gt;&gt;</t>
  </si>
  <si>
    <t>&lt;&lt;Product_Catalogue.Product_Name&gt;&gt;</t>
  </si>
  <si>
    <t>&lt;&lt;Product_Catalogue.Tag_Line&gt;&gt;</t>
  </si>
  <si>
    <t>Quantity</t>
  </si>
  <si>
    <t>Explore our accounts</t>
  </si>
  <si>
    <t>[Image - Chequing]</t>
  </si>
  <si>
    <t>[Image - Savings]</t>
  </si>
  <si>
    <t>[Product attribute 1 - TBD]</t>
  </si>
  <si>
    <t>[Product attribute 2 - TBD]</t>
  </si>
  <si>
    <t>[Product attribute N - TBD]</t>
  </si>
  <si>
    <t>Remove</t>
  </si>
  <si>
    <t>Total monthly fixed fees: $&lt;&lt;fee total&gt;&gt;</t>
  </si>
  <si>
    <t>&lt;&lt;fee total&gt;&gt; should be calculated as the sum of all monthly fees (&lt;&lt;Product_Catalogue.Monthly_Fee&gt;&gt;) of the selected product instances</t>
  </si>
  <si>
    <t>Account Details</t>
  </si>
  <si>
    <t>Close</t>
  </si>
  <si>
    <t>On click…
Close the overlay</t>
  </si>
  <si>
    <t>* Additional transaction fees may apply</t>
  </si>
  <si>
    <t>What is the lowest balance you can comfortably keep in your account to avoid fees?</t>
  </si>
  <si>
    <t>2.0</t>
  </si>
  <si>
    <t>Business banking transactions</t>
  </si>
  <si>
    <t>Who do you need to pay?</t>
  </si>
  <si>
    <t>Q-SB2</t>
  </si>
  <si>
    <t>Q-SB3</t>
  </si>
  <si>
    <t>How do you want to get paid?</t>
  </si>
  <si>
    <t>Q-SB4</t>
  </si>
  <si>
    <t>1a</t>
  </si>
  <si>
    <t>Service Selection (cash management products/services)</t>
  </si>
  <si>
    <t>3a</t>
  </si>
  <si>
    <t>Service Details (cash management products/services)</t>
  </si>
  <si>
    <t>Only if additional product/service selected</t>
  </si>
  <si>
    <t>Manage payments and receivables electronically. Includes:
- Interac e-Transfer (including Request Money)
- Bill payments
- Government (tax) payment and filing
- Deposit Anywhere (remote deposit capture).</t>
  </si>
  <si>
    <t>Only for business banking applicants</t>
  </si>
  <si>
    <t>CWBSB-200</t>
  </si>
  <si>
    <t>2a</t>
  </si>
  <si>
    <t>CWBSB-204</t>
  </si>
  <si>
    <t>CWBSB-511</t>
  </si>
  <si>
    <t>CWBSB-201</t>
  </si>
  <si>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</si>
  <si>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</si>
  <si>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</si>
  <si>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</si>
  <si>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</si>
  <si>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</si>
  <si>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</si>
  <si>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</si>
  <si>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</si>
  <si>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</si>
  <si>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</si>
  <si>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</si>
  <si>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Text/verbiage updates CWBSB-</t>
  </si>
  <si>
    <t>Numerical values 0 through 3</t>
  </si>
  <si>
    <t>Conditional-omit if null value for Product Catalogue attribute "Monthly Free Transactions"</t>
  </si>
  <si>
    <t>Monthly fee $&lt;&lt;Product_Catalogue.Monthly_Fee&gt;&gt;</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</si>
  <si>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</si>
  <si>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</si>
  <si>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</si>
  <si>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</si>
  <si>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</si>
  <si>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 xml:space="preserve">&lt;&lt;Product_Catalogue.Monthly_Free_Tranactions&gt;&gt; monthly free transactions </t>
  </si>
  <si>
    <r>
      <t xml:space="preserve">Are you sure? If you go back, you will lose the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</si>
  <si>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&lt;&lt;count&gt;&gt;</t>
  </si>
  <si>
    <t>account(s) added</t>
  </si>
  <si>
    <t>Validate that at least 1 account has been selected</t>
  </si>
  <si>
    <t>Only when 'Back' button is clicked</t>
  </si>
  <si>
    <t>Whole numbers</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</si>
  <si>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</si>
  <si>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</si>
  <si>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</si>
  <si>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</si>
  <si>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</si>
  <si>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</si>
  <si>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</si>
  <si>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</si>
  <si>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</si>
  <si>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</si>
  <si>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</si>
  <si>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Chequing &amp; Savings Product Catalogue XML CWBSB-432</t>
  </si>
  <si>
    <t>Cash Management Products/Services XML CWBSB-433</t>
  </si>
  <si>
    <t>CWB Small Business Digital Client Onboarding (DCO)</t>
  </si>
  <si>
    <t>Numerical values 1 through 3</t>
  </si>
  <si>
    <t>1 digit</t>
  </si>
  <si>
    <r>
      <t xml:space="preserve">Are you sure you want to remove this account?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account</t>
    </r>
  </si>
  <si>
    <t>Business Digital Banking</t>
  </si>
  <si>
    <t>(no caption)</t>
  </si>
  <si>
    <t>Digital Banking included with all DCO applications - review page should always include this element</t>
  </si>
  <si>
    <t>Small business pages for SB DCO Sprint 8:
- 1. Welcome-Business (CWBSB-201)
- 2. Account Selection (CWBSB-200)
Accounts Product Specification (CWBSB-432)
Account Product Field Matrix (attached to Epic CWBSB-87)</t>
  </si>
  <si>
    <t>Product summary</t>
  </si>
  <si>
    <t>Your selected account</t>
  </si>
  <si>
    <t>If only one account product has been selected</t>
  </si>
  <si>
    <t>If &gt;1 account products have been selected</t>
  </si>
  <si>
    <t>Your &lt;&lt;n&gt;&gt; selected accounts</t>
  </si>
  <si>
    <t>Insert total number of account products selected in field &lt;&lt;n&gt;&gt;</t>
  </si>
  <si>
    <t>Display modal message only if 'Remove' link is clicked</t>
  </si>
  <si>
    <t>Your complementary business solution(s)</t>
  </si>
  <si>
    <r>
      <t xml:space="preserve">Are you sure you want to remove this product/service?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product/service</t>
    </r>
  </si>
  <si>
    <t>IF selection = 'No, do not remove', close modal (no further action)
ELSE IF selection = 'Yes, remove this account', remove the account instance; remove the corresponding tile from the page, close the modal and reload the page</t>
  </si>
  <si>
    <t>IF selection = 'No, do not remove', close modal (no further action)
ELSE IF selection = 'Yes, remove this product/service', remove the selection; remove the corresponding tile from the page, close the modal and reload the page</t>
  </si>
  <si>
    <r>
      <rPr>
        <sz val="11"/>
        <color theme="1"/>
        <rFont val="Calibri"/>
        <family val="2"/>
        <scheme val="minor"/>
      </rPr>
      <t>Need to add an account?</t>
    </r>
    <r>
      <rPr>
        <u/>
        <sz val="11"/>
        <color theme="1"/>
        <rFont val="Calibri"/>
        <family val="2"/>
        <scheme val="minor"/>
      </rPr>
      <t xml:space="preserve">
Go back to account selection</t>
    </r>
  </si>
  <si>
    <t>On click, navigate back to Account Selection (CWBSB-200).
Note: any prior selections that have not been removed by user should be retained.</t>
  </si>
  <si>
    <r>
      <rPr>
        <sz val="11"/>
        <color theme="1"/>
        <rFont val="Calibri"/>
        <family val="2"/>
        <scheme val="minor"/>
      </rPr>
      <t>Need to add a solution for your business?</t>
    </r>
    <r>
      <rPr>
        <u/>
        <sz val="11"/>
        <color theme="1"/>
        <rFont val="Calibri"/>
        <family val="2"/>
        <scheme val="minor"/>
      </rPr>
      <t xml:space="preserve">
Go back to complementary business solutions</t>
    </r>
  </si>
  <si>
    <t>Must be at least one account product selected (Tile Set 4.4-4.8) to continue.</t>
  </si>
  <si>
    <t>Quantity will be based on selection in Account Selection page (CWBSB-200). 
Quantity can be edited in this page if desired (valid values 1-3).</t>
  </si>
  <si>
    <t>You must select at least one account. Click "Go back to account selection" to choose an account.</t>
  </si>
  <si>
    <t>On click…
Validate that at least one account product instance is selected.
IF &gt;=1 account product instance is selected, navigate to Business eConsent (CWBSB-19)
ELSE display validation message and remain on page.</t>
  </si>
  <si>
    <t>2.1</t>
  </si>
  <si>
    <t>Added 4. Product Review page (CWBSB-199) for inclusion in Sprint 8.</t>
  </si>
  <si>
    <t>2.2</t>
  </si>
  <si>
    <t>DEPRECATED - Learn More will link to Sitecore web pages</t>
  </si>
  <si>
    <t>Refer to CWB design system for image assets</t>
  </si>
  <si>
    <t>All solutions</t>
  </si>
  <si>
    <t>Select the type of solutions you are interested in.</t>
  </si>
  <si>
    <t>Other than "All solutions", enumerated values are defined in Product Specification (Product Type attribute)</t>
  </si>
  <si>
    <t>On click, navigate to Product Review page (CWBSB-199)</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</si>
  <si>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</si>
  <si>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 xml:space="preserve">On click, navigate to </t>
  </si>
  <si>
    <t xml:space="preserve">On click, </t>
  </si>
  <si>
    <t>Our business accounts</t>
  </si>
  <si>
    <t>Wording review - updated</t>
  </si>
  <si>
    <t>Choose your account(s)</t>
  </si>
  <si>
    <t>What you've selected</t>
  </si>
  <si>
    <t>OOS for R1</t>
  </si>
  <si>
    <t>View features</t>
  </si>
  <si>
    <t>Quantity:</t>
  </si>
  <si>
    <t>&lt;&lt;Product_Catalogue.Banner&gt;&gt;</t>
  </si>
  <si>
    <t>Product card re-styling CWBSB-658</t>
  </si>
  <si>
    <t>Quantity counter (- / +)</t>
  </si>
  <si>
    <t>See business rules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</si>
  <si>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</si>
  <si>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</si>
  <si>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</si>
  <si>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On click, hyperlink to URL in Product Catalogue attribute "Product Link" (open in new tab/window)</t>
  </si>
  <si>
    <t>On click...
Filter the account cards below to show only chequing accounts.</t>
  </si>
  <si>
    <t>On click...
Filter the account cards below to show only savings accounts.</t>
  </si>
  <si>
    <t>Selected</t>
  </si>
  <si>
    <t>Selected
Unselected</t>
  </si>
  <si>
    <t>Unselected</t>
  </si>
  <si>
    <t>Render as bullet point (see CWB design kit for UI treatment).
Omit if null or zero (0) value for Product Catalogue attribute "Monthly Free Transactions"</t>
  </si>
  <si>
    <t>Conditional - see business rules</t>
  </si>
  <si>
    <t>Reveal for pre-selected accounts only</t>
  </si>
  <si>
    <t>Product cards: show one card composed of the following fields, for each account in the selected category (Chequing or Savings)</t>
  </si>
  <si>
    <t>End product cards section</t>
  </si>
  <si>
    <t>On click, validate that at least one account has been selected (added to "cart").
IF &gt;=1 account has been selected, navigate to Service (complementary products) Selection CWBSB-202
ELSE IF no account(s) selected, remain on page and display validation message.</t>
  </si>
  <si>
    <t>Please select at least one account.</t>
  </si>
  <si>
    <t>Increment counter (sum) according to number of accounts selected from product cards above (including any pre-selected accounts on page entry).</t>
  </si>
  <si>
    <t>Centre text and hyperlinks ('No, stay here' and 'Yes, go back') in modal.
IF user selects 'No, stay here' close modal and remain on page
ELSE IF user selects 'Yes, go back', reset product count to 0, close modal and navigate to 'Contact Info' page (CWBSB-14)</t>
  </si>
  <si>
    <t>Choose your solution(s)</t>
  </si>
  <si>
    <t>Card set for filtered products: show one card composed of the following fields, for each product in the category</t>
  </si>
  <si>
    <t>End card set</t>
  </si>
  <si>
    <t>All solutions
Credit cards
Financing
Payment solutions
Receivable solutions</t>
  </si>
  <si>
    <t>product(s) added</t>
  </si>
  <si>
    <t>Repeatable cash management solutions section: repeat for each solution category displayed (controlled by filter 3.3)</t>
  </si>
  <si>
    <t>[image - &lt;&lt;solution category&gt;&gt;]</t>
  </si>
  <si>
    <t>&lt;&lt;Product_Catalogue.Solution_Category&gt;&gt;</t>
  </si>
  <si>
    <t>On click...
Open (in new tab/window) URL link in &lt;&lt;product link&gt;&gt; attribute for corresponding product</t>
  </si>
  <si>
    <t>On page load, show number of accounts selected in previous page (Account Selection CWBSB-200).
Increment for each additional product/solution selected from product cards in this page.</t>
  </si>
  <si>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</si>
  <si>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On click, display modal confirmation message 3.16</t>
  </si>
  <si>
    <t>This drop-down is used to filter products/solutions by category.
On page load, default "All solutions" and reveal all sections below.
On selection of filter values, show only the solutions in the category selected.</t>
  </si>
  <si>
    <r>
      <rPr>
        <strike/>
        <sz val="14"/>
        <color theme="1"/>
        <rFont val="Calibri"/>
        <family val="2"/>
        <scheme val="minor"/>
      </rPr>
      <t>CWBSB-202</t>
    </r>
    <r>
      <rPr>
        <sz val="14"/>
        <color theme="1"/>
        <rFont val="Calibri"/>
        <family val="2"/>
        <scheme val="minor"/>
      </rPr>
      <t xml:space="preserve"> CWBSB-592</t>
    </r>
  </si>
  <si>
    <t>This element removed for R1</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</si>
  <si>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Chequing account products unselected.
ELSE load all available Chequing account products unselected.</t>
  </si>
  <si>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in this screen by the user.</t>
  </si>
  <si>
    <t>Initial spec for 3. Service Selection (complementary products) (CWBSB-202).
Deprecated account details/service details (redirecting to CWB website).</t>
  </si>
  <si>
    <t>Image support is required but images will not be loaded for R1.</t>
  </si>
  <si>
    <t>This is a round check mark element in top left of product cards - see CWB design kit for visual style and selected/unselected card states.
Load all products/solutions (in unselected state) according to filter control (3.3).</t>
  </si>
  <si>
    <t>Show me:</t>
  </si>
  <si>
    <t>On click, display modal confirmation message 2.21</t>
  </si>
  <si>
    <t>DEPRECATED as guided journey OOS for R1 CWBSB-659</t>
  </si>
  <si>
    <t>2.3</t>
  </si>
  <si>
    <t>Display number of product instances previously selected</t>
  </si>
  <si>
    <t>On click, navigate back to Service Selection (CWBSB-592).
Note: any prior selections that have not been removed by user should be retained.</t>
  </si>
  <si>
    <t>On click...
Navigate back to Service Selection (CWBSB-592)</t>
  </si>
  <si>
    <t>On click...
Display modal confirmation message 4.11</t>
  </si>
  <si>
    <t>Product card set for selected accounts. Show one card composed of the following fields, for each account in the applicant's cart</t>
  </si>
  <si>
    <t>End account card set</t>
  </si>
  <si>
    <t>Product card set for additional selected complementary (cash management) products/services. Show one card composed of the following fields, for each business (cash management) product/service selected</t>
  </si>
  <si>
    <t>Card for Business Digital Banking (always show)</t>
  </si>
  <si>
    <t>Card set for other selected complementary products/services</t>
  </si>
  <si>
    <t>On click...
Display modal confirmation message 4.21</t>
  </si>
  <si>
    <t>Updated 2. Account Selection, 3. Service Selection (complementary products) and 4. Product Review to reflect updated UX design for product cards (CWBSB-658).
Deprecated welcome page and guided question pages as OOS for R1 (CWBSB-659)</t>
  </si>
  <si>
    <t>Step name (above progress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</si>
</sst>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4"/>
      <color theme="1"/>
      <name val="Calibri"/>
      <family val="2"/>
      <scheme val="minor"/>
    </font>
    <font>
      <sz val="1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52">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0" fillId="0" borderId="0" xfId="0" applyFill="1" applyAlignment="1">
      <alignment vertical="center" wrapText="1"/>
    </xf>
    <xf numFmtId="0" fontId="7" fillId="5" borderId="0" xfId="0" applyFont="1" applyFill="1" applyAlignment="1">
      <alignment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3" borderId="11" xfId="0" applyFont="1"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xf>
    <xf numFmtId="0" fontId="4" fillId="0" borderId="0" xfId="0" applyFont="1" applyAlignment="1">
      <alignment vertical="center" wrapText="1"/>
    </xf>
    <xf numFmtId="0" fontId="0" fillId="6" borderId="0" xfId="0" applyFont="1" applyFill="1" applyAlignment="1">
      <alignment vertical="center" wrapText="1"/>
    </xf>
    <xf numFmtId="0" fontId="6"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Fill="1" applyAlignment="1">
      <alignment horizontal="center" vertical="center" wrapText="1"/>
    </xf>
    <xf numFmtId="0" fontId="5" fillId="0" borderId="0" xfId="0" applyFont="1" applyAlignment="1">
      <alignment horizontal="left" vertical="center"/>
    </xf>
    <xf numFmtId="0" fontId="8" fillId="0" borderId="0" xfId="0" applyFont="1" applyFill="1" applyAlignment="1">
      <alignment horizontal="left" vertical="center" wrapText="1"/>
    </xf>
    <xf numFmtId="0" fontId="7" fillId="5" borderId="0" xfId="0" applyFont="1" applyFill="1" applyAlignment="1">
      <alignment horizontal="left" vertical="center"/>
    </xf>
    <xf numFmtId="0" fontId="7" fillId="5" borderId="0" xfId="0" applyFont="1" applyFill="1" applyAlignment="1">
      <alignment vertical="center"/>
    </xf>
    <xf numFmtId="0" fontId="7" fillId="5" borderId="0" xfId="0" applyFont="1" applyFill="1" applyAlignment="1">
      <alignment horizontal="left" vertical="center" wrapText="1"/>
    </xf>
    <xf numFmtId="0" fontId="11" fillId="0" borderId="0" xfId="0" applyFont="1" applyAlignment="1">
      <alignment vertical="center" wrapText="1"/>
    </xf>
  </cellXfs>
  <cellStyles count="1">
    <cellStyle name="Normal" xfId="0" builtinId="0"/>
  </cellStyles>
  <dxfs count="401">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abSelected="1" zoomScaleNormal="100" workbookViewId="0">
      <selection activeCell="A10" sqref="A10"/>
    </sheetView>
  </sheetViews>
  <sheetFormatPr defaultRowHeight="14.5" x14ac:dyDescent="0.35"/>
  <cols>
    <col min="1" max="1" width="19.81640625" customWidth="1"/>
    <col min="2" max="2" width="18.7265625" bestFit="1" customWidth="1"/>
    <col min="3" max="3" width="52.26953125" customWidth="1"/>
    <col min="4" max="6" width="21.54296875" customWidth="1"/>
    <col min="7" max="7" width="20.1796875" customWidth="1"/>
  </cols>
  <sheetData>
    <row r="1" spans="1:16" s="1" customFormat="1" ht="18.5" x14ac:dyDescent="0.35">
      <c r="A1" s="1" t="s">
        <v>224</v>
      </c>
      <c r="B1" s="2"/>
      <c r="C1" s="2"/>
      <c r="D1" s="2"/>
      <c r="E1" s="2"/>
      <c r="F1" s="2"/>
      <c r="G1" s="3"/>
      <c r="H1" s="2"/>
      <c r="I1" s="3"/>
      <c r="J1" s="3"/>
      <c r="K1" s="3"/>
      <c r="L1" s="2"/>
      <c r="M1" s="2"/>
      <c r="N1" s="2"/>
      <c r="O1" s="2"/>
      <c r="P1" s="2"/>
    </row>
    <row r="2" spans="1:16" s="1" customFormat="1" ht="18.5" x14ac:dyDescent="0.35">
      <c r="A2" s="1" t="s">
        <v>62</v>
      </c>
      <c r="B2" s="2"/>
      <c r="C2" s="2"/>
      <c r="D2" s="2"/>
      <c r="E2" s="2"/>
      <c r="F2" s="2"/>
      <c r="G2" s="3"/>
      <c r="H2" s="2"/>
      <c r="I2" s="3"/>
      <c r="J2" s="3"/>
      <c r="K2" s="3"/>
      <c r="L2" s="2"/>
      <c r="M2" s="2"/>
      <c r="N2" s="2"/>
      <c r="O2" s="2"/>
      <c r="P2" s="2"/>
    </row>
    <row r="3" spans="1:16" s="4" customFormat="1" x14ac:dyDescent="0.35">
      <c r="C3" s="5"/>
    </row>
    <row r="4" spans="1:16" ht="15" thickBot="1" x14ac:dyDescent="0.4"/>
    <row r="5" spans="1:16" s="10" customFormat="1" ht="15" thickBot="1" x14ac:dyDescent="0.4">
      <c r="A5" s="6" t="s">
        <v>2</v>
      </c>
      <c r="B5" s="7" t="s">
        <v>3</v>
      </c>
      <c r="C5" s="8" t="s">
        <v>4</v>
      </c>
      <c r="D5" s="7" t="s">
        <v>5</v>
      </c>
      <c r="E5" s="38" t="s">
        <v>61</v>
      </c>
      <c r="F5" s="9" t="s">
        <v>6</v>
      </c>
    </row>
    <row r="6" spans="1:16" s="4" customFormat="1" x14ac:dyDescent="0.35">
      <c r="A6" s="11" t="s">
        <v>63</v>
      </c>
      <c r="B6" s="12">
        <v>44054</v>
      </c>
      <c r="C6" s="13" t="s">
        <v>64</v>
      </c>
      <c r="D6" s="19" t="s">
        <v>1</v>
      </c>
      <c r="E6" s="39"/>
      <c r="F6" s="30"/>
    </row>
    <row r="7" spans="1:16" s="4" customFormat="1" ht="65" x14ac:dyDescent="0.35">
      <c r="A7" s="11" t="s">
        <v>164</v>
      </c>
      <c r="B7" s="12">
        <v>44244</v>
      </c>
      <c r="C7" s="13" t="s">
        <v>231</v>
      </c>
      <c r="D7" s="19" t="s">
        <v>193</v>
      </c>
      <c r="E7" s="39" t="s">
        <v>194</v>
      </c>
      <c r="F7" s="30"/>
    </row>
    <row r="8" spans="1:16" s="4" customFormat="1" ht="26" x14ac:dyDescent="0.35">
      <c r="A8" s="11" t="s">
        <v>250</v>
      </c>
      <c r="B8" s="12">
        <v>44245</v>
      </c>
      <c r="C8" s="13" t="s">
        <v>251</v>
      </c>
      <c r="D8" s="19" t="s">
        <v>193</v>
      </c>
      <c r="E8" s="39" t="s">
        <v>194</v>
      </c>
      <c r="F8" s="30"/>
    </row>
    <row r="9" spans="1:16" s="4" customFormat="1" ht="52" x14ac:dyDescent="0.35">
      <c r="A9" s="11" t="s">
        <v>252</v>
      </c>
      <c r="B9" s="12">
        <v>44253</v>
      </c>
      <c r="C9" s="13" t="s">
        <v>308</v>
      </c>
      <c r="D9" s="19" t="s">
        <v>193</v>
      </c>
      <c r="E9" s="39" t="s">
        <v>194</v>
      </c>
      <c r="F9" s="30"/>
    </row>
    <row r="10" spans="1:16" s="4" customFormat="1" ht="65" x14ac:dyDescent="0.35">
      <c r="A10" s="11" t="s">
        <v>314</v>
      </c>
      <c r="B10" s="12">
        <v>44277</v>
      </c>
      <c r="C10" s="13" t="s">
        <v>325</v>
      </c>
      <c r="D10" s="19" t="s">
        <v>193</v>
      </c>
      <c r="E10" s="39" t="s">
        <v>194</v>
      </c>
      <c r="F10" s="30"/>
    </row>
    <row r="11" spans="1:16" s="4" customFormat="1" x14ac:dyDescent="0.35">
      <c r="A11" s="11"/>
      <c r="B11" s="12"/>
      <c r="C11" s="13"/>
      <c r="D11" s="19"/>
      <c r="E11" s="39"/>
      <c r="F11" s="30"/>
    </row>
    <row r="12" spans="1:16" s="4" customFormat="1" ht="15" thickBot="1" x14ac:dyDescent="0.4">
      <c r="A12" s="14"/>
      <c r="B12" s="15"/>
      <c r="C12" s="16"/>
      <c r="D12" s="18"/>
      <c r="E12" s="40"/>
      <c r="F12" s="17"/>
    </row>
  </sheetData>
  <conditionalFormatting sqref="I1:J2">
    <cfRule type="cellIs" dxfId="400" priority="10" operator="equal">
      <formula>"Not Applicable"</formula>
    </cfRule>
    <cfRule type="cellIs" dxfId="399" priority="11" operator="equal">
      <formula>"4 - Future Initiative (out of scope)"</formula>
    </cfRule>
    <cfRule type="cellIs" dxfId="398" priority="12" operator="equal">
      <formula>"3 - Desirable (Nice To Have)"</formula>
    </cfRule>
    <cfRule type="cellIs" dxfId="397" priority="13" operator="equal">
      <formula>"2 - Recommended (Best Practice)"</formula>
    </cfRule>
    <cfRule type="cellIs" dxfId="396" priority="14" operator="equal">
      <formula>"1 - Mandatory (Must Have)"</formula>
    </cfRule>
  </conditionalFormatting>
  <conditionalFormatting sqref="G1:G2">
    <cfRule type="cellIs" dxfId="395" priority="8" operator="equal">
      <formula>"Non-functional"</formula>
    </cfRule>
    <cfRule type="cellIs" dxfId="394"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selection activeCell="A30" sqref="A30"/>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60</v>
      </c>
      <c r="B2" s="2"/>
      <c r="C2" s="2"/>
      <c r="D2" s="2"/>
      <c r="E2" s="2"/>
      <c r="F2" s="3"/>
      <c r="G2" s="2"/>
      <c r="H2" s="3"/>
      <c r="I2" s="3"/>
      <c r="J2" s="3"/>
      <c r="K2" s="2"/>
      <c r="L2" s="2"/>
      <c r="M2" s="2"/>
      <c r="N2" s="2"/>
      <c r="O2" s="2"/>
    </row>
    <row r="4" spans="1:15" s="20" customFormat="1" x14ac:dyDescent="0.35">
      <c r="A4" s="20" t="s">
        <v>26</v>
      </c>
      <c r="B4" s="20" t="s">
        <v>36</v>
      </c>
    </row>
    <row r="5" spans="1:15" x14ac:dyDescent="0.35">
      <c r="A5" t="s">
        <v>40</v>
      </c>
      <c r="B5" t="s">
        <v>39</v>
      </c>
    </row>
    <row r="6" spans="1:15" x14ac:dyDescent="0.35">
      <c r="A6" t="s">
        <v>28</v>
      </c>
      <c r="B6" t="s">
        <v>37</v>
      </c>
    </row>
    <row r="7" spans="1:15" x14ac:dyDescent="0.35">
      <c r="A7" t="s">
        <v>44</v>
      </c>
      <c r="B7" t="s">
        <v>38</v>
      </c>
    </row>
    <row r="8" spans="1:15" x14ac:dyDescent="0.35">
      <c r="A8" t="s">
        <v>53</v>
      </c>
      <c r="B8" t="s">
        <v>35</v>
      </c>
    </row>
    <row r="9" spans="1:15" x14ac:dyDescent="0.35">
      <c r="A9" t="s">
        <v>46</v>
      </c>
      <c r="B9" t="s">
        <v>42</v>
      </c>
    </row>
    <row r="10" spans="1:15" x14ac:dyDescent="0.35">
      <c r="A10" t="s">
        <v>33</v>
      </c>
    </row>
    <row r="11" spans="1:15" x14ac:dyDescent="0.35">
      <c r="A11" t="s">
        <v>59</v>
      </c>
    </row>
    <row r="12" spans="1:15" x14ac:dyDescent="0.35">
      <c r="A12" t="s">
        <v>58</v>
      </c>
    </row>
    <row r="13" spans="1:15" x14ac:dyDescent="0.35">
      <c r="A13" t="s">
        <v>52</v>
      </c>
    </row>
    <row r="14" spans="1:15" x14ac:dyDescent="0.35">
      <c r="A14" t="s">
        <v>50</v>
      </c>
    </row>
    <row r="15" spans="1:15" x14ac:dyDescent="0.35">
      <c r="A15" t="s">
        <v>48</v>
      </c>
    </row>
    <row r="16" spans="1:15" x14ac:dyDescent="0.35">
      <c r="A16" t="s">
        <v>43</v>
      </c>
    </row>
    <row r="17" spans="1:1" x14ac:dyDescent="0.35">
      <c r="A17" t="s">
        <v>271</v>
      </c>
    </row>
    <row r="18" spans="1:1" x14ac:dyDescent="0.35">
      <c r="A18" t="s">
        <v>86</v>
      </c>
    </row>
    <row r="19" spans="1:1" x14ac:dyDescent="0.35">
      <c r="A19" t="s">
        <v>87</v>
      </c>
    </row>
    <row r="20" spans="1:1" x14ac:dyDescent="0.35">
      <c r="A20" t="s">
        <v>30</v>
      </c>
    </row>
    <row r="21" spans="1:1" x14ac:dyDescent="0.35">
      <c r="A21" t="s">
        <v>29</v>
      </c>
    </row>
    <row r="22" spans="1:1" x14ac:dyDescent="0.35">
      <c r="A22" t="s">
        <v>49</v>
      </c>
    </row>
    <row r="23" spans="1:1" x14ac:dyDescent="0.35">
      <c r="A23" t="s">
        <v>27</v>
      </c>
    </row>
    <row r="24" spans="1:1" x14ac:dyDescent="0.35">
      <c r="A24" t="s">
        <v>47</v>
      </c>
    </row>
    <row r="25" spans="1:1" x14ac:dyDescent="0.35">
      <c r="A25" t="s">
        <v>32</v>
      </c>
    </row>
    <row r="26" spans="1:1" x14ac:dyDescent="0.35">
      <c r="A26" t="s">
        <v>34</v>
      </c>
    </row>
    <row r="27" spans="1:1" x14ac:dyDescent="0.35">
      <c r="A27" t="s">
        <v>326</v>
      </c>
    </row>
    <row r="28" spans="1:1" x14ac:dyDescent="0.35">
      <c r="A28" t="s">
        <v>31</v>
      </c>
    </row>
    <row r="29" spans="1:1" x14ac:dyDescent="0.35">
      <c r="A29" t="s">
        <v>45</v>
      </c>
    </row>
    <row r="30" spans="1:1" x14ac:dyDescent="0.35">
      <c r="A30" t="s">
        <v>51</v>
      </c>
    </row>
  </sheetData>
  <sortState ref="A5:A15">
    <sortCondition ref="A16"/>
  </sortState>
  <conditionalFormatting sqref="H1:I2">
    <cfRule type="cellIs" dxfId="393" priority="3" operator="equal">
      <formula>"Not Applicable"</formula>
    </cfRule>
    <cfRule type="cellIs" dxfId="392" priority="4" operator="equal">
      <formula>"4 - Future Initiative (out of scope)"</formula>
    </cfRule>
    <cfRule type="cellIs" dxfId="391" priority="5" operator="equal">
      <formula>"3 - Desirable (Nice To Have)"</formula>
    </cfRule>
    <cfRule type="cellIs" dxfId="390" priority="6" operator="equal">
      <formula>"2 - Recommended (Best Practice)"</formula>
    </cfRule>
    <cfRule type="cellIs" dxfId="389" priority="7" operator="equal">
      <formula>"1 - Mandatory (Must Have)"</formula>
    </cfRule>
  </conditionalFormatting>
  <conditionalFormatting sqref="F1:F2">
    <cfRule type="cellIs" dxfId="388" priority="1" operator="equal">
      <formula>"Non-functional"</formula>
    </cfRule>
    <cfRule type="cellIs" dxfId="387"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192</v>
      </c>
      <c r="C1" s="25"/>
      <c r="D1" s="22" t="s">
        <v>313</v>
      </c>
      <c r="F1" s="41"/>
      <c r="H1" s="27"/>
    </row>
    <row r="2" spans="1:16" s="23" customFormat="1" ht="18.5" x14ac:dyDescent="0.35">
      <c r="A2" s="21" t="s">
        <v>8</v>
      </c>
      <c r="B2" s="28">
        <v>1</v>
      </c>
      <c r="C2" s="27"/>
      <c r="D2" s="28"/>
      <c r="F2" s="41"/>
      <c r="H2" s="27"/>
    </row>
    <row r="3" spans="1:16" s="23" customFormat="1" ht="18.5" x14ac:dyDescent="0.35">
      <c r="A3" s="21" t="s">
        <v>41</v>
      </c>
      <c r="B3" s="28" t="s">
        <v>182</v>
      </c>
      <c r="C3" s="27"/>
      <c r="D3" s="28"/>
      <c r="F3" s="41"/>
      <c r="H3" s="27"/>
    </row>
    <row r="4" spans="1:16" s="23" customFormat="1" ht="18.5" x14ac:dyDescent="0.35">
      <c r="A4" s="21" t="s">
        <v>9</v>
      </c>
      <c r="B4" s="23" t="s">
        <v>177</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5" si="0">CONCATENATE($B$2, ".", A7)</f>
        <v>1.1</v>
      </c>
      <c r="C7" s="37" t="s">
        <v>38</v>
      </c>
      <c r="D7" s="33" t="s">
        <v>262</v>
      </c>
      <c r="E7" s="34" t="s">
        <v>49</v>
      </c>
      <c r="F7" s="33" t="s">
        <v>55</v>
      </c>
      <c r="G7" s="33" t="s">
        <v>55</v>
      </c>
      <c r="H7" s="37" t="s">
        <v>55</v>
      </c>
      <c r="I7" s="34" t="s">
        <v>54</v>
      </c>
      <c r="J7" s="33" t="s">
        <v>55</v>
      </c>
      <c r="K7" s="33" t="s">
        <v>55</v>
      </c>
      <c r="L7" s="33" t="s">
        <v>55</v>
      </c>
      <c r="M7" s="33" t="s">
        <v>55</v>
      </c>
      <c r="N7" s="33" t="s">
        <v>55</v>
      </c>
      <c r="O7" s="33" t="s">
        <v>55</v>
      </c>
      <c r="P7" s="33" t="s">
        <v>263</v>
      </c>
    </row>
    <row r="8" spans="1:16" x14ac:dyDescent="0.35">
      <c r="A8" s="33">
        <v>2</v>
      </c>
      <c r="B8" s="33" t="str">
        <f t="shared" si="0"/>
        <v>1.2</v>
      </c>
      <c r="C8" s="37" t="s">
        <v>38</v>
      </c>
      <c r="D8" s="33" t="s">
        <v>55</v>
      </c>
      <c r="E8" s="34" t="s">
        <v>43</v>
      </c>
      <c r="F8" s="33" t="s">
        <v>55</v>
      </c>
      <c r="G8" s="33" t="s">
        <v>55</v>
      </c>
      <c r="H8" s="37" t="s">
        <v>55</v>
      </c>
      <c r="I8" s="34" t="s">
        <v>54</v>
      </c>
      <c r="J8" s="33" t="s">
        <v>55</v>
      </c>
      <c r="K8" s="33" t="s">
        <v>55</v>
      </c>
      <c r="L8" s="33" t="s">
        <v>55</v>
      </c>
      <c r="M8" s="33" t="s">
        <v>55</v>
      </c>
      <c r="N8" s="33" t="s">
        <v>55</v>
      </c>
      <c r="O8" s="33" t="s">
        <v>55</v>
      </c>
    </row>
    <row r="9" spans="1:16" ht="29" x14ac:dyDescent="0.35">
      <c r="A9" s="33">
        <v>3</v>
      </c>
      <c r="B9" s="33" t="str">
        <f t="shared" si="0"/>
        <v>1.3</v>
      </c>
      <c r="C9" s="37" t="s">
        <v>38</v>
      </c>
      <c r="D9" s="34" t="s">
        <v>185</v>
      </c>
      <c r="E9" s="34" t="s">
        <v>27</v>
      </c>
      <c r="F9" s="33" t="s">
        <v>55</v>
      </c>
      <c r="G9" s="33" t="s">
        <v>55</v>
      </c>
      <c r="H9" s="37" t="s">
        <v>55</v>
      </c>
      <c r="I9" s="34" t="s">
        <v>54</v>
      </c>
      <c r="J9" s="33" t="s">
        <v>55</v>
      </c>
      <c r="K9" s="33" t="s">
        <v>55</v>
      </c>
      <c r="L9" s="33" t="s">
        <v>55</v>
      </c>
      <c r="M9" s="33" t="s">
        <v>55</v>
      </c>
      <c r="N9" s="33" t="s">
        <v>55</v>
      </c>
      <c r="O9" s="33" t="s">
        <v>55</v>
      </c>
    </row>
    <row r="10" spans="1:16" ht="58" x14ac:dyDescent="0.35">
      <c r="A10" s="33">
        <v>4</v>
      </c>
      <c r="B10" s="33" t="str">
        <f t="shared" si="0"/>
        <v>1.4</v>
      </c>
      <c r="C10" s="37" t="s">
        <v>38</v>
      </c>
      <c r="D10" s="34" t="s">
        <v>191</v>
      </c>
      <c r="E10" s="34" t="s">
        <v>32</v>
      </c>
      <c r="F10" s="33" t="s">
        <v>55</v>
      </c>
      <c r="G10" s="33" t="s">
        <v>55</v>
      </c>
      <c r="H10" s="37" t="s">
        <v>55</v>
      </c>
      <c r="I10" s="34" t="s">
        <v>54</v>
      </c>
      <c r="J10" s="33" t="s">
        <v>55</v>
      </c>
      <c r="K10" s="33" t="s">
        <v>55</v>
      </c>
      <c r="L10" s="33" t="s">
        <v>55</v>
      </c>
      <c r="M10" s="33" t="s">
        <v>55</v>
      </c>
      <c r="N10" s="33" t="s">
        <v>55</v>
      </c>
      <c r="O10" s="33" t="s">
        <v>55</v>
      </c>
    </row>
    <row r="11" spans="1:16" x14ac:dyDescent="0.35">
      <c r="A11" s="33">
        <v>5</v>
      </c>
      <c r="B11" s="33" t="str">
        <f t="shared" si="0"/>
        <v>1.5</v>
      </c>
      <c r="C11" s="37" t="s">
        <v>38</v>
      </c>
      <c r="D11" s="34" t="s">
        <v>186</v>
      </c>
      <c r="E11" s="34" t="s">
        <v>27</v>
      </c>
      <c r="F11" s="33" t="s">
        <v>55</v>
      </c>
      <c r="G11" s="33" t="s">
        <v>55</v>
      </c>
      <c r="H11" s="37" t="s">
        <v>55</v>
      </c>
      <c r="I11" s="34" t="s">
        <v>54</v>
      </c>
      <c r="J11" s="33" t="s">
        <v>55</v>
      </c>
      <c r="K11" s="33" t="s">
        <v>55</v>
      </c>
      <c r="L11" s="33" t="s">
        <v>55</v>
      </c>
      <c r="M11" s="33" t="s">
        <v>55</v>
      </c>
      <c r="N11" s="33" t="s">
        <v>55</v>
      </c>
      <c r="O11" s="33" t="s">
        <v>55</v>
      </c>
    </row>
    <row r="12" spans="1:16" ht="43.5" x14ac:dyDescent="0.35">
      <c r="A12" s="33">
        <v>6</v>
      </c>
      <c r="B12" s="33" t="str">
        <f t="shared" si="0"/>
        <v>1.6</v>
      </c>
      <c r="C12" s="37" t="s">
        <v>38</v>
      </c>
      <c r="D12" s="34" t="s">
        <v>76</v>
      </c>
      <c r="E12" s="33" t="s">
        <v>40</v>
      </c>
      <c r="F12" s="33" t="s">
        <v>187</v>
      </c>
      <c r="G12" s="33" t="s">
        <v>55</v>
      </c>
      <c r="H12" s="37" t="s">
        <v>55</v>
      </c>
      <c r="I12" s="34" t="s">
        <v>54</v>
      </c>
      <c r="J12" s="33" t="s">
        <v>55</v>
      </c>
      <c r="K12" s="33" t="s">
        <v>55</v>
      </c>
      <c r="L12" s="33" t="s">
        <v>55</v>
      </c>
      <c r="M12" s="33" t="s">
        <v>55</v>
      </c>
      <c r="N12" s="33" t="s">
        <v>55</v>
      </c>
      <c r="O12" s="31" t="s">
        <v>189</v>
      </c>
      <c r="P12" s="33" t="s">
        <v>188</v>
      </c>
    </row>
    <row r="13" spans="1:16" ht="58" x14ac:dyDescent="0.35">
      <c r="A13" s="33">
        <v>7</v>
      </c>
      <c r="B13" s="33" t="str">
        <f t="shared" si="0"/>
        <v>1.7</v>
      </c>
      <c r="C13" s="37" t="s">
        <v>38</v>
      </c>
      <c r="D13" s="33" t="s">
        <v>77</v>
      </c>
      <c r="E13" s="33" t="s">
        <v>40</v>
      </c>
      <c r="F13" s="33" t="s">
        <v>187</v>
      </c>
      <c r="G13" s="33" t="s">
        <v>55</v>
      </c>
      <c r="H13" s="37" t="s">
        <v>55</v>
      </c>
      <c r="I13" s="34" t="s">
        <v>54</v>
      </c>
      <c r="J13" s="33" t="s">
        <v>55</v>
      </c>
      <c r="K13" s="33" t="s">
        <v>55</v>
      </c>
      <c r="L13" s="33" t="s">
        <v>55</v>
      </c>
      <c r="M13" s="33" t="s">
        <v>55</v>
      </c>
      <c r="N13" s="33" t="s">
        <v>55</v>
      </c>
      <c r="O13" s="33" t="s">
        <v>190</v>
      </c>
      <c r="P13" s="33" t="s">
        <v>188</v>
      </c>
    </row>
    <row r="14" spans="1:16" x14ac:dyDescent="0.35">
      <c r="A14" s="33">
        <v>8</v>
      </c>
      <c r="B14" s="33" t="str">
        <f t="shared" si="0"/>
        <v>1.8</v>
      </c>
      <c r="C14" s="37" t="s">
        <v>38</v>
      </c>
      <c r="D14" s="34" t="s">
        <v>56</v>
      </c>
      <c r="E14" s="34" t="s">
        <v>40</v>
      </c>
      <c r="F14" s="33" t="s">
        <v>55</v>
      </c>
      <c r="G14" s="33" t="s">
        <v>55</v>
      </c>
      <c r="H14" s="37" t="s">
        <v>55</v>
      </c>
      <c r="I14" s="34" t="s">
        <v>54</v>
      </c>
      <c r="J14" s="33" t="s">
        <v>55</v>
      </c>
      <c r="K14" s="33" t="s">
        <v>55</v>
      </c>
      <c r="L14" s="33" t="s">
        <v>55</v>
      </c>
      <c r="M14" s="34" t="s">
        <v>55</v>
      </c>
      <c r="N14" s="33" t="s">
        <v>55</v>
      </c>
      <c r="O14" s="33" t="s">
        <v>260</v>
      </c>
    </row>
    <row r="15" spans="1:16" x14ac:dyDescent="0.35">
      <c r="A15" s="33">
        <v>9</v>
      </c>
      <c r="B15" s="33" t="str">
        <f t="shared" si="0"/>
        <v>1.9</v>
      </c>
      <c r="C15" s="37" t="s">
        <v>38</v>
      </c>
      <c r="D15" s="34" t="s">
        <v>57</v>
      </c>
      <c r="E15" s="34" t="s">
        <v>40</v>
      </c>
      <c r="F15" s="33" t="s">
        <v>55</v>
      </c>
      <c r="G15" s="33" t="s">
        <v>55</v>
      </c>
      <c r="H15" s="37" t="s">
        <v>55</v>
      </c>
      <c r="I15" s="34" t="s">
        <v>54</v>
      </c>
      <c r="J15" s="33" t="s">
        <v>55</v>
      </c>
      <c r="K15" s="33" t="s">
        <v>55</v>
      </c>
      <c r="L15" s="33" t="s">
        <v>55</v>
      </c>
      <c r="M15" s="34" t="s">
        <v>55</v>
      </c>
      <c r="N15" s="33" t="s">
        <v>55</v>
      </c>
      <c r="O15" s="33" t="s">
        <v>261</v>
      </c>
    </row>
  </sheetData>
  <autoFilter ref="A6:P6"/>
  <conditionalFormatting sqref="C7:C1048576">
    <cfRule type="cellIs" dxfId="386" priority="19" operator="equal">
      <formula>"WIP (see comments)"</formula>
    </cfRule>
    <cfRule type="cellIs" dxfId="385" priority="20" operator="equal">
      <formula>"Removed"</formula>
    </cfRule>
    <cfRule type="cellIs" dxfId="384" priority="21" operator="equal">
      <formula>"Updated"</formula>
    </cfRule>
    <cfRule type="cellIs" dxfId="383" priority="22" operator="equal">
      <formula>"New"</formula>
    </cfRule>
  </conditionalFormatting>
  <conditionalFormatting sqref="D7:D11">
    <cfRule type="cellIs" dxfId="382" priority="18" operator="equal">
      <formula>"-"</formula>
    </cfRule>
  </conditionalFormatting>
  <conditionalFormatting sqref="P12:XFD12 A7:XFD7 A8:B12 D8:XFD11 D12:N12 C8:C15">
    <cfRule type="cellIs" dxfId="381" priority="17" operator="equal">
      <formula>"n/a"</formula>
    </cfRule>
  </conditionalFormatting>
  <conditionalFormatting sqref="O12">
    <cfRule type="cellIs" dxfId="380" priority="16" operator="equal">
      <formula>"n/a"</formula>
    </cfRule>
  </conditionalFormatting>
  <conditionalFormatting sqref="B13 E13:N13">
    <cfRule type="cellIs" dxfId="379" priority="10" operator="equal">
      <formula>"n/a"</formula>
    </cfRule>
  </conditionalFormatting>
  <conditionalFormatting sqref="J14:K15">
    <cfRule type="cellIs" dxfId="378" priority="1" operator="equal">
      <formula>"n/a"</formula>
    </cfRule>
  </conditionalFormatting>
  <conditionalFormatting sqref="D14:D15">
    <cfRule type="cellIs" dxfId="377" priority="5" operator="equal">
      <formula>"-"</formula>
    </cfRule>
  </conditionalFormatting>
  <conditionalFormatting sqref="D14:E15 G14:G15 L14:N15 I14:I15">
    <cfRule type="cellIs" dxfId="376" priority="4" operator="equal">
      <formula>"n/a"</formula>
    </cfRule>
  </conditionalFormatting>
  <conditionalFormatting sqref="H14:H15">
    <cfRule type="cellIs" dxfId="375" priority="3" operator="equal">
      <formula>"n/a"</formula>
    </cfRule>
  </conditionalFormatting>
  <conditionalFormatting sqref="F14:F15">
    <cfRule type="cellIs" dxfId="374" priority="2" operator="equal">
      <formula>"n/a"</formula>
    </cfRule>
  </conditionalFormatting>
  <dataValidations count="1">
    <dataValidation type="list" allowBlank="1" showInputMessage="1" showErrorMessage="1" sqref="E16:E1048576">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Values'!$B$5:$B$9</xm:f>
          </x14:formula1>
          <xm:sqref>C7:C1048576</xm:sqref>
        </x14:dataValidation>
        <x14:dataValidation type="list" allowBlank="1" showInputMessage="1" showErrorMessage="1">
          <x14:formula1>
            <xm:f>'List Values'!$A$5:$A$32</xm:f>
          </x14:formula1>
          <xm:sqref>E7:E13</xm:sqref>
        </x14:dataValidation>
        <x14:dataValidation type="list" allowBlank="1" showInputMessage="1" showErrorMessage="1">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266</v>
      </c>
      <c r="F1" s="41"/>
      <c r="H1" s="27"/>
    </row>
    <row r="2" spans="1:16" s="23" customFormat="1" ht="18.5" x14ac:dyDescent="0.35">
      <c r="A2" s="21" t="s">
        <v>8</v>
      </c>
      <c r="B2" s="28" t="s">
        <v>129</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Q-SB1.1</v>
      </c>
      <c r="C7" s="37" t="s">
        <v>38</v>
      </c>
      <c r="D7" s="33" t="s">
        <v>83</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Q-SB1.2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Q-SB1.3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Q-SB1.4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Q-SB1.5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Q-SB1.6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Q-SB1.6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Q-SB1.7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Q-SB1.8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1:C13 C15:C1048576">
    <cfRule type="cellIs" dxfId="373" priority="15" operator="equal">
      <formula>"WIP (see comments)"</formula>
    </cfRule>
    <cfRule type="cellIs" dxfId="372" priority="16" operator="equal">
      <formula>"Removed"</formula>
    </cfRule>
    <cfRule type="cellIs" dxfId="371" priority="17" operator="equal">
      <formula>"Updated"</formula>
    </cfRule>
    <cfRule type="cellIs" dxfId="370" priority="18" operator="equal">
      <formula>"New"</formula>
    </cfRule>
  </conditionalFormatting>
  <conditionalFormatting sqref="D7:D9 D11:D13">
    <cfRule type="cellIs" dxfId="369" priority="14" operator="equal">
      <formula>"-"</formula>
    </cfRule>
  </conditionalFormatting>
  <conditionalFormatting sqref="P15:XFD15 A11:L11 A15:N15 N11:XFD11 E16:N17 A13:B13 N13:XFD13 K12:L13 E13:J13 A7:XFD9 C12:D13 B16:C17">
    <cfRule type="cellIs" dxfId="368" priority="13" operator="equal">
      <formula>"n/a"</formula>
    </cfRule>
  </conditionalFormatting>
  <conditionalFormatting sqref="O15">
    <cfRule type="cellIs" dxfId="367" priority="12" operator="equal">
      <formula>"n/a"</formula>
    </cfRule>
  </conditionalFormatting>
  <conditionalFormatting sqref="M11 M13">
    <cfRule type="cellIs" dxfId="366" priority="11" operator="equal">
      <formula>"n/a"</formula>
    </cfRule>
  </conditionalFormatting>
  <conditionalFormatting sqref="F10:XFD10">
    <cfRule type="cellIs" dxfId="365" priority="10" operator="equal">
      <formula>"n/a"</formula>
    </cfRule>
  </conditionalFormatting>
  <conditionalFormatting sqref="F14:XFD14 A14">
    <cfRule type="cellIs" dxfId="364" priority="9" operator="equal">
      <formula>"n/a"</formula>
    </cfRule>
  </conditionalFormatting>
  <conditionalFormatting sqref="A12:B12 N12:XFD12 E12:J12">
    <cfRule type="cellIs" dxfId="363" priority="3" operator="equal">
      <formula>"n/a"</formula>
    </cfRule>
  </conditionalFormatting>
  <conditionalFormatting sqref="M12">
    <cfRule type="cellIs" dxfId="362" priority="2" operator="equal">
      <formula>"n/a"</formula>
    </cfRule>
  </conditionalFormatting>
  <conditionalFormatting sqref="A10">
    <cfRule type="cellIs" dxfId="3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C11:C13 C15:C1048576</xm:sqref>
        </x14:dataValidation>
        <x14:dataValidation type="list" allowBlank="1" showInputMessage="1" showErrorMessage="1">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A17" sqref="A17"/>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266</v>
      </c>
      <c r="F1" s="41"/>
      <c r="H1" s="27"/>
    </row>
    <row r="2" spans="1:16" s="23" customFormat="1" ht="18.5" x14ac:dyDescent="0.35">
      <c r="A2" s="21" t="s">
        <v>8</v>
      </c>
      <c r="B2" s="28" t="s">
        <v>167</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Q-SB2.1</v>
      </c>
      <c r="C7" s="37" t="s">
        <v>38</v>
      </c>
      <c r="D7" s="33" t="s">
        <v>165</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Q-SB2.2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Q-SB2.3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Q-SB2.4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Q-SB2.5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Q-SB2.6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Q-SB2.6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Q-SB2.7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Q-SB2.8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1:C13 C15:C1048576">
    <cfRule type="cellIs" dxfId="360" priority="14" operator="equal">
      <formula>"WIP (see comments)"</formula>
    </cfRule>
    <cfRule type="cellIs" dxfId="359" priority="15" operator="equal">
      <formula>"Removed"</formula>
    </cfRule>
    <cfRule type="cellIs" dxfId="358" priority="16" operator="equal">
      <formula>"Updated"</formula>
    </cfRule>
    <cfRule type="cellIs" dxfId="357" priority="17" operator="equal">
      <formula>"New"</formula>
    </cfRule>
  </conditionalFormatting>
  <conditionalFormatting sqref="D7:D9 D11:D13">
    <cfRule type="cellIs" dxfId="356" priority="13" operator="equal">
      <formula>"-"</formula>
    </cfRule>
  </conditionalFormatting>
  <conditionalFormatting sqref="P15:XFD15 A11:L11 A15:N15 N11:XFD11 E16:N17 A13:B13 N13:XFD13 K12:L13 E13:J13 A7:XFD9 C12:D13 B16:C17">
    <cfRule type="cellIs" dxfId="355" priority="12" operator="equal">
      <formula>"n/a"</formula>
    </cfRule>
  </conditionalFormatting>
  <conditionalFormatting sqref="O15">
    <cfRule type="cellIs" dxfId="354" priority="11" operator="equal">
      <formula>"n/a"</formula>
    </cfRule>
  </conditionalFormatting>
  <conditionalFormatting sqref="M11 M13">
    <cfRule type="cellIs" dxfId="353" priority="10" operator="equal">
      <formula>"n/a"</formula>
    </cfRule>
  </conditionalFormatting>
  <conditionalFormatting sqref="F10:XFD10">
    <cfRule type="cellIs" dxfId="352" priority="9" operator="equal">
      <formula>"n/a"</formula>
    </cfRule>
  </conditionalFormatting>
  <conditionalFormatting sqref="F14:XFD14 A14">
    <cfRule type="cellIs" dxfId="351" priority="8" operator="equal">
      <formula>"n/a"</formula>
    </cfRule>
  </conditionalFormatting>
  <conditionalFormatting sqref="A12:B12 N12:XFD12 E12:J12">
    <cfRule type="cellIs" dxfId="350" priority="3" operator="equal">
      <formula>"n/a"</formula>
    </cfRule>
  </conditionalFormatting>
  <conditionalFormatting sqref="M12">
    <cfRule type="cellIs" dxfId="349" priority="2" operator="equal">
      <formula>"n/a"</formula>
    </cfRule>
  </conditionalFormatting>
  <conditionalFormatting sqref="A10">
    <cfRule type="cellIs" dxfId="3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C11:C13 C15:C1048576</xm:sqref>
        </x14:dataValidation>
        <x14:dataValidation type="list" allowBlank="1" showInputMessage="1" showErrorMessage="1">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hidden="1" customHeight="1" x14ac:dyDescent="0.35">
      <c r="A1" s="21" t="s">
        <v>7</v>
      </c>
      <c r="B1" s="29" t="s">
        <v>135</v>
      </c>
      <c r="C1" s="25"/>
      <c r="D1" s="22"/>
      <c r="F1" s="41"/>
      <c r="H1" s="27"/>
    </row>
    <row r="2" spans="1:16" s="23" customFormat="1" ht="18.5" x14ac:dyDescent="0.35">
      <c r="A2" s="21" t="s">
        <v>8</v>
      </c>
      <c r="B2" s="28">
        <v>2</v>
      </c>
      <c r="C2" s="27"/>
      <c r="D2" s="28" t="s">
        <v>222</v>
      </c>
      <c r="F2" s="41"/>
      <c r="H2" s="27"/>
    </row>
    <row r="3" spans="1:16" s="23" customFormat="1" ht="18.5" x14ac:dyDescent="0.35">
      <c r="A3" s="21" t="s">
        <v>41</v>
      </c>
      <c r="B3" s="28" t="s">
        <v>178</v>
      </c>
      <c r="C3" s="27"/>
      <c r="D3" s="28" t="s">
        <v>195</v>
      </c>
      <c r="F3" s="41"/>
      <c r="H3" s="27"/>
    </row>
    <row r="4" spans="1:16" s="23" customFormat="1" ht="18.5" x14ac:dyDescent="0.35">
      <c r="A4" s="21" t="s">
        <v>9</v>
      </c>
      <c r="B4" s="23" t="s">
        <v>54</v>
      </c>
      <c r="C4" s="27"/>
      <c r="D4" s="23" t="s">
        <v>270</v>
      </c>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8" si="0">CONCATENATE($B$2, ".", A7)</f>
        <v>2.1</v>
      </c>
      <c r="C7" s="37" t="s">
        <v>35</v>
      </c>
      <c r="D7" s="33" t="s">
        <v>264</v>
      </c>
      <c r="E7" s="34" t="s">
        <v>326</v>
      </c>
      <c r="F7" s="33" t="s">
        <v>55</v>
      </c>
      <c r="G7" s="33" t="s">
        <v>55</v>
      </c>
      <c r="H7" s="37" t="s">
        <v>55</v>
      </c>
      <c r="I7" s="34" t="s">
        <v>54</v>
      </c>
      <c r="J7" s="33" t="s">
        <v>55</v>
      </c>
      <c r="K7" s="33" t="s">
        <v>55</v>
      </c>
      <c r="L7" s="33" t="s">
        <v>55</v>
      </c>
      <c r="M7" s="33" t="s">
        <v>55</v>
      </c>
      <c r="N7" s="33" t="s">
        <v>55</v>
      </c>
      <c r="O7" s="33" t="s">
        <v>55</v>
      </c>
      <c r="P7" s="33" t="s">
        <v>263</v>
      </c>
    </row>
    <row r="8" spans="1:16" x14ac:dyDescent="0.35">
      <c r="A8" s="33">
        <v>2</v>
      </c>
      <c r="B8" s="33" t="str">
        <f t="shared" si="0"/>
        <v>2.2</v>
      </c>
      <c r="C8" s="37" t="s">
        <v>37</v>
      </c>
      <c r="D8" s="33" t="s">
        <v>55</v>
      </c>
      <c r="E8" s="34" t="s">
        <v>43</v>
      </c>
      <c r="F8" s="33" t="s">
        <v>55</v>
      </c>
      <c r="G8" s="33" t="s">
        <v>55</v>
      </c>
      <c r="H8" s="37" t="s">
        <v>55</v>
      </c>
      <c r="I8" s="34" t="s">
        <v>54</v>
      </c>
      <c r="J8" s="33" t="s">
        <v>55</v>
      </c>
      <c r="K8" s="33" t="s">
        <v>55</v>
      </c>
      <c r="L8" s="33" t="s">
        <v>55</v>
      </c>
      <c r="M8" s="33" t="s">
        <v>55</v>
      </c>
      <c r="N8" s="33" t="s">
        <v>55</v>
      </c>
      <c r="O8" s="33" t="s">
        <v>55</v>
      </c>
    </row>
    <row r="9" spans="1:16" x14ac:dyDescent="0.35">
      <c r="A9" s="33">
        <v>3</v>
      </c>
      <c r="B9" s="33" t="str">
        <f>CONCATENATE($B$2, ".", A9)</f>
        <v>2.3</v>
      </c>
      <c r="C9" s="37" t="s">
        <v>35</v>
      </c>
      <c r="D9" s="34" t="s">
        <v>150</v>
      </c>
      <c r="E9" s="34" t="s">
        <v>49</v>
      </c>
      <c r="F9" s="33" t="s">
        <v>55</v>
      </c>
      <c r="G9" s="33" t="s">
        <v>55</v>
      </c>
      <c r="H9" s="37" t="s">
        <v>55</v>
      </c>
      <c r="I9" s="34" t="s">
        <v>54</v>
      </c>
      <c r="J9" s="33" t="s">
        <v>55</v>
      </c>
      <c r="K9" s="33" t="s">
        <v>55</v>
      </c>
      <c r="L9" s="33" t="s">
        <v>55</v>
      </c>
      <c r="M9" s="34" t="s">
        <v>55</v>
      </c>
      <c r="N9" s="33" t="s">
        <v>55</v>
      </c>
    </row>
    <row r="10" spans="1:16" ht="43.5" x14ac:dyDescent="0.35">
      <c r="A10" s="33">
        <v>4</v>
      </c>
      <c r="B10" s="33" t="str">
        <f>CONCATENATE($B$2, ".", A10)</f>
        <v>2.4</v>
      </c>
      <c r="C10" s="37" t="s">
        <v>35</v>
      </c>
      <c r="D10" s="34" t="s">
        <v>151</v>
      </c>
      <c r="E10" s="34" t="s">
        <v>87</v>
      </c>
      <c r="F10" s="33" t="s">
        <v>280</v>
      </c>
      <c r="G10" s="33" t="s">
        <v>55</v>
      </c>
      <c r="H10" s="37" t="s">
        <v>55</v>
      </c>
      <c r="I10" s="34" t="s">
        <v>54</v>
      </c>
      <c r="J10" s="33" t="s">
        <v>279</v>
      </c>
      <c r="K10" s="33" t="s">
        <v>55</v>
      </c>
      <c r="L10" s="33" t="s">
        <v>55</v>
      </c>
      <c r="M10" s="34" t="s">
        <v>55</v>
      </c>
      <c r="N10" s="33" t="s">
        <v>55</v>
      </c>
      <c r="O10" s="33" t="s">
        <v>277</v>
      </c>
    </row>
    <row r="11" spans="1:16" ht="43.5" x14ac:dyDescent="0.35">
      <c r="A11" s="33">
        <v>5</v>
      </c>
      <c r="B11" s="33" t="str">
        <f>CONCATENATE($B$2, ".", A11)</f>
        <v>2.5</v>
      </c>
      <c r="C11" s="37" t="s">
        <v>35</v>
      </c>
      <c r="D11" s="34" t="s">
        <v>152</v>
      </c>
      <c r="E11" s="34" t="s">
        <v>87</v>
      </c>
      <c r="F11" s="33" t="s">
        <v>280</v>
      </c>
      <c r="G11" s="33" t="s">
        <v>55</v>
      </c>
      <c r="H11" s="37" t="s">
        <v>55</v>
      </c>
      <c r="I11" s="34" t="s">
        <v>54</v>
      </c>
      <c r="J11" s="33" t="s">
        <v>281</v>
      </c>
      <c r="K11" s="33" t="s">
        <v>55</v>
      </c>
      <c r="L11" s="33" t="s">
        <v>55</v>
      </c>
      <c r="M11" s="34" t="s">
        <v>55</v>
      </c>
      <c r="N11" s="33" t="s">
        <v>55</v>
      </c>
      <c r="O11" s="33" t="s">
        <v>278</v>
      </c>
    </row>
    <row r="12" spans="1:16" s="32" customFormat="1" ht="15" customHeight="1" x14ac:dyDescent="0.35">
      <c r="A12" s="49" t="s">
        <v>285</v>
      </c>
      <c r="B12" s="49"/>
      <c r="C12" s="49"/>
      <c r="D12" s="49"/>
      <c r="E12" s="49"/>
      <c r="F12" s="49"/>
    </row>
    <row r="13" spans="1:16" x14ac:dyDescent="0.35">
      <c r="A13" s="33">
        <v>6</v>
      </c>
      <c r="B13" s="33" t="str">
        <f t="shared" ref="B13:B23" si="1">CONCATENATE($B$2, ".", A13)</f>
        <v>2.6</v>
      </c>
      <c r="C13" s="37" t="s">
        <v>38</v>
      </c>
      <c r="D13" s="34" t="s">
        <v>269</v>
      </c>
      <c r="E13" s="34" t="s">
        <v>59</v>
      </c>
      <c r="F13" s="33" t="s">
        <v>55</v>
      </c>
      <c r="G13" s="33" t="s">
        <v>55</v>
      </c>
      <c r="H13" s="37" t="s">
        <v>55</v>
      </c>
      <c r="I13" s="33" t="s">
        <v>55</v>
      </c>
      <c r="J13" s="33" t="s">
        <v>55</v>
      </c>
      <c r="K13" s="33" t="s">
        <v>55</v>
      </c>
      <c r="L13" s="33" t="s">
        <v>55</v>
      </c>
      <c r="M13" s="34" t="s">
        <v>55</v>
      </c>
      <c r="N13" s="33" t="s">
        <v>55</v>
      </c>
      <c r="O13" s="51" t="s">
        <v>305</v>
      </c>
    </row>
    <row r="14" spans="1:16" ht="159.5" x14ac:dyDescent="0.35">
      <c r="A14" s="33">
        <v>7</v>
      </c>
      <c r="B14" s="33" t="str">
        <f>CONCATENATE($B$2, ".", A14)</f>
        <v>2.7</v>
      </c>
      <c r="C14" s="37" t="s">
        <v>35</v>
      </c>
      <c r="D14" s="34" t="s">
        <v>229</v>
      </c>
      <c r="E14" s="34" t="s">
        <v>28</v>
      </c>
      <c r="F14" s="33" t="s">
        <v>55</v>
      </c>
      <c r="G14" s="33" t="s">
        <v>55</v>
      </c>
      <c r="H14" s="37" t="s">
        <v>55</v>
      </c>
      <c r="I14" s="34" t="s">
        <v>54</v>
      </c>
      <c r="J14" s="33" t="s">
        <v>272</v>
      </c>
      <c r="K14" s="33" t="s">
        <v>55</v>
      </c>
      <c r="L14" s="33" t="s">
        <v>55</v>
      </c>
      <c r="M14" s="34" t="s">
        <v>55</v>
      </c>
      <c r="N14" s="33" t="s">
        <v>55</v>
      </c>
      <c r="O14" s="33" t="s">
        <v>306</v>
      </c>
    </row>
    <row r="15" spans="1:16" ht="29" x14ac:dyDescent="0.35">
      <c r="A15" s="33">
        <v>8</v>
      </c>
      <c r="B15" s="33" t="str">
        <f>CONCATENATE($B$2, ".", A15)</f>
        <v>2.8</v>
      </c>
      <c r="C15" s="37" t="s">
        <v>38</v>
      </c>
      <c r="D15" s="34" t="s">
        <v>146</v>
      </c>
      <c r="E15" s="34" t="s">
        <v>48</v>
      </c>
      <c r="F15" s="33" t="s">
        <v>55</v>
      </c>
      <c r="G15" s="33" t="s">
        <v>55</v>
      </c>
      <c r="H15" s="37" t="s">
        <v>55</v>
      </c>
      <c r="I15" s="34" t="s">
        <v>54</v>
      </c>
      <c r="J15" s="33" t="s">
        <v>55</v>
      </c>
      <c r="K15" s="33" t="s">
        <v>55</v>
      </c>
      <c r="L15" s="33" t="s">
        <v>55</v>
      </c>
      <c r="M15" s="34" t="s">
        <v>55</v>
      </c>
      <c r="N15" s="33" t="s">
        <v>55</v>
      </c>
      <c r="P15" s="33" t="s">
        <v>309</v>
      </c>
    </row>
    <row r="16" spans="1:16" x14ac:dyDescent="0.35">
      <c r="A16" s="33">
        <v>9</v>
      </c>
      <c r="B16" s="33" t="str">
        <f>CONCATENATE($B$2, ".", A16)</f>
        <v>2.9</v>
      </c>
      <c r="C16" s="37" t="s">
        <v>37</v>
      </c>
      <c r="D16" s="34" t="s">
        <v>147</v>
      </c>
      <c r="E16" s="34" t="s">
        <v>27</v>
      </c>
      <c r="F16" s="33" t="s">
        <v>55</v>
      </c>
      <c r="G16" s="33" t="s">
        <v>55</v>
      </c>
      <c r="H16" s="37" t="s">
        <v>55</v>
      </c>
      <c r="I16" s="34" t="s">
        <v>54</v>
      </c>
      <c r="J16" s="33" t="s">
        <v>55</v>
      </c>
      <c r="K16" s="33" t="s">
        <v>55</v>
      </c>
      <c r="L16" s="33" t="s">
        <v>55</v>
      </c>
      <c r="M16" s="34" t="s">
        <v>55</v>
      </c>
      <c r="N16" s="33" t="s">
        <v>55</v>
      </c>
    </row>
    <row r="17" spans="1:16" x14ac:dyDescent="0.35">
      <c r="A17" s="33">
        <v>10</v>
      </c>
      <c r="B17" s="33" t="str">
        <f t="shared" si="1"/>
        <v>2.10</v>
      </c>
      <c r="C17" s="37" t="s">
        <v>37</v>
      </c>
      <c r="D17" s="34" t="s">
        <v>148</v>
      </c>
      <c r="E17" s="34" t="s">
        <v>59</v>
      </c>
      <c r="F17" s="33" t="s">
        <v>55</v>
      </c>
      <c r="G17" s="33" t="s">
        <v>55</v>
      </c>
      <c r="H17" s="37" t="s">
        <v>55</v>
      </c>
      <c r="I17" s="34" t="s">
        <v>54</v>
      </c>
      <c r="J17" s="33" t="s">
        <v>55</v>
      </c>
      <c r="K17" s="33" t="s">
        <v>55</v>
      </c>
      <c r="L17" s="33" t="s">
        <v>55</v>
      </c>
      <c r="M17" s="34" t="s">
        <v>55</v>
      </c>
      <c r="N17" s="33" t="s">
        <v>55</v>
      </c>
    </row>
    <row r="18" spans="1:16" ht="58" x14ac:dyDescent="0.35">
      <c r="A18" s="33">
        <v>11</v>
      </c>
      <c r="B18" s="33" t="str">
        <f t="shared" si="1"/>
        <v>2.11</v>
      </c>
      <c r="C18" s="37" t="s">
        <v>35</v>
      </c>
      <c r="D18" s="34" t="s">
        <v>204</v>
      </c>
      <c r="E18" s="34" t="s">
        <v>59</v>
      </c>
      <c r="F18" s="33" t="s">
        <v>55</v>
      </c>
      <c r="G18" s="33" t="s">
        <v>55</v>
      </c>
      <c r="H18" s="37" t="s">
        <v>55</v>
      </c>
      <c r="I18" s="34" t="s">
        <v>283</v>
      </c>
      <c r="J18" s="33" t="s">
        <v>55</v>
      </c>
      <c r="K18" s="33" t="s">
        <v>55</v>
      </c>
      <c r="L18" s="33" t="s">
        <v>55</v>
      </c>
      <c r="M18" s="34" t="s">
        <v>55</v>
      </c>
      <c r="N18" s="33" t="s">
        <v>55</v>
      </c>
      <c r="O18" s="33" t="s">
        <v>282</v>
      </c>
    </row>
    <row r="19" spans="1:16" ht="58" x14ac:dyDescent="0.35">
      <c r="A19" s="33">
        <v>12</v>
      </c>
      <c r="B19" s="33" t="str">
        <f>CONCATENATE($B$2, ".", A19)</f>
        <v>2.12</v>
      </c>
      <c r="C19" s="37" t="s">
        <v>35</v>
      </c>
      <c r="D19" s="34" t="s">
        <v>198</v>
      </c>
      <c r="E19" s="34" t="s">
        <v>59</v>
      </c>
      <c r="F19" s="33" t="s">
        <v>55</v>
      </c>
      <c r="G19" s="33" t="s">
        <v>55</v>
      </c>
      <c r="H19" s="37" t="s">
        <v>55</v>
      </c>
      <c r="I19" s="34" t="s">
        <v>54</v>
      </c>
      <c r="J19" s="33" t="s">
        <v>55</v>
      </c>
      <c r="K19" s="33" t="s">
        <v>55</v>
      </c>
      <c r="L19" s="33" t="s">
        <v>55</v>
      </c>
      <c r="M19" s="34" t="s">
        <v>55</v>
      </c>
      <c r="N19" s="33" t="s">
        <v>55</v>
      </c>
      <c r="O19" s="33" t="s">
        <v>273</v>
      </c>
    </row>
    <row r="20" spans="1:16" ht="58" x14ac:dyDescent="0.35">
      <c r="A20" s="33">
        <v>13</v>
      </c>
      <c r="B20" s="33" t="str">
        <f t="shared" ref="B20:B21" si="2">CONCATENATE($B$2, ".", A20)</f>
        <v>2.13</v>
      </c>
      <c r="C20" s="37" t="s">
        <v>35</v>
      </c>
      <c r="D20" s="34" t="s">
        <v>199</v>
      </c>
      <c r="E20" s="34" t="s">
        <v>59</v>
      </c>
      <c r="F20" s="33" t="s">
        <v>55</v>
      </c>
      <c r="G20" s="33" t="s">
        <v>55</v>
      </c>
      <c r="H20" s="37" t="s">
        <v>55</v>
      </c>
      <c r="I20" s="34" t="s">
        <v>283</v>
      </c>
      <c r="J20" s="33" t="s">
        <v>55</v>
      </c>
      <c r="K20" s="33" t="s">
        <v>55</v>
      </c>
      <c r="L20" s="33" t="s">
        <v>55</v>
      </c>
      <c r="M20" s="34" t="s">
        <v>55</v>
      </c>
      <c r="N20" s="33" t="s">
        <v>55</v>
      </c>
      <c r="O20" s="33" t="s">
        <v>274</v>
      </c>
    </row>
    <row r="21" spans="1:16" ht="58" x14ac:dyDescent="0.35">
      <c r="A21" s="33">
        <v>14</v>
      </c>
      <c r="B21" s="33" t="str">
        <f t="shared" si="2"/>
        <v>2.14</v>
      </c>
      <c r="C21" s="37" t="s">
        <v>35</v>
      </c>
      <c r="D21" s="34" t="s">
        <v>200</v>
      </c>
      <c r="E21" s="34" t="s">
        <v>59</v>
      </c>
      <c r="F21" s="33" t="s">
        <v>55</v>
      </c>
      <c r="G21" s="33" t="s">
        <v>55</v>
      </c>
      <c r="H21" s="37" t="s">
        <v>55</v>
      </c>
      <c r="I21" s="34" t="s">
        <v>283</v>
      </c>
      <c r="J21" s="33" t="s">
        <v>55</v>
      </c>
      <c r="K21" s="33" t="s">
        <v>55</v>
      </c>
      <c r="L21" s="33" t="s">
        <v>55</v>
      </c>
      <c r="M21" s="34" t="s">
        <v>55</v>
      </c>
      <c r="N21" s="33" t="s">
        <v>55</v>
      </c>
      <c r="O21" s="33" t="s">
        <v>275</v>
      </c>
    </row>
    <row r="22" spans="1:16" ht="29" x14ac:dyDescent="0.35">
      <c r="A22" s="33">
        <v>15</v>
      </c>
      <c r="B22" s="33" t="str">
        <f>CONCATENATE($B$2, ".", A22)</f>
        <v>2.15</v>
      </c>
      <c r="C22" s="37" t="s">
        <v>35</v>
      </c>
      <c r="D22" s="34" t="s">
        <v>267</v>
      </c>
      <c r="E22" s="34" t="s">
        <v>47</v>
      </c>
      <c r="F22" s="33" t="s">
        <v>55</v>
      </c>
      <c r="G22" s="33" t="s">
        <v>55</v>
      </c>
      <c r="H22" s="37" t="s">
        <v>55</v>
      </c>
      <c r="I22" s="34" t="s">
        <v>54</v>
      </c>
      <c r="J22" s="33" t="s">
        <v>55</v>
      </c>
      <c r="K22" s="33" t="s">
        <v>55</v>
      </c>
      <c r="L22" s="33" t="s">
        <v>55</v>
      </c>
      <c r="M22" s="34" t="s">
        <v>55</v>
      </c>
      <c r="N22" s="33" t="s">
        <v>55</v>
      </c>
      <c r="O22" s="33" t="s">
        <v>276</v>
      </c>
    </row>
    <row r="23" spans="1:16" s="32" customFormat="1" ht="141.5" customHeight="1" x14ac:dyDescent="0.35">
      <c r="A23" s="33">
        <v>16</v>
      </c>
      <c r="B23" s="33" t="str">
        <f t="shared" si="1"/>
        <v>2.16</v>
      </c>
      <c r="C23" s="37" t="s">
        <v>35</v>
      </c>
      <c r="D23" s="34" t="s">
        <v>268</v>
      </c>
      <c r="E23" s="34" t="s">
        <v>271</v>
      </c>
      <c r="F23" s="33" t="s">
        <v>196</v>
      </c>
      <c r="G23" s="33" t="s">
        <v>55</v>
      </c>
      <c r="H23" s="37">
        <v>1</v>
      </c>
      <c r="I23" s="34" t="s">
        <v>284</v>
      </c>
      <c r="J23" s="44" t="s">
        <v>272</v>
      </c>
      <c r="K23" s="33" t="s">
        <v>55</v>
      </c>
      <c r="L23" s="33" t="s">
        <v>55</v>
      </c>
      <c r="M23" s="34" t="s">
        <v>55</v>
      </c>
      <c r="N23" s="33" t="s">
        <v>55</v>
      </c>
      <c r="O23" s="33" t="s">
        <v>307</v>
      </c>
      <c r="P23" s="33"/>
    </row>
    <row r="24" spans="1:16" x14ac:dyDescent="0.35">
      <c r="A24" s="49" t="s">
        <v>286</v>
      </c>
      <c r="B24" s="49"/>
      <c r="C24" s="49"/>
      <c r="D24" s="49"/>
      <c r="E24" s="49"/>
      <c r="F24" s="49"/>
      <c r="G24" s="32"/>
      <c r="H24" s="32"/>
      <c r="I24" s="32"/>
      <c r="J24" s="32"/>
      <c r="K24" s="32"/>
      <c r="L24" s="32"/>
      <c r="M24" s="32"/>
      <c r="N24" s="32"/>
      <c r="O24" s="32"/>
      <c r="P24" s="32"/>
    </row>
    <row r="25" spans="1:16" ht="43.5" x14ac:dyDescent="0.35">
      <c r="A25" s="33">
        <v>17</v>
      </c>
      <c r="B25" s="33" t="str">
        <f>CONCATENATE($B$2, ".", A25)</f>
        <v>2.17</v>
      </c>
      <c r="C25" s="37" t="s">
        <v>37</v>
      </c>
      <c r="D25" s="34" t="s">
        <v>206</v>
      </c>
      <c r="E25" s="34" t="s">
        <v>40</v>
      </c>
      <c r="F25" s="33" t="s">
        <v>210</v>
      </c>
      <c r="G25" s="33" t="s">
        <v>55</v>
      </c>
      <c r="H25" s="37" t="s">
        <v>55</v>
      </c>
      <c r="I25" s="34" t="s">
        <v>54</v>
      </c>
      <c r="J25" s="44">
        <v>0</v>
      </c>
      <c r="K25" s="33" t="s">
        <v>55</v>
      </c>
      <c r="L25" s="33" t="s">
        <v>55</v>
      </c>
      <c r="M25" s="34" t="s">
        <v>55</v>
      </c>
      <c r="N25" s="33" t="s">
        <v>55</v>
      </c>
      <c r="O25" s="33" t="s">
        <v>289</v>
      </c>
    </row>
    <row r="26" spans="1:16" x14ac:dyDescent="0.35">
      <c r="A26" s="33">
        <v>18</v>
      </c>
      <c r="B26" s="33" t="str">
        <f>CONCATENATE($B$2, ".", A26)</f>
        <v>2.18</v>
      </c>
      <c r="C26" s="37" t="s">
        <v>37</v>
      </c>
      <c r="D26" s="34" t="s">
        <v>207</v>
      </c>
      <c r="E26" s="34" t="s">
        <v>40</v>
      </c>
      <c r="F26" s="33" t="s">
        <v>55</v>
      </c>
      <c r="G26" s="33" t="s">
        <v>55</v>
      </c>
      <c r="H26" s="37" t="s">
        <v>55</v>
      </c>
      <c r="I26" s="34" t="s">
        <v>54</v>
      </c>
      <c r="J26" s="33" t="s">
        <v>55</v>
      </c>
      <c r="K26" s="33" t="s">
        <v>55</v>
      </c>
      <c r="L26" s="33" t="s">
        <v>55</v>
      </c>
      <c r="M26" s="34" t="s">
        <v>55</v>
      </c>
      <c r="N26" s="33" t="s">
        <v>55</v>
      </c>
    </row>
    <row r="27" spans="1:16" ht="87" x14ac:dyDescent="0.35">
      <c r="A27" s="33">
        <v>19</v>
      </c>
      <c r="B27" s="33" t="str">
        <f>CONCATENATE($B$2, ".", A27)</f>
        <v>2.19</v>
      </c>
      <c r="C27" s="37" t="s">
        <v>35</v>
      </c>
      <c r="D27" s="34" t="s">
        <v>56</v>
      </c>
      <c r="E27" s="34" t="s">
        <v>40</v>
      </c>
      <c r="F27" s="33" t="s">
        <v>55</v>
      </c>
      <c r="G27" s="33" t="s">
        <v>55</v>
      </c>
      <c r="H27" s="37" t="s">
        <v>55</v>
      </c>
      <c r="I27" s="34" t="s">
        <v>54</v>
      </c>
      <c r="J27" s="33" t="s">
        <v>55</v>
      </c>
      <c r="K27" s="33" t="s">
        <v>55</v>
      </c>
      <c r="L27" s="33" t="s">
        <v>55</v>
      </c>
      <c r="M27" s="34" t="s">
        <v>208</v>
      </c>
      <c r="N27" s="33" t="s">
        <v>288</v>
      </c>
      <c r="O27" s="33" t="s">
        <v>287</v>
      </c>
    </row>
    <row r="28" spans="1:16" x14ac:dyDescent="0.35">
      <c r="A28" s="33">
        <v>20</v>
      </c>
      <c r="B28" s="33" t="str">
        <f>CONCATENATE($B$2, ".", A28)</f>
        <v>2.20</v>
      </c>
      <c r="C28" s="37" t="s">
        <v>35</v>
      </c>
      <c r="D28" s="34" t="s">
        <v>57</v>
      </c>
      <c r="E28" s="34" t="s">
        <v>40</v>
      </c>
      <c r="F28" s="33" t="s">
        <v>55</v>
      </c>
      <c r="G28" s="33" t="s">
        <v>55</v>
      </c>
      <c r="H28" s="37" t="s">
        <v>55</v>
      </c>
      <c r="I28" s="34" t="s">
        <v>54</v>
      </c>
      <c r="J28" s="33" t="s">
        <v>55</v>
      </c>
      <c r="K28" s="33" t="s">
        <v>55</v>
      </c>
      <c r="L28" s="33" t="s">
        <v>55</v>
      </c>
      <c r="M28" s="34" t="s">
        <v>55</v>
      </c>
      <c r="N28" s="33" t="s">
        <v>55</v>
      </c>
      <c r="O28" s="33" t="s">
        <v>312</v>
      </c>
    </row>
    <row r="29" spans="1:16" ht="101.5" x14ac:dyDescent="0.35">
      <c r="A29" s="33">
        <v>21</v>
      </c>
      <c r="B29" s="33" t="str">
        <f>CONCATENATE($B$2, ".", A29)</f>
        <v>2.21</v>
      </c>
      <c r="C29" s="37" t="s">
        <v>37</v>
      </c>
      <c r="D29" s="45" t="s">
        <v>205</v>
      </c>
      <c r="E29" s="34" t="s">
        <v>53</v>
      </c>
      <c r="F29" s="33" t="s">
        <v>55</v>
      </c>
      <c r="G29" s="33" t="s">
        <v>55</v>
      </c>
      <c r="H29" s="37" t="s">
        <v>55</v>
      </c>
      <c r="I29" s="34" t="s">
        <v>209</v>
      </c>
      <c r="J29" s="33" t="s">
        <v>55</v>
      </c>
      <c r="K29" s="33" t="s">
        <v>55</v>
      </c>
      <c r="L29" s="33" t="s">
        <v>55</v>
      </c>
      <c r="M29" s="34" t="s">
        <v>55</v>
      </c>
      <c r="N29" s="33" t="s">
        <v>55</v>
      </c>
      <c r="O29" s="33" t="s">
        <v>290</v>
      </c>
    </row>
  </sheetData>
  <autoFilter ref="A6:P6"/>
  <conditionalFormatting sqref="C30:C1048576 C17 C23 C13:C14">
    <cfRule type="cellIs" dxfId="347" priority="127" operator="equal">
      <formula>"WIP (see comments)"</formula>
    </cfRule>
    <cfRule type="cellIs" dxfId="346" priority="128" operator="equal">
      <formula>"Removed"</formula>
    </cfRule>
    <cfRule type="cellIs" dxfId="345" priority="129" operator="equal">
      <formula>"Updated"</formula>
    </cfRule>
    <cfRule type="cellIs" dxfId="344" priority="130" operator="equal">
      <formula>"New"</formula>
    </cfRule>
  </conditionalFormatting>
  <conditionalFormatting sqref="D17 D22:D23 D13:D14">
    <cfRule type="cellIs" dxfId="343" priority="126" operator="equal">
      <formula>"-"</formula>
    </cfRule>
  </conditionalFormatting>
  <conditionalFormatting sqref="A17:N17 Q7:XFD8 A13:N13 A23:J23 I22 A14:E14 A22:B22 G14 G22 L14:N14 D22:E22 L22:N23 I13:I14 G24:P24 P13:XFD14 P16:XFD23 Q15:XFD15">
    <cfRule type="cellIs" dxfId="342" priority="125" operator="equal">
      <formula>"n/a"</formula>
    </cfRule>
  </conditionalFormatting>
  <conditionalFormatting sqref="H22">
    <cfRule type="cellIs" dxfId="341" priority="112" operator="equal">
      <formula>"n/a"</formula>
    </cfRule>
  </conditionalFormatting>
  <conditionalFormatting sqref="C16">
    <cfRule type="cellIs" dxfId="340" priority="115" operator="equal">
      <formula>"WIP (see comments)"</formula>
    </cfRule>
    <cfRule type="cellIs" dxfId="339" priority="116" operator="equal">
      <formula>"Removed"</formula>
    </cfRule>
    <cfRule type="cellIs" dxfId="338" priority="117" operator="equal">
      <formula>"Updated"</formula>
    </cfRule>
    <cfRule type="cellIs" dxfId="337" priority="118" operator="equal">
      <formula>"New"</formula>
    </cfRule>
  </conditionalFormatting>
  <conditionalFormatting sqref="D16">
    <cfRule type="cellIs" dxfId="336" priority="114" operator="equal">
      <formula>"-"</formula>
    </cfRule>
  </conditionalFormatting>
  <conditionalFormatting sqref="A16:N16">
    <cfRule type="cellIs" dxfId="335" priority="113" operator="equal">
      <formula>"n/a"</formula>
    </cfRule>
  </conditionalFormatting>
  <conditionalFormatting sqref="F14">
    <cfRule type="cellIs" dxfId="334" priority="109" operator="equal">
      <formula>"n/a"</formula>
    </cfRule>
  </conditionalFormatting>
  <conditionalFormatting sqref="H14">
    <cfRule type="cellIs" dxfId="333" priority="111" operator="equal">
      <formula>"n/a"</formula>
    </cfRule>
  </conditionalFormatting>
  <conditionalFormatting sqref="F22">
    <cfRule type="cellIs" dxfId="332" priority="110" operator="equal">
      <formula>"n/a"</formula>
    </cfRule>
  </conditionalFormatting>
  <conditionalFormatting sqref="J22:K22 K23">
    <cfRule type="cellIs" dxfId="331" priority="108" operator="equal">
      <formula>"n/a"</formula>
    </cfRule>
  </conditionalFormatting>
  <conditionalFormatting sqref="J14:K14">
    <cfRule type="cellIs" dxfId="330" priority="107" operator="equal">
      <formula>"n/a"</formula>
    </cfRule>
  </conditionalFormatting>
  <conditionalFormatting sqref="C9:C11">
    <cfRule type="cellIs" dxfId="329" priority="63" operator="equal">
      <formula>"WIP (see comments)"</formula>
    </cfRule>
    <cfRule type="cellIs" dxfId="328" priority="64" operator="equal">
      <formula>"Removed"</formula>
    </cfRule>
    <cfRule type="cellIs" dxfId="327" priority="65" operator="equal">
      <formula>"Updated"</formula>
    </cfRule>
    <cfRule type="cellIs" dxfId="326" priority="66" operator="equal">
      <formula>"New"</formula>
    </cfRule>
  </conditionalFormatting>
  <conditionalFormatting sqref="D9:D11">
    <cfRule type="cellIs" dxfId="325" priority="62" operator="equal">
      <formula>"-"</formula>
    </cfRule>
  </conditionalFormatting>
  <conditionalFormatting sqref="P9:XFD11 A9:N11">
    <cfRule type="cellIs" dxfId="324" priority="61" operator="equal">
      <formula>"n/a"</formula>
    </cfRule>
  </conditionalFormatting>
  <conditionalFormatting sqref="G12:XFD12 A12">
    <cfRule type="cellIs" dxfId="323" priority="45" operator="equal">
      <formula>"n/a"</formula>
    </cfRule>
  </conditionalFormatting>
  <conditionalFormatting sqref="A24">
    <cfRule type="cellIs" dxfId="322" priority="44" operator="equal">
      <formula>"n/a"</formula>
    </cfRule>
  </conditionalFormatting>
  <conditionalFormatting sqref="C25:C29">
    <cfRule type="cellIs" dxfId="321" priority="40" operator="equal">
      <formula>"WIP (see comments)"</formula>
    </cfRule>
    <cfRule type="cellIs" dxfId="320" priority="41" operator="equal">
      <formula>"Removed"</formula>
    </cfRule>
    <cfRule type="cellIs" dxfId="319" priority="42" operator="equal">
      <formula>"Updated"</formula>
    </cfRule>
    <cfRule type="cellIs" dxfId="318" priority="43" operator="equal">
      <formula>"New"</formula>
    </cfRule>
  </conditionalFormatting>
  <conditionalFormatting sqref="D25:D29">
    <cfRule type="cellIs" dxfId="317" priority="39" operator="equal">
      <formula>"-"</formula>
    </cfRule>
  </conditionalFormatting>
  <conditionalFormatting sqref="A25:E29 G25:G29 L25:N29 I25:I29">
    <cfRule type="cellIs" dxfId="316" priority="38" operator="equal">
      <formula>"n/a"</formula>
    </cfRule>
  </conditionalFormatting>
  <conditionalFormatting sqref="H25:H29">
    <cfRule type="cellIs" dxfId="315" priority="37" operator="equal">
      <formula>"n/a"</formula>
    </cfRule>
  </conditionalFormatting>
  <conditionalFormatting sqref="F25:F29">
    <cfRule type="cellIs" dxfId="314" priority="36" operator="equal">
      <formula>"n/a"</formula>
    </cfRule>
  </conditionalFormatting>
  <conditionalFormatting sqref="J25:K29">
    <cfRule type="cellIs" dxfId="313" priority="35" operator="equal">
      <formula>"n/a"</formula>
    </cfRule>
  </conditionalFormatting>
  <conditionalFormatting sqref="C7:C8">
    <cfRule type="cellIs" dxfId="312" priority="20" operator="equal">
      <formula>"WIP (see comments)"</formula>
    </cfRule>
    <cfRule type="cellIs" dxfId="311" priority="21" operator="equal">
      <formula>"Removed"</formula>
    </cfRule>
    <cfRule type="cellIs" dxfId="310" priority="22" operator="equal">
      <formula>"Updated"</formula>
    </cfRule>
    <cfRule type="cellIs" dxfId="309" priority="23" operator="equal">
      <formula>"New"</formula>
    </cfRule>
  </conditionalFormatting>
  <conditionalFormatting sqref="D7:D8">
    <cfRule type="cellIs" dxfId="308" priority="19" operator="equal">
      <formula>"-"</formula>
    </cfRule>
  </conditionalFormatting>
  <conditionalFormatting sqref="A7:P8">
    <cfRule type="cellIs" dxfId="307" priority="18" operator="equal">
      <formula>"n/a"</formula>
    </cfRule>
  </conditionalFormatting>
  <conditionalFormatting sqref="A18:A21">
    <cfRule type="cellIs" dxfId="306" priority="17" operator="equal">
      <formula>"n/a"</formula>
    </cfRule>
  </conditionalFormatting>
  <conditionalFormatting sqref="C18:C22">
    <cfRule type="cellIs" dxfId="305" priority="13" operator="equal">
      <formula>"WIP (see comments)"</formula>
    </cfRule>
    <cfRule type="cellIs" dxfId="304" priority="14" operator="equal">
      <formula>"Removed"</formula>
    </cfRule>
    <cfRule type="cellIs" dxfId="303" priority="15" operator="equal">
      <formula>"Updated"</formula>
    </cfRule>
    <cfRule type="cellIs" dxfId="302" priority="16" operator="equal">
      <formula>"New"</formula>
    </cfRule>
  </conditionalFormatting>
  <conditionalFormatting sqref="D18:D21">
    <cfRule type="cellIs" dxfId="301" priority="12" operator="equal">
      <formula>"-"</formula>
    </cfRule>
  </conditionalFormatting>
  <conditionalFormatting sqref="A18:N18 A19:B21 C19:C22 D19:N21">
    <cfRule type="cellIs" dxfId="300" priority="11" operator="equal">
      <formula>"n/a"</formula>
    </cfRule>
  </conditionalFormatting>
  <conditionalFormatting sqref="A18:A21">
    <cfRule type="cellIs" dxfId="299" priority="10" operator="equal">
      <formula>"n/a"</formula>
    </cfRule>
  </conditionalFormatting>
  <conditionalFormatting sqref="P15">
    <cfRule type="cellIs" dxfId="298" priority="7" operator="equal">
      <formula>"n/a"</formula>
    </cfRule>
  </conditionalFormatting>
  <conditionalFormatting sqref="C15">
    <cfRule type="cellIs" dxfId="297" priority="3" operator="equal">
      <formula>"WIP (see comments)"</formula>
    </cfRule>
    <cfRule type="cellIs" dxfId="296" priority="4" operator="equal">
      <formula>"Removed"</formula>
    </cfRule>
    <cfRule type="cellIs" dxfId="295" priority="5" operator="equal">
      <formula>"Updated"</formula>
    </cfRule>
    <cfRule type="cellIs" dxfId="294" priority="6" operator="equal">
      <formula>"New"</formula>
    </cfRule>
  </conditionalFormatting>
  <conditionalFormatting sqref="D15">
    <cfRule type="cellIs" dxfId="293" priority="2" operator="equal">
      <formula>"-"</formula>
    </cfRule>
  </conditionalFormatting>
  <conditionalFormatting sqref="A15:N15">
    <cfRule type="cellIs" dxfId="292" priority="1" operator="equal">
      <formula>"n/a"</formula>
    </cfRule>
  </conditionalFormatting>
  <dataValidations count="1">
    <dataValidation type="list" allowBlank="1" showInputMessage="1" showErrorMessage="1" sqref="E30:E1048576">
      <formula1>$A$5:$A$23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C25:C1048576 C7:C11 C13:C23</xm:sqref>
        </x14:dataValidation>
        <x14:dataValidation type="list" allowBlank="1" showInputMessage="1" showErrorMessage="1">
          <x14:formula1>
            <xm:f>'List Values'!$A$5:$A$30</xm:f>
          </x14:formula1>
          <xm:sqref>E7:E29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159</v>
      </c>
      <c r="C1" s="25"/>
      <c r="D1" s="22" t="s">
        <v>221</v>
      </c>
      <c r="F1" s="41"/>
      <c r="H1" s="27"/>
    </row>
    <row r="2" spans="1:16" s="23" customFormat="1" ht="18.5" x14ac:dyDescent="0.35">
      <c r="A2" s="21" t="s">
        <v>8</v>
      </c>
      <c r="B2" s="28" t="s">
        <v>179</v>
      </c>
      <c r="C2" s="27"/>
      <c r="D2" s="28"/>
      <c r="F2" s="41"/>
      <c r="H2" s="27"/>
    </row>
    <row r="3" spans="1:16" s="23" customFormat="1" ht="18.5" x14ac:dyDescent="0.35">
      <c r="A3" s="21" t="s">
        <v>41</v>
      </c>
      <c r="B3" s="28" t="s">
        <v>180</v>
      </c>
      <c r="C3" s="27"/>
      <c r="D3" s="28"/>
      <c r="F3" s="41"/>
      <c r="H3" s="27"/>
    </row>
    <row r="4" spans="1:16" s="23" customFormat="1" ht="18.5" x14ac:dyDescent="0.35">
      <c r="A4" s="21" t="s">
        <v>9</v>
      </c>
      <c r="B4" s="28" t="s">
        <v>253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B7" s="33" t="str">
        <f t="shared" ref="B7:B17" si="0">CONCATENATE($B$2, ".", A7)</f>
        <v>2a.</v>
      </c>
      <c r="C7" s="37" t="s">
        <v>38</v>
      </c>
      <c r="D7" s="34" t="s">
        <v>147</v>
      </c>
      <c r="E7" s="34" t="s">
        <v>49</v>
      </c>
      <c r="F7" s="33" t="s">
        <v>55</v>
      </c>
      <c r="G7" s="33" t="s">
        <v>55</v>
      </c>
      <c r="H7" s="37" t="s">
        <v>55</v>
      </c>
      <c r="I7" s="34" t="s">
        <v>54</v>
      </c>
      <c r="J7" s="33" t="s">
        <v>55</v>
      </c>
      <c r="K7" s="33" t="s">
        <v>55</v>
      </c>
      <c r="L7" s="33" t="s">
        <v>55</v>
      </c>
      <c r="M7" s="34" t="s">
        <v>55</v>
      </c>
      <c r="N7" s="33" t="s">
        <v>55</v>
      </c>
      <c r="O7" s="33" t="s">
        <v>211</v>
      </c>
    </row>
    <row r="8" spans="1:16" x14ac:dyDescent="0.35">
      <c r="B8" s="33" t="str">
        <f t="shared" si="0"/>
        <v>2a.</v>
      </c>
      <c r="C8" s="37" t="s">
        <v>38</v>
      </c>
      <c r="D8" s="34" t="s">
        <v>148</v>
      </c>
      <c r="E8" s="34" t="s">
        <v>27</v>
      </c>
      <c r="F8" s="33" t="s">
        <v>55</v>
      </c>
      <c r="G8" s="33" t="s">
        <v>55</v>
      </c>
      <c r="H8" s="37" t="s">
        <v>55</v>
      </c>
      <c r="I8" s="34" t="s">
        <v>54</v>
      </c>
      <c r="J8" s="33" t="s">
        <v>55</v>
      </c>
      <c r="K8" s="33" t="s">
        <v>55</v>
      </c>
      <c r="L8" s="33" t="s">
        <v>55</v>
      </c>
      <c r="M8" s="34" t="s">
        <v>55</v>
      </c>
      <c r="N8" s="33" t="s">
        <v>55</v>
      </c>
      <c r="O8" s="33" t="s">
        <v>212</v>
      </c>
    </row>
    <row r="9" spans="1:16" ht="43.5" x14ac:dyDescent="0.35">
      <c r="C9" s="37" t="s">
        <v>38</v>
      </c>
      <c r="D9" s="34" t="s">
        <v>219</v>
      </c>
      <c r="E9" s="34" t="s">
        <v>34</v>
      </c>
      <c r="F9" s="33" t="s">
        <v>55</v>
      </c>
      <c r="G9" s="33" t="s">
        <v>55</v>
      </c>
      <c r="H9" s="37" t="s">
        <v>55</v>
      </c>
      <c r="I9" s="34" t="s">
        <v>217</v>
      </c>
      <c r="J9" s="33" t="s">
        <v>55</v>
      </c>
      <c r="K9" s="33" t="s">
        <v>55</v>
      </c>
      <c r="L9" s="33" t="s">
        <v>55</v>
      </c>
      <c r="M9" s="34" t="s">
        <v>55</v>
      </c>
      <c r="N9" s="33" t="s">
        <v>55</v>
      </c>
      <c r="O9" s="33" t="s">
        <v>218</v>
      </c>
    </row>
    <row r="10" spans="1:16" ht="43.5" x14ac:dyDescent="0.35">
      <c r="B10" s="33" t="str">
        <f t="shared" si="0"/>
        <v>2a.</v>
      </c>
      <c r="C10" s="37" t="s">
        <v>38</v>
      </c>
      <c r="D10" s="34" t="s">
        <v>204</v>
      </c>
      <c r="E10" s="34" t="s">
        <v>34</v>
      </c>
      <c r="F10" s="33" t="s">
        <v>55</v>
      </c>
      <c r="G10" s="33" t="s">
        <v>55</v>
      </c>
      <c r="H10" s="37" t="s">
        <v>55</v>
      </c>
      <c r="I10" s="34" t="s">
        <v>197</v>
      </c>
      <c r="J10" s="33" t="s">
        <v>55</v>
      </c>
      <c r="K10" s="33" t="s">
        <v>55</v>
      </c>
      <c r="L10" s="33" t="s">
        <v>55</v>
      </c>
      <c r="M10" s="34" t="s">
        <v>55</v>
      </c>
      <c r="N10" s="33" t="s">
        <v>55</v>
      </c>
      <c r="O10" s="33" t="s">
        <v>214</v>
      </c>
    </row>
    <row r="11" spans="1:16" ht="29" x14ac:dyDescent="0.35">
      <c r="B11" s="33" t="str">
        <f t="shared" si="0"/>
        <v>2a.</v>
      </c>
      <c r="C11" s="37" t="s">
        <v>38</v>
      </c>
      <c r="D11" s="34" t="s">
        <v>198</v>
      </c>
      <c r="E11" s="34" t="s">
        <v>34</v>
      </c>
      <c r="F11" s="33" t="s">
        <v>55</v>
      </c>
      <c r="G11" s="33" t="s">
        <v>55</v>
      </c>
      <c r="H11" s="37" t="s">
        <v>55</v>
      </c>
      <c r="I11" s="34" t="s">
        <v>54</v>
      </c>
      <c r="J11" s="33" t="s">
        <v>55</v>
      </c>
      <c r="K11" s="33" t="s">
        <v>55</v>
      </c>
      <c r="L11" s="33" t="s">
        <v>55</v>
      </c>
      <c r="M11" s="34" t="s">
        <v>55</v>
      </c>
      <c r="N11" s="33" t="s">
        <v>55</v>
      </c>
      <c r="O11" s="33" t="s">
        <v>215</v>
      </c>
    </row>
    <row r="12" spans="1:16" x14ac:dyDescent="0.35">
      <c r="C12" s="37" t="s">
        <v>38</v>
      </c>
      <c r="D12" s="34"/>
      <c r="E12" s="34"/>
      <c r="I12" s="34"/>
      <c r="M12" s="34"/>
    </row>
    <row r="13" spans="1:16" x14ac:dyDescent="0.35">
      <c r="C13" s="37" t="s">
        <v>38</v>
      </c>
      <c r="D13" s="34"/>
      <c r="E13" s="34"/>
      <c r="I13" s="34"/>
      <c r="M13" s="34"/>
    </row>
    <row r="14" spans="1:16" ht="43.5" x14ac:dyDescent="0.35">
      <c r="B14" s="33" t="str">
        <f t="shared" si="0"/>
        <v>2a.</v>
      </c>
      <c r="C14" s="37" t="s">
        <v>38</v>
      </c>
      <c r="D14" s="34" t="s">
        <v>199</v>
      </c>
      <c r="E14" s="34" t="s">
        <v>59</v>
      </c>
      <c r="F14" s="33" t="s">
        <v>55</v>
      </c>
      <c r="G14" s="33" t="s">
        <v>55</v>
      </c>
      <c r="H14" s="37" t="s">
        <v>55</v>
      </c>
      <c r="I14" s="34" t="s">
        <v>201</v>
      </c>
      <c r="J14" s="33" t="s">
        <v>55</v>
      </c>
      <c r="K14" s="33" t="s">
        <v>55</v>
      </c>
      <c r="L14" s="33" t="s">
        <v>55</v>
      </c>
      <c r="M14" s="34" t="s">
        <v>55</v>
      </c>
      <c r="N14" s="33" t="s">
        <v>55</v>
      </c>
      <c r="O14" s="33" t="s">
        <v>216</v>
      </c>
    </row>
    <row r="15" spans="1:16" ht="43.5" x14ac:dyDescent="0.35">
      <c r="B15" s="33" t="str">
        <f t="shared" si="0"/>
        <v>2a.</v>
      </c>
      <c r="C15" s="37" t="s">
        <v>38</v>
      </c>
      <c r="D15" s="34" t="s">
        <v>200</v>
      </c>
      <c r="E15" s="34" t="s">
        <v>59</v>
      </c>
      <c r="F15" s="33" t="s">
        <v>55</v>
      </c>
      <c r="G15" s="33" t="s">
        <v>55</v>
      </c>
      <c r="H15" s="37" t="s">
        <v>55</v>
      </c>
      <c r="I15" s="34" t="s">
        <v>202</v>
      </c>
      <c r="J15" s="33" t="s">
        <v>55</v>
      </c>
      <c r="K15" s="33" t="s">
        <v>55</v>
      </c>
      <c r="L15" s="33" t="s">
        <v>55</v>
      </c>
      <c r="M15" s="34" t="s">
        <v>55</v>
      </c>
      <c r="N15" s="33" t="s">
        <v>55</v>
      </c>
      <c r="O15" s="33" t="s">
        <v>203</v>
      </c>
    </row>
    <row r="16" spans="1:16" x14ac:dyDescent="0.35">
      <c r="B16" s="33" t="str">
        <f>CONCATENATE($B$2, ".", A16)</f>
        <v>2a.</v>
      </c>
      <c r="C16" s="37" t="s">
        <v>38</v>
      </c>
      <c r="D16" s="34" t="s">
        <v>220</v>
      </c>
      <c r="E16" s="34" t="s">
        <v>59</v>
      </c>
      <c r="F16" s="33" t="s">
        <v>55</v>
      </c>
      <c r="G16" s="33" t="s">
        <v>55</v>
      </c>
      <c r="H16" s="37" t="s">
        <v>55</v>
      </c>
      <c r="I16" s="34" t="s">
        <v>54</v>
      </c>
      <c r="J16" s="33" t="s">
        <v>55</v>
      </c>
      <c r="K16" s="33" t="s">
        <v>55</v>
      </c>
      <c r="L16" s="33" t="s">
        <v>55</v>
      </c>
      <c r="M16" s="34" t="s">
        <v>55</v>
      </c>
      <c r="N16" s="33" t="s">
        <v>55</v>
      </c>
      <c r="O16" s="33" t="s">
        <v>213</v>
      </c>
    </row>
    <row r="17" spans="2:15" ht="29" x14ac:dyDescent="0.35">
      <c r="B17" s="33" t="str">
        <f t="shared" si="0"/>
        <v>2a.</v>
      </c>
      <c r="C17" s="37" t="s">
        <v>38</v>
      </c>
      <c r="D17" s="34" t="s">
        <v>160</v>
      </c>
      <c r="E17" s="34" t="s">
        <v>40</v>
      </c>
      <c r="F17" s="33" t="s">
        <v>55</v>
      </c>
      <c r="G17" s="33" t="s">
        <v>55</v>
      </c>
      <c r="H17" s="37" t="s">
        <v>55</v>
      </c>
      <c r="I17" s="34" t="s">
        <v>54</v>
      </c>
      <c r="J17" s="33" t="s">
        <v>55</v>
      </c>
      <c r="K17" s="33" t="s">
        <v>55</v>
      </c>
      <c r="L17" s="33" t="s">
        <v>55</v>
      </c>
      <c r="M17" s="33" t="s">
        <v>55</v>
      </c>
      <c r="N17" s="33" t="s">
        <v>55</v>
      </c>
      <c r="O17" s="31" t="s">
        <v>161</v>
      </c>
    </row>
  </sheetData>
  <autoFilter ref="A6:P6"/>
  <conditionalFormatting sqref="C18:C1048576">
    <cfRule type="cellIs" dxfId="291" priority="25" operator="equal">
      <formula>"WIP (see comments)"</formula>
    </cfRule>
    <cfRule type="cellIs" dxfId="290" priority="26" operator="equal">
      <formula>"Removed"</formula>
    </cfRule>
    <cfRule type="cellIs" dxfId="289" priority="27" operator="equal">
      <formula>"Updated"</formula>
    </cfRule>
    <cfRule type="cellIs" dxfId="288" priority="28" operator="equal">
      <formula>"New"</formula>
    </cfRule>
  </conditionalFormatting>
  <conditionalFormatting sqref="D8:D9 D16">
    <cfRule type="cellIs" dxfId="287" priority="24" operator="equal">
      <formula>"-"</formula>
    </cfRule>
  </conditionalFormatting>
  <conditionalFormatting sqref="I7:I8 J8:N9 P8:XFD17 A8:B17 D8:H9 D16:N17">
    <cfRule type="cellIs" dxfId="286" priority="23" operator="equal">
      <formula>"n/a"</formula>
    </cfRule>
  </conditionalFormatting>
  <conditionalFormatting sqref="O17">
    <cfRule type="cellIs" dxfId="285" priority="22" operator="equal">
      <formula>"n/a"</formula>
    </cfRule>
  </conditionalFormatting>
  <conditionalFormatting sqref="C7:C17">
    <cfRule type="cellIs" dxfId="284" priority="14" operator="equal">
      <formula>"WIP (see comments)"</formula>
    </cfRule>
    <cfRule type="cellIs" dxfId="283" priority="15" operator="equal">
      <formula>"Removed"</formula>
    </cfRule>
    <cfRule type="cellIs" dxfId="282" priority="16" operator="equal">
      <formula>"Updated"</formula>
    </cfRule>
    <cfRule type="cellIs" dxfId="281" priority="17" operator="equal">
      <formula>"New"</formula>
    </cfRule>
  </conditionalFormatting>
  <conditionalFormatting sqref="D7">
    <cfRule type="cellIs" dxfId="280" priority="13" operator="equal">
      <formula>"-"</formula>
    </cfRule>
  </conditionalFormatting>
  <conditionalFormatting sqref="A7:H7 P7:XFD7 J7:N7 C8:C17">
    <cfRule type="cellIs" dxfId="279" priority="12" operator="equal">
      <formula>"n/a"</formula>
    </cfRule>
  </conditionalFormatting>
  <conditionalFormatting sqref="D10:D15">
    <cfRule type="cellIs" dxfId="278" priority="3" operator="equal">
      <formula>"-"</formula>
    </cfRule>
  </conditionalFormatting>
  <conditionalFormatting sqref="D10:N15">
    <cfRule type="cellIs" dxfId="277" priority="2" operator="equal">
      <formula>"n/a"</formula>
    </cfRule>
  </conditionalFormatting>
  <conditionalFormatting sqref="I9">
    <cfRule type="cellIs" dxfId="27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ySplit="6" topLeftCell="A7" activePane="bottomLeft" state="frozen"/>
      <selection pane="bottomLeft" activeCell="A17" sqref="A17"/>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266</v>
      </c>
      <c r="F1" s="41"/>
      <c r="H1" s="27"/>
    </row>
    <row r="2" spans="1:16" s="23" customFormat="1" ht="18.5" x14ac:dyDescent="0.35">
      <c r="A2" s="21" t="s">
        <v>8</v>
      </c>
      <c r="B2" s="28" t="s">
        <v>168</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Q-SB3.1</v>
      </c>
      <c r="C7" s="37" t="s">
        <v>38</v>
      </c>
      <c r="D7" s="33" t="s">
        <v>166</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Q-SB3.2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Q-SB3.3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Q-SB3.4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Q-SB3.5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Q-SB3.6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Q-SB3.6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Q-SB3.7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Q-SB3.8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1:C13 C15:C1048576">
    <cfRule type="cellIs" dxfId="275" priority="14" operator="equal">
      <formula>"WIP (see comments)"</formula>
    </cfRule>
    <cfRule type="cellIs" dxfId="274" priority="15" operator="equal">
      <formula>"Removed"</formula>
    </cfRule>
    <cfRule type="cellIs" dxfId="273" priority="16" operator="equal">
      <formula>"Updated"</formula>
    </cfRule>
    <cfRule type="cellIs" dxfId="272" priority="17" operator="equal">
      <formula>"New"</formula>
    </cfRule>
  </conditionalFormatting>
  <conditionalFormatting sqref="D7:D9 D11:D13">
    <cfRule type="cellIs" dxfId="271" priority="13" operator="equal">
      <formula>"-"</formula>
    </cfRule>
  </conditionalFormatting>
  <conditionalFormatting sqref="P15:XFD15 A11:L11 A15:N15 N11:XFD11 E16:N17 A13:B13 N13:XFD13 K12:L13 E13:J13 A7:XFD9 C12:D13 B16:C17">
    <cfRule type="cellIs" dxfId="270" priority="12" operator="equal">
      <formula>"n/a"</formula>
    </cfRule>
  </conditionalFormatting>
  <conditionalFormatting sqref="O15">
    <cfRule type="cellIs" dxfId="269" priority="11" operator="equal">
      <formula>"n/a"</formula>
    </cfRule>
  </conditionalFormatting>
  <conditionalFormatting sqref="M11 M13">
    <cfRule type="cellIs" dxfId="268" priority="10" operator="equal">
      <formula>"n/a"</formula>
    </cfRule>
  </conditionalFormatting>
  <conditionalFormatting sqref="F10:XFD10">
    <cfRule type="cellIs" dxfId="267" priority="9" operator="equal">
      <formula>"n/a"</formula>
    </cfRule>
  </conditionalFormatting>
  <conditionalFormatting sqref="F14:XFD14 A14">
    <cfRule type="cellIs" dxfId="266" priority="8" operator="equal">
      <formula>"n/a"</formula>
    </cfRule>
  </conditionalFormatting>
  <conditionalFormatting sqref="A12:B12 N12:XFD12 E12:J12">
    <cfRule type="cellIs" dxfId="265" priority="3" operator="equal">
      <formula>"n/a"</formula>
    </cfRule>
  </conditionalFormatting>
  <conditionalFormatting sqref="M12">
    <cfRule type="cellIs" dxfId="264" priority="2" operator="equal">
      <formula>"n/a"</formula>
    </cfRule>
  </conditionalFormatting>
  <conditionalFormatting sqref="A10">
    <cfRule type="cellIs" dxfId="26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C11:C13 C15:C1048576</xm:sqref>
        </x14:dataValidation>
        <x14:dataValidation type="list" allowBlank="1" showInputMessage="1" showErrorMessage="1">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ySplit="6" topLeftCell="A7" activePane="bottomLeft" state="frozen"/>
      <selection pane="bottomLeft"/>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266</v>
      </c>
      <c r="F1" s="41"/>
      <c r="H1" s="27"/>
    </row>
    <row r="2" spans="1:16" s="23" customFormat="1" ht="18.5" x14ac:dyDescent="0.35">
      <c r="A2" s="21" t="s">
        <v>8</v>
      </c>
      <c r="B2" s="28" t="s">
        <v>170</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Q-SB4.1</v>
      </c>
      <c r="C7" s="37" t="s">
        <v>38</v>
      </c>
      <c r="D7" s="33" t="s">
        <v>169</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Q-SB4.2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Q-SB4.3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Q-SB4.4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Q-SB4.5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Q-SB4.6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Q-SB4.6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Q-SB4.7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Q-SB4.8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1:C13 C15:C1048576">
    <cfRule type="cellIs" dxfId="262" priority="14" operator="equal">
      <formula>"WIP (see comments)"</formula>
    </cfRule>
    <cfRule type="cellIs" dxfId="261" priority="15" operator="equal">
      <formula>"Removed"</formula>
    </cfRule>
    <cfRule type="cellIs" dxfId="260" priority="16" operator="equal">
      <formula>"Updated"</formula>
    </cfRule>
    <cfRule type="cellIs" dxfId="259" priority="17" operator="equal">
      <formula>"New"</formula>
    </cfRule>
  </conditionalFormatting>
  <conditionalFormatting sqref="D7:D9 D11:D13">
    <cfRule type="cellIs" dxfId="258" priority="13" operator="equal">
      <formula>"-"</formula>
    </cfRule>
  </conditionalFormatting>
  <conditionalFormatting sqref="P15:XFD15 A11:L11 A15:N15 N11:XFD11 E16:N17 A13:B13 N13:XFD13 K12:L13 E13:J13 A7:XFD9 C12:D13 B16:C17">
    <cfRule type="cellIs" dxfId="257" priority="12" operator="equal">
      <formula>"n/a"</formula>
    </cfRule>
  </conditionalFormatting>
  <conditionalFormatting sqref="O15">
    <cfRule type="cellIs" dxfId="256" priority="11" operator="equal">
      <formula>"n/a"</formula>
    </cfRule>
  </conditionalFormatting>
  <conditionalFormatting sqref="M11 M13">
    <cfRule type="cellIs" dxfId="255" priority="10" operator="equal">
      <formula>"n/a"</formula>
    </cfRule>
  </conditionalFormatting>
  <conditionalFormatting sqref="F10:XFD10">
    <cfRule type="cellIs" dxfId="254" priority="9" operator="equal">
      <formula>"n/a"</formula>
    </cfRule>
  </conditionalFormatting>
  <conditionalFormatting sqref="F14:XFD14 A14">
    <cfRule type="cellIs" dxfId="253" priority="8" operator="equal">
      <formula>"n/a"</formula>
    </cfRule>
  </conditionalFormatting>
  <conditionalFormatting sqref="A12:B12 N12:XFD12 E12:J12">
    <cfRule type="cellIs" dxfId="252" priority="3" operator="equal">
      <formula>"n/a"</formula>
    </cfRule>
  </conditionalFormatting>
  <conditionalFormatting sqref="M12">
    <cfRule type="cellIs" dxfId="251" priority="2" operator="equal">
      <formula>"n/a"</formula>
    </cfRule>
  </conditionalFormatting>
  <conditionalFormatting sqref="A10">
    <cfRule type="cellIs" dxfId="25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C11:C13 C15:C1048576</xm:sqref>
        </x14:dataValidation>
        <x14:dataValidation type="list" allowBlank="1" showInputMessage="1" showErrorMessage="1">
          <x14:formula1>
            <xm:f>'List Values'!$A$5:$A$33</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29.5429687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34" s="23" customFormat="1" ht="18.5" x14ac:dyDescent="0.35">
      <c r="A1" s="21" t="s">
        <v>7</v>
      </c>
      <c r="B1" s="29" t="s">
        <v>172</v>
      </c>
      <c r="C1" s="25"/>
      <c r="D1" s="22"/>
      <c r="F1" s="41"/>
      <c r="H1" s="27"/>
    </row>
    <row r="2" spans="1:34" s="23" customFormat="1" ht="18.5" x14ac:dyDescent="0.35">
      <c r="A2" s="21" t="s">
        <v>8</v>
      </c>
      <c r="B2" s="28">
        <v>3</v>
      </c>
      <c r="C2" s="27"/>
      <c r="D2" s="46" t="s">
        <v>223</v>
      </c>
      <c r="F2" s="41"/>
      <c r="H2" s="27"/>
    </row>
    <row r="3" spans="1:34" s="23" customFormat="1" ht="18.5" x14ac:dyDescent="0.35">
      <c r="A3" s="21" t="s">
        <v>41</v>
      </c>
      <c r="B3" s="28" t="s">
        <v>304</v>
      </c>
      <c r="C3" s="27"/>
      <c r="F3" s="41"/>
      <c r="H3" s="27"/>
    </row>
    <row r="4" spans="1:34" s="23" customFormat="1" ht="18.5" x14ac:dyDescent="0.35">
      <c r="A4" s="21" t="s">
        <v>9</v>
      </c>
      <c r="B4" s="23" t="s">
        <v>54</v>
      </c>
      <c r="C4" s="27"/>
      <c r="D4" s="46" t="s">
        <v>195</v>
      </c>
      <c r="F4" s="41"/>
      <c r="H4" s="27"/>
    </row>
    <row r="5" spans="1:34" s="35" customFormat="1" x14ac:dyDescent="0.35">
      <c r="C5" s="36"/>
      <c r="F5" s="33"/>
      <c r="H5" s="36"/>
    </row>
    <row r="6" spans="1:34"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34" x14ac:dyDescent="0.35">
      <c r="A7" s="33">
        <v>1</v>
      </c>
      <c r="B7" s="33" t="str">
        <f t="shared" ref="B7:B8" si="0">CONCATENATE($B$2, ".", A7)</f>
        <v>3.1</v>
      </c>
      <c r="C7" s="37" t="s">
        <v>35</v>
      </c>
      <c r="D7" s="33" t="s">
        <v>291</v>
      </c>
      <c r="E7" s="34" t="s">
        <v>326</v>
      </c>
      <c r="F7" s="33" t="s">
        <v>55</v>
      </c>
      <c r="G7" s="33" t="s">
        <v>55</v>
      </c>
      <c r="H7" s="37" t="s">
        <v>55</v>
      </c>
      <c r="I7" s="34" t="s">
        <v>54</v>
      </c>
      <c r="J7" s="33" t="s">
        <v>55</v>
      </c>
      <c r="K7" s="33" t="s">
        <v>55</v>
      </c>
      <c r="L7" s="33" t="s">
        <v>55</v>
      </c>
      <c r="M7" s="33" t="s">
        <v>55</v>
      </c>
      <c r="N7" s="33" t="s">
        <v>55</v>
      </c>
      <c r="O7" s="33" t="s">
        <v>55</v>
      </c>
      <c r="P7" s="33" t="s">
        <v>263</v>
      </c>
      <c r="Q7" s="34"/>
      <c r="R7" s="34"/>
      <c r="S7" s="34"/>
      <c r="T7" s="34"/>
      <c r="U7" s="34"/>
      <c r="V7" s="34"/>
      <c r="W7" s="34"/>
      <c r="X7" s="34"/>
      <c r="Y7" s="34"/>
      <c r="Z7" s="34"/>
      <c r="AA7" s="34"/>
      <c r="AB7" s="34"/>
      <c r="AC7" s="34"/>
      <c r="AD7" s="34"/>
      <c r="AE7" s="34"/>
      <c r="AF7" s="34"/>
      <c r="AG7" s="34"/>
      <c r="AH7" s="34"/>
    </row>
    <row r="8" spans="1:34" x14ac:dyDescent="0.35">
      <c r="A8" s="33">
        <v>2</v>
      </c>
      <c r="B8" s="33" t="str">
        <f t="shared" si="0"/>
        <v>3.2</v>
      </c>
      <c r="C8" s="37" t="s">
        <v>37</v>
      </c>
      <c r="D8" s="33" t="s">
        <v>55</v>
      </c>
      <c r="E8" s="34" t="s">
        <v>43</v>
      </c>
      <c r="F8" s="33" t="s">
        <v>55</v>
      </c>
      <c r="G8" s="33" t="s">
        <v>55</v>
      </c>
      <c r="H8" s="37" t="s">
        <v>55</v>
      </c>
      <c r="I8" s="34" t="s">
        <v>54</v>
      </c>
      <c r="J8" s="33" t="s">
        <v>55</v>
      </c>
      <c r="K8" s="33" t="s">
        <v>55</v>
      </c>
      <c r="L8" s="33" t="s">
        <v>55</v>
      </c>
      <c r="M8" s="33" t="s">
        <v>55</v>
      </c>
      <c r="N8" s="33" t="s">
        <v>55</v>
      </c>
      <c r="O8" s="33" t="s">
        <v>55</v>
      </c>
      <c r="Q8" s="34"/>
      <c r="R8" s="34"/>
      <c r="S8" s="34"/>
      <c r="T8" s="34"/>
      <c r="U8" s="34"/>
      <c r="V8" s="34"/>
      <c r="W8" s="34"/>
      <c r="X8" s="34"/>
      <c r="Y8" s="34"/>
      <c r="Z8" s="34"/>
      <c r="AA8" s="34"/>
      <c r="AB8" s="34"/>
      <c r="AC8" s="34"/>
      <c r="AD8" s="34"/>
      <c r="AE8" s="34"/>
      <c r="AF8" s="34"/>
      <c r="AG8" s="34"/>
      <c r="AH8" s="34"/>
    </row>
    <row r="9" spans="1:34" ht="87" x14ac:dyDescent="0.35">
      <c r="A9" s="33">
        <v>3</v>
      </c>
      <c r="B9" s="33" t="str">
        <f>CONCATENATE($B$2, ".", A9)</f>
        <v>3.3</v>
      </c>
      <c r="C9" s="37" t="s">
        <v>35</v>
      </c>
      <c r="D9" s="34" t="s">
        <v>311</v>
      </c>
      <c r="E9" s="34" t="s">
        <v>33</v>
      </c>
      <c r="F9" s="33" t="s">
        <v>294</v>
      </c>
      <c r="G9" s="33" t="s">
        <v>256</v>
      </c>
      <c r="H9" s="37" t="s">
        <v>55</v>
      </c>
      <c r="I9" s="34" t="s">
        <v>54</v>
      </c>
      <c r="J9" s="33" t="s">
        <v>255</v>
      </c>
      <c r="K9" s="33" t="s">
        <v>55</v>
      </c>
      <c r="L9" s="33" t="s">
        <v>55</v>
      </c>
      <c r="M9" s="34" t="s">
        <v>55</v>
      </c>
      <c r="N9" s="33" t="s">
        <v>55</v>
      </c>
      <c r="O9" s="33" t="s">
        <v>303</v>
      </c>
      <c r="P9" s="33" t="s">
        <v>257</v>
      </c>
      <c r="Q9" s="34"/>
      <c r="R9" s="34"/>
      <c r="S9" s="34"/>
      <c r="T9" s="34"/>
      <c r="U9" s="34"/>
      <c r="V9" s="34"/>
      <c r="W9" s="34"/>
      <c r="X9" s="34"/>
      <c r="Y9" s="34"/>
      <c r="Z9" s="34"/>
      <c r="AA9" s="34"/>
      <c r="AB9" s="34"/>
      <c r="AC9" s="34"/>
      <c r="AD9" s="34"/>
      <c r="AE9" s="34"/>
      <c r="AF9" s="34"/>
      <c r="AG9" s="34"/>
      <c r="AH9" s="34"/>
    </row>
    <row r="10" spans="1:34" ht="14.5" customHeight="1" x14ac:dyDescent="0.35">
      <c r="A10" s="49" t="s">
        <v>296</v>
      </c>
      <c r="B10" s="49"/>
      <c r="C10" s="49"/>
      <c r="D10" s="49"/>
      <c r="E10" s="49"/>
      <c r="F10" s="49"/>
      <c r="G10" s="32"/>
      <c r="H10" s="32"/>
      <c r="I10" s="32"/>
      <c r="J10" s="32"/>
      <c r="K10" s="32"/>
      <c r="L10" s="32"/>
      <c r="M10" s="32"/>
      <c r="N10" s="32"/>
      <c r="O10" s="32"/>
      <c r="P10" s="32"/>
    </row>
    <row r="11" spans="1:34" x14ac:dyDescent="0.35">
      <c r="A11" s="33">
        <v>4</v>
      </c>
      <c r="B11" s="33" t="str">
        <f t="shared" ref="B11:B18" si="1">CONCATENATE($B$2, ".", A11)</f>
        <v>3.4</v>
      </c>
      <c r="C11" s="37" t="s">
        <v>35</v>
      </c>
      <c r="D11" s="34" t="s">
        <v>297</v>
      </c>
      <c r="E11" s="34" t="s">
        <v>48</v>
      </c>
      <c r="F11" s="33" t="s">
        <v>55</v>
      </c>
      <c r="G11" s="33" t="s">
        <v>55</v>
      </c>
      <c r="H11" s="37" t="s">
        <v>55</v>
      </c>
      <c r="I11" s="34" t="s">
        <v>54</v>
      </c>
      <c r="J11" s="33" t="s">
        <v>55</v>
      </c>
      <c r="K11" s="33" t="s">
        <v>55</v>
      </c>
      <c r="L11" s="33" t="s">
        <v>55</v>
      </c>
      <c r="M11" s="34" t="s">
        <v>55</v>
      </c>
      <c r="N11" s="33" t="s">
        <v>55</v>
      </c>
      <c r="O11" s="33" t="s">
        <v>254</v>
      </c>
    </row>
    <row r="12" spans="1:34" x14ac:dyDescent="0.35">
      <c r="A12" s="33">
        <v>5</v>
      </c>
      <c r="B12" s="33" t="str">
        <f>CONCATENATE($B$2, ".", A12)</f>
        <v>3.5</v>
      </c>
      <c r="C12" s="37" t="s">
        <v>35</v>
      </c>
      <c r="D12" s="34" t="s">
        <v>298</v>
      </c>
      <c r="E12" s="34" t="s">
        <v>49</v>
      </c>
      <c r="F12" s="33" t="s">
        <v>55</v>
      </c>
      <c r="G12" s="33" t="s">
        <v>55</v>
      </c>
      <c r="H12" s="37" t="s">
        <v>55</v>
      </c>
      <c r="I12" s="34" t="s">
        <v>54</v>
      </c>
      <c r="J12" s="33" t="s">
        <v>55</v>
      </c>
      <c r="K12" s="33" t="s">
        <v>55</v>
      </c>
      <c r="L12" s="33" t="s">
        <v>55</v>
      </c>
      <c r="M12" s="34" t="s">
        <v>55</v>
      </c>
      <c r="N12" s="33" t="s">
        <v>55</v>
      </c>
    </row>
    <row r="13" spans="1:34" x14ac:dyDescent="0.35">
      <c r="A13" s="49" t="s">
        <v>292</v>
      </c>
      <c r="B13" s="49"/>
      <c r="C13" s="49"/>
      <c r="D13" s="49"/>
      <c r="E13" s="49"/>
      <c r="F13" s="49"/>
      <c r="G13" s="32"/>
      <c r="H13" s="32"/>
      <c r="I13" s="32"/>
      <c r="J13" s="32"/>
      <c r="K13" s="32"/>
      <c r="L13" s="32"/>
      <c r="M13" s="32"/>
      <c r="N13" s="32"/>
      <c r="O13" s="32"/>
      <c r="P13" s="32"/>
      <c r="Q13" s="34"/>
      <c r="R13" s="34"/>
      <c r="S13" s="34"/>
      <c r="T13" s="34"/>
      <c r="U13" s="34"/>
      <c r="V13" s="34"/>
      <c r="W13" s="34"/>
      <c r="X13" s="34"/>
      <c r="Y13" s="34"/>
      <c r="Z13" s="34"/>
      <c r="AA13" s="34"/>
      <c r="AB13" s="34"/>
      <c r="AC13" s="34"/>
      <c r="AD13" s="34"/>
      <c r="AE13" s="34"/>
      <c r="AF13" s="34"/>
      <c r="AG13" s="34"/>
      <c r="AH13" s="34"/>
    </row>
    <row r="14" spans="1:34" ht="72.5" x14ac:dyDescent="0.35">
      <c r="A14" s="33">
        <v>6</v>
      </c>
      <c r="B14" s="33" t="str">
        <f>CONCATENATE($B$2, ".", A14)</f>
        <v>3.6</v>
      </c>
      <c r="C14" s="37" t="s">
        <v>35</v>
      </c>
      <c r="D14" s="34" t="s">
        <v>229</v>
      </c>
      <c r="E14" s="34" t="s">
        <v>28</v>
      </c>
      <c r="F14" s="33" t="s">
        <v>55</v>
      </c>
      <c r="G14" s="33" t="s">
        <v>55</v>
      </c>
      <c r="H14" s="37" t="s">
        <v>55</v>
      </c>
      <c r="I14" s="34" t="s">
        <v>54</v>
      </c>
      <c r="J14" s="33" t="s">
        <v>272</v>
      </c>
      <c r="K14" s="33" t="s">
        <v>55</v>
      </c>
      <c r="L14" s="33" t="s">
        <v>55</v>
      </c>
      <c r="M14" s="34" t="s">
        <v>55</v>
      </c>
      <c r="N14" s="33" t="s">
        <v>55</v>
      </c>
      <c r="O14" s="33" t="s">
        <v>310</v>
      </c>
      <c r="Q14" s="34"/>
      <c r="R14" s="34"/>
      <c r="S14" s="34"/>
      <c r="T14" s="34"/>
      <c r="U14" s="34"/>
      <c r="V14" s="34"/>
      <c r="W14" s="34"/>
      <c r="X14" s="34"/>
      <c r="Y14" s="34"/>
      <c r="Z14" s="34"/>
      <c r="AA14" s="34"/>
      <c r="AB14" s="34"/>
      <c r="AC14" s="34"/>
      <c r="AD14" s="34"/>
      <c r="AE14" s="34"/>
      <c r="AF14" s="34"/>
      <c r="AG14" s="34"/>
      <c r="AH14" s="34"/>
    </row>
    <row r="15" spans="1:34" ht="29" x14ac:dyDescent="0.35">
      <c r="A15" s="33">
        <v>7</v>
      </c>
      <c r="B15" s="33" t="str">
        <f>CONCATENATE($B$2, ".", A15)</f>
        <v>3.7</v>
      </c>
      <c r="C15" s="37" t="s">
        <v>38</v>
      </c>
      <c r="D15" s="34" t="s">
        <v>146</v>
      </c>
      <c r="E15" s="34" t="s">
        <v>48</v>
      </c>
      <c r="F15" s="33" t="s">
        <v>55</v>
      </c>
      <c r="G15" s="33" t="s">
        <v>55</v>
      </c>
      <c r="H15" s="37" t="s">
        <v>55</v>
      </c>
      <c r="I15" s="34" t="s">
        <v>54</v>
      </c>
      <c r="J15" s="33" t="s">
        <v>55</v>
      </c>
      <c r="K15" s="33" t="s">
        <v>55</v>
      </c>
      <c r="L15" s="33" t="s">
        <v>55</v>
      </c>
      <c r="M15" s="34" t="s">
        <v>55</v>
      </c>
      <c r="N15" s="33" t="s">
        <v>55</v>
      </c>
      <c r="P15" s="33" t="s">
        <v>309</v>
      </c>
    </row>
    <row r="16" spans="1:34" x14ac:dyDescent="0.35">
      <c r="A16" s="33">
        <v>8</v>
      </c>
      <c r="B16" s="33" t="str">
        <f t="shared" si="1"/>
        <v>3.8</v>
      </c>
      <c r="C16" s="37" t="s">
        <v>37</v>
      </c>
      <c r="D16" s="34" t="s">
        <v>147</v>
      </c>
      <c r="E16" s="34" t="s">
        <v>27</v>
      </c>
      <c r="F16" s="33" t="s">
        <v>55</v>
      </c>
      <c r="G16" s="33" t="s">
        <v>55</v>
      </c>
      <c r="H16" s="37" t="s">
        <v>55</v>
      </c>
      <c r="I16" s="34" t="s">
        <v>54</v>
      </c>
      <c r="J16" s="33" t="s">
        <v>55</v>
      </c>
      <c r="K16" s="33" t="s">
        <v>55</v>
      </c>
      <c r="L16" s="33" t="s">
        <v>55</v>
      </c>
      <c r="M16" s="34" t="s">
        <v>55</v>
      </c>
      <c r="N16" s="33" t="s">
        <v>55</v>
      </c>
    </row>
    <row r="17" spans="1:34" x14ac:dyDescent="0.35">
      <c r="A17" s="33">
        <v>9</v>
      </c>
      <c r="B17" s="33" t="str">
        <f t="shared" si="1"/>
        <v>3.9</v>
      </c>
      <c r="C17" s="37" t="s">
        <v>37</v>
      </c>
      <c r="D17" s="34" t="s">
        <v>148</v>
      </c>
      <c r="E17" s="34" t="s">
        <v>59</v>
      </c>
      <c r="F17" s="33" t="s">
        <v>55</v>
      </c>
      <c r="G17" s="33" t="s">
        <v>55</v>
      </c>
      <c r="H17" s="37" t="s">
        <v>55</v>
      </c>
      <c r="I17" s="34" t="s">
        <v>54</v>
      </c>
      <c r="J17" s="33" t="s">
        <v>55</v>
      </c>
      <c r="K17" s="33" t="s">
        <v>55</v>
      </c>
      <c r="L17" s="33" t="s">
        <v>55</v>
      </c>
      <c r="M17" s="34" t="s">
        <v>55</v>
      </c>
      <c r="N17" s="33" t="s">
        <v>55</v>
      </c>
    </row>
    <row r="18" spans="1:34" ht="43.5" x14ac:dyDescent="0.35">
      <c r="A18" s="33">
        <v>11</v>
      </c>
      <c r="B18" s="33" t="str">
        <f t="shared" si="1"/>
        <v>3.11</v>
      </c>
      <c r="C18" s="37" t="s">
        <v>35</v>
      </c>
      <c r="D18" s="34" t="s">
        <v>267</v>
      </c>
      <c r="E18" s="34" t="s">
        <v>47</v>
      </c>
      <c r="F18" s="33" t="s">
        <v>55</v>
      </c>
      <c r="G18" s="33" t="s">
        <v>55</v>
      </c>
      <c r="H18" s="37" t="s">
        <v>55</v>
      </c>
      <c r="I18" s="34" t="s">
        <v>54</v>
      </c>
      <c r="J18" s="33" t="s">
        <v>55</v>
      </c>
      <c r="K18" s="33" t="s">
        <v>55</v>
      </c>
      <c r="L18" s="33" t="s">
        <v>55</v>
      </c>
      <c r="M18" s="34" t="s">
        <v>55</v>
      </c>
      <c r="N18" s="33" t="s">
        <v>55</v>
      </c>
      <c r="O18" s="33" t="s">
        <v>299</v>
      </c>
      <c r="Q18" s="34"/>
      <c r="R18" s="34"/>
      <c r="S18" s="34"/>
      <c r="T18" s="34"/>
      <c r="U18" s="34"/>
      <c r="V18" s="34"/>
      <c r="W18" s="34"/>
      <c r="X18" s="34"/>
      <c r="Y18" s="34"/>
      <c r="Z18" s="34"/>
      <c r="AA18" s="34"/>
      <c r="AB18" s="34"/>
      <c r="AC18" s="34"/>
      <c r="AD18" s="34"/>
      <c r="AE18" s="34"/>
      <c r="AF18" s="34"/>
      <c r="AG18" s="34"/>
      <c r="AH18" s="34"/>
    </row>
    <row r="19" spans="1:34" x14ac:dyDescent="0.35">
      <c r="A19" s="49" t="s">
        <v>293</v>
      </c>
      <c r="B19" s="49"/>
      <c r="C19" s="49"/>
      <c r="D19" s="49"/>
      <c r="E19" s="49"/>
      <c r="F19" s="49"/>
      <c r="G19" s="32"/>
      <c r="H19" s="32"/>
      <c r="I19" s="32"/>
      <c r="J19" s="32"/>
      <c r="K19" s="32"/>
      <c r="L19" s="32"/>
      <c r="M19" s="32"/>
      <c r="N19" s="32"/>
      <c r="O19" s="32"/>
      <c r="P19" s="32"/>
    </row>
    <row r="20" spans="1:34" ht="58" x14ac:dyDescent="0.35">
      <c r="A20" s="33">
        <v>12</v>
      </c>
      <c r="B20" s="33" t="str">
        <f>CONCATENATE($B$2, ".", A20)</f>
        <v>3.12</v>
      </c>
      <c r="C20" s="37" t="s">
        <v>37</v>
      </c>
      <c r="D20" s="34" t="s">
        <v>206</v>
      </c>
      <c r="E20" s="34" t="s">
        <v>40</v>
      </c>
      <c r="F20" s="33" t="s">
        <v>210</v>
      </c>
      <c r="G20" s="33" t="s">
        <v>55</v>
      </c>
      <c r="H20" s="37" t="s">
        <v>55</v>
      </c>
      <c r="I20" s="34" t="s">
        <v>54</v>
      </c>
      <c r="J20" s="44" t="s">
        <v>272</v>
      </c>
      <c r="K20" s="33" t="s">
        <v>55</v>
      </c>
      <c r="L20" s="33" t="s">
        <v>55</v>
      </c>
      <c r="M20" s="34" t="s">
        <v>55</v>
      </c>
      <c r="N20" s="33" t="s">
        <v>55</v>
      </c>
      <c r="O20" s="33" t="s">
        <v>300</v>
      </c>
    </row>
    <row r="21" spans="1:34" x14ac:dyDescent="0.35">
      <c r="A21" s="33">
        <v>13</v>
      </c>
      <c r="B21" s="33" t="str">
        <f>CONCATENATE($B$2, ".", A21)</f>
        <v>3.13</v>
      </c>
      <c r="C21" s="37" t="s">
        <v>37</v>
      </c>
      <c r="D21" s="34" t="s">
        <v>295</v>
      </c>
      <c r="E21" s="34" t="s">
        <v>40</v>
      </c>
      <c r="F21" s="33" t="s">
        <v>55</v>
      </c>
      <c r="G21" s="33" t="s">
        <v>55</v>
      </c>
      <c r="H21" s="37" t="s">
        <v>55</v>
      </c>
      <c r="I21" s="34" t="s">
        <v>54</v>
      </c>
      <c r="J21" s="33" t="s">
        <v>55</v>
      </c>
      <c r="K21" s="33" t="s">
        <v>55</v>
      </c>
      <c r="L21" s="33" t="s">
        <v>55</v>
      </c>
      <c r="M21" s="34" t="s">
        <v>55</v>
      </c>
      <c r="N21" s="33" t="s">
        <v>55</v>
      </c>
    </row>
    <row r="22" spans="1:34" x14ac:dyDescent="0.35">
      <c r="A22" s="33">
        <v>14</v>
      </c>
      <c r="B22" s="33" t="str">
        <f>CONCATENATE($B$2, ".", A22)</f>
        <v>3.14</v>
      </c>
      <c r="C22" s="37" t="s">
        <v>37</v>
      </c>
      <c r="D22" s="34" t="s">
        <v>56</v>
      </c>
      <c r="E22" s="34" t="s">
        <v>40</v>
      </c>
      <c r="F22" s="33" t="s">
        <v>55</v>
      </c>
      <c r="G22" s="33" t="s">
        <v>55</v>
      </c>
      <c r="H22" s="37" t="s">
        <v>55</v>
      </c>
      <c r="I22" s="34" t="s">
        <v>54</v>
      </c>
      <c r="J22" s="33" t="s">
        <v>55</v>
      </c>
      <c r="K22" s="33" t="s">
        <v>55</v>
      </c>
      <c r="L22" s="33" t="s">
        <v>55</v>
      </c>
      <c r="M22" s="34" t="s">
        <v>55</v>
      </c>
      <c r="N22" s="33" t="s">
        <v>55</v>
      </c>
      <c r="O22" s="33" t="s">
        <v>258</v>
      </c>
    </row>
    <row r="23" spans="1:34" x14ac:dyDescent="0.35">
      <c r="A23" s="33">
        <v>15</v>
      </c>
      <c r="B23" s="33" t="str">
        <f>CONCATENATE($B$2, ".", A23)</f>
        <v>3.15</v>
      </c>
      <c r="C23" s="37" t="s">
        <v>37</v>
      </c>
      <c r="D23" s="34" t="s">
        <v>57</v>
      </c>
      <c r="E23" s="34" t="s">
        <v>40</v>
      </c>
      <c r="F23" s="33" t="s">
        <v>55</v>
      </c>
      <c r="G23" s="33" t="s">
        <v>55</v>
      </c>
      <c r="H23" s="37" t="s">
        <v>55</v>
      </c>
      <c r="I23" s="34" t="s">
        <v>54</v>
      </c>
      <c r="J23" s="33" t="s">
        <v>55</v>
      </c>
      <c r="K23" s="33" t="s">
        <v>55</v>
      </c>
      <c r="L23" s="33" t="s">
        <v>55</v>
      </c>
      <c r="M23" s="34" t="s">
        <v>55</v>
      </c>
      <c r="N23" s="33" t="s">
        <v>55</v>
      </c>
      <c r="O23" s="33" t="s">
        <v>302</v>
      </c>
    </row>
    <row r="24" spans="1:34" ht="116" x14ac:dyDescent="0.35">
      <c r="A24" s="33">
        <v>16</v>
      </c>
      <c r="B24" s="33" t="str">
        <f>CONCATENATE($B$2, ".", A24)</f>
        <v>3.16</v>
      </c>
      <c r="C24" s="37" t="s">
        <v>35</v>
      </c>
      <c r="D24" s="45" t="s">
        <v>259</v>
      </c>
      <c r="E24" s="34" t="s">
        <v>53</v>
      </c>
      <c r="F24" s="33" t="s">
        <v>55</v>
      </c>
      <c r="G24" s="33" t="s">
        <v>55</v>
      </c>
      <c r="H24" s="37" t="s">
        <v>55</v>
      </c>
      <c r="I24" s="34" t="s">
        <v>209</v>
      </c>
      <c r="J24" s="33" t="s">
        <v>55</v>
      </c>
      <c r="K24" s="33" t="s">
        <v>55</v>
      </c>
      <c r="L24" s="33" t="s">
        <v>55</v>
      </c>
      <c r="M24" s="34" t="s">
        <v>55</v>
      </c>
      <c r="N24" s="33" t="s">
        <v>55</v>
      </c>
      <c r="O24" s="33" t="s">
        <v>301</v>
      </c>
    </row>
  </sheetData>
  <autoFilter ref="A6:P6"/>
  <conditionalFormatting sqref="C9 C25:C1048576 C18">
    <cfRule type="cellIs" dxfId="249" priority="147" operator="equal">
      <formula>"WIP (see comments)"</formula>
    </cfRule>
    <cfRule type="cellIs" dxfId="248" priority="148" operator="equal">
      <formula>"Removed"</formula>
    </cfRule>
    <cfRule type="cellIs" dxfId="247" priority="149" operator="equal">
      <formula>"Updated"</formula>
    </cfRule>
    <cfRule type="cellIs" dxfId="246" priority="150" operator="equal">
      <formula>"New"</formula>
    </cfRule>
  </conditionalFormatting>
  <conditionalFormatting sqref="D9 D17:D18">
    <cfRule type="cellIs" dxfId="245" priority="146" operator="equal">
      <formula>"-"</formula>
    </cfRule>
  </conditionalFormatting>
  <conditionalFormatting sqref="A11 G10:XFD10 P11:XFD11 I11 P9 A9:N9 P16:P17 Q7:XFD9 Q15:XFD18 G19:P19 A16:A17 I16:I18 G18 L18:N18 A18:E18">
    <cfRule type="cellIs" dxfId="244" priority="145" operator="equal">
      <formula>"n/a"</formula>
    </cfRule>
  </conditionalFormatting>
  <conditionalFormatting sqref="J17:N17 A17:B17 D17:H17">
    <cfRule type="cellIs" dxfId="243" priority="83" operator="equal">
      <formula>"n/a"</formula>
    </cfRule>
  </conditionalFormatting>
  <conditionalFormatting sqref="A10">
    <cfRule type="cellIs" dxfId="242" priority="82" operator="equal">
      <formula>"n/a"</formula>
    </cfRule>
  </conditionalFormatting>
  <conditionalFormatting sqref="C11">
    <cfRule type="cellIs" dxfId="241" priority="77" operator="equal">
      <formula>"WIP (see comments)"</formula>
    </cfRule>
    <cfRule type="cellIs" dxfId="240" priority="78" operator="equal">
      <formula>"Removed"</formula>
    </cfRule>
    <cfRule type="cellIs" dxfId="239" priority="79" operator="equal">
      <formula>"Updated"</formula>
    </cfRule>
    <cfRule type="cellIs" dxfId="238" priority="80" operator="equal">
      <formula>"New"</formula>
    </cfRule>
  </conditionalFormatting>
  <conditionalFormatting sqref="D11 D16">
    <cfRule type="cellIs" dxfId="237" priority="76" operator="equal">
      <formula>"-"</formula>
    </cfRule>
  </conditionalFormatting>
  <conditionalFormatting sqref="J11:N11 A11:H11 A16:B16 J16:N16 D16:H16">
    <cfRule type="cellIs" dxfId="236" priority="75" operator="equal">
      <formula>"n/a"</formula>
    </cfRule>
  </conditionalFormatting>
  <conditionalFormatting sqref="H18">
    <cfRule type="cellIs" dxfId="235" priority="74" operator="equal">
      <formula>"n/a"</formula>
    </cfRule>
  </conditionalFormatting>
  <conditionalFormatting sqref="F18">
    <cfRule type="cellIs" dxfId="234" priority="72" operator="equal">
      <formula>"n/a"</formula>
    </cfRule>
  </conditionalFormatting>
  <conditionalFormatting sqref="J18:K18">
    <cfRule type="cellIs" dxfId="233" priority="70" operator="equal">
      <formula>"n/a"</formula>
    </cfRule>
  </conditionalFormatting>
  <conditionalFormatting sqref="A17">
    <cfRule type="cellIs" dxfId="232" priority="68" operator="equal">
      <formula>"n/a"</formula>
    </cfRule>
  </conditionalFormatting>
  <conditionalFormatting sqref="A12 P12:XFD12 I12">
    <cfRule type="cellIs" dxfId="231" priority="62" operator="equal">
      <formula>"n/a"</formula>
    </cfRule>
  </conditionalFormatting>
  <conditionalFormatting sqref="C12">
    <cfRule type="cellIs" dxfId="230" priority="58" operator="equal">
      <formula>"WIP (see comments)"</formula>
    </cfRule>
    <cfRule type="cellIs" dxfId="229" priority="59" operator="equal">
      <formula>"Removed"</formula>
    </cfRule>
    <cfRule type="cellIs" dxfId="228" priority="60" operator="equal">
      <formula>"Updated"</formula>
    </cfRule>
    <cfRule type="cellIs" dxfId="227" priority="61" operator="equal">
      <formula>"New"</formula>
    </cfRule>
  </conditionalFormatting>
  <conditionalFormatting sqref="D12">
    <cfRule type="cellIs" dxfId="226" priority="57" operator="equal">
      <formula>"-"</formula>
    </cfRule>
  </conditionalFormatting>
  <conditionalFormatting sqref="J12:N12 A12:H12">
    <cfRule type="cellIs" dxfId="225" priority="56" operator="equal">
      <formula>"n/a"</formula>
    </cfRule>
  </conditionalFormatting>
  <conditionalFormatting sqref="G13:P13 P14 Q13:XFD14">
    <cfRule type="cellIs" dxfId="224" priority="55" operator="equal">
      <formula>"n/a"</formula>
    </cfRule>
  </conditionalFormatting>
  <conditionalFormatting sqref="C15:C17">
    <cfRule type="cellIs" dxfId="223" priority="51" operator="equal">
      <formula>"WIP (see comments)"</formula>
    </cfRule>
    <cfRule type="cellIs" dxfId="222" priority="52" operator="equal">
      <formula>"Removed"</formula>
    </cfRule>
    <cfRule type="cellIs" dxfId="221" priority="53" operator="equal">
      <formula>"Updated"</formula>
    </cfRule>
    <cfRule type="cellIs" dxfId="220" priority="54" operator="equal">
      <formula>"New"</formula>
    </cfRule>
  </conditionalFormatting>
  <conditionalFormatting sqref="D15">
    <cfRule type="cellIs" dxfId="219" priority="50" operator="equal">
      <formula>"-"</formula>
    </cfRule>
  </conditionalFormatting>
  <conditionalFormatting sqref="A15:N15 C16:C17">
    <cfRule type="cellIs" dxfId="218" priority="49" operator="equal">
      <formula>"n/a"</formula>
    </cfRule>
  </conditionalFormatting>
  <conditionalFormatting sqref="A13">
    <cfRule type="cellIs" dxfId="217" priority="48" operator="equal">
      <formula>"n/a"</formula>
    </cfRule>
  </conditionalFormatting>
  <conditionalFormatting sqref="C24">
    <cfRule type="cellIs" dxfId="216" priority="44" operator="equal">
      <formula>"WIP (see comments)"</formula>
    </cfRule>
    <cfRule type="cellIs" dxfId="215" priority="45" operator="equal">
      <formula>"Removed"</formula>
    </cfRule>
    <cfRule type="cellIs" dxfId="214" priority="46" operator="equal">
      <formula>"Updated"</formula>
    </cfRule>
    <cfRule type="cellIs" dxfId="213" priority="47" operator="equal">
      <formula>"New"</formula>
    </cfRule>
  </conditionalFormatting>
  <conditionalFormatting sqref="D24">
    <cfRule type="cellIs" dxfId="212" priority="43" operator="equal">
      <formula>"-"</formula>
    </cfRule>
  </conditionalFormatting>
  <conditionalFormatting sqref="A24:E24 G24 L24:N24 I24">
    <cfRule type="cellIs" dxfId="211" priority="42" operator="equal">
      <formula>"n/a"</formula>
    </cfRule>
  </conditionalFormatting>
  <conditionalFormatting sqref="H24">
    <cfRule type="cellIs" dxfId="210" priority="41" operator="equal">
      <formula>"n/a"</formula>
    </cfRule>
  </conditionalFormatting>
  <conditionalFormatting sqref="F24">
    <cfRule type="cellIs" dxfId="209" priority="40" operator="equal">
      <formula>"n/a"</formula>
    </cfRule>
  </conditionalFormatting>
  <conditionalFormatting sqref="J24:K24">
    <cfRule type="cellIs" dxfId="208" priority="39" operator="equal">
      <formula>"n/a"</formula>
    </cfRule>
  </conditionalFormatting>
  <conditionalFormatting sqref="J22:K23">
    <cfRule type="cellIs" dxfId="207" priority="28" operator="equal">
      <formula>"n/a"</formula>
    </cfRule>
  </conditionalFormatting>
  <conditionalFormatting sqref="C22:C23">
    <cfRule type="cellIs" dxfId="206" priority="33" operator="equal">
      <formula>"WIP (see comments)"</formula>
    </cfRule>
    <cfRule type="cellIs" dxfId="205" priority="34" operator="equal">
      <formula>"Removed"</formula>
    </cfRule>
    <cfRule type="cellIs" dxfId="204" priority="35" operator="equal">
      <formula>"Updated"</formula>
    </cfRule>
    <cfRule type="cellIs" dxfId="203" priority="36" operator="equal">
      <formula>"New"</formula>
    </cfRule>
  </conditionalFormatting>
  <conditionalFormatting sqref="D22:D23">
    <cfRule type="cellIs" dxfId="202" priority="32" operator="equal">
      <formula>"-"</formula>
    </cfRule>
  </conditionalFormatting>
  <conditionalFormatting sqref="A22:E23 G22:G23 L22:N23 I22:I23">
    <cfRule type="cellIs" dxfId="201" priority="31" operator="equal">
      <formula>"n/a"</formula>
    </cfRule>
  </conditionalFormatting>
  <conditionalFormatting sqref="H22:H23">
    <cfRule type="cellIs" dxfId="200" priority="30" operator="equal">
      <formula>"n/a"</formula>
    </cfRule>
  </conditionalFormatting>
  <conditionalFormatting sqref="F22:F23">
    <cfRule type="cellIs" dxfId="199" priority="29" operator="equal">
      <formula>"n/a"</formula>
    </cfRule>
  </conditionalFormatting>
  <conditionalFormatting sqref="A19">
    <cfRule type="cellIs" dxfId="198" priority="26" operator="equal">
      <formula>"n/a"</formula>
    </cfRule>
  </conditionalFormatting>
  <conditionalFormatting sqref="C7:C8">
    <cfRule type="cellIs" dxfId="197" priority="22" operator="equal">
      <formula>"WIP (see comments)"</formula>
    </cfRule>
    <cfRule type="cellIs" dxfId="196" priority="23" operator="equal">
      <formula>"Removed"</formula>
    </cfRule>
    <cfRule type="cellIs" dxfId="195" priority="24" operator="equal">
      <formula>"Updated"</formula>
    </cfRule>
    <cfRule type="cellIs" dxfId="194" priority="25" operator="equal">
      <formula>"New"</formula>
    </cfRule>
  </conditionalFormatting>
  <conditionalFormatting sqref="D7:D8">
    <cfRule type="cellIs" dxfId="193" priority="21" operator="equal">
      <formula>"-"</formula>
    </cfRule>
  </conditionalFormatting>
  <conditionalFormatting sqref="A7:P8">
    <cfRule type="cellIs" dxfId="192" priority="20" operator="equal">
      <formula>"n/a"</formula>
    </cfRule>
  </conditionalFormatting>
  <conditionalFormatting sqref="C20:C21">
    <cfRule type="cellIs" dxfId="191" priority="16" operator="equal">
      <formula>"WIP (see comments)"</formula>
    </cfRule>
    <cfRule type="cellIs" dxfId="190" priority="17" operator="equal">
      <formula>"Removed"</formula>
    </cfRule>
    <cfRule type="cellIs" dxfId="189" priority="18" operator="equal">
      <formula>"Updated"</formula>
    </cfRule>
    <cfRule type="cellIs" dxfId="188" priority="19" operator="equal">
      <formula>"New"</formula>
    </cfRule>
  </conditionalFormatting>
  <conditionalFormatting sqref="D20:D21">
    <cfRule type="cellIs" dxfId="187" priority="15" operator="equal">
      <formula>"-"</formula>
    </cfRule>
  </conditionalFormatting>
  <conditionalFormatting sqref="A20:E21 G20:G21 L20:N21 I20:I21">
    <cfRule type="cellIs" dxfId="186" priority="14" operator="equal">
      <formula>"n/a"</formula>
    </cfRule>
  </conditionalFormatting>
  <conditionalFormatting sqref="H20:H21">
    <cfRule type="cellIs" dxfId="185" priority="13" operator="equal">
      <formula>"n/a"</formula>
    </cfRule>
  </conditionalFormatting>
  <conditionalFormatting sqref="F20:F21">
    <cfRule type="cellIs" dxfId="184" priority="12" operator="equal">
      <formula>"n/a"</formula>
    </cfRule>
  </conditionalFormatting>
  <conditionalFormatting sqref="J20:K21">
    <cfRule type="cellIs" dxfId="183" priority="11" operator="equal">
      <formula>"n/a"</formula>
    </cfRule>
  </conditionalFormatting>
  <conditionalFormatting sqref="C14">
    <cfRule type="cellIs" dxfId="182" priority="7" operator="equal">
      <formula>"WIP (see comments)"</formula>
    </cfRule>
    <cfRule type="cellIs" dxfId="181" priority="8" operator="equal">
      <formula>"Removed"</formula>
    </cfRule>
    <cfRule type="cellIs" dxfId="180" priority="9" operator="equal">
      <formula>"Updated"</formula>
    </cfRule>
    <cfRule type="cellIs" dxfId="179" priority="10" operator="equal">
      <formula>"New"</formula>
    </cfRule>
  </conditionalFormatting>
  <conditionalFormatting sqref="D14">
    <cfRule type="cellIs" dxfId="178" priority="6" operator="equal">
      <formula>"-"</formula>
    </cfRule>
  </conditionalFormatting>
  <conditionalFormatting sqref="I14 A14:E14 G14 L14:N14">
    <cfRule type="cellIs" dxfId="177" priority="5" operator="equal">
      <formula>"n/a"</formula>
    </cfRule>
  </conditionalFormatting>
  <conditionalFormatting sqref="F14">
    <cfRule type="cellIs" dxfId="176" priority="3" operator="equal">
      <formula>"n/a"</formula>
    </cfRule>
  </conditionalFormatting>
  <conditionalFormatting sqref="H14">
    <cfRule type="cellIs" dxfId="175" priority="4" operator="equal">
      <formula>"n/a"</formula>
    </cfRule>
  </conditionalFormatting>
  <conditionalFormatting sqref="J14:K14">
    <cfRule type="cellIs" dxfId="174" priority="2" operator="equal">
      <formula>"n/a"</formula>
    </cfRule>
  </conditionalFormatting>
  <conditionalFormatting sqref="P15">
    <cfRule type="cellIs" dxfId="173" priority="1" operator="equal">
      <formula>"n/a"</formula>
    </cfRule>
  </conditionalFormatting>
  <dataValidations count="1">
    <dataValidation type="list" allowBlank="1" showInputMessage="1" showErrorMessage="1" sqref="E25:E1048576">
      <formula1>$A$5:$A$24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C11:C12 C7:C9 C20:C1048576 C14:C18</xm:sqref>
        </x14:dataValidation>
        <x14:dataValidation type="list" allowBlank="1" showInputMessage="1" showErrorMessage="1">
          <x14:formula1>
            <xm:f>'List Values'!$A$5:$A$30</xm:f>
          </x14:formula1>
          <xm:sqref>E7:E24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174</v>
      </c>
      <c r="C1" s="25"/>
      <c r="D1" s="22" t="s">
        <v>221</v>
      </c>
      <c r="F1" s="41"/>
      <c r="H1" s="27"/>
    </row>
    <row r="2" spans="1:16" s="23" customFormat="1" ht="18.5" x14ac:dyDescent="0.35">
      <c r="A2" s="21" t="s">
        <v>8</v>
      </c>
      <c r="B2" s="28" t="s">
        <v>173</v>
      </c>
      <c r="C2" s="27"/>
      <c r="D2" s="43"/>
      <c r="F2" s="41"/>
      <c r="H2" s="27"/>
    </row>
    <row r="3" spans="1:16" s="23" customFormat="1" ht="18.5" x14ac:dyDescent="0.35">
      <c r="A3" s="21" t="s">
        <v>41</v>
      </c>
      <c r="B3" s="28" t="s">
        <v>181</v>
      </c>
      <c r="C3" s="27"/>
      <c r="F3" s="41"/>
      <c r="H3" s="27"/>
    </row>
    <row r="4" spans="1:16" s="23" customFormat="1" ht="18.5" x14ac:dyDescent="0.35">
      <c r="A4" s="21" t="s">
        <v>9</v>
      </c>
      <c r="B4" s="28" t="s">
        <v>253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3" si="0">CONCATENATE($B$2, ".", A7)</f>
        <v>3a.1</v>
      </c>
      <c r="C7" s="37" t="s">
        <v>38</v>
      </c>
      <c r="D7" s="34" t="s">
        <v>146</v>
      </c>
      <c r="E7" s="34" t="s">
        <v>48</v>
      </c>
      <c r="F7" s="33" t="s">
        <v>55</v>
      </c>
      <c r="G7" s="33" t="s">
        <v>55</v>
      </c>
      <c r="H7" s="37" t="s">
        <v>55</v>
      </c>
      <c r="I7" s="34" t="s">
        <v>54</v>
      </c>
      <c r="J7" s="33" t="s">
        <v>55</v>
      </c>
      <c r="K7" s="33" t="s">
        <v>55</v>
      </c>
      <c r="L7" s="33" t="s">
        <v>55</v>
      </c>
      <c r="M7" s="34" t="s">
        <v>55</v>
      </c>
      <c r="N7" s="33" t="s">
        <v>55</v>
      </c>
    </row>
    <row r="8" spans="1:16" x14ac:dyDescent="0.35">
      <c r="A8" s="33">
        <v>2</v>
      </c>
      <c r="B8" s="33" t="str">
        <f t="shared" si="0"/>
        <v>3a.2</v>
      </c>
      <c r="C8" s="37" t="s">
        <v>38</v>
      </c>
      <c r="D8" s="34" t="s">
        <v>147</v>
      </c>
      <c r="E8" s="34" t="s">
        <v>27</v>
      </c>
      <c r="F8" s="33" t="s">
        <v>55</v>
      </c>
      <c r="G8" s="33" t="s">
        <v>55</v>
      </c>
      <c r="H8" s="37" t="s">
        <v>55</v>
      </c>
      <c r="I8" s="34" t="s">
        <v>54</v>
      </c>
      <c r="J8" s="33" t="s">
        <v>55</v>
      </c>
      <c r="K8" s="33" t="s">
        <v>55</v>
      </c>
      <c r="L8" s="33" t="s">
        <v>55</v>
      </c>
      <c r="M8" s="34" t="s">
        <v>55</v>
      </c>
      <c r="N8" s="33" t="s">
        <v>55</v>
      </c>
    </row>
    <row r="9" spans="1:16" x14ac:dyDescent="0.35">
      <c r="A9" s="33">
        <v>3</v>
      </c>
      <c r="B9" s="33" t="str">
        <f t="shared" si="0"/>
        <v>3a.3</v>
      </c>
      <c r="C9" s="37" t="s">
        <v>38</v>
      </c>
      <c r="D9" s="34" t="s">
        <v>148</v>
      </c>
      <c r="E9" s="34" t="s">
        <v>27</v>
      </c>
      <c r="F9" s="33" t="s">
        <v>55</v>
      </c>
      <c r="G9" s="33" t="s">
        <v>55</v>
      </c>
      <c r="H9" s="37" t="s">
        <v>55</v>
      </c>
      <c r="I9" s="34" t="s">
        <v>54</v>
      </c>
      <c r="J9" s="33" t="s">
        <v>55</v>
      </c>
      <c r="K9" s="33" t="s">
        <v>55</v>
      </c>
      <c r="L9" s="33" t="s">
        <v>55</v>
      </c>
      <c r="M9" s="34" t="s">
        <v>55</v>
      </c>
      <c r="N9" s="33" t="s">
        <v>55</v>
      </c>
    </row>
    <row r="10" spans="1:16" x14ac:dyDescent="0.35">
      <c r="A10" s="33">
        <v>4</v>
      </c>
      <c r="B10" s="33" t="str">
        <f t="shared" si="0"/>
        <v>3a.4</v>
      </c>
      <c r="C10" s="37" t="s">
        <v>38</v>
      </c>
      <c r="D10" s="34" t="s">
        <v>153</v>
      </c>
      <c r="E10" s="34" t="s">
        <v>59</v>
      </c>
      <c r="F10" s="33" t="s">
        <v>55</v>
      </c>
      <c r="G10" s="33" t="s">
        <v>55</v>
      </c>
      <c r="H10" s="37" t="s">
        <v>55</v>
      </c>
      <c r="I10" s="34" t="s">
        <v>54</v>
      </c>
      <c r="J10" s="33" t="s">
        <v>55</v>
      </c>
      <c r="K10" s="33" t="s">
        <v>55</v>
      </c>
      <c r="L10" s="33" t="s">
        <v>55</v>
      </c>
      <c r="M10" s="34" t="s">
        <v>55</v>
      </c>
      <c r="N10" s="33" t="s">
        <v>55</v>
      </c>
    </row>
    <row r="11" spans="1:16" x14ac:dyDescent="0.35">
      <c r="A11" s="33">
        <v>5</v>
      </c>
      <c r="B11" s="33" t="str">
        <f t="shared" si="0"/>
        <v>3a.5</v>
      </c>
      <c r="C11" s="37" t="s">
        <v>38</v>
      </c>
      <c r="D11" s="34" t="s">
        <v>154</v>
      </c>
      <c r="E11" s="34" t="s">
        <v>59</v>
      </c>
      <c r="F11" s="33" t="s">
        <v>55</v>
      </c>
      <c r="G11" s="33" t="s">
        <v>55</v>
      </c>
      <c r="H11" s="37" t="s">
        <v>55</v>
      </c>
      <c r="I11" s="34" t="s">
        <v>54</v>
      </c>
      <c r="J11" s="33" t="s">
        <v>55</v>
      </c>
      <c r="K11" s="33" t="s">
        <v>55</v>
      </c>
      <c r="L11" s="33" t="s">
        <v>55</v>
      </c>
      <c r="M11" s="34" t="s">
        <v>55</v>
      </c>
      <c r="N11" s="33" t="s">
        <v>55</v>
      </c>
    </row>
    <row r="12" spans="1:16" x14ac:dyDescent="0.35">
      <c r="A12" s="33">
        <v>6</v>
      </c>
      <c r="B12" s="33" t="str">
        <f t="shared" si="0"/>
        <v>3a.6</v>
      </c>
      <c r="C12" s="37" t="s">
        <v>38</v>
      </c>
      <c r="D12" s="34" t="s">
        <v>155</v>
      </c>
      <c r="E12" s="34" t="s">
        <v>59</v>
      </c>
      <c r="F12" s="33" t="s">
        <v>55</v>
      </c>
      <c r="G12" s="33" t="s">
        <v>55</v>
      </c>
      <c r="H12" s="37" t="s">
        <v>55</v>
      </c>
      <c r="I12" s="34" t="s">
        <v>54</v>
      </c>
      <c r="J12" s="33" t="s">
        <v>55</v>
      </c>
      <c r="K12" s="33" t="s">
        <v>55</v>
      </c>
      <c r="L12" s="33" t="s">
        <v>55</v>
      </c>
      <c r="M12" s="34" t="s">
        <v>55</v>
      </c>
      <c r="N12" s="33" t="s">
        <v>55</v>
      </c>
    </row>
    <row r="13" spans="1:16" ht="29" x14ac:dyDescent="0.35">
      <c r="A13" s="33">
        <v>7</v>
      </c>
      <c r="B13" s="33" t="str">
        <f t="shared" si="0"/>
        <v>3a.7</v>
      </c>
      <c r="C13" s="37" t="s">
        <v>38</v>
      </c>
      <c r="D13" s="34" t="s">
        <v>160</v>
      </c>
      <c r="E13" s="34" t="s">
        <v>40</v>
      </c>
      <c r="F13" s="33" t="s">
        <v>55</v>
      </c>
      <c r="G13" s="33" t="s">
        <v>55</v>
      </c>
      <c r="H13" s="37" t="s">
        <v>55</v>
      </c>
      <c r="I13" s="34" t="s">
        <v>54</v>
      </c>
      <c r="J13" s="33" t="s">
        <v>55</v>
      </c>
      <c r="K13" s="33" t="s">
        <v>55</v>
      </c>
      <c r="L13" s="33" t="s">
        <v>55</v>
      </c>
      <c r="M13" s="33" t="s">
        <v>55</v>
      </c>
      <c r="N13" s="33" t="s">
        <v>55</v>
      </c>
      <c r="O13" s="31" t="s">
        <v>161</v>
      </c>
    </row>
  </sheetData>
  <autoFilter ref="A6:P6"/>
  <conditionalFormatting sqref="C7:C1048576">
    <cfRule type="cellIs" dxfId="172" priority="18" operator="equal">
      <formula>"WIP (see comments)"</formula>
    </cfRule>
    <cfRule type="cellIs" dxfId="171" priority="19" operator="equal">
      <formula>"Removed"</formula>
    </cfRule>
    <cfRule type="cellIs" dxfId="170" priority="20" operator="equal">
      <formula>"Updated"</formula>
    </cfRule>
    <cfRule type="cellIs" dxfId="169" priority="21" operator="equal">
      <formula>"New"</formula>
    </cfRule>
  </conditionalFormatting>
  <conditionalFormatting sqref="D7 D9">
    <cfRule type="cellIs" dxfId="168" priority="17" operator="equal">
      <formula>"-"</formula>
    </cfRule>
  </conditionalFormatting>
  <conditionalFormatting sqref="P7:XFD7 A7:N7 P9:XFD13 G11:G12 L11:N12 A9:B13 E11:E12 E10:H10 I8:I12 J9:N10 D9:H9 D13:N13 C8:C13">
    <cfRule type="cellIs" dxfId="167" priority="16" operator="equal">
      <formula>"n/a"</formula>
    </cfRule>
  </conditionalFormatting>
  <conditionalFormatting sqref="O13">
    <cfRule type="cellIs" dxfId="166" priority="15" operator="equal">
      <formula>"n/a"</formula>
    </cfRule>
  </conditionalFormatting>
  <conditionalFormatting sqref="D8">
    <cfRule type="cellIs" dxfId="165" priority="10" operator="equal">
      <formula>"-"</formula>
    </cfRule>
  </conditionalFormatting>
  <conditionalFormatting sqref="A8:B8 P8:XFD8 J8:N8 D8:H8">
    <cfRule type="cellIs" dxfId="164" priority="9" operator="equal">
      <formula>"n/a"</formula>
    </cfRule>
  </conditionalFormatting>
  <conditionalFormatting sqref="H12">
    <cfRule type="cellIs" dxfId="163" priority="8" operator="equal">
      <formula>"n/a"</formula>
    </cfRule>
  </conditionalFormatting>
  <conditionalFormatting sqref="H11">
    <cfRule type="cellIs" dxfId="162" priority="7" operator="equal">
      <formula>"n/a"</formula>
    </cfRule>
  </conditionalFormatting>
  <conditionalFormatting sqref="F12">
    <cfRule type="cellIs" dxfId="161" priority="6" operator="equal">
      <formula>"n/a"</formula>
    </cfRule>
  </conditionalFormatting>
  <conditionalFormatting sqref="F11">
    <cfRule type="cellIs" dxfId="160" priority="5" operator="equal">
      <formula>"n/a"</formula>
    </cfRule>
  </conditionalFormatting>
  <conditionalFormatting sqref="J12:K12">
    <cfRule type="cellIs" dxfId="159" priority="4" operator="equal">
      <formula>"n/a"</formula>
    </cfRule>
  </conditionalFormatting>
  <conditionalFormatting sqref="J11:K11">
    <cfRule type="cellIs" dxfId="158" priority="3" operator="equal">
      <formula>"n/a"</formula>
    </cfRule>
  </conditionalFormatting>
  <conditionalFormatting sqref="D10:D12">
    <cfRule type="cellIs" dxfId="157" priority="2" operator="equal">
      <formula>"-"</formula>
    </cfRule>
  </conditionalFormatting>
  <conditionalFormatting sqref="D10:D12">
    <cfRule type="cellIs" dxfId="15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183</v>
      </c>
      <c r="C1" s="25"/>
      <c r="D1" s="22"/>
      <c r="F1" s="41"/>
      <c r="H1" s="27"/>
    </row>
    <row r="2" spans="1:16" s="23" customFormat="1" ht="18.5" x14ac:dyDescent="0.35">
      <c r="A2" s="21" t="s">
        <v>8</v>
      </c>
      <c r="B2" s="28">
        <v>4</v>
      </c>
      <c r="C2" s="27"/>
      <c r="D2" s="28"/>
      <c r="F2" s="41"/>
      <c r="H2" s="27"/>
    </row>
    <row r="3" spans="1:16" s="23" customFormat="1" ht="18.5" x14ac:dyDescent="0.35">
      <c r="A3" s="21" t="s">
        <v>41</v>
      </c>
      <c r="B3" s="28" t="s">
        <v>184</v>
      </c>
      <c r="C3" s="27"/>
      <c r="D3" s="28" t="s">
        <v>195</v>
      </c>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8" si="0">CONCATENATE($B$2, ".", A7)</f>
        <v>4.1</v>
      </c>
      <c r="C7" s="37" t="s">
        <v>35</v>
      </c>
      <c r="D7" s="33" t="s">
        <v>265</v>
      </c>
      <c r="E7" s="34" t="s">
        <v>326</v>
      </c>
      <c r="F7" s="33" t="s">
        <v>55</v>
      </c>
      <c r="G7" s="33" t="s">
        <v>55</v>
      </c>
      <c r="H7" s="37" t="s">
        <v>55</v>
      </c>
      <c r="I7" s="34" t="s">
        <v>54</v>
      </c>
      <c r="J7" s="33" t="s">
        <v>55</v>
      </c>
      <c r="K7" s="33" t="s">
        <v>55</v>
      </c>
      <c r="L7" s="33" t="s">
        <v>55</v>
      </c>
      <c r="M7" s="33" t="s">
        <v>55</v>
      </c>
      <c r="N7" s="33" t="s">
        <v>55</v>
      </c>
      <c r="O7" s="33" t="s">
        <v>55</v>
      </c>
      <c r="P7" s="33" t="s">
        <v>263</v>
      </c>
    </row>
    <row r="8" spans="1:16" x14ac:dyDescent="0.35">
      <c r="A8" s="33">
        <v>2</v>
      </c>
      <c r="B8" s="33" t="str">
        <f t="shared" si="0"/>
        <v>4.2</v>
      </c>
      <c r="C8" s="37" t="s">
        <v>37</v>
      </c>
      <c r="D8" s="33" t="s">
        <v>55</v>
      </c>
      <c r="E8" s="34" t="s">
        <v>43</v>
      </c>
      <c r="F8" s="33" t="s">
        <v>55</v>
      </c>
      <c r="G8" s="33" t="s">
        <v>55</v>
      </c>
      <c r="H8" s="37" t="s">
        <v>55</v>
      </c>
      <c r="I8" s="34" t="s">
        <v>54</v>
      </c>
      <c r="J8" s="33" t="s">
        <v>55</v>
      </c>
      <c r="K8" s="33" t="s">
        <v>55</v>
      </c>
      <c r="L8" s="33" t="s">
        <v>55</v>
      </c>
      <c r="M8" s="33" t="s">
        <v>55</v>
      </c>
      <c r="N8" s="33" t="s">
        <v>55</v>
      </c>
      <c r="O8" s="33" t="s">
        <v>55</v>
      </c>
    </row>
    <row r="9" spans="1:16" x14ac:dyDescent="0.35">
      <c r="A9" s="33">
        <v>3</v>
      </c>
      <c r="B9" s="33" t="str">
        <f>CONCATENATE($B$2, ".", A9)</f>
        <v>4.3</v>
      </c>
      <c r="C9" s="37" t="s">
        <v>37</v>
      </c>
      <c r="D9" s="33" t="s">
        <v>232</v>
      </c>
      <c r="E9" s="34" t="s">
        <v>49</v>
      </c>
      <c r="F9" s="33" t="s">
        <v>55</v>
      </c>
      <c r="G9" s="33" t="s">
        <v>55</v>
      </c>
      <c r="H9" s="37" t="s">
        <v>55</v>
      </c>
      <c r="I9" s="34" t="s">
        <v>54</v>
      </c>
      <c r="J9" s="33" t="s">
        <v>55</v>
      </c>
      <c r="K9" s="33" t="s">
        <v>55</v>
      </c>
      <c r="L9" s="33" t="s">
        <v>55</v>
      </c>
      <c r="M9" s="33" t="s">
        <v>55</v>
      </c>
      <c r="N9" s="33" t="s">
        <v>55</v>
      </c>
    </row>
    <row r="10" spans="1:16" ht="29" x14ac:dyDescent="0.35">
      <c r="A10" s="33">
        <v>4</v>
      </c>
      <c r="B10" s="33" t="str">
        <f>CONCATENATE($B$2, ".", A10)</f>
        <v>4.4</v>
      </c>
      <c r="C10" s="37" t="s">
        <v>37</v>
      </c>
      <c r="D10" s="34" t="s">
        <v>233</v>
      </c>
      <c r="E10" s="34" t="s">
        <v>32</v>
      </c>
      <c r="F10" s="33" t="s">
        <v>55</v>
      </c>
      <c r="G10" s="33" t="s">
        <v>55</v>
      </c>
      <c r="H10" s="37" t="s">
        <v>55</v>
      </c>
      <c r="I10" s="34" t="s">
        <v>234</v>
      </c>
      <c r="J10" s="33" t="s">
        <v>55</v>
      </c>
      <c r="K10" s="33" t="s">
        <v>55</v>
      </c>
      <c r="L10" s="33" t="s">
        <v>55</v>
      </c>
      <c r="M10" s="33" t="s">
        <v>55</v>
      </c>
      <c r="N10" s="33" t="s">
        <v>55</v>
      </c>
    </row>
    <row r="11" spans="1:16" ht="29" x14ac:dyDescent="0.35">
      <c r="A11" s="33">
        <v>5</v>
      </c>
      <c r="B11" s="33" t="str">
        <f>CONCATENATE($B$2, ".", A11)</f>
        <v>4.5</v>
      </c>
      <c r="C11" s="37" t="s">
        <v>37</v>
      </c>
      <c r="D11" s="34" t="s">
        <v>236</v>
      </c>
      <c r="E11" s="34" t="s">
        <v>34</v>
      </c>
      <c r="F11" s="33" t="s">
        <v>55</v>
      </c>
      <c r="G11" s="33" t="s">
        <v>55</v>
      </c>
      <c r="H11" s="37" t="s">
        <v>55</v>
      </c>
      <c r="I11" s="34" t="s">
        <v>235</v>
      </c>
      <c r="J11" s="33" t="s">
        <v>55</v>
      </c>
      <c r="K11" s="33" t="s">
        <v>55</v>
      </c>
      <c r="L11" s="33" t="s">
        <v>55</v>
      </c>
      <c r="M11" s="33" t="s">
        <v>55</v>
      </c>
      <c r="N11" s="33" t="s">
        <v>55</v>
      </c>
      <c r="O11" s="33" t="s">
        <v>237</v>
      </c>
    </row>
    <row r="12" spans="1:16" s="32" customFormat="1" ht="15" customHeight="1" x14ac:dyDescent="0.35">
      <c r="A12" s="50" t="s">
        <v>319</v>
      </c>
      <c r="B12" s="50"/>
      <c r="C12" s="50"/>
      <c r="D12" s="50"/>
      <c r="E12" s="50"/>
      <c r="F12" s="50"/>
    </row>
    <row r="13" spans="1:16" ht="29" x14ac:dyDescent="0.35">
      <c r="A13" s="33">
        <v>6</v>
      </c>
      <c r="B13" s="33" t="str">
        <f t="shared" ref="B13:B18" si="1">CONCATENATE($B$2, ".", A13)</f>
        <v>4.6</v>
      </c>
      <c r="C13" s="37" t="s">
        <v>38</v>
      </c>
      <c r="D13" s="34" t="s">
        <v>146</v>
      </c>
      <c r="E13" s="34" t="s">
        <v>48</v>
      </c>
      <c r="F13" s="33" t="s">
        <v>55</v>
      </c>
      <c r="G13" s="33" t="s">
        <v>55</v>
      </c>
      <c r="H13" s="37" t="s">
        <v>55</v>
      </c>
      <c r="I13" s="34" t="s">
        <v>54</v>
      </c>
      <c r="J13" s="33" t="s">
        <v>55</v>
      </c>
      <c r="K13" s="33" t="s">
        <v>55</v>
      </c>
      <c r="L13" s="33" t="s">
        <v>55</v>
      </c>
      <c r="M13" s="34" t="s">
        <v>55</v>
      </c>
      <c r="N13" s="33" t="s">
        <v>55</v>
      </c>
      <c r="P13" s="33" t="s">
        <v>309</v>
      </c>
    </row>
    <row r="14" spans="1:16" x14ac:dyDescent="0.35">
      <c r="A14" s="33">
        <v>7</v>
      </c>
      <c r="B14" s="33" t="str">
        <f t="shared" si="1"/>
        <v>4.7</v>
      </c>
      <c r="C14" s="37" t="s">
        <v>37</v>
      </c>
      <c r="D14" s="34" t="s">
        <v>147</v>
      </c>
      <c r="E14" s="34" t="s">
        <v>59</v>
      </c>
      <c r="F14" s="33" t="s">
        <v>55</v>
      </c>
      <c r="G14" s="33" t="s">
        <v>55</v>
      </c>
      <c r="H14" s="37" t="s">
        <v>55</v>
      </c>
      <c r="I14" s="34" t="s">
        <v>54</v>
      </c>
      <c r="J14" s="33" t="s">
        <v>55</v>
      </c>
      <c r="K14" s="33" t="s">
        <v>55</v>
      </c>
      <c r="L14" s="33" t="s">
        <v>55</v>
      </c>
      <c r="M14" s="34" t="s">
        <v>55</v>
      </c>
      <c r="N14" s="33" t="s">
        <v>55</v>
      </c>
    </row>
    <row r="15" spans="1:16" x14ac:dyDescent="0.35">
      <c r="A15" s="33">
        <v>8</v>
      </c>
      <c r="B15" s="33" t="str">
        <f t="shared" si="1"/>
        <v>4.8</v>
      </c>
      <c r="C15" s="37" t="s">
        <v>37</v>
      </c>
      <c r="D15" s="34" t="s">
        <v>148</v>
      </c>
      <c r="E15" s="34" t="s">
        <v>59</v>
      </c>
      <c r="F15" s="33" t="s">
        <v>55</v>
      </c>
      <c r="G15" s="33" t="s">
        <v>55</v>
      </c>
      <c r="H15" s="37" t="s">
        <v>55</v>
      </c>
      <c r="I15" s="34" t="s">
        <v>54</v>
      </c>
      <c r="J15" s="33" t="s">
        <v>55</v>
      </c>
      <c r="K15" s="33" t="s">
        <v>55</v>
      </c>
      <c r="L15" s="33" t="s">
        <v>55</v>
      </c>
      <c r="M15" s="34" t="s">
        <v>55</v>
      </c>
      <c r="N15" s="33" t="s">
        <v>55</v>
      </c>
    </row>
    <row r="16" spans="1:16" ht="58" x14ac:dyDescent="0.35">
      <c r="A16" s="33">
        <v>9</v>
      </c>
      <c r="B16" s="33" t="str">
        <f t="shared" si="1"/>
        <v>4.9</v>
      </c>
      <c r="C16" s="37" t="s">
        <v>35</v>
      </c>
      <c r="D16" s="34" t="s">
        <v>149</v>
      </c>
      <c r="E16" s="34" t="s">
        <v>271</v>
      </c>
      <c r="F16" s="33" t="s">
        <v>225</v>
      </c>
      <c r="G16" s="33" t="s">
        <v>55</v>
      </c>
      <c r="H16" s="37" t="s">
        <v>226</v>
      </c>
      <c r="I16" s="34" t="s">
        <v>54</v>
      </c>
      <c r="J16" s="33" t="s">
        <v>315</v>
      </c>
      <c r="K16" s="33" t="s">
        <v>55</v>
      </c>
      <c r="L16" s="33" t="s">
        <v>55</v>
      </c>
      <c r="M16" s="34" t="s">
        <v>55</v>
      </c>
      <c r="N16" s="33" t="s">
        <v>55</v>
      </c>
      <c r="O16" s="33" t="s">
        <v>247</v>
      </c>
    </row>
    <row r="17" spans="1:16" ht="29" x14ac:dyDescent="0.35">
      <c r="A17" s="33">
        <v>10</v>
      </c>
      <c r="B17" s="33" t="str">
        <f t="shared" si="1"/>
        <v>4.10</v>
      </c>
      <c r="C17" s="37" t="s">
        <v>37</v>
      </c>
      <c r="D17" s="34" t="s">
        <v>156</v>
      </c>
      <c r="E17" s="34" t="s">
        <v>47</v>
      </c>
      <c r="F17" s="33" t="s">
        <v>55</v>
      </c>
      <c r="G17" s="33" t="s">
        <v>55</v>
      </c>
      <c r="H17" s="37" t="s">
        <v>55</v>
      </c>
      <c r="I17" s="34" t="s">
        <v>54</v>
      </c>
      <c r="J17" s="33" t="s">
        <v>55</v>
      </c>
      <c r="K17" s="33" t="s">
        <v>55</v>
      </c>
      <c r="L17" s="33" t="s">
        <v>55</v>
      </c>
      <c r="M17" s="34" t="s">
        <v>55</v>
      </c>
      <c r="N17" s="33" t="s">
        <v>55</v>
      </c>
      <c r="O17" s="33" t="s">
        <v>318</v>
      </c>
    </row>
    <row r="18" spans="1:16" ht="72.5" x14ac:dyDescent="0.35">
      <c r="A18" s="33">
        <v>11</v>
      </c>
      <c r="B18" s="33" t="str">
        <f t="shared" si="1"/>
        <v>4.11</v>
      </c>
      <c r="C18" s="37" t="s">
        <v>37</v>
      </c>
      <c r="D18" s="45" t="s">
        <v>227</v>
      </c>
      <c r="E18" s="34" t="s">
        <v>53</v>
      </c>
      <c r="F18" s="33" t="s">
        <v>55</v>
      </c>
      <c r="G18" s="33" t="s">
        <v>55</v>
      </c>
      <c r="H18" s="37" t="s">
        <v>55</v>
      </c>
      <c r="I18" s="34" t="s">
        <v>238</v>
      </c>
      <c r="J18" s="33" t="s">
        <v>55</v>
      </c>
      <c r="K18" s="33" t="s">
        <v>55</v>
      </c>
      <c r="L18" s="33" t="s">
        <v>55</v>
      </c>
      <c r="M18" s="34" t="s">
        <v>55</v>
      </c>
      <c r="N18" s="33" t="s">
        <v>55</v>
      </c>
      <c r="O18" s="33" t="s">
        <v>241</v>
      </c>
    </row>
    <row r="19" spans="1:16" s="32" customFormat="1" x14ac:dyDescent="0.35">
      <c r="A19" s="50" t="s">
        <v>320</v>
      </c>
      <c r="B19" s="50"/>
      <c r="C19" s="50"/>
      <c r="D19" s="50"/>
      <c r="E19" s="50"/>
    </row>
    <row r="20" spans="1:16" ht="43.5" x14ac:dyDescent="0.35">
      <c r="A20" s="33">
        <v>12</v>
      </c>
      <c r="B20" s="33" t="str">
        <f>CONCATENATE($B$2, ".", A20)</f>
        <v>4.12</v>
      </c>
      <c r="C20" s="37" t="s">
        <v>37</v>
      </c>
      <c r="D20" s="34" t="s">
        <v>157</v>
      </c>
      <c r="E20" s="34" t="s">
        <v>34</v>
      </c>
      <c r="F20" s="33" t="s">
        <v>55</v>
      </c>
      <c r="G20" s="33" t="s">
        <v>55</v>
      </c>
      <c r="H20" s="37" t="s">
        <v>55</v>
      </c>
      <c r="I20" s="34" t="s">
        <v>54</v>
      </c>
      <c r="J20" s="33" t="s">
        <v>55</v>
      </c>
      <c r="K20" s="33" t="s">
        <v>55</v>
      </c>
      <c r="L20" s="33" t="s">
        <v>55</v>
      </c>
      <c r="M20" s="33" t="s">
        <v>55</v>
      </c>
      <c r="N20" s="33" t="s">
        <v>55</v>
      </c>
      <c r="O20" s="31" t="s">
        <v>158</v>
      </c>
    </row>
    <row r="21" spans="1:16" x14ac:dyDescent="0.35">
      <c r="A21" s="33">
        <v>13</v>
      </c>
      <c r="B21" s="33" t="str">
        <f>CONCATENATE($B$2, ".", A21)</f>
        <v>4.13</v>
      </c>
      <c r="C21" s="37" t="s">
        <v>37</v>
      </c>
      <c r="D21" s="33" t="s">
        <v>162</v>
      </c>
      <c r="E21" s="34" t="s">
        <v>32</v>
      </c>
      <c r="F21" s="33" t="s">
        <v>55</v>
      </c>
      <c r="G21" s="33" t="s">
        <v>55</v>
      </c>
      <c r="H21" s="37" t="s">
        <v>55</v>
      </c>
      <c r="I21" s="34" t="s">
        <v>54</v>
      </c>
      <c r="J21" s="33" t="s">
        <v>55</v>
      </c>
      <c r="K21" s="33" t="s">
        <v>55</v>
      </c>
      <c r="L21" s="33" t="s">
        <v>55</v>
      </c>
      <c r="M21" s="33" t="s">
        <v>55</v>
      </c>
      <c r="N21" s="33" t="s">
        <v>55</v>
      </c>
    </row>
    <row r="22" spans="1:16" ht="58" x14ac:dyDescent="0.35">
      <c r="A22" s="33">
        <v>14</v>
      </c>
      <c r="B22" s="33" t="str">
        <f>CONCATENATE($B$2, ".", A22)</f>
        <v>4.14</v>
      </c>
      <c r="C22" s="37" t="s">
        <v>37</v>
      </c>
      <c r="D22" s="47" t="s">
        <v>243</v>
      </c>
      <c r="E22" s="34" t="s">
        <v>47</v>
      </c>
      <c r="F22" s="33" t="s">
        <v>55</v>
      </c>
      <c r="G22" s="33" t="s">
        <v>55</v>
      </c>
      <c r="H22" s="37" t="s">
        <v>55</v>
      </c>
      <c r="I22" s="34" t="s">
        <v>54</v>
      </c>
      <c r="J22" s="33" t="s">
        <v>55</v>
      </c>
      <c r="K22" s="33" t="s">
        <v>55</v>
      </c>
      <c r="L22" s="33" t="s">
        <v>55</v>
      </c>
      <c r="M22" s="34" t="s">
        <v>55</v>
      </c>
      <c r="N22" s="33" t="s">
        <v>55</v>
      </c>
      <c r="O22" s="33" t="s">
        <v>244</v>
      </c>
    </row>
    <row r="23" spans="1:16" x14ac:dyDescent="0.35">
      <c r="A23" s="33">
        <v>15</v>
      </c>
      <c r="B23" s="33" t="str">
        <f>CONCATENATE($B$2, ".", A23)</f>
        <v>4.15</v>
      </c>
      <c r="C23" s="37" t="s">
        <v>37</v>
      </c>
      <c r="D23" s="34" t="s">
        <v>239</v>
      </c>
      <c r="E23" s="34" t="s">
        <v>27</v>
      </c>
      <c r="F23" s="33" t="s">
        <v>55</v>
      </c>
      <c r="G23" s="33" t="s">
        <v>55</v>
      </c>
      <c r="H23" s="37" t="s">
        <v>55</v>
      </c>
      <c r="I23" s="34" t="s">
        <v>54</v>
      </c>
      <c r="J23" s="33" t="s">
        <v>55</v>
      </c>
      <c r="K23" s="33" t="s">
        <v>55</v>
      </c>
      <c r="L23" s="33" t="s">
        <v>55</v>
      </c>
      <c r="M23" s="33" t="s">
        <v>55</v>
      </c>
      <c r="N23" s="33" t="s">
        <v>55</v>
      </c>
    </row>
    <row r="24" spans="1:16" s="32" customFormat="1" ht="15" customHeight="1" x14ac:dyDescent="0.35">
      <c r="A24" s="48" t="s">
        <v>321</v>
      </c>
      <c r="B24" s="48"/>
      <c r="C24" s="48"/>
      <c r="D24" s="48"/>
      <c r="E24" s="48"/>
      <c r="F24" s="48"/>
    </row>
    <row r="25" spans="1:16" s="32" customFormat="1" ht="15" customHeight="1" x14ac:dyDescent="0.35">
      <c r="A25" s="50" t="s">
        <v>322</v>
      </c>
      <c r="B25" s="50"/>
      <c r="C25" s="50"/>
      <c r="D25" s="50"/>
      <c r="E25" s="50"/>
      <c r="F25" s="50"/>
    </row>
    <row r="26" spans="1:16" ht="29" x14ac:dyDescent="0.35">
      <c r="A26" s="33">
        <v>14</v>
      </c>
      <c r="B26" s="33" t="str">
        <f>CONCATENATE($B$2, ".", A26)</f>
        <v>4.14</v>
      </c>
      <c r="C26" s="37" t="s">
        <v>38</v>
      </c>
      <c r="D26" s="34" t="s">
        <v>229</v>
      </c>
      <c r="E26" s="34" t="s">
        <v>48</v>
      </c>
      <c r="F26" s="33" t="s">
        <v>55</v>
      </c>
      <c r="G26" s="33" t="s">
        <v>55</v>
      </c>
      <c r="H26" s="37" t="s">
        <v>55</v>
      </c>
      <c r="I26" s="34" t="s">
        <v>54</v>
      </c>
      <c r="J26" s="33" t="s">
        <v>55</v>
      </c>
      <c r="K26" s="33" t="s">
        <v>55</v>
      </c>
      <c r="L26" s="33" t="s">
        <v>55</v>
      </c>
      <c r="M26" s="34" t="s">
        <v>55</v>
      </c>
      <c r="N26" s="33" t="s">
        <v>55</v>
      </c>
      <c r="P26" s="33" t="s">
        <v>309</v>
      </c>
    </row>
    <row r="27" spans="1:16" ht="43.5" x14ac:dyDescent="0.35">
      <c r="A27" s="33">
        <v>15</v>
      </c>
      <c r="B27" s="33" t="str">
        <f>CONCATENATE($B$2, ".", A27)</f>
        <v>4.15</v>
      </c>
      <c r="C27" s="37" t="s">
        <v>37</v>
      </c>
      <c r="D27" s="34" t="s">
        <v>228</v>
      </c>
      <c r="E27" s="34" t="s">
        <v>32</v>
      </c>
      <c r="F27" s="33" t="s">
        <v>55</v>
      </c>
      <c r="G27" s="33" t="s">
        <v>55</v>
      </c>
      <c r="H27" s="37" t="s">
        <v>55</v>
      </c>
      <c r="I27" s="34" t="s">
        <v>54</v>
      </c>
      <c r="J27" s="33" t="s">
        <v>55</v>
      </c>
      <c r="K27" s="33" t="s">
        <v>55</v>
      </c>
      <c r="L27" s="33" t="s">
        <v>55</v>
      </c>
      <c r="M27" s="33" t="s">
        <v>55</v>
      </c>
      <c r="N27" s="33" t="s">
        <v>55</v>
      </c>
      <c r="O27" s="31"/>
      <c r="P27" s="33" t="s">
        <v>230</v>
      </c>
    </row>
    <row r="28" spans="1:16" ht="87" x14ac:dyDescent="0.35">
      <c r="A28" s="33">
        <v>16</v>
      </c>
      <c r="B28" s="33" t="str">
        <f>CONCATENATE($B$2, ".", A28)</f>
        <v>4.16</v>
      </c>
      <c r="C28" s="37" t="s">
        <v>37</v>
      </c>
      <c r="D28" s="33" t="s">
        <v>176</v>
      </c>
      <c r="E28" s="34" t="s">
        <v>32</v>
      </c>
      <c r="F28" s="33" t="s">
        <v>55</v>
      </c>
      <c r="G28" s="33" t="s">
        <v>55</v>
      </c>
      <c r="H28" s="37" t="s">
        <v>55</v>
      </c>
      <c r="I28" s="34" t="s">
        <v>54</v>
      </c>
      <c r="J28" s="33" t="s">
        <v>55</v>
      </c>
      <c r="K28" s="33" t="s">
        <v>55</v>
      </c>
      <c r="L28" s="33" t="s">
        <v>55</v>
      </c>
      <c r="M28" s="33" t="s">
        <v>55</v>
      </c>
      <c r="N28" s="33" t="s">
        <v>55</v>
      </c>
      <c r="P28" s="33" t="s">
        <v>230</v>
      </c>
    </row>
    <row r="29" spans="1:16" s="32" customFormat="1" ht="15" customHeight="1" x14ac:dyDescent="0.35">
      <c r="A29" s="50" t="s">
        <v>323</v>
      </c>
      <c r="B29" s="50"/>
      <c r="C29" s="50"/>
      <c r="D29" s="50"/>
      <c r="E29" s="50"/>
      <c r="F29" s="50"/>
    </row>
    <row r="30" spans="1:16" ht="29" x14ac:dyDescent="0.35">
      <c r="A30" s="33">
        <v>17</v>
      </c>
      <c r="B30" s="33" t="str">
        <f t="shared" ref="B30:B36" si="2">CONCATENATE($B$2, ".", A30)</f>
        <v>4.17</v>
      </c>
      <c r="C30" s="37" t="s">
        <v>38</v>
      </c>
      <c r="D30" s="34" t="s">
        <v>146</v>
      </c>
      <c r="E30" s="34" t="s">
        <v>48</v>
      </c>
      <c r="F30" s="33" t="s">
        <v>55</v>
      </c>
      <c r="G30" s="33" t="s">
        <v>55</v>
      </c>
      <c r="H30" s="37" t="s">
        <v>55</v>
      </c>
      <c r="I30" s="34" t="s">
        <v>175</v>
      </c>
      <c r="J30" s="33" t="s">
        <v>55</v>
      </c>
      <c r="K30" s="33" t="s">
        <v>55</v>
      </c>
      <c r="L30" s="33" t="s">
        <v>55</v>
      </c>
      <c r="M30" s="34" t="s">
        <v>55</v>
      </c>
      <c r="N30" s="33" t="s">
        <v>55</v>
      </c>
      <c r="P30" s="33" t="s">
        <v>309</v>
      </c>
    </row>
    <row r="31" spans="1:16" ht="29" x14ac:dyDescent="0.35">
      <c r="A31" s="33">
        <v>18</v>
      </c>
      <c r="B31" s="33" t="str">
        <f t="shared" si="2"/>
        <v>4.18</v>
      </c>
      <c r="C31" s="37" t="s">
        <v>37</v>
      </c>
      <c r="D31" s="34" t="s">
        <v>147</v>
      </c>
      <c r="E31" s="34" t="s">
        <v>59</v>
      </c>
      <c r="F31" s="33" t="s">
        <v>55</v>
      </c>
      <c r="G31" s="33" t="s">
        <v>55</v>
      </c>
      <c r="H31" s="37" t="s">
        <v>55</v>
      </c>
      <c r="I31" s="34" t="s">
        <v>175</v>
      </c>
      <c r="J31" s="33" t="s">
        <v>55</v>
      </c>
      <c r="K31" s="33" t="s">
        <v>55</v>
      </c>
      <c r="L31" s="33" t="s">
        <v>55</v>
      </c>
      <c r="M31" s="34" t="s">
        <v>55</v>
      </c>
      <c r="N31" s="33" t="s">
        <v>55</v>
      </c>
    </row>
    <row r="32" spans="1:16" ht="29" x14ac:dyDescent="0.35">
      <c r="A32" s="33">
        <v>19</v>
      </c>
      <c r="B32" s="33" t="str">
        <f t="shared" si="2"/>
        <v>4.19</v>
      </c>
      <c r="C32" s="37" t="s">
        <v>37</v>
      </c>
      <c r="D32" s="34" t="s">
        <v>148</v>
      </c>
      <c r="E32" s="34" t="s">
        <v>59</v>
      </c>
      <c r="F32" s="33" t="s">
        <v>55</v>
      </c>
      <c r="G32" s="33" t="s">
        <v>55</v>
      </c>
      <c r="H32" s="37" t="s">
        <v>55</v>
      </c>
      <c r="I32" s="34" t="s">
        <v>175</v>
      </c>
      <c r="J32" s="33" t="s">
        <v>55</v>
      </c>
      <c r="K32" s="33" t="s">
        <v>55</v>
      </c>
      <c r="L32" s="33" t="s">
        <v>55</v>
      </c>
      <c r="M32" s="34" t="s">
        <v>55</v>
      </c>
      <c r="N32" s="33" t="s">
        <v>55</v>
      </c>
    </row>
    <row r="33" spans="1:15" ht="29" x14ac:dyDescent="0.35">
      <c r="A33" s="33">
        <v>20</v>
      </c>
      <c r="B33" s="33" t="str">
        <f t="shared" si="2"/>
        <v>4.20</v>
      </c>
      <c r="C33" s="37" t="s">
        <v>37</v>
      </c>
      <c r="D33" s="34" t="s">
        <v>156</v>
      </c>
      <c r="E33" s="34" t="s">
        <v>47</v>
      </c>
      <c r="F33" s="33" t="s">
        <v>55</v>
      </c>
      <c r="G33" s="33" t="s">
        <v>55</v>
      </c>
      <c r="H33" s="37" t="s">
        <v>55</v>
      </c>
      <c r="I33" s="34" t="s">
        <v>175</v>
      </c>
      <c r="J33" s="33" t="s">
        <v>55</v>
      </c>
      <c r="K33" s="33" t="s">
        <v>55</v>
      </c>
      <c r="L33" s="33" t="s">
        <v>55</v>
      </c>
      <c r="M33" s="34" t="s">
        <v>55</v>
      </c>
      <c r="N33" s="33" t="s">
        <v>55</v>
      </c>
      <c r="O33" s="33" t="s">
        <v>324</v>
      </c>
    </row>
    <row r="34" spans="1:15" ht="72.5" x14ac:dyDescent="0.35">
      <c r="A34" s="33">
        <v>21</v>
      </c>
      <c r="B34" s="33" t="str">
        <f t="shared" si="2"/>
        <v>4.21</v>
      </c>
      <c r="C34" s="37" t="s">
        <v>37</v>
      </c>
      <c r="D34" s="45" t="s">
        <v>240</v>
      </c>
      <c r="E34" s="34" t="s">
        <v>53</v>
      </c>
      <c r="F34" s="33" t="s">
        <v>55</v>
      </c>
      <c r="G34" s="33" t="s">
        <v>55</v>
      </c>
      <c r="H34" s="37" t="s">
        <v>55</v>
      </c>
      <c r="I34" s="34" t="s">
        <v>238</v>
      </c>
      <c r="J34" s="33" t="s">
        <v>55</v>
      </c>
      <c r="K34" s="33" t="s">
        <v>55</v>
      </c>
      <c r="L34" s="33" t="s">
        <v>55</v>
      </c>
      <c r="M34" s="34" t="s">
        <v>55</v>
      </c>
      <c r="N34" s="33" t="s">
        <v>55</v>
      </c>
      <c r="O34" s="33" t="s">
        <v>242</v>
      </c>
    </row>
    <row r="35" spans="1:15" s="32" customFormat="1" x14ac:dyDescent="0.35">
      <c r="A35" s="50" t="s">
        <v>293</v>
      </c>
      <c r="B35" s="50"/>
      <c r="C35" s="50"/>
      <c r="D35" s="50"/>
      <c r="E35" s="50"/>
    </row>
    <row r="36" spans="1:15" ht="43.5" x14ac:dyDescent="0.35">
      <c r="A36" s="33">
        <v>22</v>
      </c>
      <c r="B36" s="33" t="str">
        <f t="shared" si="2"/>
        <v>4.22</v>
      </c>
      <c r="C36" s="37" t="s">
        <v>37</v>
      </c>
      <c r="D36" s="47" t="s">
        <v>245</v>
      </c>
      <c r="E36" s="34" t="s">
        <v>47</v>
      </c>
      <c r="F36" s="33" t="s">
        <v>55</v>
      </c>
      <c r="G36" s="33" t="s">
        <v>55</v>
      </c>
      <c r="H36" s="37" t="s">
        <v>55</v>
      </c>
      <c r="I36" s="34" t="s">
        <v>54</v>
      </c>
      <c r="J36" s="33" t="s">
        <v>55</v>
      </c>
      <c r="K36" s="33" t="s">
        <v>55</v>
      </c>
      <c r="L36" s="33" t="s">
        <v>55</v>
      </c>
      <c r="M36" s="34" t="s">
        <v>55</v>
      </c>
      <c r="N36" s="33" t="s">
        <v>55</v>
      </c>
      <c r="O36" s="33" t="s">
        <v>316</v>
      </c>
    </row>
    <row r="37" spans="1:15" ht="91.5" customHeight="1" x14ac:dyDescent="0.35">
      <c r="A37" s="33">
        <v>23</v>
      </c>
      <c r="B37" s="33" t="str">
        <f>CONCATENATE($B$2, ".", A37)</f>
        <v>4.23</v>
      </c>
      <c r="C37" s="37" t="s">
        <v>37</v>
      </c>
      <c r="D37" s="33" t="s">
        <v>56</v>
      </c>
      <c r="E37" s="34" t="s">
        <v>40</v>
      </c>
      <c r="F37" s="33" t="s">
        <v>55</v>
      </c>
      <c r="G37" s="33" t="s">
        <v>55</v>
      </c>
      <c r="H37" s="37" t="s">
        <v>55</v>
      </c>
      <c r="I37" s="34" t="s">
        <v>54</v>
      </c>
      <c r="J37" s="33" t="s">
        <v>55</v>
      </c>
      <c r="K37" s="33" t="s">
        <v>55</v>
      </c>
      <c r="L37" s="33" t="s">
        <v>55</v>
      </c>
      <c r="M37" s="33" t="s">
        <v>246</v>
      </c>
      <c r="N37" s="33" t="s">
        <v>248</v>
      </c>
      <c r="O37" s="33" t="s">
        <v>249</v>
      </c>
    </row>
    <row r="38" spans="1:15" ht="29" x14ac:dyDescent="0.35">
      <c r="A38" s="33">
        <v>24</v>
      </c>
      <c r="B38" s="33" t="str">
        <f>CONCATENATE($B$2, ".", A38)</f>
        <v>4.24</v>
      </c>
      <c r="C38" s="37" t="s">
        <v>37</v>
      </c>
      <c r="D38" s="33" t="s">
        <v>57</v>
      </c>
      <c r="E38" s="34" t="s">
        <v>40</v>
      </c>
      <c r="F38" s="33" t="s">
        <v>55</v>
      </c>
      <c r="G38" s="33" t="s">
        <v>55</v>
      </c>
      <c r="H38" s="37" t="s">
        <v>55</v>
      </c>
      <c r="I38" s="34" t="s">
        <v>54</v>
      </c>
      <c r="J38" s="33" t="s">
        <v>55</v>
      </c>
      <c r="K38" s="33" t="s">
        <v>55</v>
      </c>
      <c r="L38" s="33" t="s">
        <v>55</v>
      </c>
      <c r="M38" s="33" t="s">
        <v>55</v>
      </c>
      <c r="N38" s="33" t="s">
        <v>55</v>
      </c>
      <c r="O38" s="33" t="s">
        <v>317</v>
      </c>
    </row>
  </sheetData>
  <autoFilter ref="A6:P6"/>
  <mergeCells count="5">
    <mergeCell ref="A19:E19"/>
    <mergeCell ref="A12:F12"/>
    <mergeCell ref="A35:E35"/>
    <mergeCell ref="A25:F25"/>
    <mergeCell ref="A29:F29"/>
  </mergeCells>
  <conditionalFormatting sqref="C39:C1048576 C13:C18 C20:C23 C30:C34">
    <cfRule type="cellIs" dxfId="155" priority="70" operator="equal">
      <formula>"WIP (see comments)"</formula>
    </cfRule>
    <cfRule type="cellIs" dxfId="154" priority="71" operator="equal">
      <formula>"Removed"</formula>
    </cfRule>
    <cfRule type="cellIs" dxfId="153" priority="72" operator="equal">
      <formula>"Updated"</formula>
    </cfRule>
    <cfRule type="cellIs" dxfId="152" priority="73" operator="equal">
      <formula>"New"</formula>
    </cfRule>
  </conditionalFormatting>
  <conditionalFormatting sqref="D13:D17 D9:D11 D30:D33">
    <cfRule type="cellIs" dxfId="151" priority="69" operator="equal">
      <formula>"-"</formula>
    </cfRule>
  </conditionalFormatting>
  <conditionalFormatting sqref="P20:XFD20 A20:N20 B21 E21:N21 E37:N38 B37:B38 A17:L17 A16:E16 A9:B11 A31:XFD31 A18:C18 N14:XFD18 F18:L18 F22:L22 N22:XFD22 A22:B22 G16:L16 Q7:XFD8 D9:XFD11 C21:C23 N13:O13 Q13:XFD13 A30:O30 Q30:XFD30 A32:B33 C32:C34 A13:L15 D32:XFD33">
    <cfRule type="cellIs" dxfId="150" priority="68" operator="equal">
      <formula>"n/a"</formula>
    </cfRule>
  </conditionalFormatting>
  <conditionalFormatting sqref="O20">
    <cfRule type="cellIs" dxfId="149" priority="67" operator="equal">
      <formula>"n/a"</formula>
    </cfRule>
  </conditionalFormatting>
  <conditionalFormatting sqref="M13:M18 M22">
    <cfRule type="cellIs" dxfId="148" priority="66" operator="equal">
      <formula>"n/a"</formula>
    </cfRule>
  </conditionalFormatting>
  <conditionalFormatting sqref="G12:XFD12">
    <cfRule type="cellIs" dxfId="147" priority="65" operator="equal">
      <formula>"n/a"</formula>
    </cfRule>
  </conditionalFormatting>
  <conditionalFormatting sqref="F19:XFD19 A19">
    <cfRule type="cellIs" dxfId="146" priority="64" operator="equal">
      <formula>"n/a"</formula>
    </cfRule>
  </conditionalFormatting>
  <conditionalFormatting sqref="A12">
    <cfRule type="cellIs" dxfId="145" priority="61" operator="equal">
      <formula>"n/a"</formula>
    </cfRule>
  </conditionalFormatting>
  <conditionalFormatting sqref="G24:XFD24">
    <cfRule type="cellIs" dxfId="144" priority="53" operator="equal">
      <formula>"n/a"</formula>
    </cfRule>
  </conditionalFormatting>
  <conditionalFormatting sqref="A24">
    <cfRule type="cellIs" dxfId="143" priority="52" operator="equal">
      <formula>"n/a"</formula>
    </cfRule>
  </conditionalFormatting>
  <conditionalFormatting sqref="C27:C28">
    <cfRule type="cellIs" dxfId="142" priority="48" operator="equal">
      <formula>"WIP (see comments)"</formula>
    </cfRule>
    <cfRule type="cellIs" dxfId="141" priority="49" operator="equal">
      <formula>"Removed"</formula>
    </cfRule>
    <cfRule type="cellIs" dxfId="140" priority="50" operator="equal">
      <formula>"Updated"</formula>
    </cfRule>
    <cfRule type="cellIs" dxfId="139" priority="51" operator="equal">
      <formula>"New"</formula>
    </cfRule>
  </conditionalFormatting>
  <conditionalFormatting sqref="P27:XFD27 A27:N27 E28:N28 P26 P28 B28:C28">
    <cfRule type="cellIs" dxfId="138" priority="47" operator="equal">
      <formula>"n/a"</formula>
    </cfRule>
  </conditionalFormatting>
  <conditionalFormatting sqref="O27">
    <cfRule type="cellIs" dxfId="137" priority="46" operator="equal">
      <formula>"n/a"</formula>
    </cfRule>
  </conditionalFormatting>
  <conditionalFormatting sqref="F35:XFD35 A35">
    <cfRule type="cellIs" dxfId="136" priority="45" operator="equal">
      <formula>"n/a"</formula>
    </cfRule>
  </conditionalFormatting>
  <conditionalFormatting sqref="F16">
    <cfRule type="cellIs" dxfId="135" priority="44" operator="equal">
      <formula>"n/a"</formula>
    </cfRule>
  </conditionalFormatting>
  <conditionalFormatting sqref="D18 D22">
    <cfRule type="cellIs" dxfId="134" priority="43" operator="equal">
      <formula>"-"</formula>
    </cfRule>
  </conditionalFormatting>
  <conditionalFormatting sqref="D18:E18 D22:E22">
    <cfRule type="cellIs" dxfId="133" priority="42" operator="equal">
      <formula>"n/a"</formula>
    </cfRule>
  </conditionalFormatting>
  <conditionalFormatting sqref="C26">
    <cfRule type="cellIs" dxfId="132" priority="38" operator="equal">
      <formula>"WIP (see comments)"</formula>
    </cfRule>
    <cfRule type="cellIs" dxfId="131" priority="39" operator="equal">
      <formula>"Removed"</formula>
    </cfRule>
    <cfRule type="cellIs" dxfId="130" priority="40" operator="equal">
      <formula>"Updated"</formula>
    </cfRule>
    <cfRule type="cellIs" dxfId="129" priority="41" operator="equal">
      <formula>"New"</formula>
    </cfRule>
  </conditionalFormatting>
  <conditionalFormatting sqref="D26">
    <cfRule type="cellIs" dxfId="128" priority="37" operator="equal">
      <formula>"-"</formula>
    </cfRule>
  </conditionalFormatting>
  <conditionalFormatting sqref="A26:O26 Q26:XFD26">
    <cfRule type="cellIs" dxfId="127" priority="36" operator="equal">
      <formula>"n/a"</formula>
    </cfRule>
  </conditionalFormatting>
  <conditionalFormatting sqref="G25:XFD25">
    <cfRule type="cellIs" dxfId="126" priority="35" operator="equal">
      <formula>"n/a"</formula>
    </cfRule>
  </conditionalFormatting>
  <conditionalFormatting sqref="A25">
    <cfRule type="cellIs" dxfId="125" priority="34" operator="equal">
      <formula>"n/a"</formula>
    </cfRule>
  </conditionalFormatting>
  <conditionalFormatting sqref="D23">
    <cfRule type="cellIs" dxfId="120" priority="29" operator="equal">
      <formula>"-"</formula>
    </cfRule>
  </conditionalFormatting>
  <conditionalFormatting sqref="A23:B23 D23:XFD23">
    <cfRule type="cellIs" dxfId="119" priority="28" operator="equal">
      <formula>"n/a"</formula>
    </cfRule>
  </conditionalFormatting>
  <conditionalFormatting sqref="A34:B34 N34 F34:L34 P34:XFD34">
    <cfRule type="cellIs" dxfId="114" priority="23" operator="equal">
      <formula>"n/a"</formula>
    </cfRule>
  </conditionalFormatting>
  <conditionalFormatting sqref="M34">
    <cfRule type="cellIs" dxfId="113" priority="22" operator="equal">
      <formula>"n/a"</formula>
    </cfRule>
  </conditionalFormatting>
  <conditionalFormatting sqref="D34">
    <cfRule type="cellIs" dxfId="112" priority="21" operator="equal">
      <formula>"-"</formula>
    </cfRule>
  </conditionalFormatting>
  <conditionalFormatting sqref="D34:E34">
    <cfRule type="cellIs" dxfId="111" priority="20" operator="equal">
      <formula>"n/a"</formula>
    </cfRule>
  </conditionalFormatting>
  <conditionalFormatting sqref="O34">
    <cfRule type="cellIs" dxfId="110" priority="19" operator="equal">
      <formula>"n/a"</formula>
    </cfRule>
  </conditionalFormatting>
  <conditionalFormatting sqref="C36:C38">
    <cfRule type="cellIs" dxfId="109" priority="15" operator="equal">
      <formula>"WIP (see comments)"</formula>
    </cfRule>
    <cfRule type="cellIs" dxfId="108" priority="16" operator="equal">
      <formula>"Removed"</formula>
    </cfRule>
    <cfRule type="cellIs" dxfId="107" priority="17" operator="equal">
      <formula>"Updated"</formula>
    </cfRule>
    <cfRule type="cellIs" dxfId="106" priority="18" operator="equal">
      <formula>"New"</formula>
    </cfRule>
  </conditionalFormatting>
  <conditionalFormatting sqref="A36:C36 N36:XFD36 F36:L36 C37:C38">
    <cfRule type="cellIs" dxfId="105" priority="14" operator="equal">
      <formula>"n/a"</formula>
    </cfRule>
  </conditionalFormatting>
  <conditionalFormatting sqref="M36">
    <cfRule type="cellIs" dxfId="104" priority="13" operator="equal">
      <formula>"n/a"</formula>
    </cfRule>
  </conditionalFormatting>
  <conditionalFormatting sqref="D36">
    <cfRule type="cellIs" dxfId="103" priority="12" operator="equal">
      <formula>"-"</formula>
    </cfRule>
  </conditionalFormatting>
  <conditionalFormatting sqref="D36:E36">
    <cfRule type="cellIs" dxfId="102" priority="11" operator="equal">
      <formula>"n/a"</formula>
    </cfRule>
  </conditionalFormatting>
  <conditionalFormatting sqref="C7:C11">
    <cfRule type="cellIs" dxfId="101" priority="7" operator="equal">
      <formula>"WIP (see comments)"</formula>
    </cfRule>
    <cfRule type="cellIs" dxfId="100" priority="8" operator="equal">
      <formula>"Removed"</formula>
    </cfRule>
    <cfRule type="cellIs" dxfId="99" priority="9" operator="equal">
      <formula>"Updated"</formula>
    </cfRule>
    <cfRule type="cellIs" dxfId="98" priority="10" operator="equal">
      <formula>"New"</formula>
    </cfRule>
  </conditionalFormatting>
  <conditionalFormatting sqref="D7:D8">
    <cfRule type="cellIs" dxfId="97" priority="6" operator="equal">
      <formula>"-"</formula>
    </cfRule>
  </conditionalFormatting>
  <conditionalFormatting sqref="A7:P8 C9:C11">
    <cfRule type="cellIs" dxfId="96" priority="5" operator="equal">
      <formula>"n/a"</formula>
    </cfRule>
  </conditionalFormatting>
  <conditionalFormatting sqref="P13">
    <cfRule type="cellIs" dxfId="95" priority="4" operator="equal">
      <formula>"n/a"</formula>
    </cfRule>
  </conditionalFormatting>
  <conditionalFormatting sqref="P30">
    <cfRule type="cellIs" dxfId="94" priority="3" operator="equal">
      <formula>"n/a"</formula>
    </cfRule>
  </conditionalFormatting>
  <conditionalFormatting sqref="G29:XFD29">
    <cfRule type="cellIs" dxfId="93" priority="2" operator="equal">
      <formula>"n/a"</formula>
    </cfRule>
  </conditionalFormatting>
  <conditionalFormatting sqref="A29">
    <cfRule type="cellIs" dxfId="92" priority="1" operator="equal">
      <formula>"n/a"</formula>
    </cfRule>
  </conditionalFormatting>
  <dataValidations count="1">
    <dataValidation type="list" allowBlank="1" showInputMessage="1" showErrorMessage="1" sqref="E35:E1048576 E19">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'List Values'!$B$5:$B$9</xm:f>
          </x14:formula1>
          <xm:sqref>C36:C1048576 C30:C34 C7:C11 C13:C18 C20:C23 C26:C28</xm:sqref>
        </x14:dataValidation>
        <x14:dataValidation type="list" allowBlank="1" showInputMessage="1" showErrorMessage="1">
          <x14:formula1>
            <xm:f>'List Values'!$A$5:$A$33</xm:f>
          </x14:formula1>
          <xm:sqref>E26:E28</xm:sqref>
        </x14:dataValidation>
        <x14:dataValidation type="list" allowBlank="1" showInputMessage="1" showErrorMessage="1">
          <x14:formula1>
            <xm:f>'List Values'!$A$5:$A$30</xm:f>
          </x14:formula1>
          <xm:sqref>E30:E34</xm:sqref>
        </x14:dataValidation>
        <x14:dataValidation type="list" allowBlank="1" showInputMessage="1" showErrorMessage="1">
          <x14:formula1>
            <xm:f>'List Values'!$A$5:$A$30</xm:f>
          </x14:formula1>
          <xm:sqref>E7:E11</xm:sqref>
        </x14:dataValidation>
        <x14:dataValidation type="list" allowBlank="1" showInputMessage="1" showErrorMessage="1">
          <x14:formula1>
            <xm:f>'List Values'!$A$5:$A$30</xm:f>
          </x14:formula1>
          <xm:sqref>E13:E18</xm:sqref>
        </x14:dataValidation>
        <x14:dataValidation type="list" allowBlank="1" showInputMessage="1" showErrorMessage="1">
          <x14:formula1>
            <xm:f>'List Values'!$A$5:$A$30</xm:f>
          </x14:formula1>
          <xm:sqref>E20:E23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C2" sqref="C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66</v>
      </c>
      <c r="C1" s="25"/>
      <c r="D1" s="22" t="s">
        <v>98</v>
      </c>
      <c r="F1" s="41"/>
      <c r="H1" s="27"/>
    </row>
    <row r="2" spans="1:16" s="23" customFormat="1" ht="18.5" x14ac:dyDescent="0.35">
      <c r="A2" s="21" t="s">
        <v>8</v>
      </c>
      <c r="B2" s="28" t="s">
        <v>171</v>
      </c>
      <c r="C2" s="27"/>
      <c r="D2" s="28"/>
      <c r="F2" s="41"/>
      <c r="H2" s="27"/>
    </row>
    <row r="3" spans="1:16" s="23" customFormat="1" ht="18.5" x14ac:dyDescent="0.35">
      <c r="A3" s="21" t="s">
        <v>41</v>
      </c>
      <c r="B3" s="28"/>
      <c r="C3" s="27"/>
      <c r="D3" s="28"/>
      <c r="F3" s="41"/>
      <c r="H3" s="27"/>
    </row>
    <row r="4" spans="1:16" s="23" customFormat="1" ht="18.5" x14ac:dyDescent="0.35">
      <c r="A4" s="21" t="s">
        <v>9</v>
      </c>
      <c r="B4" s="23" t="s">
        <v>67</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2" si="0">CONCATENATE($B$2, ".", A7)</f>
        <v>1a.1</v>
      </c>
      <c r="C7" s="37" t="s">
        <v>39</v>
      </c>
      <c r="D7" s="33" t="s">
        <v>65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1a.2</v>
      </c>
      <c r="C8" s="37" t="s">
        <v>39</v>
      </c>
      <c r="D8" s="34" t="s">
        <v>68</v>
      </c>
      <c r="E8" s="34" t="s">
        <v>27</v>
      </c>
      <c r="F8" s="33" t="s">
        <v>55</v>
      </c>
      <c r="G8" s="33" t="s">
        <v>55</v>
      </c>
      <c r="H8" s="37" t="s">
        <v>55</v>
      </c>
      <c r="I8" s="34" t="s">
        <v>54</v>
      </c>
      <c r="J8" s="33" t="s">
        <v>55</v>
      </c>
      <c r="K8" s="33" t="s">
        <v>55</v>
      </c>
      <c r="L8" s="33" t="s">
        <v>55</v>
      </c>
      <c r="M8" s="33" t="s">
        <v>55</v>
      </c>
      <c r="N8" s="33" t="s">
        <v>55</v>
      </c>
    </row>
    <row r="9" spans="1:16" ht="29" x14ac:dyDescent="0.35">
      <c r="A9" s="33">
        <v>3</v>
      </c>
      <c r="B9" s="33" t="str">
        <f t="shared" si="0"/>
        <v>1a.3</v>
      </c>
      <c r="C9" s="37" t="s">
        <v>39</v>
      </c>
      <c r="D9" s="34" t="s">
        <v>69</v>
      </c>
      <c r="E9" s="34" t="s">
        <v>32</v>
      </c>
      <c r="F9" s="33" t="s">
        <v>55</v>
      </c>
      <c r="G9" s="33" t="s">
        <v>55</v>
      </c>
      <c r="H9" s="37" t="s">
        <v>55</v>
      </c>
      <c r="I9" s="34" t="s">
        <v>54</v>
      </c>
      <c r="J9" s="33" t="s">
        <v>55</v>
      </c>
      <c r="K9" s="33" t="s">
        <v>55</v>
      </c>
      <c r="L9" s="33" t="s">
        <v>55</v>
      </c>
      <c r="M9" s="33" t="s">
        <v>55</v>
      </c>
      <c r="N9" s="33" t="s">
        <v>55</v>
      </c>
    </row>
    <row r="10" spans="1:16" ht="72.75" customHeight="1" x14ac:dyDescent="0.35">
      <c r="A10" s="33">
        <v>4</v>
      </c>
      <c r="B10" s="33" t="str">
        <f t="shared" si="0"/>
        <v>1a.4</v>
      </c>
      <c r="C10" s="37" t="s">
        <v>39</v>
      </c>
      <c r="D10" s="34" t="s">
        <v>70</v>
      </c>
      <c r="E10" s="34" t="s">
        <v>31</v>
      </c>
      <c r="F10" s="33" t="s">
        <v>71</v>
      </c>
      <c r="G10" s="33" t="s">
        <v>55</v>
      </c>
      <c r="H10" s="37" t="s">
        <v>55</v>
      </c>
      <c r="I10" s="34" t="s">
        <v>54</v>
      </c>
      <c r="J10" s="33" t="s">
        <v>72</v>
      </c>
      <c r="K10" s="33" t="s">
        <v>73</v>
      </c>
      <c r="L10" s="33" t="s">
        <v>55</v>
      </c>
      <c r="M10" s="34" t="s">
        <v>74</v>
      </c>
      <c r="N10" s="33" t="s">
        <v>75</v>
      </c>
    </row>
    <row r="11" spans="1:16" ht="29" x14ac:dyDescent="0.35">
      <c r="A11" s="33">
        <v>5</v>
      </c>
      <c r="B11" s="33" t="str">
        <f t="shared" si="0"/>
        <v>1a.5</v>
      </c>
      <c r="C11" s="37" t="s">
        <v>39</v>
      </c>
      <c r="D11" s="34" t="s">
        <v>76</v>
      </c>
      <c r="E11" s="33" t="s">
        <v>40</v>
      </c>
      <c r="F11" s="33" t="s">
        <v>55</v>
      </c>
      <c r="G11" s="33" t="s">
        <v>55</v>
      </c>
      <c r="H11" s="37" t="s">
        <v>55</v>
      </c>
      <c r="I11" s="34" t="s">
        <v>54</v>
      </c>
      <c r="J11" s="33" t="s">
        <v>55</v>
      </c>
      <c r="K11" s="33" t="s">
        <v>55</v>
      </c>
      <c r="L11" s="33" t="s">
        <v>55</v>
      </c>
      <c r="M11" s="33" t="s">
        <v>55</v>
      </c>
      <c r="N11" s="33" t="s">
        <v>55</v>
      </c>
      <c r="O11" s="31" t="s">
        <v>78</v>
      </c>
    </row>
    <row r="12" spans="1:16" ht="29" x14ac:dyDescent="0.35">
      <c r="A12" s="33">
        <v>6</v>
      </c>
      <c r="B12" s="33" t="str">
        <f t="shared" si="0"/>
        <v>1a.6</v>
      </c>
      <c r="C12" s="37" t="s">
        <v>39</v>
      </c>
      <c r="D12" s="33" t="s">
        <v>77</v>
      </c>
      <c r="E12" s="33" t="s">
        <v>40</v>
      </c>
      <c r="F12" s="33" t="s">
        <v>55</v>
      </c>
      <c r="G12" s="33" t="s">
        <v>55</v>
      </c>
      <c r="H12" s="37" t="s">
        <v>55</v>
      </c>
      <c r="I12" s="34" t="s">
        <v>54</v>
      </c>
      <c r="J12" s="33" t="s">
        <v>55</v>
      </c>
      <c r="K12" s="33" t="s">
        <v>55</v>
      </c>
      <c r="L12" s="33" t="s">
        <v>55</v>
      </c>
      <c r="M12" s="33" t="s">
        <v>55</v>
      </c>
      <c r="N12" s="33" t="s">
        <v>55</v>
      </c>
      <c r="O12" s="33" t="s">
        <v>79</v>
      </c>
    </row>
  </sheetData>
  <autoFilter ref="A6:P6"/>
  <conditionalFormatting sqref="C7:C1048576">
    <cfRule type="cellIs" dxfId="91" priority="9" operator="equal">
      <formula>"WIP (see comments)"</formula>
    </cfRule>
    <cfRule type="cellIs" dxfId="90" priority="10" operator="equal">
      <formula>"Removed"</formula>
    </cfRule>
    <cfRule type="cellIs" dxfId="89" priority="11" operator="equal">
      <formula>"Updated"</formula>
    </cfRule>
    <cfRule type="cellIs" dxfId="88" priority="12" operator="equal">
      <formula>"New"</formula>
    </cfRule>
  </conditionalFormatting>
  <conditionalFormatting sqref="D7:D10">
    <cfRule type="cellIs" dxfId="87" priority="4" operator="equal">
      <formula>"-"</formula>
    </cfRule>
  </conditionalFormatting>
  <conditionalFormatting sqref="P11:XFD11 A11:N11 B12 C11:C12 E12:N12 A7:XFD9 A10:L10 N10:XFD10">
    <cfRule type="cellIs" dxfId="86" priority="3" operator="equal">
      <formula>"n/a"</formula>
    </cfRule>
  </conditionalFormatting>
  <conditionalFormatting sqref="O11">
    <cfRule type="cellIs" dxfId="85" priority="2" operator="equal">
      <formula>"n/a"</formula>
    </cfRule>
  </conditionalFormatting>
  <conditionalFormatting sqref="M10">
    <cfRule type="cellIs" dxfId="8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80</v>
      </c>
      <c r="C1" s="25"/>
      <c r="D1" s="22" t="s">
        <v>98</v>
      </c>
      <c r="F1" s="41"/>
      <c r="H1" s="27"/>
    </row>
    <row r="2" spans="1:16" s="23" customFormat="1" ht="18.5" x14ac:dyDescent="0.35">
      <c r="A2" s="21" t="s">
        <v>8</v>
      </c>
      <c r="B2" s="28" t="s">
        <v>82</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Q-P1.2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Q-P1.3</v>
      </c>
      <c r="C9" s="37" t="s">
        <v>39</v>
      </c>
      <c r="D9" s="34" t="s">
        <v>85</v>
      </c>
      <c r="E9" s="34" t="s">
        <v>27</v>
      </c>
      <c r="F9" s="33" t="s">
        <v>55</v>
      </c>
      <c r="G9" s="33" t="s">
        <v>55</v>
      </c>
      <c r="H9" s="37" t="s">
        <v>55</v>
      </c>
      <c r="I9" s="34" t="s">
        <v>54</v>
      </c>
      <c r="J9" s="33" t="s">
        <v>55</v>
      </c>
      <c r="K9" s="33" t="s">
        <v>55</v>
      </c>
      <c r="L9" s="33" t="s">
        <v>55</v>
      </c>
      <c r="M9" s="33" t="s">
        <v>55</v>
      </c>
      <c r="N9" s="33" t="s">
        <v>55</v>
      </c>
    </row>
    <row r="10" spans="1:16" s="32" customFormat="1" x14ac:dyDescent="0.35">
      <c r="A10" s="50" t="s">
        <v>127</v>
      </c>
      <c r="B10" s="50"/>
      <c r="C10" s="50"/>
      <c r="D10" s="50"/>
      <c r="E10" s="50"/>
    </row>
    <row r="11" spans="1:16" ht="29" x14ac:dyDescent="0.35">
      <c r="A11" s="33">
        <v>4</v>
      </c>
      <c r="B11" s="33" t="str">
        <f t="shared" si="0"/>
        <v>Q-P1.4</v>
      </c>
      <c r="C11" s="37" t="s">
        <v>42</v>
      </c>
      <c r="D11" s="34" t="s">
        <v>88</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Q-P1.5</v>
      </c>
      <c r="C12" s="37" t="s">
        <v>42</v>
      </c>
      <c r="D12" s="34" t="s">
        <v>91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Q-P1.6</v>
      </c>
      <c r="C13" s="37" t="s">
        <v>42</v>
      </c>
      <c r="D13" s="34" t="s">
        <v>92</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7</v>
      </c>
      <c r="B15" s="33" t="str">
        <f t="shared" si="0"/>
        <v>Q-P1.7</v>
      </c>
      <c r="C15" s="37" t="s">
        <v>39</v>
      </c>
      <c r="D15" s="34" t="s">
        <v>56</v>
      </c>
      <c r="E15" s="34" t="s">
        <v>40</v>
      </c>
      <c r="F15" s="33" t="s">
        <v>55</v>
      </c>
      <c r="G15" s="33" t="s">
        <v>55</v>
      </c>
      <c r="H15" s="37" t="s">
        <v>55</v>
      </c>
      <c r="I15" s="34" t="s">
        <v>54</v>
      </c>
      <c r="J15" s="33" t="s">
        <v>55</v>
      </c>
      <c r="K15" s="33" t="s">
        <v>55</v>
      </c>
      <c r="L15" s="33" t="s">
        <v>55</v>
      </c>
      <c r="M15" s="33" t="s">
        <v>55</v>
      </c>
      <c r="N15" s="33" t="s">
        <v>55</v>
      </c>
      <c r="O15" s="31" t="s">
        <v>93</v>
      </c>
    </row>
    <row r="16" spans="1:16" ht="29" x14ac:dyDescent="0.35">
      <c r="A16" s="33">
        <v>8</v>
      </c>
      <c r="B16" s="33" t="str">
        <f t="shared" si="0"/>
        <v>Q-P1.8</v>
      </c>
      <c r="C16" s="37" t="s">
        <v>39</v>
      </c>
      <c r="D16" s="33" t="s">
        <v>57</v>
      </c>
      <c r="E16" s="34" t="s">
        <v>40</v>
      </c>
      <c r="F16" s="33" t="s">
        <v>55</v>
      </c>
      <c r="G16" s="33" t="s">
        <v>55</v>
      </c>
      <c r="H16" s="37" t="s">
        <v>55</v>
      </c>
      <c r="I16" s="34" t="s">
        <v>54</v>
      </c>
      <c r="J16" s="33" t="s">
        <v>55</v>
      </c>
      <c r="K16" s="33" t="s">
        <v>55</v>
      </c>
      <c r="L16" s="33" t="s">
        <v>55</v>
      </c>
      <c r="M16" s="33" t="s">
        <v>55</v>
      </c>
      <c r="N16" s="33" t="s">
        <v>55</v>
      </c>
      <c r="O16" s="33" t="s">
        <v>94</v>
      </c>
    </row>
    <row r="17" spans="1:15" ht="29" x14ac:dyDescent="0.35">
      <c r="A17" s="33">
        <v>9</v>
      </c>
      <c r="B17" s="33" t="str">
        <f>CONCATENATE($B$2, ".", A17)</f>
        <v>Q-P1.9</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C13">
    <cfRule type="cellIs" dxfId="83" priority="9" operator="equal">
      <formula>"WIP (see comments)"</formula>
    </cfRule>
    <cfRule type="cellIs" dxfId="82" priority="10" operator="equal">
      <formula>"Removed"</formula>
    </cfRule>
    <cfRule type="cellIs" dxfId="81" priority="11" operator="equal">
      <formula>"Updated"</formula>
    </cfRule>
    <cfRule type="cellIs" dxfId="80" priority="12" operator="equal">
      <formula>"New"</formula>
    </cfRule>
  </conditionalFormatting>
  <conditionalFormatting sqref="D7 D11:D13 D9">
    <cfRule type="cellIs" dxfId="79" priority="8" operator="equal">
      <formula>"-"</formula>
    </cfRule>
  </conditionalFormatting>
  <conditionalFormatting sqref="P15:XFD15 A7:XFD7 A15:N15 N11:XFD13 B16:C17 E16:N17 A9:XFD9 A8:C8 E8:XFD8 A11:L13">
    <cfRule type="cellIs" dxfId="78" priority="7" operator="equal">
      <formula>"n/a"</formula>
    </cfRule>
  </conditionalFormatting>
  <conditionalFormatting sqref="O15">
    <cfRule type="cellIs" dxfId="77" priority="6" operator="equal">
      <formula>"n/a"</formula>
    </cfRule>
  </conditionalFormatting>
  <conditionalFormatting sqref="M11:M13">
    <cfRule type="cellIs" dxfId="76" priority="5" operator="equal">
      <formula>"n/a"</formula>
    </cfRule>
  </conditionalFormatting>
  <conditionalFormatting sqref="F10:XFD10 A10">
    <cfRule type="cellIs" dxfId="75" priority="4" operator="equal">
      <formula>"n/a"</formula>
    </cfRule>
  </conditionalFormatting>
  <conditionalFormatting sqref="F14:XFD14 A14">
    <cfRule type="cellIs" dxfId="74" priority="3" operator="equal">
      <formula>"n/a"</formula>
    </cfRule>
  </conditionalFormatting>
  <conditionalFormatting sqref="D8">
    <cfRule type="cellIs" dxfId="73" priority="2" operator="equal">
      <formula>"-"</formula>
    </cfRule>
  </conditionalFormatting>
  <conditionalFormatting sqref="D8">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96</v>
      </c>
      <c r="C1" s="25"/>
      <c r="D1" s="22" t="s">
        <v>98</v>
      </c>
      <c r="F1" s="41"/>
      <c r="H1" s="27"/>
    </row>
    <row r="2" spans="1:16" s="23" customFormat="1" ht="18.5" x14ac:dyDescent="0.35">
      <c r="A2" s="21" t="s">
        <v>8</v>
      </c>
      <c r="B2" s="28" t="s">
        <v>97</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Q-P2.1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Q-P2.2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Q-P2.3</v>
      </c>
      <c r="C9" s="37" t="s">
        <v>39</v>
      </c>
      <c r="D9" s="34" t="s">
        <v>100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Q-P2.4</v>
      </c>
      <c r="C11" s="37" t="s">
        <v>42</v>
      </c>
      <c r="D11" s="34" t="s">
        <v>101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38.25" customHeight="1" x14ac:dyDescent="0.35">
      <c r="A12" s="33">
        <v>5</v>
      </c>
      <c r="B12" s="33" t="str">
        <f t="shared" si="0"/>
        <v>Q-P2.5</v>
      </c>
      <c r="C12" s="37" t="s">
        <v>42</v>
      </c>
      <c r="D12" s="34" t="s">
        <v>102</v>
      </c>
      <c r="E12" s="34" t="s">
        <v>87</v>
      </c>
      <c r="F12" s="33" t="s">
        <v>89</v>
      </c>
      <c r="G12" s="33" t="s">
        <v>55</v>
      </c>
      <c r="H12" s="37" t="s">
        <v>55</v>
      </c>
      <c r="I12" s="34" t="s">
        <v>54</v>
      </c>
      <c r="J12" s="33" t="s">
        <v>90</v>
      </c>
      <c r="K12" s="33" t="s">
        <v>73</v>
      </c>
      <c r="L12" s="33" t="s">
        <v>55</v>
      </c>
      <c r="M12" s="34" t="s">
        <v>55</v>
      </c>
      <c r="N12" s="33" t="s">
        <v>55</v>
      </c>
      <c r="O12" s="42" t="s">
        <v>95</v>
      </c>
      <c r="P12" s="33" t="s">
        <v>84</v>
      </c>
    </row>
    <row r="13" spans="1:16" s="32" customFormat="1" x14ac:dyDescent="0.35">
      <c r="A13" s="50"/>
      <c r="B13" s="50"/>
      <c r="C13" s="50"/>
      <c r="D13" s="50"/>
      <c r="E13" s="50"/>
    </row>
    <row r="14" spans="1:16" ht="29" x14ac:dyDescent="0.35">
      <c r="A14" s="33">
        <v>6</v>
      </c>
      <c r="B14" s="33" t="str">
        <f t="shared" si="0"/>
        <v>Q-P2.6</v>
      </c>
      <c r="C14" s="37" t="s">
        <v>39</v>
      </c>
      <c r="D14" s="34" t="s">
        <v>56</v>
      </c>
      <c r="E14" s="34" t="s">
        <v>40</v>
      </c>
      <c r="F14" s="33" t="s">
        <v>55</v>
      </c>
      <c r="G14" s="33" t="s">
        <v>55</v>
      </c>
      <c r="H14" s="37" t="s">
        <v>55</v>
      </c>
      <c r="I14" s="34" t="s">
        <v>54</v>
      </c>
      <c r="J14" s="33" t="s">
        <v>55</v>
      </c>
      <c r="K14" s="33" t="s">
        <v>55</v>
      </c>
      <c r="L14" s="33" t="s">
        <v>55</v>
      </c>
      <c r="M14" s="33" t="s">
        <v>55</v>
      </c>
      <c r="N14" s="33" t="s">
        <v>55</v>
      </c>
      <c r="O14" s="31" t="s">
        <v>103</v>
      </c>
    </row>
    <row r="15" spans="1:16" ht="29" x14ac:dyDescent="0.35">
      <c r="A15" s="33">
        <v>7</v>
      </c>
      <c r="B15" s="33" t="str">
        <f t="shared" si="0"/>
        <v>Q-P2.7</v>
      </c>
      <c r="C15" s="37" t="s">
        <v>39</v>
      </c>
      <c r="D15" s="33" t="s">
        <v>57</v>
      </c>
      <c r="E15" s="34" t="s">
        <v>40</v>
      </c>
      <c r="F15" s="33" t="s">
        <v>55</v>
      </c>
      <c r="G15" s="33" t="s">
        <v>55</v>
      </c>
      <c r="H15" s="37" t="s">
        <v>55</v>
      </c>
      <c r="I15" s="34" t="s">
        <v>54</v>
      </c>
      <c r="J15" s="33" t="s">
        <v>55</v>
      </c>
      <c r="K15" s="33" t="s">
        <v>55</v>
      </c>
      <c r="L15" s="33" t="s">
        <v>55</v>
      </c>
      <c r="M15" s="33" t="s">
        <v>55</v>
      </c>
      <c r="N15" s="33" t="s">
        <v>55</v>
      </c>
      <c r="O15" s="33" t="s">
        <v>105</v>
      </c>
    </row>
    <row r="16" spans="1:16" ht="29" x14ac:dyDescent="0.35">
      <c r="A16" s="33">
        <v>8</v>
      </c>
      <c r="B16" s="33" t="str">
        <f t="shared" si="0"/>
        <v>Q-P2.8</v>
      </c>
      <c r="C16" s="37" t="s">
        <v>39</v>
      </c>
      <c r="D16" s="33" t="s">
        <v>77</v>
      </c>
      <c r="E16" s="34" t="s">
        <v>40</v>
      </c>
      <c r="F16" s="33" t="s">
        <v>55</v>
      </c>
      <c r="G16" s="33" t="s">
        <v>55</v>
      </c>
      <c r="H16" s="37" t="s">
        <v>55</v>
      </c>
      <c r="I16" s="34" t="s">
        <v>54</v>
      </c>
      <c r="J16" s="33" t="s">
        <v>55</v>
      </c>
      <c r="K16" s="33" t="s">
        <v>55</v>
      </c>
      <c r="L16" s="33" t="s">
        <v>55</v>
      </c>
      <c r="M16" s="33" t="s">
        <v>55</v>
      </c>
      <c r="N16" s="33" t="s">
        <v>55</v>
      </c>
      <c r="O16" s="33" t="s">
        <v>79</v>
      </c>
    </row>
  </sheetData>
  <autoFilter ref="A6:P6"/>
  <mergeCells count="2">
    <mergeCell ref="A10:E10"/>
    <mergeCell ref="A13:E13"/>
  </mergeCells>
  <conditionalFormatting sqref="C7:C9 C14:C1048576 C11:C12">
    <cfRule type="cellIs" dxfId="71" priority="8" operator="equal">
      <formula>"WIP (see comments)"</formula>
    </cfRule>
    <cfRule type="cellIs" dxfId="70" priority="9" operator="equal">
      <formula>"Removed"</formula>
    </cfRule>
    <cfRule type="cellIs" dxfId="69" priority="10" operator="equal">
      <formula>"Updated"</formula>
    </cfRule>
    <cfRule type="cellIs" dxfId="68" priority="11" operator="equal">
      <formula>"New"</formula>
    </cfRule>
  </conditionalFormatting>
  <conditionalFormatting sqref="D7:D9 D11:D12">
    <cfRule type="cellIs" dxfId="67" priority="7" operator="equal">
      <formula>"-"</formula>
    </cfRule>
  </conditionalFormatting>
  <conditionalFormatting sqref="P14:XFD14 A7:XFD9 A14:N14 N11:XFD12 B15:C16 E15:N16 A11:L12">
    <cfRule type="cellIs" dxfId="66" priority="6" operator="equal">
      <formula>"n/a"</formula>
    </cfRule>
  </conditionalFormatting>
  <conditionalFormatting sqref="O14">
    <cfRule type="cellIs" dxfId="65" priority="5" operator="equal">
      <formula>"n/a"</formula>
    </cfRule>
  </conditionalFormatting>
  <conditionalFormatting sqref="M11:M12">
    <cfRule type="cellIs" dxfId="64" priority="4" operator="equal">
      <formula>"n/a"</formula>
    </cfRule>
  </conditionalFormatting>
  <conditionalFormatting sqref="F10:XFD10">
    <cfRule type="cellIs" dxfId="63" priority="3" operator="equal">
      <formula>"n/a"</formula>
    </cfRule>
  </conditionalFormatting>
  <conditionalFormatting sqref="F13:XFD13 A13">
    <cfRule type="cellIs" dxfId="62" priority="2" operator="equal">
      <formula>"n/a"</formula>
    </cfRule>
  </conditionalFormatting>
  <conditionalFormatting sqref="A10">
    <cfRule type="cellIs" dxfId="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C14:C1048576 C11:C12</xm:sqref>
        </x14:dataValidation>
        <x14:dataValidation type="list" allowBlank="1" showInputMessage="1" showErrorMessage="1">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106</v>
      </c>
      <c r="C1" s="25"/>
      <c r="D1" s="22" t="s">
        <v>98</v>
      </c>
      <c r="F1" s="41"/>
      <c r="H1" s="27"/>
    </row>
    <row r="2" spans="1:16" s="23" customFormat="1" ht="18.5" x14ac:dyDescent="0.35">
      <c r="A2" s="21" t="s">
        <v>8</v>
      </c>
      <c r="B2" s="28" t="s">
        <v>107</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Q-P3.1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Q-P3.2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Q-P3.3</v>
      </c>
      <c r="C9" s="37" t="s">
        <v>39</v>
      </c>
      <c r="D9" s="34" t="s">
        <v>108</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Q-P3.4</v>
      </c>
      <c r="C11" s="37" t="s">
        <v>42</v>
      </c>
      <c r="D11" s="34" t="s">
        <v>109</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CONCATENATE($B$2, ".", A12)</f>
        <v>Q-P3.5</v>
      </c>
      <c r="C12" s="37" t="s">
        <v>42</v>
      </c>
      <c r="D12" s="34" t="s">
        <v>110</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Q-P3.6</v>
      </c>
      <c r="C13" s="37" t="s">
        <v>42</v>
      </c>
      <c r="D13" s="34" t="s">
        <v>111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81.75" customHeight="1" x14ac:dyDescent="0.35">
      <c r="A15" s="33">
        <v>6</v>
      </c>
      <c r="B15" s="33" t="str">
        <f t="shared" si="0"/>
        <v>Q-P3.6</v>
      </c>
      <c r="C15" s="37" t="s">
        <v>39</v>
      </c>
      <c r="D15" s="34" t="s">
        <v>56</v>
      </c>
      <c r="E15" s="34" t="s">
        <v>40</v>
      </c>
      <c r="F15" s="33" t="s">
        <v>55</v>
      </c>
      <c r="G15" s="33" t="s">
        <v>55</v>
      </c>
      <c r="H15" s="37" t="s">
        <v>55</v>
      </c>
      <c r="I15" s="34" t="s">
        <v>54</v>
      </c>
      <c r="J15" s="33" t="s">
        <v>55</v>
      </c>
      <c r="K15" s="33" t="s">
        <v>55</v>
      </c>
      <c r="L15" s="33" t="s">
        <v>55</v>
      </c>
      <c r="M15" s="33" t="s">
        <v>55</v>
      </c>
      <c r="N15" s="33" t="s">
        <v>55</v>
      </c>
      <c r="O15" s="31" t="s">
        <v>144</v>
      </c>
    </row>
    <row r="16" spans="1:16" ht="29" x14ac:dyDescent="0.35">
      <c r="A16" s="33">
        <v>7</v>
      </c>
      <c r="B16" s="33" t="str">
        <f t="shared" si="0"/>
        <v>Q-P3.7</v>
      </c>
      <c r="C16" s="37" t="s">
        <v>39</v>
      </c>
      <c r="D16" s="33" t="s">
        <v>57</v>
      </c>
      <c r="E16" s="34" t="s">
        <v>40</v>
      </c>
      <c r="F16" s="33" t="s">
        <v>55</v>
      </c>
      <c r="G16" s="33" t="s">
        <v>55</v>
      </c>
      <c r="H16" s="37" t="s">
        <v>55</v>
      </c>
      <c r="I16" s="34" t="s">
        <v>54</v>
      </c>
      <c r="J16" s="33" t="s">
        <v>55</v>
      </c>
      <c r="K16" s="33" t="s">
        <v>55</v>
      </c>
      <c r="L16" s="33" t="s">
        <v>55</v>
      </c>
      <c r="M16" s="33" t="s">
        <v>55</v>
      </c>
      <c r="N16" s="33" t="s">
        <v>55</v>
      </c>
      <c r="O16" s="33" t="s">
        <v>104</v>
      </c>
    </row>
    <row r="17" spans="1:15" ht="83.25" customHeight="1" x14ac:dyDescent="0.35">
      <c r="A17" s="33">
        <v>8</v>
      </c>
      <c r="B17" s="33" t="str">
        <f t="shared" si="0"/>
        <v>Q-P3.8</v>
      </c>
      <c r="C17" s="37" t="s">
        <v>39</v>
      </c>
      <c r="D17" s="33" t="s">
        <v>77</v>
      </c>
      <c r="E17" s="34" t="s">
        <v>40</v>
      </c>
      <c r="F17" s="33" t="s">
        <v>55</v>
      </c>
      <c r="G17" s="33" t="s">
        <v>55</v>
      </c>
      <c r="H17" s="37" t="s">
        <v>55</v>
      </c>
      <c r="I17" s="34" t="s">
        <v>54</v>
      </c>
      <c r="J17" s="33" t="s">
        <v>55</v>
      </c>
      <c r="K17" s="33" t="s">
        <v>55</v>
      </c>
      <c r="L17" s="33" t="s">
        <v>55</v>
      </c>
      <c r="M17" s="33" t="s">
        <v>55</v>
      </c>
      <c r="N17" s="33" t="s">
        <v>55</v>
      </c>
      <c r="O17" s="33" t="s">
        <v>145</v>
      </c>
    </row>
  </sheetData>
  <autoFilter ref="A6:P6"/>
  <mergeCells count="2">
    <mergeCell ref="A10:E10"/>
    <mergeCell ref="A14:E14"/>
  </mergeCells>
  <conditionalFormatting sqref="C7:C9 C15:C1048576 C11 C13">
    <cfRule type="cellIs" dxfId="60" priority="15" operator="equal">
      <formula>"WIP (see comments)"</formula>
    </cfRule>
    <cfRule type="cellIs" dxfId="59" priority="16" operator="equal">
      <formula>"Removed"</formula>
    </cfRule>
    <cfRule type="cellIs" dxfId="58" priority="17" operator="equal">
      <formula>"Updated"</formula>
    </cfRule>
    <cfRule type="cellIs" dxfId="57" priority="18" operator="equal">
      <formula>"New"</formula>
    </cfRule>
  </conditionalFormatting>
  <conditionalFormatting sqref="D7:D9 D11 D13">
    <cfRule type="cellIs" dxfId="56" priority="14" operator="equal">
      <formula>"-"</formula>
    </cfRule>
  </conditionalFormatting>
  <conditionalFormatting sqref="P15:XFD15 A7:XFD9 A11:L11 A15:N15 N11:XFD11 B16:C17 E16:N17 A13:J13 N13:XFD13 K12:L13">
    <cfRule type="cellIs" dxfId="55" priority="13" operator="equal">
      <formula>"n/a"</formula>
    </cfRule>
  </conditionalFormatting>
  <conditionalFormatting sqref="O15">
    <cfRule type="cellIs" dxfId="54" priority="12" operator="equal">
      <formula>"n/a"</formula>
    </cfRule>
  </conditionalFormatting>
  <conditionalFormatting sqref="M11 M13">
    <cfRule type="cellIs" dxfId="53" priority="11" operator="equal">
      <formula>"n/a"</formula>
    </cfRule>
  </conditionalFormatting>
  <conditionalFormatting sqref="F10:XFD10">
    <cfRule type="cellIs" dxfId="52" priority="10" operator="equal">
      <formula>"n/a"</formula>
    </cfRule>
  </conditionalFormatting>
  <conditionalFormatting sqref="F14:XFD14 A14">
    <cfRule type="cellIs" dxfId="51" priority="9" operator="equal">
      <formula>"n/a"</formula>
    </cfRule>
  </conditionalFormatting>
  <conditionalFormatting sqref="C12">
    <cfRule type="cellIs" dxfId="50" priority="5" operator="equal">
      <formula>"WIP (see comments)"</formula>
    </cfRule>
    <cfRule type="cellIs" dxfId="49" priority="6" operator="equal">
      <formula>"Removed"</formula>
    </cfRule>
    <cfRule type="cellIs" dxfId="48" priority="7" operator="equal">
      <formula>"Updated"</formula>
    </cfRule>
    <cfRule type="cellIs" dxfId="47" priority="8" operator="equal">
      <formula>"New"</formula>
    </cfRule>
  </conditionalFormatting>
  <conditionalFormatting sqref="D12">
    <cfRule type="cellIs" dxfId="46" priority="4" operator="equal">
      <formula>"-"</formula>
    </cfRule>
  </conditionalFormatting>
  <conditionalFormatting sqref="A12:J12 N12:XFD12">
    <cfRule type="cellIs" dxfId="45" priority="3" operator="equal">
      <formula>"n/a"</formula>
    </cfRule>
  </conditionalFormatting>
  <conditionalFormatting sqref="M12">
    <cfRule type="cellIs" dxfId="44" priority="2" operator="equal">
      <formula>"n/a"</formula>
    </cfRule>
  </conditionalFormatting>
  <conditionalFormatting sqref="A10">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6"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139</v>
      </c>
      <c r="B1" s="29" t="s">
        <v>136</v>
      </c>
      <c r="C1" s="25"/>
      <c r="D1" s="22" t="s">
        <v>138</v>
      </c>
      <c r="F1" s="41"/>
      <c r="H1" s="27"/>
    </row>
    <row r="2" spans="1:16" s="23" customFormat="1" ht="18.5" x14ac:dyDescent="0.35">
      <c r="A2" s="21" t="s">
        <v>8</v>
      </c>
      <c r="B2" s="28" t="s">
        <v>137</v>
      </c>
      <c r="C2" s="27"/>
      <c r="D2" s="28"/>
      <c r="F2" s="41"/>
      <c r="H2" s="27"/>
    </row>
    <row r="3" spans="1:16" s="23" customFormat="1" ht="18.5" x14ac:dyDescent="0.35">
      <c r="A3" s="21" t="s">
        <v>41</v>
      </c>
      <c r="B3" s="28"/>
      <c r="C3" s="27"/>
      <c r="D3" s="28"/>
      <c r="F3" s="41"/>
      <c r="H3" s="27"/>
    </row>
    <row r="4" spans="1:16" s="23" customFormat="1" ht="18.5" x14ac:dyDescent="0.35">
      <c r="A4" s="21" t="s">
        <v>9</v>
      </c>
      <c r="B4" s="23" t="s">
        <v>141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101.5" x14ac:dyDescent="0.35">
      <c r="A7" s="33">
        <v>1</v>
      </c>
      <c r="B7" s="33" t="str">
        <f>CONCATENATE($B$2, ".", A7)</f>
        <v>P3a.1</v>
      </c>
      <c r="C7" s="37" t="s">
        <v>42</v>
      </c>
      <c r="D7" s="42" t="s">
        <v>142</v>
      </c>
      <c r="E7" s="34" t="s">
        <v>32</v>
      </c>
      <c r="F7" s="33" t="s">
        <v>55</v>
      </c>
      <c r="G7" s="33" t="s">
        <v>55</v>
      </c>
      <c r="H7" s="37" t="s">
        <v>55</v>
      </c>
      <c r="I7" s="34" t="s">
        <v>54</v>
      </c>
      <c r="J7" s="33" t="s">
        <v>55</v>
      </c>
      <c r="K7" s="33" t="s">
        <v>55</v>
      </c>
      <c r="L7" s="33" t="s">
        <v>55</v>
      </c>
      <c r="M7" s="33" t="s">
        <v>55</v>
      </c>
      <c r="N7" s="33" t="s">
        <v>55</v>
      </c>
    </row>
    <row r="8" spans="1:16" ht="43.5" x14ac:dyDescent="0.35">
      <c r="A8" s="33">
        <v>2</v>
      </c>
      <c r="B8" s="33" t="str">
        <f>CONCATENATE($B$2, ".", A8)</f>
        <v>P3a.2</v>
      </c>
      <c r="C8" s="37" t="s">
        <v>39</v>
      </c>
      <c r="D8" s="34" t="s">
        <v>140</v>
      </c>
      <c r="E8" s="34" t="s">
        <v>40</v>
      </c>
      <c r="F8" s="33" t="s">
        <v>55</v>
      </c>
      <c r="G8" s="33" t="s">
        <v>55</v>
      </c>
      <c r="H8" s="37" t="s">
        <v>55</v>
      </c>
      <c r="I8" s="34" t="s">
        <v>54</v>
      </c>
      <c r="J8" s="33" t="s">
        <v>55</v>
      </c>
      <c r="K8" s="33" t="s">
        <v>55</v>
      </c>
      <c r="L8" s="33" t="s">
        <v>55</v>
      </c>
      <c r="M8" s="33" t="s">
        <v>55</v>
      </c>
      <c r="N8" s="33" t="s">
        <v>55</v>
      </c>
      <c r="O8" s="31" t="s">
        <v>143</v>
      </c>
    </row>
  </sheetData>
  <autoFilter ref="A6:P6"/>
  <conditionalFormatting sqref="C7:C1048576">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D7">
    <cfRule type="cellIs" dxfId="38" priority="14" operator="equal">
      <formula>"-"</formula>
    </cfRule>
  </conditionalFormatting>
  <conditionalFormatting sqref="P8:XFD8 A7:XFD7 A8:N8">
    <cfRule type="cellIs" dxfId="37" priority="13" operator="equal">
      <formula>"n/a"</formula>
    </cfRule>
  </conditionalFormatting>
  <conditionalFormatting sqref="O8">
    <cfRule type="cellIs" dxfId="36" priority="1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 C8:C1048576</xm:sqref>
        </x14:dataValidation>
        <x14:dataValidation type="list" allowBlank="1" showInputMessage="1" showErrorMessage="1">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112</v>
      </c>
      <c r="C1" s="25"/>
      <c r="D1" s="22" t="s">
        <v>98</v>
      </c>
      <c r="F1" s="41"/>
      <c r="H1" s="27"/>
    </row>
    <row r="2" spans="1:16" s="23" customFormat="1" ht="18.5" x14ac:dyDescent="0.35">
      <c r="A2" s="21" t="s">
        <v>8</v>
      </c>
      <c r="B2" s="28" t="s">
        <v>113</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Q-P4.1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Q-P4.2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ht="29" x14ac:dyDescent="0.35">
      <c r="A9" s="33">
        <v>3</v>
      </c>
      <c r="B9" s="33" t="str">
        <f t="shared" si="0"/>
        <v>Q-P4.3</v>
      </c>
      <c r="C9" s="37" t="s">
        <v>39</v>
      </c>
      <c r="D9" s="34" t="s">
        <v>163</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Q-P4.4</v>
      </c>
      <c r="C11" s="37" t="s">
        <v>42</v>
      </c>
      <c r="D11" s="34" t="s">
        <v>114</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Q-P4.5</v>
      </c>
      <c r="C12" s="37" t="s">
        <v>42</v>
      </c>
      <c r="D12" s="34" t="s">
        <v>116</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Q-P4.6</v>
      </c>
      <c r="C13" s="37" t="s">
        <v>42</v>
      </c>
      <c r="D13" s="34" t="s">
        <v>115</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Q-P4.6</v>
      </c>
      <c r="C15" s="37" t="s">
        <v>39</v>
      </c>
      <c r="D15" s="34" t="s">
        <v>56</v>
      </c>
      <c r="E15" s="34" t="s">
        <v>40</v>
      </c>
      <c r="F15" s="33" t="s">
        <v>55</v>
      </c>
      <c r="G15" s="33" t="s">
        <v>55</v>
      </c>
      <c r="H15" s="37" t="s">
        <v>55</v>
      </c>
      <c r="I15" s="34" t="s">
        <v>54</v>
      </c>
      <c r="J15" s="33" t="s">
        <v>55</v>
      </c>
      <c r="K15" s="33" t="s">
        <v>55</v>
      </c>
      <c r="L15" s="33" t="s">
        <v>55</v>
      </c>
      <c r="M15" s="33" t="s">
        <v>55</v>
      </c>
      <c r="N15" s="33" t="s">
        <v>55</v>
      </c>
      <c r="O15" s="31" t="s">
        <v>117</v>
      </c>
    </row>
    <row r="16" spans="1:16" ht="29" x14ac:dyDescent="0.35">
      <c r="A16" s="33">
        <v>7</v>
      </c>
      <c r="B16" s="33" t="str">
        <f t="shared" si="0"/>
        <v>Q-P4.7</v>
      </c>
      <c r="C16" s="37" t="s">
        <v>39</v>
      </c>
      <c r="D16" s="33" t="s">
        <v>57</v>
      </c>
      <c r="E16" s="34" t="s">
        <v>40</v>
      </c>
      <c r="F16" s="33" t="s">
        <v>55</v>
      </c>
      <c r="G16" s="33" t="s">
        <v>55</v>
      </c>
      <c r="H16" s="37" t="s">
        <v>55</v>
      </c>
      <c r="I16" s="34" t="s">
        <v>54</v>
      </c>
      <c r="J16" s="33" t="s">
        <v>55</v>
      </c>
      <c r="K16" s="33" t="s">
        <v>55</v>
      </c>
      <c r="L16" s="33" t="s">
        <v>55</v>
      </c>
      <c r="M16" s="33" t="s">
        <v>55</v>
      </c>
      <c r="N16" s="33" t="s">
        <v>55</v>
      </c>
      <c r="O16" s="33" t="s">
        <v>118</v>
      </c>
    </row>
    <row r="17" spans="1:15" ht="29" x14ac:dyDescent="0.35">
      <c r="A17" s="33">
        <v>8</v>
      </c>
      <c r="B17" s="33" t="str">
        <f t="shared" si="0"/>
        <v>Q-P4.8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35" priority="15" operator="equal">
      <formula>"WIP (see comments)"</formula>
    </cfRule>
    <cfRule type="cellIs" dxfId="34" priority="16" operator="equal">
      <formula>"Removed"</formula>
    </cfRule>
    <cfRule type="cellIs" dxfId="33" priority="17" operator="equal">
      <formula>"Updated"</formula>
    </cfRule>
    <cfRule type="cellIs" dxfId="32" priority="18" operator="equal">
      <formula>"New"</formula>
    </cfRule>
  </conditionalFormatting>
  <conditionalFormatting sqref="D7:D9 D11 D13">
    <cfRule type="cellIs" dxfId="31" priority="14" operator="equal">
      <formula>"-"</formula>
    </cfRule>
  </conditionalFormatting>
  <conditionalFormatting sqref="P15:XFD15 A7:XFD9 A11:L11 A15:N15 N11:XFD11 B16:C17 E16:N17 A13:J13 N13:XFD13 K12:L13">
    <cfRule type="cellIs" dxfId="30" priority="13" operator="equal">
      <formula>"n/a"</formula>
    </cfRule>
  </conditionalFormatting>
  <conditionalFormatting sqref="O15">
    <cfRule type="cellIs" dxfId="29" priority="12" operator="equal">
      <formula>"n/a"</formula>
    </cfRule>
  </conditionalFormatting>
  <conditionalFormatting sqref="M11 M13">
    <cfRule type="cellIs" dxfId="28" priority="11" operator="equal">
      <formula>"n/a"</formula>
    </cfRule>
  </conditionalFormatting>
  <conditionalFormatting sqref="F10:XFD10">
    <cfRule type="cellIs" dxfId="27" priority="10" operator="equal">
      <formula>"n/a"</formula>
    </cfRule>
  </conditionalFormatting>
  <conditionalFormatting sqref="F14:XFD14 A14">
    <cfRule type="cellIs" dxfId="26" priority="9" operator="equal">
      <formula>"n/a"</formula>
    </cfRule>
  </conditionalFormatting>
  <conditionalFormatting sqref="C12">
    <cfRule type="cellIs" dxfId="25" priority="5" operator="equal">
      <formula>"WIP (see comments)"</formula>
    </cfRule>
    <cfRule type="cellIs" dxfId="24" priority="6" operator="equal">
      <formula>"Removed"</formula>
    </cfRule>
    <cfRule type="cellIs" dxfId="23" priority="7" operator="equal">
      <formula>"Updated"</formula>
    </cfRule>
    <cfRule type="cellIs" dxfId="22" priority="8" operator="equal">
      <formula>"New"</formula>
    </cfRule>
  </conditionalFormatting>
  <conditionalFormatting sqref="D12">
    <cfRule type="cellIs" dxfId="21" priority="4" operator="equal">
      <formula>"-"</formula>
    </cfRule>
  </conditionalFormatting>
  <conditionalFormatting sqref="A12:J12 N12:XFD12">
    <cfRule type="cellIs" dxfId="20" priority="3" operator="equal">
      <formula>"n/a"</formula>
    </cfRule>
  </conditionalFormatting>
  <conditionalFormatting sqref="M12">
    <cfRule type="cellIs" dxfId="19" priority="2" operator="equal">
      <formula>"n/a"</formula>
    </cfRule>
  </conditionalFormatting>
  <conditionalFormatting sqref="A10">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119</v>
      </c>
      <c r="C1" s="25"/>
      <c r="D1" s="22" t="s">
        <v>98</v>
      </c>
      <c r="F1" s="41"/>
      <c r="H1" s="27"/>
    </row>
    <row r="2" spans="1:16" s="23" customFormat="1" ht="18.5" x14ac:dyDescent="0.35">
      <c r="A2" s="21" t="s">
        <v>8</v>
      </c>
      <c r="B2" s="28" t="s">
        <v>120</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Q-P5.1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Q-P5.2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ht="29" x14ac:dyDescent="0.35">
      <c r="A9" s="33">
        <v>3</v>
      </c>
      <c r="B9" s="33" t="str">
        <f t="shared" si="0"/>
        <v>Q-P5.3</v>
      </c>
      <c r="C9" s="37" t="s">
        <v>39</v>
      </c>
      <c r="D9" s="34" t="s">
        <v>121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127</v>
      </c>
      <c r="B10" s="50"/>
      <c r="C10" s="50"/>
      <c r="D10" s="50"/>
      <c r="E10" s="50"/>
    </row>
    <row r="11" spans="1:16" ht="29" x14ac:dyDescent="0.35">
      <c r="A11" s="33">
        <v>4</v>
      </c>
      <c r="B11" s="33" t="str">
        <f t="shared" si="0"/>
        <v>Q-P5.4</v>
      </c>
      <c r="C11" s="37" t="s">
        <v>42</v>
      </c>
      <c r="D11" s="34" t="s">
        <v>122</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Q-P5.5</v>
      </c>
      <c r="C12" s="37" t="s">
        <v>42</v>
      </c>
      <c r="D12" s="34" t="s">
        <v>123</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Q-P5.6</v>
      </c>
      <c r="C13" s="37" t="s">
        <v>42</v>
      </c>
      <c r="D13" s="34" t="s">
        <v>124</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0"/>
      <c r="B14" s="50"/>
      <c r="C14" s="50"/>
      <c r="D14" s="50"/>
      <c r="E14" s="50"/>
    </row>
    <row r="15" spans="1:16" ht="29" x14ac:dyDescent="0.35">
      <c r="A15" s="33">
        <v>6</v>
      </c>
      <c r="B15" s="33" t="str">
        <f t="shared" si="0"/>
        <v>Q-P5.6</v>
      </c>
      <c r="C15" s="37" t="s">
        <v>39</v>
      </c>
      <c r="D15" s="34" t="s">
        <v>56</v>
      </c>
      <c r="E15" s="34" t="s">
        <v>40</v>
      </c>
      <c r="F15" s="33" t="s">
        <v>55</v>
      </c>
      <c r="G15" s="33" t="s">
        <v>55</v>
      </c>
      <c r="H15" s="37" t="s">
        <v>55</v>
      </c>
      <c r="I15" s="34" t="s">
        <v>54</v>
      </c>
      <c r="J15" s="33" t="s">
        <v>55</v>
      </c>
      <c r="K15" s="33" t="s">
        <v>55</v>
      </c>
      <c r="L15" s="33" t="s">
        <v>55</v>
      </c>
      <c r="M15" s="33" t="s">
        <v>55</v>
      </c>
      <c r="N15" s="33" t="s">
        <v>55</v>
      </c>
      <c r="O15" s="31" t="s">
        <v>125</v>
      </c>
    </row>
    <row r="16" spans="1:16" ht="29" x14ac:dyDescent="0.35">
      <c r="A16" s="33">
        <v>7</v>
      </c>
      <c r="B16" s="33" t="str">
        <f t="shared" si="0"/>
        <v>Q-P5.7</v>
      </c>
      <c r="C16" s="37" t="s">
        <v>39</v>
      </c>
      <c r="D16" s="33" t="s">
        <v>57</v>
      </c>
      <c r="E16" s="34" t="s">
        <v>40</v>
      </c>
      <c r="F16" s="33" t="s">
        <v>55</v>
      </c>
      <c r="G16" s="33" t="s">
        <v>55</v>
      </c>
      <c r="H16" s="37" t="s">
        <v>55</v>
      </c>
      <c r="I16" s="34" t="s">
        <v>54</v>
      </c>
      <c r="J16" s="33" t="s">
        <v>55</v>
      </c>
      <c r="K16" s="33" t="s">
        <v>55</v>
      </c>
      <c r="L16" s="33" t="s">
        <v>55</v>
      </c>
      <c r="M16" s="33" t="s">
        <v>55</v>
      </c>
      <c r="N16" s="33" t="s">
        <v>55</v>
      </c>
      <c r="O16" s="33" t="s">
        <v>126</v>
      </c>
    </row>
    <row r="17" spans="1:15" ht="29" x14ac:dyDescent="0.35">
      <c r="A17" s="33">
        <v>8</v>
      </c>
      <c r="B17" s="33" t="str">
        <f t="shared" si="0"/>
        <v>Q-P5.8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D7:D9 D11 D13">
    <cfRule type="cellIs" dxfId="13" priority="14" operator="equal">
      <formula>"-"</formula>
    </cfRule>
  </conditionalFormatting>
  <conditionalFormatting sqref="P15:XFD15 A7:XFD9 A11:L11 A15:N15 N11:XFD11 B16:C17 E16:N17 A13:J13 N13:XFD13 K12:L13">
    <cfRule type="cellIs" dxfId="12" priority="13" operator="equal">
      <formula>"n/a"</formula>
    </cfRule>
  </conditionalFormatting>
  <conditionalFormatting sqref="O15">
    <cfRule type="cellIs" dxfId="11" priority="12" operator="equal">
      <formula>"n/a"</formula>
    </cfRule>
  </conditionalFormatting>
  <conditionalFormatting sqref="M11 M13">
    <cfRule type="cellIs" dxfId="10" priority="11" operator="equal">
      <formula>"n/a"</formula>
    </cfRule>
  </conditionalFormatting>
  <conditionalFormatting sqref="F10:XFD10">
    <cfRule type="cellIs" dxfId="9" priority="10" operator="equal">
      <formula>"n/a"</formula>
    </cfRule>
  </conditionalFormatting>
  <conditionalFormatting sqref="F14:XFD14 A14">
    <cfRule type="cellIs" dxfId="8" priority="9" operator="equal">
      <formula>"n/a"</formula>
    </cfRule>
  </conditionalFormatting>
  <conditionalFormatting sqref="C12">
    <cfRule type="cellIs" dxfId="7" priority="5" operator="equal">
      <formula>"WIP (see comments)"</formula>
    </cfRule>
    <cfRule type="cellIs" dxfId="6" priority="6" operator="equal">
      <formula>"Removed"</formula>
    </cfRule>
    <cfRule type="cellIs" dxfId="5" priority="7" operator="equal">
      <formula>"Updated"</formula>
    </cfRule>
    <cfRule type="cellIs" dxfId="4" priority="8" operator="equal">
      <formula>"New"</formula>
    </cfRule>
  </conditionalFormatting>
  <conditionalFormatting sqref="D12">
    <cfRule type="cellIs" dxfId="3" priority="4" operator="equal">
      <formula>"-"</formula>
    </cfRule>
  </conditionalFormatting>
  <conditionalFormatting sqref="A12:J12 N12:XFD12">
    <cfRule type="cellIs" dxfId="2" priority="3" operator="equal">
      <formula>"n/a"</formula>
    </cfRule>
  </conditionalFormatting>
  <conditionalFormatting sqref="M12">
    <cfRule type="cellIs" dxfId="1" priority="2" operator="equal">
      <formula>"n/a"</formula>
    </cfRule>
  </conditionalFormatting>
  <conditionalFormatting sqref="A10">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8711E1C-105A-4E23-A7A0-622F12E4903B}"/>
</file>

<file path=customXml/itemProps2.xml><?xml version="1.0" encoding="utf-8"?>
<ds:datastoreItem xmlns:ds="http://schemas.openxmlformats.org/officeDocument/2006/customXml" ds:itemID="{6D6A9122-3AFF-4451-9068-C18C74F5B23C}"/>
</file>

<file path=customXml/itemProps3.xml><?xml version="1.0" encoding="utf-8"?>
<ds:datastoreItem xmlns:ds="http://schemas.openxmlformats.org/officeDocument/2006/customXml" ds:itemID="{967476C5-3203-4584-BAD6-83AB8F9C6E1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DEPRECATED Welcome-Business</vt:lpstr>
      <vt:lpstr>OOS Question SB1</vt:lpstr>
      <vt:lpstr>OOS Question SB2</vt:lpstr>
      <vt:lpstr>2. Account Selection</vt:lpstr>
      <vt:lpstr>DEPRECATED Account Details</vt:lpstr>
      <vt:lpstr>OOS Question SB3</vt:lpstr>
      <vt:lpstr>OOS Question SB4</vt:lpstr>
      <vt:lpstr>3. Service Selection</vt:lpstr>
      <vt:lpstr>DEPRECATED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2021-03-22T15:58:51Z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593700</vt:r8>
  </property>
  <property fmtid="{D5CDD505-2E9C-101B-9397-08002B2CF9AE}" pid="4" name="URL">
    <vt:lpwstr/>
  </property>
</Properties>
</file>