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filterPrivacy="1"/>
  <xr:revisionPtr revIDLastSave="0" documentId="13_ncr:1_{1C09E023-0764-4BFF-AD33-3830A0115F10}" xr6:coauthVersionLast="47" xr6:coauthVersionMax="47" xr10:uidLastSave="{00000000-0000-0000-0000-000000000000}"/>
  <bookViews>
    <workbookView xWindow="-38520" yWindow="-120" windowWidth="38640" windowHeight="15840" xr2:uid="{00000000-000D-0000-FFFF-FFFF00000000}"/>
  </bookViews>
  <sheets>
    <sheet name="Revision Control" sheetId="2" r:id="rId1"/>
    <sheet name="List Values" sheetId="3" r:id="rId2"/>
    <sheet name="Product Spec-Business Cash Mgmt" sheetId="6" r:id="rId3"/>
    <sheet name="Categories" sheetId="7" state="hidden" r:id="rId4"/>
    <sheet name="Product Spec-Personal" sheetId="1" state="hidden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<sst xmlns="http://schemas.openxmlformats.org/spreadsheetml/2006/main" count="242" uniqueCount="166">
  <si>
    <t>Motive Digital Client Onboarding (DCO)</t>
  </si>
  <si>
    <t>Document Version</t>
  </si>
  <si>
    <t>Revision Date</t>
  </si>
  <si>
    <t>Change Summary</t>
  </si>
  <si>
    <t>Updated by</t>
  </si>
  <si>
    <t>Reviewed By</t>
  </si>
  <si>
    <t>Approved by</t>
  </si>
  <si>
    <t>Digital Client Onboarding (DCO)</t>
  </si>
  <si>
    <t>Product Name</t>
  </si>
  <si>
    <t>Product Type</t>
  </si>
  <si>
    <t>Tag Line</t>
  </si>
  <si>
    <t>Effective Date</t>
  </si>
  <si>
    <t>Expiry Date</t>
  </si>
  <si>
    <t>Minimum Age</t>
  </si>
  <si>
    <t>Maximum Age</t>
  </si>
  <si>
    <t>Monthly Free Transactions</t>
  </si>
  <si>
    <t>Monthly Fee</t>
  </si>
  <si>
    <t>Fee Waiver Balance</t>
  </si>
  <si>
    <t>Field Status</t>
  </si>
  <si>
    <t>New</t>
  </si>
  <si>
    <t>No Change</t>
  </si>
  <si>
    <t>Removed</t>
  </si>
  <si>
    <t>Updated</t>
  </si>
  <si>
    <t>WIP (see comments)</t>
  </si>
  <si>
    <t>Transaction Fee</t>
  </si>
  <si>
    <t>E-transfer Fee</t>
  </si>
  <si>
    <t>Non-CWB ATM Fee</t>
  </si>
  <si>
    <t>Product Specification - List Values</t>
  </si>
  <si>
    <t>Product Specification</t>
  </si>
  <si>
    <t>Visible to Public</t>
  </si>
  <si>
    <t>Interest Rate</t>
  </si>
  <si>
    <t>DMDC-10500</t>
  </si>
  <si>
    <t>Product ID</t>
  </si>
  <si>
    <t>Chequing</t>
  </si>
  <si>
    <t>Gold Leaf PLUS Account</t>
  </si>
  <si>
    <t>DMDC-10501</t>
  </si>
  <si>
    <t>Standard Chequing Account</t>
  </si>
  <si>
    <t>DMDC-13100</t>
  </si>
  <si>
    <t>Student Account</t>
  </si>
  <si>
    <t>DMDC-12200</t>
  </si>
  <si>
    <t>Summit Savings Account</t>
  </si>
  <si>
    <t>DMDS-61001</t>
  </si>
  <si>
    <t>Savings</t>
  </si>
  <si>
    <t>Yes</t>
  </si>
  <si>
    <t>A smarter chequing account with a suite of banking services that makes your banking smarter and easier with a simple monthly fee.</t>
  </si>
  <si>
    <t>The foundation for daily financial success</t>
  </si>
  <si>
    <t>Being a student is expensive - this account isn't.</t>
  </si>
  <si>
    <t>When you reach a certain age, you should expect certain perks</t>
  </si>
  <si>
    <t>Save faster for what matters to you</t>
  </si>
  <si>
    <t>Change Status</t>
  </si>
  <si>
    <t>Unlimited</t>
  </si>
  <si>
    <t>Reach your financial peak with an everyday banking account that makes your banking smarter and easier with a simple monthly fee.</t>
  </si>
  <si>
    <t>The chequing account for your everyday banking needs in a simple and flexible package that allows you to only pay for what you use.</t>
  </si>
  <si>
    <t>Make banking one less thing to worry about while at school. This no-hassle account is designed for the everyday needs of full-time post-secondary students.</t>
  </si>
  <si>
    <t>This comprehensive package is specifically crafted for clients aged 57 and over, offering great additional services and benefits. </t>
  </si>
  <si>
    <t>Keep your savings close at hand while achieving your financial goals with this high-interest savings account.</t>
  </si>
  <si>
    <t>Short Description</t>
  </si>
  <si>
    <t>Long Description</t>
  </si>
  <si>
    <t>Product Attributes (to be exposed to user interface)</t>
  </si>
  <si>
    <t>Classification &amp; Eligibility Restrictions (for internal system use)</t>
  </si>
  <si>
    <t>Interest Rate Effective Date</t>
  </si>
  <si>
    <t>Apex Account</t>
  </si>
  <si>
    <t>Student Only</t>
  </si>
  <si>
    <t>No</t>
  </si>
  <si>
    <t xml:space="preserve">This comprehensive package is specifically crafted for clients aged 57 and over, offering great additional services and benefits.
● Unlimited transactions*
● Electronic or paper statements with heque images available
● Option to receive GIC interest monthly with no penalty
● Safe deposit box discount </t>
  </si>
  <si>
    <t>Keep your savings close at hand while achieving your financial goals with this high-interest savings account.
● Competitive interest rates 
● No monthly fee
● Transfer between your CWB accounts for free</t>
  </si>
  <si>
    <t>Reach your financial peak with an everyday banking account that makes your banking smarter and easier with a simple monthly fee.
● Unlimited transactions*
● Complimentary personal cheques
● Optional free line of credit upon approval</t>
  </si>
  <si>
    <t>The chequing account for your everyday banking needs in a simple and flexible package that allows you to only pay for what you use.
● 15 free transactions*
● Transfer between your CWB accounts for free
● Electronic or paper statements with cheque images available</t>
  </si>
  <si>
    <t xml:space="preserve">Make banking one less thing to worry about while at school. This no-hassle account is designed for the everyday needs of full-time post-secondary students.
● Unlimited transactions* 
● No monthly fee </t>
  </si>
  <si>
    <t>CWB Wire Service</t>
  </si>
  <si>
    <t xml:space="preserve">Remote Deposit Capture </t>
  </si>
  <si>
    <t>Payment Solutions</t>
  </si>
  <si>
    <t>Transfer funds within Canada or internationally from anywhere with internet access.</t>
  </si>
  <si>
    <t>Transaction fee</t>
  </si>
  <si>
    <t>Scan and deposit CAD or USD cheques from the comfort of your workplace, all on your own time.</t>
  </si>
  <si>
    <t>Receivable Solutions</t>
  </si>
  <si>
    <t>Save on customized business cheques.</t>
  </si>
  <si>
    <t>Foreign exchange solutions</t>
  </si>
  <si>
    <t>Payroll and HR solutions</t>
  </si>
  <si>
    <t>In partnership with Western Union, protect your business from currency risk with tailored foreign exchange solutions.</t>
  </si>
  <si>
    <t>In partnership with Ceridian, a leading human capital management software provider, your business can take advantage of exclusive pricing on payroll and HR solutions.</t>
  </si>
  <si>
    <t>Ian Hicks</t>
  </si>
  <si>
    <t>Cash Management Product Specification - Revision Control Form</t>
  </si>
  <si>
    <t>1.0 WIP</t>
  </si>
  <si>
    <t>Split out from CWB Business Accounts specification for ease of maintenance.</t>
  </si>
  <si>
    <t>Diana Tran
Kristen En</t>
  </si>
  <si>
    <t>Electronic Funds Transfer</t>
  </si>
  <si>
    <t>Provisioning info</t>
  </si>
  <si>
    <t>Provisioning link</t>
  </si>
  <si>
    <t>In partnership with Payfirma, accept card payments anytime, anywhere, and on any device.</t>
  </si>
  <si>
    <t>Card processing services</t>
  </si>
  <si>
    <t>Business cheques</t>
  </si>
  <si>
    <t>https://www.cwbank.com/en/business/cash-management/paying-and-receiving/manage-payments/customer-automated-fund-transfer</t>
  </si>
  <si>
    <t>https://www.cwbank.com/en/business/cash-management/paying-and-receiving/manage-payments/cwb-wire-service</t>
  </si>
  <si>
    <t>https://www.cwbank.com/en/business/cash-management/paying-and-receiving/manage-payments/remote-deposit-capture</t>
  </si>
  <si>
    <t>https://www.cwbank.com/en/business/cash-management/paying-and-receiving/manage-payments/foreign-exchange-solutions</t>
  </si>
  <si>
    <t>https://www.cwbank.com/en/business/cash-management/paying-and-receiving/manage-payments/payroll-services</t>
  </si>
  <si>
    <t>https://www.cwbank.com/en/business/cash-management/paying-and-receiving/manage-receivables/card-processing</t>
  </si>
  <si>
    <t>Status</t>
  </si>
  <si>
    <t>Product code</t>
  </si>
  <si>
    <t>Product name</t>
  </si>
  <si>
    <t>Tag line
(short description)</t>
  </si>
  <si>
    <t>Effective date</t>
  </si>
  <si>
    <t>Expiry date</t>
  </si>
  <si>
    <t>Product type 1</t>
  </si>
  <si>
    <t>Product type 2</t>
  </si>
  <si>
    <t>Monthly fee</t>
  </si>
  <si>
    <t>Annual fee</t>
  </si>
  <si>
    <t>Setup fee</t>
  </si>
  <si>
    <t>Credit Cards</t>
  </si>
  <si>
    <t>Remote Deposit Capture</t>
  </si>
  <si>
    <t>New auto-adjudicated credit facility</t>
  </si>
  <si>
    <t>CWB Visa Infinite Business card</t>
  </si>
  <si>
    <t>CWB Low Rate Visa Business card</t>
  </si>
  <si>
    <t>CWB No Fee Cash Back Visa Business card</t>
  </si>
  <si>
    <t>Paying / Payment Solutions</t>
  </si>
  <si>
    <t>Receiving / Receivable Solutions</t>
  </si>
  <si>
    <t>Borrowing Solutions / Credit Solutions</t>
  </si>
  <si>
    <t>Product link
(Sitecore info page)</t>
  </si>
  <si>
    <t>Effectively consolidate your business's spending while saving on payments with this low interest rate card.</t>
  </si>
  <si>
    <t>Grow your business and get more from your spending without paying an annual fee.</t>
  </si>
  <si>
    <t>https://www.cwbank.com/en/business/credit-cards/infinite-card</t>
  </si>
  <si>
    <t>https://www.cwbank.com/en/business/credit-cards/low-rate-card</t>
  </si>
  <si>
    <t>https://www.cwbank.com/en/business/credit-cards/no-fee-cash-back-card</t>
  </si>
  <si>
    <t>Product image</t>
  </si>
  <si>
    <t>Financing</t>
  </si>
  <si>
    <t>1.1 WIP</t>
  </si>
  <si>
    <t>CWBSB-433</t>
  </si>
  <si>
    <t>This automated payment management system is for electronic deposits and pre-authorized payments.</t>
  </si>
  <si>
    <t>Take your business farther with impressive travel, merchandise and concierge rewards from this premium card.</t>
  </si>
  <si>
    <t>Connie Smart</t>
  </si>
  <si>
    <t>Added placeholder for new Business LOC product (small business lending).
Wording review updates (Connie Smart)</t>
  </si>
  <si>
    <t>Product Specification - Business Non-account Products</t>
  </si>
  <si>
    <t>Revolving Line of Credit</t>
  </si>
  <si>
    <t>Card banner</t>
  </si>
  <si>
    <t>Configurable feature 1</t>
  </si>
  <si>
    <t>Configurable feature 2</t>
  </si>
  <si>
    <t>Configurable feature 3</t>
  </si>
  <si>
    <t>Configurable feature 4</t>
  </si>
  <si>
    <t>Pay down any amount without penalty</t>
  </si>
  <si>
    <t>DMDS-61200</t>
  </si>
  <si>
    <t>Interest rate tier 1</t>
  </si>
  <si>
    <t>Interest rate tier 2</t>
  </si>
  <si>
    <t>Interest rate tier 3</t>
  </si>
  <si>
    <t>https://www.cwbank.com/revolving-line-of-credit</t>
  </si>
  <si>
    <t xml:space="preserve">Fund what you need, when you need it! Access funds anytime through your new CWB chequing account. Pay interest only on the borrowed amount. </t>
  </si>
  <si>
    <t>Qualify for up to $50,000</t>
  </si>
  <si>
    <t>Unsecured</t>
  </si>
  <si>
    <t>Competitive interest rates</t>
  </si>
  <si>
    <t>2.0+lending</t>
  </si>
  <si>
    <t>Added draft content for new LOC product</t>
  </si>
  <si>
    <t>2.1+lending</t>
  </si>
  <si>
    <t>Updated LOC content provided by Product team (Graeme A / Tonya Z / Robbie S)</t>
  </si>
  <si>
    <t>Fast &amp; easy application</t>
  </si>
  <si>
    <t>2.2+lending</t>
  </si>
  <si>
    <t>Removed provisioning info text elements as no SLA for initial release, per BCC team.</t>
  </si>
  <si>
    <t>Product team</t>
  </si>
  <si>
    <t>Yes - Approval Conditions Apply</t>
  </si>
  <si>
    <t>Available in SBDCO New-to-bank Self-Serve?</t>
  </si>
  <si>
    <t>Available in SBDCO Existing/Authenticated Client Self-Serve?</t>
  </si>
  <si>
    <t>Yes - to express interest in the product</t>
  </si>
  <si>
    <t>Yes if existing applicant was digitally onboarded - Approval Conditions Apply</t>
  </si>
  <si>
    <t>2.3+lending</t>
  </si>
  <si>
    <t>Added DCO Channel Information for each product</t>
  </si>
  <si>
    <t>Chintan Choksi</t>
  </si>
  <si>
    <t>Candyse Watkinson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</si>
</sst>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0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49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3" fillId="0" borderId="6" xfId="0" quotePrefix="1" applyFont="1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49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3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3" fillId="0" borderId="10" xfId="0" quotePrefix="1" applyFont="1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49" fontId="0" fillId="0" borderId="1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3" fillId="0" borderId="14" xfId="0" applyFont="1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2" fontId="2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164" fontId="0" fillId="0" borderId="0" xfId="0" applyNumberFormat="1" applyFill="1" applyAlignment="1">
      <alignment horizontal="center" vertical="center" wrapText="1"/>
    </xf>
    <xf numFmtId="2" fontId="0" fillId="0" borderId="0" xfId="0" applyNumberFormat="1" applyFill="1" applyAlignment="1">
      <alignment horizontal="center" vertical="center" wrapText="1"/>
    </xf>
    <xf numFmtId="2" fontId="1" fillId="4" borderId="0" xfId="0" applyNumberFormat="1" applyFont="1" applyFill="1" applyAlignment="1">
      <alignment horizontal="center" vertical="center" wrapText="1"/>
    </xf>
    <xf numFmtId="164" fontId="1" fillId="4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64" fontId="1" fillId="5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2" fontId="0" fillId="0" borderId="0" xfId="0" applyNumberFormat="1" applyAlignment="1">
      <alignment horizontal="left" vertical="center" wrapText="1"/>
    </xf>
    <xf numFmtId="0" fontId="5" fillId="0" borderId="0" xfId="1" applyAlignment="1">
      <alignment horizontal="left" vertical="center" wrapText="1"/>
    </xf>
    <xf numFmtId="164" fontId="1" fillId="0" borderId="0" xfId="0" applyNumberFormat="1" applyFont="1" applyAlignment="1">
      <alignment horizontal="left" vertical="center" wrapText="1"/>
    </xf>
    <xf numFmtId="2" fontId="0" fillId="0" borderId="0" xfId="0" applyNumberFormat="1" applyFill="1" applyAlignment="1">
      <alignment horizontal="left" vertical="center" wrapText="1"/>
    </xf>
    <xf numFmtId="0" fontId="1" fillId="6" borderId="0" xfId="0" applyFont="1" applyFill="1" applyAlignment="1">
      <alignment vertical="center" wrapText="1"/>
    </xf>
    <xf numFmtId="0" fontId="1" fillId="7" borderId="0" xfId="0" applyFont="1" applyFill="1" applyAlignment="1">
      <alignment vertical="center" wrapText="1"/>
    </xf>
    <xf numFmtId="2" fontId="1" fillId="4" borderId="0" xfId="0" applyNumberFormat="1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48">
    <dxf>
      <font>
        <color theme="0" tint="-0.34998626667073579"/>
      </font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theme="5" tint="0.59996337778862885"/>
        </patternFill>
      </fill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theme="5" tint="0.59996337778862885"/>
        </patternFill>
      </fill>
    </dxf>
    <dxf>
      <font>
        <color theme="0" tint="-0.34998626667073579"/>
      </font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theme="5" tint="0.59996337778862885"/>
        </patternFill>
      </fill>
    </dxf>
    <dxf>
      <font>
        <color theme="0" tint="-0.34998626667073579"/>
      </font>
    </dxf>
    <dxf>
      <font>
        <color theme="0" tint="-0.34998626667073579"/>
      </font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theme="5" tint="0.59996337778862885"/>
        </patternFill>
      </fill>
    </dxf>
    <dxf>
      <font>
        <color theme="0" tint="-0.34998626667073579"/>
      </font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theme="5" tint="0.59996337778862885"/>
        </patternFill>
      </fill>
    </dxf>
    <dxf>
      <font>
        <color theme="0" tint="-0.34998626667073579"/>
      </font>
    </dxf>
    <dxf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  <dxf>
      <fill>
        <patternFill>
          <bgColor rgb="FFFF7C8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  <dxf>
      <fill>
        <patternFill>
          <bgColor rgb="FFFF7C8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wbank.com/en/business/cash-management/paying-and-receiving/manage-payments/payroll-services" TargetMode="External"/><Relationship Id="rId2" Type="http://schemas.openxmlformats.org/officeDocument/2006/relationships/hyperlink" Target="https://www.cwbank.com/en/business/cash-management/paying-and-receiving/manage-payments/foreign-exchange-solutions" TargetMode="External"/><Relationship Id="rId1" Type="http://schemas.openxmlformats.org/officeDocument/2006/relationships/hyperlink" Target="https://www.cwbank.com/en/business/cash-management/paying-and-receiving/manage-payments/remote-deposit-capture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cwbank.com/en/business/cash-management/paying-and-receiving/manage-receivables/card-processi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zoomScaleNormal="100" workbookViewId="0">
      <selection activeCell="F25" sqref="F25"/>
    </sheetView>
  </sheetViews>
  <sheetFormatPr defaultRowHeight="14.25" x14ac:dyDescent="0.45"/>
  <cols>
    <col min="1" max="1" width="19.796875" customWidth="1"/>
    <col min="2" max="2" width="18.73046875" bestFit="1" customWidth="1"/>
    <col min="3" max="3" width="52.265625" customWidth="1"/>
    <col min="4" max="5" width="21.53125" customWidth="1"/>
    <col min="6" max="6" width="25.73046875" customWidth="1"/>
    <col min="7" max="7" width="20.19921875" customWidth="1"/>
  </cols>
  <sheetData>
    <row r="1" spans="1:16" s="1" customFormat="1" ht="18" x14ac:dyDescent="0.45">
      <c r="A1" s="1" t="s">
        <v>7</v>
      </c>
      <c r="B1" s="2"/>
      <c r="C1" s="2"/>
      <c r="D1" s="2"/>
      <c r="E1" s="2"/>
      <c r="F1" s="2"/>
      <c r="G1" s="3"/>
      <c r="H1" s="2"/>
      <c r="I1" s="3"/>
      <c r="J1" s="3"/>
      <c r="K1" s="3"/>
      <c r="L1" s="2"/>
      <c r="M1" s="2"/>
      <c r="N1" s="2"/>
      <c r="O1" s="2"/>
      <c r="P1" s="2"/>
    </row>
    <row r="2" spans="1:16" s="1" customFormat="1" ht="18" x14ac:dyDescent="0.45">
      <c r="A2" s="1" t="s">
        <v>82</v>
      </c>
      <c r="B2" s="2"/>
      <c r="C2" s="2"/>
      <c r="D2" s="2"/>
      <c r="E2" s="2"/>
      <c r="F2" s="2"/>
      <c r="G2" s="3"/>
      <c r="H2" s="2"/>
      <c r="I2" s="3"/>
      <c r="J2" s="3"/>
      <c r="K2" s="3"/>
      <c r="L2" s="2"/>
      <c r="M2" s="2"/>
      <c r="N2" s="2"/>
      <c r="O2" s="2"/>
      <c r="P2" s="2"/>
    </row>
    <row r="3" spans="1:16" s="4" customFormat="1" x14ac:dyDescent="0.45">
      <c r="C3" s="5"/>
    </row>
    <row r="4" spans="1:16" ht="14.65" thickBot="1" x14ac:dyDescent="0.5"/>
    <row r="5" spans="1:16" s="11" customFormat="1" ht="14.65" thickBot="1" x14ac:dyDescent="0.5">
      <c r="A5" s="6" t="s">
        <v>1</v>
      </c>
      <c r="B5" s="7" t="s">
        <v>2</v>
      </c>
      <c r="C5" s="8" t="s">
        <v>3</v>
      </c>
      <c r="D5" s="7" t="s">
        <v>4</v>
      </c>
      <c r="E5" s="9" t="s">
        <v>5</v>
      </c>
      <c r="F5" s="10" t="s">
        <v>6</v>
      </c>
    </row>
    <row r="6" spans="1:16" s="4" customFormat="1" ht="28.5" x14ac:dyDescent="0.45">
      <c r="A6" s="12" t="s">
        <v>83</v>
      </c>
      <c r="B6" s="13"/>
      <c r="C6" s="14" t="s">
        <v>84</v>
      </c>
      <c r="D6" s="15" t="s">
        <v>81</v>
      </c>
      <c r="E6" s="16" t="s">
        <v>85</v>
      </c>
      <c r="F6" s="17"/>
    </row>
    <row r="7" spans="1:16" s="4" customFormat="1" ht="39.4" x14ac:dyDescent="0.45">
      <c r="A7" s="12" t="s">
        <v>126</v>
      </c>
      <c r="B7" s="13"/>
      <c r="C7" s="14" t="s">
        <v>131</v>
      </c>
      <c r="D7" s="15" t="s">
        <v>81</v>
      </c>
      <c r="E7" s="16" t="s">
        <v>130</v>
      </c>
      <c r="F7" s="17"/>
    </row>
    <row r="8" spans="1:16" s="4" customFormat="1" x14ac:dyDescent="0.45">
      <c r="A8" s="12" t="s">
        <v>149</v>
      </c>
      <c r="B8" s="13">
        <v>44349</v>
      </c>
      <c r="C8" s="14" t="s">
        <v>150</v>
      </c>
      <c r="D8" s="18" t="s">
        <v>81</v>
      </c>
      <c r="E8" s="16" t="s">
        <v>130</v>
      </c>
      <c r="F8" s="17"/>
    </row>
    <row r="9" spans="1:16" s="4" customFormat="1" ht="26.25" x14ac:dyDescent="0.45">
      <c r="A9" s="12" t="s">
        <v>151</v>
      </c>
      <c r="B9" s="13">
        <v>44371</v>
      </c>
      <c r="C9" s="19" t="s">
        <v>152</v>
      </c>
      <c r="D9" s="18" t="s">
        <v>81</v>
      </c>
      <c r="E9" s="16" t="s">
        <v>130</v>
      </c>
      <c r="F9" s="17" t="s">
        <v>156</v>
      </c>
    </row>
    <row r="10" spans="1:16" s="4" customFormat="1" ht="26.25" x14ac:dyDescent="0.45">
      <c r="A10" s="20" t="s">
        <v>154</v>
      </c>
      <c r="B10" s="21">
        <v>44393</v>
      </c>
      <c r="C10" s="22" t="s">
        <v>155</v>
      </c>
      <c r="D10" s="23" t="s">
        <v>81</v>
      </c>
      <c r="E10" s="24"/>
      <c r="F10" s="25"/>
    </row>
    <row r="11" spans="1:16" s="4" customFormat="1" x14ac:dyDescent="0.45">
      <c r="A11" s="20" t="s">
        <v>162</v>
      </c>
      <c r="B11" s="21">
        <v>44728</v>
      </c>
      <c r="C11" s="26" t="s">
        <v>163</v>
      </c>
      <c r="D11" s="23" t="s">
        <v>164</v>
      </c>
      <c r="E11" s="27" t="s">
        <v>165</v>
      </c>
      <c r="F11" s="25"/>
    </row>
    <row r="12" spans="1:16" s="4" customFormat="1" ht="14.65" thickBot="1" x14ac:dyDescent="0.5">
      <c r="A12" s="28"/>
      <c r="B12" s="29"/>
      <c r="C12" s="30"/>
      <c r="D12" s="31"/>
      <c r="E12" s="32"/>
      <c r="F12" s="33"/>
    </row>
  </sheetData>
  <conditionalFormatting sqref="I1:J2">
    <cfRule type="cellIs" dxfId="47" priority="3" operator="equal">
      <formula>"Not Applicable"</formula>
    </cfRule>
    <cfRule type="cellIs" dxfId="46" priority="4" operator="equal">
      <formula>"4 - Future Initiative (out of scope)"</formula>
    </cfRule>
    <cfRule type="cellIs" dxfId="45" priority="5" operator="equal">
      <formula>"3 - Desirable (Nice To Have)"</formula>
    </cfRule>
    <cfRule type="cellIs" dxfId="44" priority="6" operator="equal">
      <formula>"2 - Recommended (Best Practice)"</formula>
    </cfRule>
    <cfRule type="cellIs" dxfId="43" priority="7" operator="equal">
      <formula>"1 - Mandatory (Must Have)"</formula>
    </cfRule>
  </conditionalFormatting>
  <conditionalFormatting sqref="G1:G2">
    <cfRule type="cellIs" dxfId="42" priority="1" operator="equal">
      <formula>"Non-functional"</formula>
    </cfRule>
    <cfRule type="cellIs" dxfId="41" priority="2" operator="equal">
      <formula>"Functional"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>
      <selection activeCell="A3" sqref="A3"/>
    </sheetView>
  </sheetViews>
  <sheetFormatPr defaultRowHeight="14.25" x14ac:dyDescent="0.45"/>
  <cols>
    <col min="1" max="1" width="47.265625" bestFit="1" customWidth="1"/>
  </cols>
  <sheetData>
    <row r="1" spans="1:14" s="1" customFormat="1" ht="18" x14ac:dyDescent="0.45">
      <c r="A1" s="1" t="s">
        <v>0</v>
      </c>
      <c r="B1" s="2"/>
      <c r="C1" s="2"/>
      <c r="D1" s="2"/>
      <c r="E1" s="3"/>
      <c r="F1" s="2"/>
      <c r="G1" s="3"/>
      <c r="H1" s="3"/>
      <c r="I1" s="3"/>
      <c r="J1" s="2"/>
      <c r="K1" s="2"/>
      <c r="L1" s="2"/>
      <c r="M1" s="2"/>
      <c r="N1" s="2"/>
    </row>
    <row r="2" spans="1:14" s="1" customFormat="1" ht="18" x14ac:dyDescent="0.45">
      <c r="A2" s="1" t="s">
        <v>27</v>
      </c>
      <c r="B2" s="2"/>
      <c r="C2" s="2"/>
      <c r="D2" s="2"/>
      <c r="E2" s="3"/>
      <c r="F2" s="2"/>
      <c r="G2" s="3"/>
      <c r="H2" s="3"/>
      <c r="I2" s="3"/>
      <c r="J2" s="2"/>
      <c r="K2" s="2"/>
      <c r="L2" s="2"/>
      <c r="M2" s="2"/>
      <c r="N2" s="2"/>
    </row>
    <row r="4" spans="1:14" s="34" customFormat="1" x14ac:dyDescent="0.45">
      <c r="A4" s="34" t="s">
        <v>18</v>
      </c>
    </row>
    <row r="5" spans="1:14" x14ac:dyDescent="0.45">
      <c r="A5" t="s">
        <v>19</v>
      </c>
    </row>
    <row r="6" spans="1:14" x14ac:dyDescent="0.45">
      <c r="A6" t="s">
        <v>20</v>
      </c>
    </row>
    <row r="7" spans="1:14" x14ac:dyDescent="0.45">
      <c r="A7" t="s">
        <v>21</v>
      </c>
    </row>
    <row r="8" spans="1:14" x14ac:dyDescent="0.45">
      <c r="A8" t="s">
        <v>22</v>
      </c>
    </row>
    <row r="9" spans="1:14" x14ac:dyDescent="0.45">
      <c r="A9" t="s">
        <v>23</v>
      </c>
    </row>
  </sheetData>
  <conditionalFormatting sqref="G1:H2">
    <cfRule type="cellIs" dxfId="40" priority="3" operator="equal">
      <formula>"Not Applicable"</formula>
    </cfRule>
    <cfRule type="cellIs" dxfId="39" priority="4" operator="equal">
      <formula>"4 - Future Initiative (out of scope)"</formula>
    </cfRule>
    <cfRule type="cellIs" dxfId="38" priority="5" operator="equal">
      <formula>"3 - Desirable (Nice To Have)"</formula>
    </cfRule>
    <cfRule type="cellIs" dxfId="37" priority="6" operator="equal">
      <formula>"2 - Recommended (Best Practice)"</formula>
    </cfRule>
    <cfRule type="cellIs" dxfId="36" priority="7" operator="equal">
      <formula>"1 - Mandatory (Must Have)"</formula>
    </cfRule>
  </conditionalFormatting>
  <conditionalFormatting sqref="E1:E2">
    <cfRule type="cellIs" dxfId="35" priority="1" operator="equal">
      <formula>"Non-functional"</formula>
    </cfRule>
    <cfRule type="cellIs" dxfId="34" priority="2" operator="equal">
      <formula>"Functional"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9"/>
  <sheetViews>
    <sheetView topLeftCell="A4" zoomScaleNormal="100" workbookViewId="0">
      <pane xSplit="1" topLeftCell="B1" activePane="topRight" state="frozen"/>
      <selection pane="topRight" activeCell="D31" sqref="D31"/>
    </sheetView>
  </sheetViews>
  <sheetFormatPr defaultColWidth="9.19921875" defaultRowHeight="14.25" x14ac:dyDescent="0.45"/>
  <cols>
    <col min="1" max="1" width="24.9296875" style="5" customWidth="1"/>
    <col min="2" max="3" width="31.796875" style="5" customWidth="1"/>
    <col min="4" max="4" width="31.796875" style="36" customWidth="1"/>
    <col min="5" max="6" width="31.796875" style="5" customWidth="1"/>
    <col min="7" max="7" width="31.796875" style="40" customWidth="1"/>
    <col min="8" max="8" width="31.796875" style="42" customWidth="1"/>
    <col min="9" max="13" width="31.796875" style="5" customWidth="1"/>
    <col min="14" max="16384" width="9.19921875" style="5"/>
  </cols>
  <sheetData>
    <row r="1" spans="1:14" s="1" customFormat="1" ht="18" x14ac:dyDescent="0.45">
      <c r="A1" s="1" t="s">
        <v>7</v>
      </c>
      <c r="C1" s="3"/>
      <c r="D1" s="37"/>
      <c r="E1" s="3"/>
      <c r="F1" s="3"/>
      <c r="G1" s="39"/>
      <c r="H1" s="41"/>
    </row>
    <row r="2" spans="1:14" s="1" customFormat="1" ht="18" x14ac:dyDescent="0.45">
      <c r="A2" s="1" t="s">
        <v>132</v>
      </c>
      <c r="C2" s="3"/>
      <c r="D2" s="37"/>
      <c r="E2" s="3"/>
      <c r="F2" s="3"/>
      <c r="G2" s="39"/>
      <c r="H2" s="41"/>
    </row>
    <row r="3" spans="1:14" x14ac:dyDescent="0.45">
      <c r="A3" s="5" t="s">
        <v>127</v>
      </c>
      <c r="G3" s="47"/>
      <c r="H3" s="48"/>
    </row>
    <row r="4" spans="1:14" x14ac:dyDescent="0.45">
      <c r="A4" s="58" t="s">
        <v>98</v>
      </c>
      <c r="B4" s="36" t="s">
        <v>19</v>
      </c>
      <c r="C4" s="36" t="s">
        <v>22</v>
      </c>
      <c r="D4" s="36" t="s">
        <v>22</v>
      </c>
      <c r="E4" s="36" t="s">
        <v>22</v>
      </c>
      <c r="F4" s="36" t="s">
        <v>22</v>
      </c>
      <c r="G4" s="36" t="s">
        <v>22</v>
      </c>
      <c r="H4" s="36" t="s">
        <v>22</v>
      </c>
      <c r="I4" s="36" t="s">
        <v>22</v>
      </c>
      <c r="J4" s="36" t="s">
        <v>22</v>
      </c>
      <c r="K4" s="36" t="s">
        <v>22</v>
      </c>
      <c r="L4" s="36" t="s">
        <v>22</v>
      </c>
      <c r="M4" s="36"/>
      <c r="N4" s="36"/>
    </row>
    <row r="5" spans="1:14" x14ac:dyDescent="0.45">
      <c r="A5" s="2" t="s">
        <v>99</v>
      </c>
      <c r="B5" s="5" t="s">
        <v>140</v>
      </c>
      <c r="D5" s="5"/>
      <c r="G5" s="5"/>
      <c r="H5" s="5"/>
    </row>
    <row r="6" spans="1:14" ht="28.5" x14ac:dyDescent="0.45">
      <c r="A6" s="2" t="s">
        <v>100</v>
      </c>
      <c r="B6" s="5" t="s">
        <v>133</v>
      </c>
      <c r="C6" s="5" t="s">
        <v>86</v>
      </c>
      <c r="D6" s="5" t="s">
        <v>69</v>
      </c>
      <c r="E6" s="45" t="s">
        <v>112</v>
      </c>
      <c r="F6" s="45" t="s">
        <v>113</v>
      </c>
      <c r="G6" s="45" t="s">
        <v>114</v>
      </c>
      <c r="H6" s="5" t="s">
        <v>70</v>
      </c>
      <c r="I6" s="5" t="s">
        <v>91</v>
      </c>
      <c r="J6" s="5" t="s">
        <v>77</v>
      </c>
      <c r="K6" s="5" t="s">
        <v>90</v>
      </c>
      <c r="L6" s="5" t="s">
        <v>78</v>
      </c>
    </row>
    <row r="7" spans="1:14" x14ac:dyDescent="0.45">
      <c r="A7" s="66" t="s">
        <v>134</v>
      </c>
      <c r="B7" s="5" t="s">
        <v>153</v>
      </c>
      <c r="D7" s="5"/>
      <c r="E7" s="45"/>
      <c r="F7" s="45"/>
      <c r="G7" s="45"/>
      <c r="H7" s="5"/>
    </row>
    <row r="8" spans="1:14" x14ac:dyDescent="0.45">
      <c r="A8" s="2" t="s">
        <v>124</v>
      </c>
      <c r="D8" s="5"/>
      <c r="G8" s="5"/>
      <c r="H8" s="5"/>
    </row>
    <row r="9" spans="1:14" ht="71.25" x14ac:dyDescent="0.45">
      <c r="A9" s="2" t="s">
        <v>101</v>
      </c>
      <c r="B9" s="5" t="s">
        <v>145</v>
      </c>
      <c r="C9" s="5" t="s">
        <v>128</v>
      </c>
      <c r="D9" s="5" t="s">
        <v>72</v>
      </c>
      <c r="E9" s="5" t="s">
        <v>129</v>
      </c>
      <c r="F9" s="5" t="s">
        <v>119</v>
      </c>
      <c r="G9" s="5" t="s">
        <v>120</v>
      </c>
      <c r="H9" s="5" t="s">
        <v>74</v>
      </c>
      <c r="I9" s="44" t="s">
        <v>76</v>
      </c>
      <c r="J9" s="5" t="s">
        <v>79</v>
      </c>
      <c r="K9" s="5" t="s">
        <v>89</v>
      </c>
      <c r="L9" s="5" t="s">
        <v>80</v>
      </c>
    </row>
    <row r="10" spans="1:14" x14ac:dyDescent="0.45">
      <c r="A10" s="66" t="s">
        <v>135</v>
      </c>
      <c r="B10" s="5" t="s">
        <v>146</v>
      </c>
      <c r="D10" s="5"/>
      <c r="G10" s="5"/>
      <c r="H10" s="5"/>
      <c r="I10" s="44"/>
    </row>
    <row r="11" spans="1:14" x14ac:dyDescent="0.45">
      <c r="A11" s="66" t="s">
        <v>136</v>
      </c>
      <c r="B11" s="5" t="s">
        <v>147</v>
      </c>
      <c r="D11" s="5"/>
      <c r="G11" s="5"/>
      <c r="H11" s="5"/>
      <c r="I11" s="44"/>
    </row>
    <row r="12" spans="1:14" x14ac:dyDescent="0.45">
      <c r="A12" s="66" t="s">
        <v>137</v>
      </c>
      <c r="B12" s="5" t="s">
        <v>148</v>
      </c>
      <c r="D12" s="5"/>
      <c r="G12" s="5"/>
      <c r="H12" s="5"/>
      <c r="I12" s="44"/>
    </row>
    <row r="13" spans="1:14" x14ac:dyDescent="0.45">
      <c r="A13" s="66" t="s">
        <v>138</v>
      </c>
      <c r="B13" s="5" t="s">
        <v>139</v>
      </c>
      <c r="D13" s="5"/>
      <c r="G13" s="5"/>
      <c r="H13" s="5"/>
      <c r="I13" s="44"/>
    </row>
    <row r="14" spans="1:14" x14ac:dyDescent="0.45">
      <c r="A14" s="66" t="s">
        <v>141</v>
      </c>
      <c r="B14" s="59">
        <v>6.5</v>
      </c>
      <c r="D14" s="5"/>
      <c r="G14" s="5"/>
      <c r="H14" s="5"/>
      <c r="I14" s="44"/>
    </row>
    <row r="15" spans="1:14" x14ac:dyDescent="0.45">
      <c r="A15" s="66" t="s">
        <v>142</v>
      </c>
      <c r="B15" s="59">
        <v>7.5</v>
      </c>
      <c r="D15" s="5"/>
      <c r="G15" s="5"/>
      <c r="H15" s="5"/>
      <c r="I15" s="44"/>
    </row>
    <row r="16" spans="1:14" x14ac:dyDescent="0.45">
      <c r="A16" s="66" t="s">
        <v>143</v>
      </c>
      <c r="B16" s="59">
        <v>8.5</v>
      </c>
      <c r="D16" s="5"/>
      <c r="G16" s="5"/>
      <c r="H16" s="5"/>
      <c r="I16" s="44"/>
    </row>
    <row r="17" spans="1:14" ht="57" x14ac:dyDescent="0.45">
      <c r="A17" s="2" t="s">
        <v>118</v>
      </c>
      <c r="B17" s="63" t="s">
        <v>144</v>
      </c>
      <c r="C17" s="63" t="s">
        <v>92</v>
      </c>
      <c r="D17" s="63" t="s">
        <v>93</v>
      </c>
      <c r="E17" s="63" t="s">
        <v>121</v>
      </c>
      <c r="F17" s="63" t="s">
        <v>122</v>
      </c>
      <c r="G17" s="63" t="s">
        <v>123</v>
      </c>
      <c r="H17" s="63" t="s">
        <v>94</v>
      </c>
      <c r="I17" s="60"/>
      <c r="J17" s="63" t="s">
        <v>95</v>
      </c>
      <c r="K17" s="63" t="s">
        <v>97</v>
      </c>
      <c r="L17" s="63" t="s">
        <v>96</v>
      </c>
      <c r="M17" s="63"/>
      <c r="N17" s="63"/>
    </row>
    <row r="18" spans="1:14" x14ac:dyDescent="0.45">
      <c r="A18" s="2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</row>
    <row r="19" spans="1:14" x14ac:dyDescent="0.45">
      <c r="A19" s="2" t="s">
        <v>88</v>
      </c>
      <c r="B19" s="59"/>
      <c r="C19" s="59"/>
      <c r="D19" s="59"/>
      <c r="E19" s="59"/>
      <c r="F19" s="59"/>
      <c r="G19" s="59"/>
      <c r="H19" s="59"/>
      <c r="I19" s="60"/>
      <c r="J19" s="59"/>
      <c r="K19" s="59"/>
      <c r="L19" s="59"/>
      <c r="M19" s="59"/>
      <c r="N19" s="59"/>
    </row>
    <row r="20" spans="1:14" x14ac:dyDescent="0.45">
      <c r="A20" s="2" t="s">
        <v>102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</row>
    <row r="21" spans="1:14" x14ac:dyDescent="0.45">
      <c r="A21" s="2" t="s">
        <v>103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</row>
    <row r="22" spans="1:14" x14ac:dyDescent="0.45">
      <c r="A22" s="2" t="s">
        <v>104</v>
      </c>
      <c r="B22" s="65" t="s">
        <v>125</v>
      </c>
      <c r="C22" s="65" t="s">
        <v>71</v>
      </c>
      <c r="D22" s="65" t="s">
        <v>71</v>
      </c>
      <c r="E22" s="65" t="s">
        <v>109</v>
      </c>
      <c r="F22" s="65" t="s">
        <v>109</v>
      </c>
      <c r="G22" s="65" t="s">
        <v>109</v>
      </c>
      <c r="H22" s="65" t="s">
        <v>75</v>
      </c>
      <c r="I22" s="65" t="s">
        <v>71</v>
      </c>
      <c r="J22" s="65" t="s">
        <v>71</v>
      </c>
      <c r="K22" s="65" t="s">
        <v>75</v>
      </c>
      <c r="L22" s="65" t="s">
        <v>71</v>
      </c>
      <c r="M22" s="65"/>
      <c r="N22" s="65"/>
    </row>
    <row r="23" spans="1:14" x14ac:dyDescent="0.45">
      <c r="A23" s="2" t="s">
        <v>105</v>
      </c>
      <c r="B23" s="65"/>
      <c r="C23" s="65" t="s">
        <v>75</v>
      </c>
      <c r="D23" s="65"/>
      <c r="E23" s="45"/>
      <c r="F23" s="45"/>
      <c r="G23" s="45"/>
      <c r="H23" s="65"/>
      <c r="I23" s="65"/>
      <c r="J23" s="65"/>
      <c r="K23" s="65"/>
      <c r="L23" s="65"/>
      <c r="M23" s="65"/>
      <c r="N23" s="65"/>
    </row>
    <row r="24" spans="1:14" x14ac:dyDescent="0.45">
      <c r="A24" s="2" t="s">
        <v>73</v>
      </c>
      <c r="B24" s="62"/>
      <c r="C24" s="62"/>
      <c r="D24" s="62">
        <v>35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</row>
    <row r="25" spans="1:14" x14ac:dyDescent="0.45">
      <c r="A25" s="2" t="s">
        <v>106</v>
      </c>
      <c r="B25" s="62"/>
      <c r="C25" s="62"/>
      <c r="D25" s="62"/>
      <c r="E25" s="62"/>
      <c r="F25" s="62"/>
      <c r="G25" s="62"/>
      <c r="H25" s="62">
        <v>35</v>
      </c>
      <c r="I25" s="62"/>
      <c r="J25" s="62"/>
      <c r="K25" s="62"/>
      <c r="L25" s="62"/>
      <c r="M25" s="62"/>
      <c r="N25" s="62"/>
    </row>
    <row r="26" spans="1:14" x14ac:dyDescent="0.45">
      <c r="A26" s="2" t="s">
        <v>107</v>
      </c>
      <c r="B26" s="65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</row>
    <row r="27" spans="1:14" x14ac:dyDescent="0.45">
      <c r="A27" s="2" t="s">
        <v>108</v>
      </c>
      <c r="B27" s="62"/>
      <c r="C27" s="62"/>
      <c r="D27" s="62"/>
      <c r="E27" s="62"/>
      <c r="F27" s="62"/>
      <c r="G27" s="62"/>
      <c r="H27" s="62">
        <v>125</v>
      </c>
      <c r="I27" s="62"/>
      <c r="J27" s="62"/>
      <c r="K27" s="62"/>
      <c r="L27" s="62"/>
      <c r="M27" s="62"/>
      <c r="N27" s="62"/>
    </row>
    <row r="28" spans="1:14" ht="28.5" x14ac:dyDescent="0.45">
      <c r="A28" s="67" t="s">
        <v>158</v>
      </c>
      <c r="B28" s="5" t="s">
        <v>157</v>
      </c>
      <c r="C28" s="5" t="s">
        <v>160</v>
      </c>
      <c r="D28" s="5" t="s">
        <v>160</v>
      </c>
      <c r="E28" s="5" t="s">
        <v>160</v>
      </c>
      <c r="F28" s="5" t="s">
        <v>160</v>
      </c>
      <c r="G28" s="5" t="s">
        <v>160</v>
      </c>
      <c r="H28" s="5" t="s">
        <v>160</v>
      </c>
      <c r="I28" s="5" t="s">
        <v>160</v>
      </c>
      <c r="J28" s="5" t="s">
        <v>160</v>
      </c>
      <c r="K28" s="5" t="s">
        <v>160</v>
      </c>
      <c r="L28" s="5" t="s">
        <v>160</v>
      </c>
    </row>
    <row r="29" spans="1:14" ht="42.75" x14ac:dyDescent="0.45">
      <c r="A29" s="67" t="s">
        <v>159</v>
      </c>
      <c r="B29" s="5" t="s">
        <v>161</v>
      </c>
      <c r="C29" s="5" t="s">
        <v>160</v>
      </c>
      <c r="D29" s="5" t="s">
        <v>160</v>
      </c>
      <c r="E29" s="5" t="s">
        <v>160</v>
      </c>
      <c r="F29" s="5" t="s">
        <v>160</v>
      </c>
      <c r="G29" s="5" t="s">
        <v>160</v>
      </c>
      <c r="H29" s="5" t="s">
        <v>160</v>
      </c>
      <c r="I29" s="5" t="s">
        <v>160</v>
      </c>
      <c r="J29" s="5" t="s">
        <v>160</v>
      </c>
      <c r="K29" s="5" t="s">
        <v>160</v>
      </c>
      <c r="L29" s="5" t="s">
        <v>160</v>
      </c>
    </row>
  </sheetData>
  <conditionalFormatting sqref="D30 D31:E31 J30:K37 H23:L23 G24:L27 G5:L7 L30:L1048576 G9:L13 M1:XFD13 G19:L22 A1:A13 B1:B9 B11 C9:D13 C19:D27 C1:L4 C8:L8 C5:D7 C32:E37 C38:K1048576 B18:L18 C17:D17 M17:XFD1048576 G17:L17 A17:A1048576 C28:L29">
    <cfRule type="cellIs" dxfId="33" priority="38" operator="equal">
      <formula>"n/a"</formula>
    </cfRule>
  </conditionalFormatting>
  <conditionalFormatting sqref="D1:D3 D9:D13 D5:D7 A4 D19:D27 C4:L4 D17 D30:D1048576">
    <cfRule type="cellIs" dxfId="32" priority="39" operator="equal">
      <formula>"WIP (see comments)"</formula>
    </cfRule>
    <cfRule type="cellIs" dxfId="31" priority="40" operator="equal">
      <formula>"Removed"</formula>
    </cfRule>
    <cfRule type="cellIs" dxfId="30" priority="41" operator="equal">
      <formula>"Updated"</formula>
    </cfRule>
    <cfRule type="cellIs" dxfId="29" priority="42" operator="equal">
      <formula>"New"</formula>
    </cfRule>
  </conditionalFormatting>
  <conditionalFormatting sqref="F24:F27 F5:F7 F9:F13 F19:F22 F17">
    <cfRule type="cellIs" dxfId="28" priority="25" operator="equal">
      <formula>"n/a"</formula>
    </cfRule>
  </conditionalFormatting>
  <conditionalFormatting sqref="M4:N4">
    <cfRule type="cellIs" dxfId="27" priority="21" operator="equal">
      <formula>"WIP (see comments)"</formula>
    </cfRule>
    <cfRule type="cellIs" dxfId="26" priority="22" operator="equal">
      <formula>"Removed"</formula>
    </cfRule>
    <cfRule type="cellIs" dxfId="25" priority="23" operator="equal">
      <formula>"Updated"</formula>
    </cfRule>
    <cfRule type="cellIs" dxfId="24" priority="24" operator="equal">
      <formula>"New"</formula>
    </cfRule>
  </conditionalFormatting>
  <conditionalFormatting sqref="E24:E27 E5:E7 E9:E13 E19:E22 E17">
    <cfRule type="cellIs" dxfId="23" priority="15" operator="equal">
      <formula>"n/a"</formula>
    </cfRule>
  </conditionalFormatting>
  <conditionalFormatting sqref="B19:B1048576 B12:B13">
    <cfRule type="cellIs" dxfId="22" priority="10" operator="equal">
      <formula>"n/a"</formula>
    </cfRule>
  </conditionalFormatting>
  <conditionalFormatting sqref="B4">
    <cfRule type="cellIs" dxfId="21" priority="11" operator="equal">
      <formula>"WIP (see comments)"</formula>
    </cfRule>
    <cfRule type="cellIs" dxfId="20" priority="12" operator="equal">
      <formula>"Removed"</formula>
    </cfRule>
    <cfRule type="cellIs" dxfId="19" priority="13" operator="equal">
      <formula>"Updated"</formula>
    </cfRule>
    <cfRule type="cellIs" dxfId="18" priority="14" operator="equal">
      <formula>"New"</formula>
    </cfRule>
  </conditionalFormatting>
  <conditionalFormatting sqref="G14:XFD16 A14:A16 B14 C14:D16">
    <cfRule type="cellIs" dxfId="17" priority="5" operator="equal">
      <formula>"n/a"</formula>
    </cfRule>
  </conditionalFormatting>
  <conditionalFormatting sqref="D14:D16">
    <cfRule type="cellIs" dxfId="16" priority="6" operator="equal">
      <formula>"WIP (see comments)"</formula>
    </cfRule>
    <cfRule type="cellIs" dxfId="15" priority="7" operator="equal">
      <formula>"Removed"</formula>
    </cfRule>
    <cfRule type="cellIs" dxfId="14" priority="8" operator="equal">
      <formula>"Updated"</formula>
    </cfRule>
    <cfRule type="cellIs" dxfId="13" priority="9" operator="equal">
      <formula>"New"</formula>
    </cfRule>
  </conditionalFormatting>
  <conditionalFormatting sqref="F14:F16">
    <cfRule type="cellIs" dxfId="12" priority="4" operator="equal">
      <formula>"n/a"</formula>
    </cfRule>
  </conditionalFormatting>
  <conditionalFormatting sqref="E14:E16">
    <cfRule type="cellIs" dxfId="11" priority="3" operator="equal">
      <formula>"n/a"</formula>
    </cfRule>
  </conditionalFormatting>
  <conditionalFormatting sqref="B15:B16">
    <cfRule type="cellIs" dxfId="10" priority="2" operator="equal">
      <formula>"n/a"</formula>
    </cfRule>
  </conditionalFormatting>
  <conditionalFormatting sqref="B17">
    <cfRule type="cellIs" dxfId="9" priority="1" operator="equal">
      <formula>"n/a"</formula>
    </cfRule>
  </conditionalFormatting>
  <hyperlinks>
    <hyperlink ref="H17" r:id="rId1" xr:uid="{00000000-0004-0000-0200-000000000000}"/>
    <hyperlink ref="J17" r:id="rId2" xr:uid="{00000000-0004-0000-0200-000001000000}"/>
    <hyperlink ref="L17" r:id="rId3" xr:uid="{00000000-0004-0000-0200-000002000000}"/>
    <hyperlink ref="K17" r:id="rId4" xr:uid="{00000000-0004-0000-0200-000003000000}"/>
  </hyperlinks>
  <pageMargins left="0.7" right="0.7" top="0.75" bottom="0.75" header="0.3" footer="0.3"/>
  <pageSetup orientation="portrait" r:id="rId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'List Values'!$A$5:$A$10</xm:f>
          </x14:formula1>
          <xm:sqref>B4:N4 D30:D1048576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selection activeCell="A9" sqref="A9"/>
    </sheetView>
  </sheetViews>
  <sheetFormatPr defaultRowHeight="14.25" x14ac:dyDescent="0.45"/>
  <cols>
    <col min="1" max="4" width="31.796875" customWidth="1"/>
  </cols>
  <sheetData>
    <row r="1" spans="1:4" ht="28.5" x14ac:dyDescent="0.45">
      <c r="A1" s="54" t="s">
        <v>115</v>
      </c>
      <c r="B1" s="54" t="s">
        <v>116</v>
      </c>
      <c r="C1" s="64" t="s">
        <v>109</v>
      </c>
      <c r="D1" s="54" t="s">
        <v>117</v>
      </c>
    </row>
    <row r="2" spans="1:4" x14ac:dyDescent="0.45">
      <c r="A2" s="5" t="s">
        <v>86</v>
      </c>
      <c r="B2" s="5" t="s">
        <v>86</v>
      </c>
      <c r="C2" s="62" t="s">
        <v>112</v>
      </c>
      <c r="D2" s="5" t="s">
        <v>111</v>
      </c>
    </row>
    <row r="3" spans="1:4" x14ac:dyDescent="0.45">
      <c r="A3" s="5" t="s">
        <v>69</v>
      </c>
      <c r="B3" s="61" t="s">
        <v>110</v>
      </c>
      <c r="C3" s="5" t="s">
        <v>113</v>
      </c>
      <c r="D3" s="62" t="s">
        <v>112</v>
      </c>
    </row>
    <row r="4" spans="1:4" ht="28.5" x14ac:dyDescent="0.45">
      <c r="A4" s="5" t="s">
        <v>77</v>
      </c>
      <c r="B4" s="61" t="s">
        <v>91</v>
      </c>
      <c r="C4" s="5" t="s">
        <v>114</v>
      </c>
      <c r="D4" s="5" t="s">
        <v>113</v>
      </c>
    </row>
    <row r="5" spans="1:4" ht="28.5" x14ac:dyDescent="0.45">
      <c r="A5" s="5" t="s">
        <v>78</v>
      </c>
      <c r="B5" s="61" t="s">
        <v>90</v>
      </c>
      <c r="C5" s="42"/>
      <c r="D5" s="5" t="s">
        <v>114</v>
      </c>
    </row>
    <row r="6" spans="1:4" x14ac:dyDescent="0.45">
      <c r="A6" s="62" t="s">
        <v>112</v>
      </c>
      <c r="B6" s="40"/>
      <c r="C6" s="42"/>
      <c r="D6" s="5"/>
    </row>
    <row r="7" spans="1:4" x14ac:dyDescent="0.45">
      <c r="A7" s="5" t="s">
        <v>113</v>
      </c>
      <c r="B7" s="40"/>
      <c r="C7" s="42"/>
      <c r="D7" s="5"/>
    </row>
    <row r="8" spans="1:4" ht="28.5" x14ac:dyDescent="0.45">
      <c r="A8" s="5" t="s">
        <v>114</v>
      </c>
      <c r="B8" s="40"/>
      <c r="C8" s="42"/>
      <c r="D8" s="5"/>
    </row>
  </sheetData>
  <conditionalFormatting sqref="D3:D5">
    <cfRule type="cellIs" dxfId="8" priority="1" operator="equal">
      <formula>"n/a"</formula>
    </cfRule>
  </conditionalFormatting>
  <conditionalFormatting sqref="A1:D1 A5:C5 A7:D8 C6:D6 A6 A2:B4 D2">
    <cfRule type="cellIs" dxfId="7" priority="3" operator="equal">
      <formula>"n/a"</formula>
    </cfRule>
  </conditionalFormatting>
  <conditionalFormatting sqref="C2:C4">
    <cfRule type="cellIs" dxfId="6" priority="2" operator="equal">
      <formula>"n/a"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1"/>
  <sheetViews>
    <sheetView zoomScale="80" zoomScaleNormal="80" workbookViewId="0">
      <pane xSplit="2" ySplit="5" topLeftCell="C6" activePane="bottomRight" state="frozen"/>
      <selection pane="topRight" activeCell="C1" sqref="C1"/>
      <selection pane="bottomLeft" activeCell="A5" sqref="A5"/>
      <selection pane="bottomRight" activeCell="I10" sqref="I10"/>
    </sheetView>
  </sheetViews>
  <sheetFormatPr defaultColWidth="9.19921875" defaultRowHeight="14.25" x14ac:dyDescent="0.45"/>
  <cols>
    <col min="1" max="1" width="17.46484375" style="5" customWidth="1"/>
    <col min="2" max="2" width="27.265625" style="5" customWidth="1"/>
    <col min="3" max="3" width="19.46484375" style="36" customWidth="1"/>
    <col min="4" max="4" width="90.265625" style="5" customWidth="1"/>
    <col min="5" max="5" width="44.53125" style="5" customWidth="1"/>
    <col min="6" max="6" width="43.265625" style="5" customWidth="1"/>
    <col min="7" max="7" width="13.46484375" style="36" customWidth="1"/>
    <col min="8" max="8" width="14.53125" style="40" customWidth="1"/>
    <col min="9" max="9" width="12.796875" style="40" customWidth="1"/>
    <col min="10" max="10" width="11.46484375" style="36" customWidth="1"/>
    <col min="11" max="11" width="12.19921875" style="36" customWidth="1"/>
    <col min="12" max="12" width="11.265625" style="36" customWidth="1"/>
    <col min="13" max="13" width="11.46484375" style="36" customWidth="1"/>
    <col min="14" max="14" width="9.19921875" style="42"/>
    <col min="15" max="15" width="14.19921875" style="42" customWidth="1"/>
    <col min="16" max="16" width="9.19921875" style="42"/>
    <col min="17" max="17" width="15.265625" style="40" customWidth="1"/>
    <col min="18" max="18" width="12.19921875" style="42" customWidth="1"/>
    <col min="19" max="19" width="12.796875" style="36" customWidth="1"/>
    <col min="20" max="20" width="13" style="42" customWidth="1"/>
    <col min="21" max="21" width="11.53125" style="42" customWidth="1"/>
    <col min="22" max="16384" width="9.19921875" style="5"/>
  </cols>
  <sheetData>
    <row r="1" spans="1:21" s="1" customFormat="1" ht="18" x14ac:dyDescent="0.45">
      <c r="A1" s="1" t="s">
        <v>7</v>
      </c>
      <c r="B1" s="3"/>
      <c r="C1" s="37"/>
      <c r="D1" s="3"/>
      <c r="E1" s="3"/>
      <c r="F1" s="3"/>
      <c r="G1" s="38"/>
      <c r="H1" s="39"/>
      <c r="I1" s="39"/>
      <c r="J1" s="38"/>
      <c r="K1" s="38"/>
      <c r="L1" s="38"/>
      <c r="M1" s="38"/>
      <c r="N1" s="41"/>
      <c r="O1" s="41"/>
      <c r="P1" s="41"/>
      <c r="Q1" s="39"/>
      <c r="R1" s="41"/>
      <c r="S1" s="38"/>
      <c r="T1" s="41"/>
      <c r="U1" s="43"/>
    </row>
    <row r="2" spans="1:21" s="1" customFormat="1" ht="18" x14ac:dyDescent="0.45">
      <c r="A2" s="1" t="s">
        <v>28</v>
      </c>
      <c r="B2" s="3"/>
      <c r="C2" s="37"/>
      <c r="D2" s="3"/>
      <c r="E2" s="3"/>
      <c r="F2" s="3"/>
      <c r="G2" s="38"/>
      <c r="H2" s="39"/>
      <c r="I2" s="39"/>
      <c r="J2" s="38"/>
      <c r="K2" s="38"/>
      <c r="L2" s="38"/>
      <c r="M2" s="38"/>
      <c r="N2" s="41"/>
      <c r="O2" s="41"/>
      <c r="P2" s="41"/>
      <c r="Q2" s="39"/>
      <c r="R2" s="41"/>
      <c r="S2" s="38"/>
      <c r="T2" s="41"/>
      <c r="U2" s="43"/>
    </row>
    <row r="3" spans="1:21" x14ac:dyDescent="0.45">
      <c r="F3" s="45"/>
      <c r="G3" s="46"/>
      <c r="H3" s="47"/>
      <c r="I3" s="47"/>
      <c r="J3" s="46"/>
      <c r="K3" s="46"/>
      <c r="L3" s="46"/>
      <c r="M3" s="46"/>
      <c r="N3" s="48"/>
      <c r="O3" s="48"/>
      <c r="P3" s="48"/>
      <c r="Q3" s="47"/>
      <c r="R3" s="48"/>
      <c r="S3" s="46"/>
      <c r="T3" s="48"/>
      <c r="U3" s="48"/>
    </row>
    <row r="4" spans="1:21" s="54" customFormat="1" ht="15" customHeight="1" x14ac:dyDescent="0.45">
      <c r="C4" s="55"/>
      <c r="F4" s="56"/>
      <c r="G4" s="69" t="s">
        <v>59</v>
      </c>
      <c r="H4" s="69"/>
      <c r="I4" s="69"/>
      <c r="J4" s="69"/>
      <c r="K4" s="69"/>
      <c r="L4" s="69"/>
      <c r="M4" s="69"/>
      <c r="N4" s="68" t="s">
        <v>58</v>
      </c>
      <c r="O4" s="68"/>
      <c r="P4" s="68"/>
      <c r="Q4" s="68"/>
      <c r="R4" s="68"/>
      <c r="S4" s="68"/>
      <c r="T4" s="68"/>
      <c r="U4" s="68"/>
    </row>
    <row r="5" spans="1:21" s="2" customFormat="1" ht="28.5" x14ac:dyDescent="0.45">
      <c r="A5" s="2" t="s">
        <v>32</v>
      </c>
      <c r="B5" s="2" t="s">
        <v>8</v>
      </c>
      <c r="C5" s="35" t="s">
        <v>49</v>
      </c>
      <c r="D5" s="2" t="s">
        <v>57</v>
      </c>
      <c r="E5" s="2" t="s">
        <v>56</v>
      </c>
      <c r="F5" s="2" t="s">
        <v>10</v>
      </c>
      <c r="G5" s="52" t="s">
        <v>9</v>
      </c>
      <c r="H5" s="53" t="s">
        <v>11</v>
      </c>
      <c r="I5" s="53" t="s">
        <v>12</v>
      </c>
      <c r="J5" s="52" t="s">
        <v>29</v>
      </c>
      <c r="K5" s="52" t="s">
        <v>13</v>
      </c>
      <c r="L5" s="52" t="s">
        <v>14</v>
      </c>
      <c r="M5" s="57" t="s">
        <v>62</v>
      </c>
      <c r="N5" s="49" t="s">
        <v>16</v>
      </c>
      <c r="O5" s="49" t="s">
        <v>17</v>
      </c>
      <c r="P5" s="49" t="s">
        <v>30</v>
      </c>
      <c r="Q5" s="50" t="s">
        <v>60</v>
      </c>
      <c r="R5" s="49" t="s">
        <v>24</v>
      </c>
      <c r="S5" s="51" t="s">
        <v>15</v>
      </c>
      <c r="T5" s="49" t="s">
        <v>25</v>
      </c>
      <c r="U5" s="49" t="s">
        <v>26</v>
      </c>
    </row>
    <row r="6" spans="1:21" ht="120.75" customHeight="1" x14ac:dyDescent="0.45">
      <c r="A6" s="5" t="s">
        <v>31</v>
      </c>
      <c r="B6" s="5" t="s">
        <v>61</v>
      </c>
      <c r="C6" s="36" t="s">
        <v>19</v>
      </c>
      <c r="D6" s="5" t="s">
        <v>66</v>
      </c>
      <c r="E6" s="5" t="s">
        <v>51</v>
      </c>
      <c r="F6" s="5" t="s">
        <v>44</v>
      </c>
      <c r="G6" s="36" t="s">
        <v>33</v>
      </c>
      <c r="H6" s="40">
        <v>44135</v>
      </c>
      <c r="J6" s="36" t="b">
        <v>1</v>
      </c>
      <c r="K6" s="36">
        <v>18</v>
      </c>
      <c r="M6" s="36" t="s">
        <v>63</v>
      </c>
      <c r="N6" s="42">
        <v>14.25</v>
      </c>
      <c r="O6" s="42">
        <v>3000</v>
      </c>
      <c r="Q6" s="40">
        <v>44135</v>
      </c>
      <c r="R6" s="42">
        <v>0</v>
      </c>
      <c r="S6" s="36" t="s">
        <v>50</v>
      </c>
      <c r="T6" s="42">
        <v>1</v>
      </c>
      <c r="U6" s="42">
        <v>1.5</v>
      </c>
    </row>
    <row r="7" spans="1:21" ht="124.5" customHeight="1" x14ac:dyDescent="0.45">
      <c r="A7" s="5" t="s">
        <v>35</v>
      </c>
      <c r="B7" s="5" t="s">
        <v>34</v>
      </c>
      <c r="C7" s="36" t="s">
        <v>19</v>
      </c>
      <c r="D7" s="5" t="s">
        <v>64</v>
      </c>
      <c r="E7" s="5" t="s">
        <v>54</v>
      </c>
      <c r="F7" s="5" t="s">
        <v>47</v>
      </c>
      <c r="G7" s="36" t="s">
        <v>33</v>
      </c>
      <c r="H7" s="40">
        <v>44135</v>
      </c>
      <c r="J7" s="36" t="b">
        <v>1</v>
      </c>
      <c r="K7" s="36">
        <v>57</v>
      </c>
      <c r="M7" s="36" t="s">
        <v>63</v>
      </c>
      <c r="N7" s="42">
        <v>0</v>
      </c>
      <c r="O7" s="42">
        <v>0</v>
      </c>
      <c r="Q7" s="40">
        <v>44135</v>
      </c>
      <c r="R7" s="42">
        <v>0</v>
      </c>
      <c r="S7" s="36" t="s">
        <v>50</v>
      </c>
      <c r="T7" s="42">
        <v>1</v>
      </c>
      <c r="U7" s="42">
        <v>1.5</v>
      </c>
    </row>
    <row r="8" spans="1:21" ht="129.75" customHeight="1" x14ac:dyDescent="0.45">
      <c r="A8" s="5" t="s">
        <v>37</v>
      </c>
      <c r="B8" s="5" t="s">
        <v>36</v>
      </c>
      <c r="C8" s="36" t="s">
        <v>19</v>
      </c>
      <c r="D8" s="5" t="s">
        <v>67</v>
      </c>
      <c r="E8" s="5" t="s">
        <v>52</v>
      </c>
      <c r="F8" s="5" t="s">
        <v>45</v>
      </c>
      <c r="G8" s="36" t="s">
        <v>33</v>
      </c>
      <c r="H8" s="40">
        <v>44135</v>
      </c>
      <c r="J8" s="36" t="b">
        <v>1</v>
      </c>
      <c r="K8" s="36">
        <v>18</v>
      </c>
      <c r="M8" s="36" t="s">
        <v>63</v>
      </c>
      <c r="N8" s="42">
        <v>4</v>
      </c>
      <c r="O8" s="42">
        <v>1000</v>
      </c>
      <c r="Q8" s="40">
        <v>44135</v>
      </c>
      <c r="R8" s="42">
        <v>0.6</v>
      </c>
      <c r="S8" s="36">
        <v>15</v>
      </c>
      <c r="T8" s="42">
        <v>1</v>
      </c>
      <c r="U8" s="42">
        <v>1.5</v>
      </c>
    </row>
    <row r="9" spans="1:21" ht="138" customHeight="1" x14ac:dyDescent="0.45">
      <c r="A9" s="5" t="s">
        <v>39</v>
      </c>
      <c r="B9" s="5" t="s">
        <v>38</v>
      </c>
      <c r="C9" s="36" t="s">
        <v>19</v>
      </c>
      <c r="D9" s="5" t="s">
        <v>68</v>
      </c>
      <c r="E9" s="5" t="s">
        <v>53</v>
      </c>
      <c r="F9" s="5" t="s">
        <v>46</v>
      </c>
      <c r="G9" s="36" t="s">
        <v>33</v>
      </c>
      <c r="H9" s="40">
        <v>44135</v>
      </c>
      <c r="J9" s="36" t="b">
        <v>1</v>
      </c>
      <c r="K9" s="36">
        <v>18</v>
      </c>
      <c r="L9" s="36">
        <v>26</v>
      </c>
      <c r="M9" s="36" t="s">
        <v>43</v>
      </c>
      <c r="N9" s="42">
        <v>0</v>
      </c>
      <c r="O9" s="42">
        <v>0</v>
      </c>
      <c r="Q9" s="40">
        <v>44135</v>
      </c>
      <c r="R9" s="42">
        <v>0</v>
      </c>
      <c r="S9" s="36" t="s">
        <v>50</v>
      </c>
      <c r="T9" s="42">
        <v>1</v>
      </c>
      <c r="U9" s="42">
        <v>1.5</v>
      </c>
    </row>
    <row r="10" spans="1:21" ht="111" customHeight="1" x14ac:dyDescent="0.45">
      <c r="A10" s="5" t="s">
        <v>41</v>
      </c>
      <c r="B10" s="5" t="s">
        <v>40</v>
      </c>
      <c r="C10" s="36" t="s">
        <v>19</v>
      </c>
      <c r="D10" s="5" t="s">
        <v>65</v>
      </c>
      <c r="E10" s="5" t="s">
        <v>55</v>
      </c>
      <c r="F10" s="5" t="s">
        <v>48</v>
      </c>
      <c r="G10" s="36" t="s">
        <v>42</v>
      </c>
      <c r="H10" s="40">
        <v>44135</v>
      </c>
      <c r="J10" s="36" t="b">
        <v>1</v>
      </c>
      <c r="K10" s="36">
        <v>18</v>
      </c>
      <c r="M10" s="36" t="s">
        <v>63</v>
      </c>
      <c r="N10" s="42">
        <v>0</v>
      </c>
      <c r="O10" s="42">
        <v>0</v>
      </c>
      <c r="P10" s="42">
        <v>0.35</v>
      </c>
      <c r="Q10" s="40">
        <v>44135</v>
      </c>
      <c r="R10" s="42">
        <v>5</v>
      </c>
      <c r="S10" s="36">
        <v>0</v>
      </c>
      <c r="T10" s="42">
        <v>1</v>
      </c>
      <c r="U10" s="42">
        <v>1.5</v>
      </c>
    </row>
    <row r="11" spans="1:21" x14ac:dyDescent="0.45">
      <c r="D11" s="44"/>
      <c r="E11" s="44"/>
    </row>
  </sheetData>
  <mergeCells count="2">
    <mergeCell ref="N4:U4"/>
    <mergeCell ref="G4:M4"/>
  </mergeCells>
  <conditionalFormatting sqref="A1:L3 A4:G4 V4:XFD4 N4 N5:XFD1048576 N1:XFD3 A5:L1048576">
    <cfRule type="cellIs" dxfId="5" priority="2" operator="equal">
      <formula>"n/a"</formula>
    </cfRule>
  </conditionalFormatting>
  <conditionalFormatting sqref="C1:C1048576">
    <cfRule type="cellIs" dxfId="4" priority="3" operator="equal">
      <formula>"WIP (see comments)"</formula>
    </cfRule>
    <cfRule type="cellIs" dxfId="3" priority="4" operator="equal">
      <formula>"Removed"</formula>
    </cfRule>
    <cfRule type="cellIs" dxfId="2" priority="5" operator="equal">
      <formula>"Updated"</formula>
    </cfRule>
    <cfRule type="cellIs" dxfId="1" priority="6" operator="equal">
      <formula>"New"</formula>
    </cfRule>
  </conditionalFormatting>
  <conditionalFormatting sqref="M1:M3 M5:M1048576">
    <cfRule type="cellIs" dxfId="0" priority="1" operator="equal">
      <formula>"n/a"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'List Values'!$A$5:$A$10</xm:f>
          </x14:formula1>
          <xm:sqref>C6:C1048576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04653a278c57ed01c5d0ff54082cfac6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df684b34901e9e296bc0697146f16bc5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A7F019-0178-48C6-982E-8C97ED4DE885}">
  <ds:schemaRefs>
    <ds:schemaRef ds:uri="http://schemas.microsoft.com/office/2006/documentManagement/types"/>
    <ds:schemaRef ds:uri="http://purl.org/dc/dcmitype/"/>
    <ds:schemaRef ds:uri="http://purl.org/dc/terms/"/>
    <ds:schemaRef ds:uri="http://www.w3.org/XML/1998/namespace"/>
    <ds:schemaRef ds:uri="http://schemas.microsoft.com/sharepoint/v4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594CE54-3828-49CF-8243-C188ED570F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9B9D95-A9BA-465A-91C9-D1F88074413F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Revision Control</vt:lpstr>
      <vt:lpstr>List Values</vt:lpstr>
      <vt:lpstr>Product Spec-Business Cash Mgmt</vt:lpstr>
      <vt:lpstr>Categories</vt:lpstr>
      <vt:lpstr>Product Spec-Personal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2015-06-05T18:17:20Z</dcterms:created>
  <dcterms:modified xsi:type="dcterms:W3CDTF">2022-06-16T20:10:53Z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1023800</vt:r8>
  </property>
  <property fmtid="{D5CDD505-2E9C-101B-9397-08002B2CF9AE}" pid="4" name="URL">
    <vt:lpwstr/>
  </property>
  <property fmtid="{D5CDD505-2E9C-101B-9397-08002B2CF9AE}" pid="5" name="MediaServiceImageTags">
    <vt:lpwstr/>
  </property>
</Properties>
</file>