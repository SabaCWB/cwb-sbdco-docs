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filterPrivacy="1"/>
  <xr:revisionPtr revIDLastSave="0" documentId="8_{E51ED4B7-EAFD-4BE4-860E-D243CA831ACF}" xr6:coauthVersionLast="47" xr6:coauthVersionMax="47" xr10:uidLastSave="{00000000-0000-0000-0000-000000000000}"/>
  <bookViews>
    <workbookView minimized="1" xWindow="12465" yWindow="1365" windowWidth="28590" windowHeight="22575" tabRatio="830" firstSheet="11" activeTab="11" xr2:uid="{00000000-000D-0000-FFFF-FFFF00000000}"/>
  </bookViews>
  <sheets>
    <sheet name="Revision Control" sheetId="1" r:id="rId1"/>
    <sheet name="List Values" sheetId="3" r:id="rId2"/>
    <sheet name="DEPRECATED Welcome-Business" sheetId="62" state="hidden" r:id="rId3"/>
    <sheet name="OOS Question SB1" sheetId="53" state="hidden" r:id="rId4"/>
    <sheet name="OOS Question SB2" sheetId="59" state="hidden" r:id="rId5"/>
    <sheet name="DEPRECATED Account Details" sheetId="58" state="hidden" r:id="rId6"/>
    <sheet name="OOS Question SB3" sheetId="60" state="hidden" r:id="rId7"/>
    <sheet name="OOS Question SB4" sheetId="61" state="hidden" r:id="rId8"/>
    <sheet name="2. Account Selection" sheetId="54"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8" hidden="1">'2. Account Selection'!$A$6:$P$6</definedName>
    <definedName name="_xlnm._FilterDatabase" localSheetId="9" hidden="1">'3. Service Selection'!$A$6:$P$6</definedName>
    <definedName name="_xlnm._FilterDatabase" localSheetId="11" hidden="1">'4. Product Review'!$A$6:$P$6</definedName>
    <definedName name="_xlnm._FilterDatabase" localSheetId="5"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6" hidden="1">'OOS Question SB3'!$A$6:$P$6</definedName>
    <definedName name="_xlnm._FilterDatabase" localSheetId="7"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4" l="1"/>
  <c r="B10" i="54"/>
  <c r="B11" i="57" l="1"/>
  <c r="B13" i="63" l="1"/>
  <c r="B29" i="54" l="1"/>
  <c r="B31" i="57"/>
  <c r="B27" i="57"/>
  <c r="B19" i="57"/>
  <c r="B18" i="57"/>
  <c r="B17" i="57"/>
  <c r="B16" i="57"/>
  <c r="B15" i="57"/>
  <c r="B14" i="57"/>
  <c r="B23" i="63"/>
  <c r="B22" i="63"/>
  <c r="B21" i="63"/>
  <c r="B20" i="63"/>
  <c r="B15" i="63"/>
  <c r="B15" i="54" l="1"/>
  <c r="B16" i="63" l="1"/>
  <c r="B27" i="63"/>
  <c r="B26" i="63"/>
  <c r="B21" i="54" l="1"/>
  <c r="B20" i="54"/>
  <c r="B19" i="54"/>
  <c r="B18" i="54"/>
  <c r="B8" i="57" l="1"/>
  <c r="B7" i="57"/>
  <c r="B8" i="63"/>
  <c r="B7" i="63"/>
  <c r="B8" i="54"/>
  <c r="B7" i="54"/>
  <c r="B8" i="62"/>
  <c r="B15" i="62" l="1"/>
  <c r="B14" i="62"/>
  <c r="B29" i="63" l="1"/>
  <c r="B28" i="63"/>
  <c r="B33" i="57" l="1"/>
  <c r="B26" i="57"/>
  <c r="B22" i="57" l="1"/>
  <c r="B36" i="57"/>
  <c r="B12" i="63" l="1"/>
  <c r="B11" i="63"/>
  <c r="B15" i="58"/>
  <c r="B16" i="58" l="1"/>
  <c r="B27" i="54" l="1"/>
  <c r="B28" i="54"/>
  <c r="B26" i="54"/>
  <c r="B10" i="62" l="1"/>
  <c r="B13" i="62"/>
  <c r="B25" i="54" l="1"/>
  <c r="B32" i="57" l="1"/>
  <c r="B30" i="57"/>
  <c r="B29" i="57"/>
  <c r="B13" i="64"/>
  <c r="B12" i="64"/>
  <c r="B11" i="64"/>
  <c r="B10" i="64"/>
  <c r="B9" i="64"/>
  <c r="B8" i="64"/>
  <c r="B7" i="64"/>
  <c r="B24" i="63"/>
  <c r="B19" i="63"/>
  <c r="B18"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20" i="57"/>
  <c r="B21" i="57"/>
  <c r="B12" i="54"/>
  <c r="B11" i="54"/>
  <c r="B17" i="58"/>
  <c r="B14" i="58"/>
  <c r="B11" i="58"/>
  <c r="B10" i="58"/>
  <c r="B8" i="58"/>
  <c r="B7" i="58"/>
  <c r="B22" i="54"/>
  <c r="B14" i="54"/>
  <c r="B23" i="54"/>
  <c r="B16" i="54"/>
  <c r="B35" i="57"/>
  <c r="B25" i="57"/>
  <c r="B24" i="57"/>
  <c r="B8" i="55"/>
  <c r="B7" i="55"/>
  <c r="B17"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<sst xmlns="http://schemas.openxmlformats.org/spreadsheetml/2006/main" count="2878" uniqueCount="347">
  <si>
    <t>CWB Small Business Digital Client Onboarding (DCO)</t>
  </si>
  <si>
    <t>Product Selector Field Specification - Revision Control Form</t>
  </si>
  <si>
    <t>Document Version</t>
  </si>
  <si>
    <t>Revision Date</t>
  </si>
  <si>
    <t>Change Summary</t>
  </si>
  <si>
    <t>Updated by</t>
  </si>
  <si>
    <t>Reviewed By</t>
  </si>
  <si>
    <t>Approved by</t>
  </si>
  <si>
    <t>1.0</t>
  </si>
  <si>
    <t>Initial design created</t>
  </si>
  <si>
    <t>Steve Kelcher</t>
  </si>
  <si>
    <t>2.0</t>
  </si>
  <si>
    <t>Small business pages for SB DCO Sprint 8:
- 1. Welcome-Business (CWBSB-201)
- 2. Account Selection (CWBSB-200)
Accounts Product Specification (CWBSB-432)
Account Product Field Matrix (attached to Epic CWBSB-87)</t>
  </si>
  <si>
    <t>Ian Hicks</t>
  </si>
  <si>
    <t>Digital Team, incl. UX</t>
  </si>
  <si>
    <t>2.1</t>
  </si>
  <si>
    <t>Added 4. Product Review page (CWBSB-199) for inclusion in Sprint 8.</t>
  </si>
  <si>
    <t>2.2</t>
  </si>
  <si>
    <t>Initial spec for 3. Service Selection (complementary products) (CWBSB-202).
Deprecated account details/service details (redirecting to CWB website).</t>
  </si>
  <si>
    <t>2.3</t>
  </si>
  <si>
    <t>Updated 2. Account Selection, 3. Service Selection (complementary products) and 4. Product Review to reflect updated UX design for product cards (CWBSB-658).
Deprecated welcome page and guided question pages as OOS for R1 (CWBSB-659)</t>
  </si>
  <si>
    <t>2.4</t>
  </si>
  <si>
    <t>Incorporating text/verbiage updates (team reviewed).
Removed modal confirmation on 'Back' for 3. Service Selection (not required per Temenos dev CWBSB-658); updated 'Back' behaviour accordingly.
Updated +/- behaviour in 2. Account Selection per Sprint 10 demo (bug CWBSB-749)
3. Service Selection - product cards, validations modified to account for lending product attribution.
4. Product Review - layout, content and navigation logic modified to account for lending product.
2. Account Selection - updated 'Back' logic (added modal) to deal with technical limitation related to Codat.
Added story # for 'back' behaviour and final verbiage updates.
See green highlights for lending related updates.</t>
  </si>
  <si>
    <t>2.5</t>
  </si>
  <si>
    <t>Updated 2. Account selection page - added a new line of text
Updated 3. Service Selection page - updated the validation and business rules to include new-to-bank only.
Updated 4. Product review page - updated  visibility to New-to-bank only</t>
  </si>
  <si>
    <t>Manny Ine</t>
  </si>
  <si>
    <t>4.0</t>
  </si>
  <si>
    <t>Incremented version number to 4.0 for consistency with other authenticated path/existing client specs.
Corrected navigation for authenticated path in 2. Account Selection.
Corrected 4. Product Review visibility back to original state (always display).
Added story IDs for authenticated path (highlighted tabs)</t>
  </si>
  <si>
    <t>Candyse Watkinson
Kelvin Fernando
Ian Hicks</t>
  </si>
  <si>
    <t>4.1</t>
  </si>
  <si>
    <t>Updated text elements 4.17, 4.18 - should be dynamic based on selection of cash mgmt products/services (CWBSB-1687)</t>
  </si>
  <si>
    <t>Candyse Watkinson
Ian Hicks</t>
  </si>
  <si>
    <t>4.2</t>
  </si>
  <si>
    <t>CWBSB-1700 added missing validation for authenticated path in case no accounts selected.</t>
  </si>
  <si>
    <t>Motive Digital Client Onboarding (DCO)</t>
  </si>
  <si>
    <t>Funding Form Field Specification - List Values</t>
  </si>
  <si>
    <t>Field Type</t>
  </si>
  <si>
    <t>Field Status</t>
  </si>
  <si>
    <t>Button</t>
  </si>
  <si>
    <t>New</t>
  </si>
  <si>
    <t>Checkbox</t>
  </si>
  <si>
    <t>No Change</t>
  </si>
  <si>
    <t>Checkbox Group</t>
  </si>
  <si>
    <t>Removed</t>
  </si>
  <si>
    <t>Confirmation Message (modal)</t>
  </si>
  <si>
    <t>Updated</t>
  </si>
  <si>
    <t>Date Picker</t>
  </si>
  <si>
    <t>WIP (see comments)</t>
  </si>
  <si>
    <t>Drop-down list</t>
  </si>
  <si>
    <t>Dynamic Text</t>
  </si>
  <si>
    <t>Flinks Widget</t>
  </si>
  <si>
    <t>Google reCAPTCHA</t>
  </si>
  <si>
    <t>ID Scan Control</t>
  </si>
  <si>
    <t>Image</t>
  </si>
  <si>
    <t>Progress bar</t>
  </si>
  <si>
    <t>Quantity counter (- / +)</t>
  </si>
  <si>
    <t>Radio button</t>
  </si>
  <si>
    <t>Radio button tile</t>
  </si>
  <si>
    <t>Radio button group</t>
  </si>
  <si>
    <t>Section (footer)</t>
  </si>
  <si>
    <t>Section (heading)</t>
  </si>
  <si>
    <t>Section (sub-heading)</t>
  </si>
  <si>
    <t>Static text with hyperlink</t>
  </si>
  <si>
    <t>Static text</t>
  </si>
  <si>
    <t>Static text with parameter(s)</t>
  </si>
  <si>
    <t>Step name (above progress bar)</t>
  </si>
  <si>
    <t>Text field</t>
  </si>
  <si>
    <t>Text field (with suggestions)</t>
  </si>
  <si>
    <t>Timer</t>
  </si>
  <si>
    <t>Page Name</t>
  </si>
  <si>
    <t>Welcome Page (Business)</t>
  </si>
  <si>
    <t>DEPRECATED as guided journey OOS for R1 CWBSB-659</t>
  </si>
  <si>
    <t>Page ID</t>
  </si>
  <si>
    <t>Story ID</t>
  </si>
  <si>
    <t>CWBSB-201</t>
  </si>
  <si>
    <t>Visibility</t>
  </si>
  <si>
    <t>Only for business banking applicants</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</si>
  <si>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</si>
  <si>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</si>
  <si>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</si>
  <si>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</si>
  <si>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</si>
  <si>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</si>
  <si>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</si>
  <si>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</si>
  <si>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</si>
  <si>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</si>
  <si>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</si>
  <si>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</si>
  <si>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</si>
  <si>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</si>
  <si>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</si>
  <si>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</si>
  <si>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Our business accounts</t>
  </si>
  <si>
    <t>n/a</t>
  </si>
  <si>
    <t>Always</t>
  </si>
  <si>
    <t>Wording review - updated</t>
  </si>
  <si>
    <t>We're committed to finding the right banking solutions for your business</t>
  </si>
  <si>
    <t>We can assist with some recommendations - just select "Help me choose". If you prefer to browse our solutions yourself, select "Let me choose on my own".</t>
  </si>
  <si>
    <t>How would you like to choose your solutions today?</t>
  </si>
  <si>
    <t>Help me choose</t>
  </si>
  <si>
    <t>Text and image</t>
  </si>
  <si>
    <t>Render button with 'help me choose' image
On click…
Navigate to Question SB1 page (guided questionnaire)</t>
  </si>
  <si>
    <t>Refer to CWB design system for image asset</t>
  </si>
  <si>
    <t>Let me choose on my own</t>
  </si>
  <si>
    <t>Render button with 'let me choose on my own' image
On click...
Navigate to Account Selection page CWBSB-200 (self-selection)</t>
  </si>
  <si>
    <t>Next</t>
  </si>
  <si>
    <t xml:space="preserve">On click, navigate to </t>
  </si>
  <si>
    <t>Back</t>
  </si>
  <si>
    <t xml:space="preserve">On click, </t>
  </si>
  <si>
    <t>Question SB1 (Small Bus.)</t>
  </si>
  <si>
    <t>OOS for R1</t>
  </si>
  <si>
    <t>Q-SB1</t>
  </si>
  <si>
    <t>Helping you choose</t>
  </si>
  <si>
    <t>[Image asset - progress indicator]</t>
  </si>
  <si>
    <t>Display image "[TBD]"</t>
  </si>
  <si>
    <t>Kelvin to provide image asset for this field</t>
  </si>
  <si>
    <t>[Question text TBD]</t>
  </si>
  <si>
    <t>Radio button tile group for multiple choice answers (one clickable tile per answer, mutually exclusive selection)</t>
  </si>
  <si>
    <t>[Icon Image]
[Answer TBD]</t>
  </si>
  <si>
    <t>a) Selected
b) Unselected</t>
  </si>
  <si>
    <t>b) Unselected</t>
  </si>
  <si>
    <t>No</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</si>
  <si>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</si>
  <si>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</si>
  <si>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</si>
  <si>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r>
      <t xml:space="preserve">On click...
Navigate to </t>
    </r>
    <r>
      <rPr>
        <b/>
        <sz val="11"/>
        <color theme="1"/>
        <rFont val="Calibri"/>
        <family val="2"/>
        <scheme val="minor"/>
      </rPr>
      <t>Account Selection</t>
    </r>
    <r>
      <rPr>
        <sz val="11"/>
        <color theme="1"/>
        <rFont val="Calibri"/>
        <family val="2"/>
        <scheme val="minor"/>
      </rPr>
      <t xml:space="preserve"> page</t>
    </r>
  </si>
  <si>
    <t>Q-SB2</t>
  </si>
  <si>
    <t>Business banking transactions</t>
  </si>
  <si>
    <t>Account Details</t>
  </si>
  <si>
    <t>DEPRECATED</t>
  </si>
  <si>
    <t>2a</t>
  </si>
  <si>
    <t>CWBSB-204</t>
  </si>
  <si>
    <t>DEPRECATED - Learn More will link to Sitecore web pages</t>
  </si>
  <si>
    <t>&lt;&lt;Product_Catalogue.Product_Name&gt;&gt;</t>
  </si>
  <si>
    <t>Insert Product Name attribute from Product Catalogue</t>
  </si>
  <si>
    <t>&lt;&lt;Product_Catalogue.Tag_Line&gt;&gt;</t>
  </si>
  <si>
    <t>Insert Tag Line attribute from Product Catalogue</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</si>
  <si>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</si>
  <si>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Conditional-omit if Product Catalogue attribute "Interest Rate Tiered?" = FALSE</t>
  </si>
  <si>
    <t>Insert highest value from Product Catalogue "Interest Rate Tier" attributes (i.e. if 2 rate tiers, use Tier 2 Max, if 3 rate tiers use Tier 3 Max etc.)</t>
  </si>
  <si>
    <t xml:space="preserve">&lt;&lt;Product_Catalogue.Monthly_Free_Tranactions&gt;&gt; monthly free transactions </t>
  </si>
  <si>
    <t>Conditional-omit if null value for Product Catalogue attribute "Monthly Free Transactions"</t>
  </si>
  <si>
    <t>Omit if null value for Product Catalogue attribute "Monthly Free Transactions"</t>
  </si>
  <si>
    <t>Monthly fee $&lt;&lt;Product_Catalogue.Monthly_Fee&gt;&gt;</t>
  </si>
  <si>
    <t>Insert "0" if null value for Product Catalogue attribute "Monthly Fee"</t>
  </si>
  <si>
    <t>&lt;&lt;Product_Catalogue.Configurable_Feature_1&gt;&gt;</t>
  </si>
  <si>
    <t>Conditional-omit if null value for Product Catalogue attribute "Configurable feature 1"</t>
  </si>
  <si>
    <t>Omit if null value for Product Catalogue attribute "Configurable feature 1"</t>
  </si>
  <si>
    <t>&lt;&lt;Product_Catalogue.Configurable_Feature_2&gt;&gt;</t>
  </si>
  <si>
    <t>Conditional-omit if null value for Product Catalogue attribute "Configurable feature 2"</t>
  </si>
  <si>
    <t>Render as bullet point (see wireframe for UI treatment).
Omit if null value for Product Catalogue attribute "Configurable feature 2"</t>
  </si>
  <si>
    <t>&lt;&lt;Product_Catalogue.Description&gt;&gt;</t>
  </si>
  <si>
    <t>Insert Description attribute from Product Catalogue</t>
  </si>
  <si>
    <t>Close</t>
  </si>
  <si>
    <t>On click…
Close the overlay</t>
  </si>
  <si>
    <t>Q-SB3</t>
  </si>
  <si>
    <t>Who do you need to pay?</t>
  </si>
  <si>
    <t>Q-SB4</t>
  </si>
  <si>
    <t>How do you want to get paid?</t>
  </si>
  <si>
    <t>Account Selection</t>
  </si>
  <si>
    <t>Chequing &amp; Savings Product Catalogue XML CWBSB-432</t>
  </si>
  <si>
    <t>CWBSB-200</t>
  </si>
  <si>
    <t>Authenticated/existing client updates CWBSB-1575</t>
  </si>
  <si>
    <t>Text/verbiage updates CWBSB-938 (all product selection pages)</t>
  </si>
  <si>
    <t>Product card re-styling CWBSB-658</t>
  </si>
  <si>
    <t>Logic update for 'Back' modal CWBSB-934</t>
  </si>
  <si>
    <t>Choose your account(s)</t>
  </si>
  <si>
    <r>
      <t xml:space="preserve">Looking for a line of credit? </t>
    </r>
    <r>
      <rPr>
        <u/>
        <sz val="11"/>
        <color rgb="FF000000"/>
        <rFont val="Calibri"/>
        <family val="2"/>
        <scheme val="minor"/>
      </rPr>
      <t>Skip to complementary products</t>
    </r>
    <r>
      <rPr>
        <sz val="11"/>
        <color rgb="FF000000"/>
        <rFont val="Calibri"/>
        <family val="2"/>
        <scheme val="minor"/>
      </rPr>
      <t>.</t>
    </r>
  </si>
  <si>
    <t>Conditional - see business rules</t>
  </si>
  <si>
    <r>
      <t xml:space="preserve">For existing client flow only.
</t>
    </r>
    <r>
      <rPr>
        <u/>
        <sz val="11"/>
        <color theme="1"/>
        <rFont val="Calibri"/>
        <family val="2"/>
        <scheme val="minor"/>
      </rPr>
      <t xml:space="preserve">Skip to complementary products </t>
    </r>
    <r>
      <rPr>
        <sz val="11"/>
        <color theme="1"/>
        <rFont val="Calibri"/>
        <family val="2"/>
        <scheme val="minor"/>
      </rPr>
      <t xml:space="preserve">  link to complementary products (Service Selection) page.</t>
    </r>
  </si>
  <si>
    <t>Added for authenticated path</t>
  </si>
  <si>
    <t>Explore our accounts</t>
  </si>
  <si>
    <t>[Image - Chequing]</t>
  </si>
  <si>
    <t>Selected
Unselected</t>
  </si>
  <si>
    <t>Selected</t>
  </si>
  <si>
    <t>On click...
Filter the account cards below to show only chequing accounts.</t>
  </si>
  <si>
    <t>[Image - Savings]</t>
  </si>
  <si>
    <t>Unselected</t>
  </si>
  <si>
    <t>On click...
Filter the account cards below to show only savings accounts.</t>
  </si>
  <si>
    <t>Product cards: show one card composed of the following fields, for each account in the selected category (Chequing or Savings)</t>
  </si>
  <si>
    <t>(no caption)</t>
  </si>
  <si>
    <t>See business rules</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</si>
  <si>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</si>
  <si>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&lt;&lt;Product_Catalogue.Product_Image&gt;&gt;</t>
  </si>
  <si>
    <t>Render as bullet point (see CWB design kit for UI treatment).
Omit if null or zero (0) value for Product Catalogue attribute "Monthly Free Transactions"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</si>
  <si>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</si>
  <si>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</si>
  <si>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</si>
  <si>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View features</t>
  </si>
  <si>
    <t>On click, hyperlink to URL in Product Catalogue attribute "Product Link" (open in new tab/window)</t>
  </si>
  <si>
    <t>Quantity:</t>
  </si>
  <si>
    <t>Numerical values 1 through 3</t>
  </si>
  <si>
    <t>Reveal on page load for pre-selected accounts only;
ELSE reveal when card is selected using check control (2.7)</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</si>
  <si>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</si>
  <si>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End product cards section</t>
  </si>
  <si>
    <t>&lt;&lt;count&gt;&gt;</t>
  </si>
  <si>
    <t>Whole numbers</t>
  </si>
  <si>
    <t>Increment counter (sum) according to number of accounts selected from product cards above (including any pre-selected accounts on page entry).</t>
  </si>
  <si>
    <t>account(s) added</t>
  </si>
  <si>
    <r>
      <rPr>
        <b/>
        <sz val="11"/>
        <color theme="1"/>
        <rFont val="Calibri"/>
        <family val="2"/>
        <scheme val="minor"/>
      </rPr>
      <t>New-to-bank flow only:</t>
    </r>
    <r>
      <rPr>
        <sz val="11"/>
        <color theme="1"/>
        <rFont val="Calibri"/>
        <family val="2"/>
        <scheme val="minor"/>
      </rPr>
      <t xml:space="preserve">
Validate that at least 1 account has been selected</t>
    </r>
  </si>
  <si>
    <r>
      <rPr>
        <b/>
        <sz val="11"/>
        <color theme="1"/>
        <rFont val="Calibri"/>
        <family val="2"/>
        <scheme val="minor"/>
      </rPr>
      <t>New-to-bank flow only:</t>
    </r>
    <r>
      <rPr>
        <sz val="11"/>
        <color theme="1"/>
        <rFont val="Calibri"/>
        <family val="2"/>
        <scheme val="minor"/>
      </rPr>
      <t xml:space="preserve">
Please select at least one account.</t>
    </r>
  </si>
  <si>
    <r>
      <rPr>
        <b/>
        <sz val="11"/>
        <color theme="1"/>
        <rFont val="Calibri"/>
        <family val="2"/>
        <scheme val="minor"/>
      </rPr>
      <t>New-to-bank flow:</t>
    </r>
    <r>
      <rPr>
        <sz val="11"/>
        <color theme="1"/>
        <rFont val="Calibri"/>
        <family val="2"/>
        <scheme val="minor"/>
      </rPr>
      <t xml:space="preserve">
On click, validate that at least one account has been selected.
IF &gt;=1 account has been selected, navigate to Service (complementary products) Selection CWBSB-202
ELSE IF no account(s) selected, remain on page and display validation message.
</t>
    </r>
    <r>
      <rPr>
        <b/>
        <sz val="11"/>
        <color theme="1"/>
        <rFont val="Calibri"/>
        <family val="2"/>
        <scheme val="minor"/>
      </rPr>
      <t>Authenticated/existing client flow:</t>
    </r>
    <r>
      <rPr>
        <sz val="11"/>
        <color theme="1"/>
        <rFont val="Calibri"/>
        <family val="2"/>
        <scheme val="minor"/>
      </rPr>
      <t xml:space="preserve">
On click, navigate to Service Selection (complementary services) page.</t>
    </r>
  </si>
  <si>
    <t>Updated for authenticated path</t>
  </si>
  <si>
    <t>New-to-bank flow only.
Omit for authenticated/existing client flow.</t>
  </si>
  <si>
    <r>
      <rPr>
        <b/>
        <sz val="11"/>
        <color theme="1"/>
        <rFont val="Calibri"/>
        <family val="2"/>
        <scheme val="minor"/>
      </rPr>
      <t>New-to-bank flow only:</t>
    </r>
    <r>
      <rPr>
        <sz val="11"/>
        <color theme="1"/>
        <rFont val="Calibri"/>
        <family val="2"/>
        <scheme val="minor"/>
      </rPr>
      <t xml:space="preserve">
On click, display modal confirmation 2.20</t>
    </r>
  </si>
  <si>
    <r>
      <t xml:space="preserve">If you go back, you will lose the information you have already entered and you'll need to start again.
</t>
    </r>
    <r>
      <rPr>
        <u/>
        <sz val="11"/>
        <color theme="1"/>
        <rFont val="Calibri"/>
        <family val="2"/>
        <scheme val="minor"/>
      </rPr>
      <t>Continue my application
Start over</t>
    </r>
  </si>
  <si>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</si>
  <si>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Service Selection - lending and cash management (complementary) products/services</t>
  </si>
  <si>
    <t>CWBSB-592</t>
  </si>
  <si>
    <t>Authenticated/existing client updates CWBSB-1576</t>
  </si>
  <si>
    <t>Cash Management Products/Services XML CWBSB-433</t>
  </si>
  <si>
    <t>Choose your solutions(s)</t>
  </si>
  <si>
    <t>Show me:</t>
  </si>
  <si>
    <t>All solutions
Financing
Credit cards
Payment solutions
Receivable solutions</t>
  </si>
  <si>
    <t>Select the type of solutions you are interested in.</t>
  </si>
  <si>
    <t>All solutions</t>
  </si>
  <si>
    <t>This drop-down is used to filter products/solutions by category.
On page load, default "All solutions" and reveal all sections below.
On selection of filter values, show only the solutions in the category selected.</t>
  </si>
  <si>
    <t>Other than "All solutions", enumerated values are defined in Product Specification (Product Type attribute).
Updated order - team review 5/10.</t>
  </si>
  <si>
    <t>Repeatable cash management solutions section: repeat for each solution category displayed (controlled by filter 3.3)</t>
  </si>
  <si>
    <t>[image - &lt;&lt;solution category&gt;&gt;]</t>
  </si>
  <si>
    <t>Refer to CWB design system for image assets</t>
  </si>
  <si>
    <t>&lt;&lt;Product_Catalogue.Solution_Category&gt;&gt;</t>
  </si>
  <si>
    <t xml:space="preserve">If approved, your line of credit will be available right away. </t>
  </si>
  <si>
    <t>Display this text ONLY for solution category "Financing"</t>
  </si>
  <si>
    <t>Added - team review 5/7</t>
  </si>
  <si>
    <t>Card set for filtered products: show one card composed of the following fields, for each product in the category</t>
  </si>
  <si>
    <t>&lt;&lt;Product_Catalogue.Card_Banner&gt;&gt;</t>
  </si>
  <si>
    <t>This is a text banner element, with text applicable for the specific product - see CWB design kit for visual style. 
Omit if null value for Product Catalogue attribute "card banner".</t>
  </si>
  <si>
    <t>Added for use with lending product.</t>
  </si>
  <si>
    <t>This is a round check mark element in top left of product cards - see CWB design kit for visual style and selected/unselected card states.
Load all products/solutions (in unselected state) according to filter control (3.3).</t>
  </si>
  <si>
    <t>Image support is required but images will not be loaded for R1.</t>
  </si>
  <si>
    <t>&lt;&lt;Product_Catalogue.Configurable_Feature_3&gt;&gt;</t>
  </si>
  <si>
    <t>Render as bullet point (see CWB design kit for UI treatment).
Omit if null value for Product Catalogue attribute "Configurable feature 3"</t>
  </si>
  <si>
    <t>&lt;&lt;Product_Catalogue.Configurable_Feature_4&gt;&gt;</t>
  </si>
  <si>
    <t>Render as bullet point (see CWB design kit for UI treatment).
Omit if null value for Product Catalogue attribute "Configurable feature 4"</t>
  </si>
  <si>
    <t>Omit if no URL  &lt;&lt;product link&gt;&gt; attribute in product specification
ELSE, on click...
Open (in new tab/window) URL link in &lt;&lt;product link&gt;&gt; attribute for corresponding product.</t>
  </si>
  <si>
    <t>End card set</t>
  </si>
  <si>
    <t>Increment for each additional product/solution selected from product cards in this page.</t>
  </si>
  <si>
    <t>solution(s) added</t>
  </si>
  <si>
    <r>
      <rPr>
        <b/>
        <sz val="11"/>
        <color theme="1"/>
        <rFont val="Calibri"/>
        <family val="2"/>
        <scheme val="minor"/>
      </rPr>
      <t>New-to-bank flow:</t>
    </r>
    <r>
      <rPr>
        <sz val="11"/>
        <color theme="1"/>
        <rFont val="Calibri"/>
        <family val="2"/>
        <scheme val="minor"/>
      </rPr>
      <t xml:space="preserve">
IF lending (Line of Credit) product selected:
validate that at least one chequing account product selected to continue.
</t>
    </r>
    <r>
      <rPr>
        <b/>
        <sz val="11"/>
        <color theme="1"/>
        <rFont val="Calibri"/>
        <family val="2"/>
        <scheme val="minor"/>
      </rPr>
      <t>Authenticated/existing client flow:</t>
    </r>
    <r>
      <rPr>
        <sz val="11"/>
        <color theme="1"/>
        <rFont val="Calibri"/>
        <family val="2"/>
        <scheme val="minor"/>
      </rPr>
      <t xml:space="preserve">
IF lending (Line of Credit) product selected, validate that:
- business has at least one chequing account (type DMDC in Product Summary service results)
OR
- at least one chequing account product selected on previous page to continue;
ELSE if no LOC, validate that at least one account (chequing/savings) product has been added.</t>
    </r>
  </si>
  <si>
    <t>IF LOC in application:
A chequing account is required to apply for a Line of Credit. Please go back and select a chequing account.
ELSE (if no LOC):
Please select at least one account.</t>
  </si>
  <si>
    <r>
      <rPr>
        <b/>
        <sz val="11"/>
        <color theme="1"/>
        <rFont val="Calibri"/>
        <family val="2"/>
        <scheme val="minor"/>
      </rPr>
      <t>New-to-bank flow:</t>
    </r>
    <r>
      <rPr>
        <sz val="11"/>
        <color theme="1"/>
        <rFont val="Calibri"/>
        <family val="2"/>
        <scheme val="minor"/>
      </rPr>
      <t xml:space="preserve">
On click…
IF validation as described passes, navigate to Product Review (CWBSB-199)
ELSE IF validation fails, display validation message and remain on page.
</t>
    </r>
    <r>
      <rPr>
        <b/>
        <sz val="11"/>
        <color theme="1"/>
        <rFont val="Calibri"/>
        <family val="2"/>
        <scheme val="minor"/>
      </rPr>
      <t>Authenticated/existing client flow:</t>
    </r>
    <r>
      <rPr>
        <sz val="11"/>
        <color theme="1"/>
        <rFont val="Calibri"/>
        <family val="2"/>
        <scheme val="minor"/>
      </rPr>
      <t xml:space="preserve"> 
On click.
Run fraud check and
[If LOC involved, navigate to Business eConsent
Else if no LOC involved, but Auth Signers involved for one or more Demand Account(s), navigate to Verify Auth Signers
Else if no LOC involved and no Auth Signers involved, navigate to Business Disclosures]
ELSE IF validation fails, display validation message and remain on page.</t>
    </r>
  </si>
  <si>
    <t>Updated for authenticated path.
Added validation in case no account selected (CWBSB-1700)</t>
  </si>
  <si>
    <t>On click, navigate to Account Selection page (CWBSB-200)
Note: selections will be retained.</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</si>
  <si>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</si>
  <si>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</si>
  <si>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Confirmed in product card re-styling story CWBSB-658 that modal is not needed: selections are not lost on "back" (Lucy Liu 3/23)</t>
  </si>
  <si>
    <t>Service Details (cash management products/services)</t>
  </si>
  <si>
    <t>3a</t>
  </si>
  <si>
    <t>CWBSB-511</t>
  </si>
  <si>
    <t>[Product attribute 1 - TBD]</t>
  </si>
  <si>
    <t>[Product attribute 2 - TBD]</t>
  </si>
  <si>
    <t>[Product attribute N - TBD]</t>
  </si>
  <si>
    <t>Product Review (Summary)</t>
  </si>
  <si>
    <t>CWBSB-199</t>
  </si>
  <si>
    <t>What you've selected</t>
  </si>
  <si>
    <t>Product card set for selected account(s) AND lending product, if applicable. Show one card composed of the following fields, for each account and lending product (if applicable) selected</t>
  </si>
  <si>
    <t>Chequing/savings products only: not applicable for lending product.
Render as bullet point (see CWB design kit for UI treatment).
Omit if null or zero (0) value for Product Catalogue attribute "Monthly Free Transactions"</t>
  </si>
  <si>
    <t>Chequing/savings products only: not applicable for lending product.
Render as bullet point (see CWB design kit for UI treatment).
Insert "0" if null value for Product Catalogue attribute "Monthly Fee"</t>
  </si>
  <si>
    <t>Quantity: &lt;&lt;number&gt;&gt;</t>
  </si>
  <si>
    <t>Account (chequing/savings):
Insert number of product instances previously selected in &lt;&lt;number&gt;&gt; field.
Lending product:
Value will always be 1.</t>
  </si>
  <si>
    <t>Account (chequing/savings) products:
Quantity will be based on selection in Account Selection page (CWBSB-200).
Lending product:
Quantity will always be 1.
Quantity is static/non-editable in this page.</t>
  </si>
  <si>
    <t>Remove</t>
  </si>
  <si>
    <t>On click...
Display modal confirmation message 4.14</t>
  </si>
  <si>
    <r>
      <t xml:space="preserve">Remove &lt;&lt;product name&gt;&gt;?
</t>
    </r>
    <r>
      <rPr>
        <u/>
        <sz val="11"/>
        <color theme="1"/>
        <rFont val="Calibri"/>
        <family val="2"/>
        <scheme val="minor"/>
      </rPr>
      <t>Yes, remove</t>
    </r>
    <r>
      <rPr>
        <sz val="11"/>
        <color theme="1"/>
        <rFont val="Calibri"/>
        <family val="2"/>
        <scheme val="minor"/>
      </rPr>
      <t xml:space="preserve">  </t>
    </r>
    <r>
      <rPr>
        <u/>
        <sz val="11"/>
        <color theme="1"/>
        <rFont val="Calibri"/>
        <family val="2"/>
        <scheme val="minor"/>
      </rPr>
      <t>No, go back</t>
    </r>
    <r>
      <rPr>
        <sz val="11"/>
        <color theme="1"/>
        <rFont val="Calibri"/>
        <family val="2"/>
        <scheme val="minor"/>
      </rPr>
      <t xml:space="preserve"> </t>
    </r>
  </si>
  <si>
    <t>Display modal message only if 'Remove' link is clicked</t>
  </si>
  <si>
    <t>Insert &lt;&lt;product name&gt;&gt; attribute where indicated.
IF selection = 'No, go back', close modal and remain on page.
ELSE IF selection = 'Yes, remove', remove the product and corresponding tile from the page, close the modal and reload the page</t>
  </si>
  <si>
    <t>End product card set</t>
  </si>
  <si>
    <t>Total monthly fixed fees: $&lt;&lt;fee total&gt;&gt;</t>
  </si>
  <si>
    <t>&lt;&lt;fee total&gt;&gt; should be calculated as the sum of all monthly fees (&lt;&lt;Product_Catalogue.Monthly_Fee&gt;&gt;) of the selected product instances</t>
  </si>
  <si>
    <t>* Additional transaction fees may apply</t>
  </si>
  <si>
    <t>You indicated your interest in these solutions</t>
  </si>
  <si>
    <t>Display only if one or more cash management products/services selected in previous (Service Selection) page
ELSE omit this element.</t>
  </si>
  <si>
    <t>Updated: should be dynamic based on whether any cash management products/services selected (CWBSB-1687)</t>
  </si>
  <si>
    <t>Our support team will contact you to discuss your needs and get you set up.</t>
  </si>
  <si>
    <t>Card set for other selected complementary products/services</t>
  </si>
  <si>
    <t>Only if additional product/service selected</t>
  </si>
  <si>
    <t>Quantity: 1</t>
  </si>
  <si>
    <t>Quantity for each complementary product/service will always be 1. This element is static/non-editable.</t>
  </si>
  <si>
    <t>On click...
Display modal confirmation message 4.23</t>
  </si>
  <si>
    <t xml:space="preserve">IF NO lending product selected
- must be at least one chequing OR savings account product selected to continue.
ELSE IF lending product selected
- must be at least one chequing account product selected to continue.
</t>
  </si>
  <si>
    <t>IF NO lending product selected:
You must select at least one chequing or savings account.
ELSE IF lending product selected:
A chequing account is required to apply for a Line of Credit. Please go back and select a chequing account.</t>
  </si>
  <si>
    <t xml:space="preserve">
On click…
IF validation as described passes, navigate to Business eConsent (CWBSB-19)
ELSE IF validation fails, display appropriate validation message and remain on page.
</t>
  </si>
  <si>
    <t>On click...
Navigate back to Service Selection (CWBSB-592)</t>
  </si>
  <si>
    <t>Welcome Page</t>
  </si>
  <si>
    <t>New page pending approval</t>
  </si>
  <si>
    <t>1a</t>
  </si>
  <si>
    <t>Only for personal banking applicants (not for small business)</t>
  </si>
  <si>
    <t>Welcome to CWB Personal Accounts</t>
  </si>
  <si>
    <t>We're committed to finding the right account for you</t>
  </si>
  <si>
    <t>Let's start with your name.  How would you like us to refer to you?</t>
  </si>
  <si>
    <t>Your first name (optional)</t>
  </si>
  <si>
    <t>Alphanumeric (plus special chars)</t>
  </si>
  <si>
    <t>[Blank value]</t>
  </si>
  <si>
    <t>Permit blank values, all alphanumeric characters, plus the following:
‘ ( ) + , - . / : ? &amp;</t>
  </si>
  <si>
    <t>Please provide a valid first name</t>
  </si>
  <si>
    <r>
      <t xml:space="preserve">On click…
Navigate to </t>
    </r>
    <r>
      <rPr>
        <b/>
        <sz val="11"/>
        <color theme="1"/>
        <rFont val="Calibri"/>
        <family val="2"/>
        <scheme val="minor"/>
      </rPr>
      <t>Question P1</t>
    </r>
    <r>
      <rPr>
        <sz val="11"/>
        <color theme="1"/>
        <rFont val="Calibri"/>
        <family val="2"/>
        <scheme val="minor"/>
      </rPr>
      <t xml:space="preserve"> page</t>
    </r>
  </si>
  <si>
    <t>Question P1 (Personal)</t>
  </si>
  <si>
    <t>Q-P1</t>
  </si>
  <si>
    <t>Only for personal banking applicants who have opted for guided product selection</t>
  </si>
  <si>
    <t>What do you want to do with your money?</t>
  </si>
  <si>
    <t>[Icon Image]
I want to save</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</si>
  <si>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</si>
  <si>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</si>
  <si>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</si>
  <si>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</si>
  <si>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Question P2 (Personal)</t>
  </si>
  <si>
    <t>Q-P2</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</si>
  <si>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</si>
  <si>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</si>
  <si>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</si>
  <si>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</si>
  <si>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</si>
  <si>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</si>
  <si>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</si>
  <si>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</si>
  <si>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</si>
  <si>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</si>
  <si>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</si>
  <si>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</si>
  <si>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</si>
  <si>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</si>
  <si>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Name</t>
  </si>
  <si>
    <t>Overlay P3a (under age)</t>
  </si>
  <si>
    <t>New modal overlay pending approval</t>
  </si>
  <si>
    <t>P3a</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</si>
  <si>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</si>
  <si>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</si>
  <si>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t>Okay</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</si>
  <si>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</si>
  <si>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t>Question P4 (Personal)</t>
  </si>
  <si>
    <t>Q-P4</t>
  </si>
  <si>
    <t>What is the lowest balance you can comfortably keep in your account to avoid fees?</t>
  </si>
  <si>
    <t>[Icon Image]
Less than $1,000</t>
  </si>
  <si>
    <t>[Icon Image]
Between $1,000 and $2,999</t>
  </si>
  <si>
    <t>[Icon Image]
$3,000 or more</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</si>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</sst>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1"/>
      <color theme="1"/>
      <name val="Calibri"/>
      <family val="2"/>
      <scheme val="minor"/>
    </font>
    <font>
      <sz val="8"/>
      <name val="Calibri"/>
      <family val="2"/>
      <scheme val="minor"/>
    </font>
    <font>
      <sz val="11"/>
      <color rgb="FF000000"/>
      <name val="Calibri"/>
      <family val="2"/>
      <scheme val="minor"/>
    </font>
    <font>
      <u/>
      <sz val="11"/>
      <color rgb="FF00000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rgb="FFFFC000"/>
        <bgColor indexed="64"/>
      </patternFill>
    </fill>
  </fills>
  <borders count="13">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medium">
        <color auto="1"/>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1">
    <xf numFmtId="0" fontId="0" fillId="0" borderId="0"/>
  </cellStyleXfs>
  <cellXfs count="51">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7" xfId="0" applyFont="1" applyFill="1" applyBorder="1" applyAlignment="1">
      <alignment vertical="center" wrapText="1"/>
    </xf>
    <xf numFmtId="0" fontId="6" fillId="0" borderId="0" xfId="0" applyFont="1" applyAlignment="1">
      <alignment horizontal="center" vertical="center"/>
    </xf>
    <xf numFmtId="0" fontId="1" fillId="4" borderId="7"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7" fillId="5" borderId="0" xfId="0" applyFont="1" applyFill="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3" borderId="8" xfId="0" applyFont="1" applyFill="1" applyBorder="1" applyAlignment="1">
      <alignment horizontal="center" vertical="center"/>
    </xf>
    <xf numFmtId="0" fontId="0" fillId="0" borderId="9" xfId="0" applyBorder="1" applyAlignment="1">
      <alignment horizontal="center" vertical="center" wrapText="1"/>
    </xf>
    <xf numFmtId="0" fontId="4" fillId="0" borderId="0" xfId="0" applyFont="1" applyAlignment="1">
      <alignment vertical="center" wrapText="1"/>
    </xf>
    <xf numFmtId="0" fontId="0" fillId="6" borderId="0" xfId="0" applyFill="1" applyAlignment="1">
      <alignment vertical="center" wrapText="1"/>
    </xf>
    <xf numFmtId="0" fontId="6" fillId="0" borderId="0" xfId="0" applyFont="1" applyAlignment="1">
      <alignment horizontal="left" vertical="center"/>
    </xf>
    <xf numFmtId="0" fontId="0" fillId="0" borderId="0" xfId="0" applyAlignment="1">
      <alignment horizontal="left" vertical="center" wrapText="1"/>
    </xf>
    <xf numFmtId="0" fontId="5" fillId="0" borderId="0" xfId="0" applyFont="1" applyAlignment="1">
      <alignment horizontal="left" vertical="center"/>
    </xf>
    <xf numFmtId="0" fontId="7" fillId="5" borderId="0" xfId="0" applyFont="1" applyFill="1" applyAlignment="1">
      <alignment vertical="center"/>
    </xf>
    <xf numFmtId="0" fontId="10" fillId="0" borderId="0" xfId="0" applyFont="1" applyAlignment="1">
      <alignment vertical="center" wrapText="1"/>
    </xf>
    <xf numFmtId="0" fontId="7" fillId="0" borderId="0" xfId="0" applyFont="1" applyAlignment="1">
      <alignment vertical="center" wrapText="1"/>
    </xf>
    <xf numFmtId="0" fontId="12" fillId="0" borderId="0" xfId="0" applyFont="1" applyAlignment="1">
      <alignment vertical="center"/>
    </xf>
    <xf numFmtId="0" fontId="3" fillId="0" borderId="5" xfId="0" applyFon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4" fillId="7" borderId="0" xfId="0" applyFont="1" applyFill="1" applyAlignment="1">
      <alignment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xf>
    <xf numFmtId="0" fontId="7" fillId="5" borderId="0" xfId="0" applyFont="1" applyFill="1" applyAlignment="1">
      <alignment horizontal="left" vertical="center" wrapText="1"/>
    </xf>
  </cellXfs>
  <cellStyles count="1">
    <cellStyle name="Normal" xfId="0" builtinId="0"/>
  </cellStyles>
  <dxfs count="265">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5" tint="0.59996337778862885"/>
        </patternFill>
      </fill>
    </dxf>
    <dxf>
      <font>
        <color theme="0"/>
      </font>
      <fill>
        <patternFill>
          <bgColor theme="1" tint="0.34998626667073579"/>
        </patternFill>
      </fill>
    </dxf>
    <dxf>
      <fill>
        <patternFill>
          <bgColor theme="7" tint="0.3999450666829432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font>
      <fill>
        <patternFill>
          <bgColor theme="1" tint="0.34998626667073579"/>
        </patternFill>
      </fill>
    </dxf>
    <dxf>
      <fill>
        <patternFill>
          <bgColor theme="7" tint="0.39994506668294322"/>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34998626667073579"/>
      </font>
    </dxf>
    <dxf>
      <fill>
        <patternFill>
          <bgColor theme="5" tint="0.59996337778862885"/>
        </patternFill>
      </fill>
    </dxf>
    <dxf>
      <fill>
        <patternFill>
          <bgColor theme="7" tint="0.39994506668294322"/>
        </patternFill>
      </fill>
    </dxf>
    <dxf>
      <fill>
        <patternFill>
          <bgColor theme="9" tint="0.59996337778862885"/>
        </patternFill>
      </fill>
    </dxf>
    <dxf>
      <font>
        <color theme="0"/>
      </font>
      <fill>
        <patternFill>
          <bgColor theme="1" tint="0.34998626667073579"/>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zoomScaleNormal="100" workbookViewId="0">
      <pane ySplit="5" topLeftCell="A12" activePane="bottomLeft" state="frozen"/>
      <selection pane="bottomLeft" activeCell="A17" sqref="A17"/>
    </sheetView>
  </sheetViews>
  <sheetFormatPr defaultRowHeight="15"/>
  <cols>
    <col min="1" max="1" width="19.85546875" customWidth="1"/>
    <col min="2" max="2" width="18.7109375" bestFit="1" customWidth="1"/>
    <col min="3" max="3" width="52.28515625" customWidth="1"/>
    <col min="4" max="6" width="21.5703125" customWidth="1"/>
    <col min="7" max="7" width="20.140625" customWidth="1"/>
  </cols>
  <sheetData>
    <row r="1" spans="1:16" s="1" customFormat="1" ht="18.75">
      <c r="A1" s="1" t="s">
        <v>0</v>
      </c>
      <c r="B1" s="2"/>
      <c r="C1" s="2"/>
      <c r="D1" s="2"/>
      <c r="E1" s="2"/>
      <c r="F1" s="2"/>
      <c r="G1" s="3"/>
      <c r="H1" s="2"/>
      <c r="I1" s="3"/>
      <c r="J1" s="3"/>
      <c r="K1" s="3"/>
      <c r="L1" s="2"/>
      <c r="M1" s="2"/>
      <c r="N1" s="2"/>
      <c r="O1" s="2"/>
      <c r="P1" s="2"/>
    </row>
    <row r="2" spans="1:16" s="1" customFormat="1" ht="18.75">
      <c r="A2" s="1" t="s">
        <v>1</v>
      </c>
      <c r="B2" s="2"/>
      <c r="C2" s="2"/>
      <c r="D2" s="2"/>
      <c r="E2" s="2"/>
      <c r="F2" s="2"/>
      <c r="G2" s="3"/>
      <c r="H2" s="2"/>
      <c r="I2" s="3"/>
      <c r="J2" s="3"/>
      <c r="K2" s="3"/>
      <c r="L2" s="2"/>
      <c r="M2" s="2"/>
      <c r="N2" s="2"/>
      <c r="O2" s="2"/>
      <c r="P2" s="2"/>
    </row>
    <row r="3" spans="1:16" s="4" customFormat="1">
      <c r="C3" s="5"/>
    </row>
    <row r="4" spans="1:16" ht="15.75" thickBot="1"/>
    <row r="5" spans="1:16" s="10" customFormat="1" ht="15.75" thickBot="1">
      <c r="A5" s="6" t="s">
        <v>2</v>
      </c>
      <c r="B5" s="7" t="s">
        <v>3</v>
      </c>
      <c r="C5" s="8" t="s">
        <v>4</v>
      </c>
      <c r="D5" s="7" t="s">
        <v>5</v>
      </c>
      <c r="E5" s="29" t="s">
        <v>6</v>
      </c>
      <c r="F5" s="9" t="s">
        <v>7</v>
      </c>
    </row>
    <row r="6" spans="1:16" s="4" customFormat="1">
      <c r="A6" s="11" t="s">
        <v>8</v>
      </c>
      <c r="B6" s="12">
        <v>44054</v>
      </c>
      <c r="C6" s="13" t="s">
        <v>9</v>
      </c>
      <c r="D6" s="14" t="s">
        <v>10</v>
      </c>
      <c r="E6" s="30"/>
      <c r="F6" s="25"/>
    </row>
    <row r="7" spans="1:16" s="4" customFormat="1" ht="63.75">
      <c r="A7" s="11" t="s">
        <v>11</v>
      </c>
      <c r="B7" s="12">
        <v>44244</v>
      </c>
      <c r="C7" s="13" t="s">
        <v>12</v>
      </c>
      <c r="D7" s="14" t="s">
        <v>13</v>
      </c>
      <c r="E7" s="30" t="s">
        <v>14</v>
      </c>
      <c r="F7" s="25"/>
    </row>
    <row r="8" spans="1:16" s="4" customFormat="1" ht="25.5">
      <c r="A8" s="11" t="s">
        <v>15</v>
      </c>
      <c r="B8" s="12">
        <v>44245</v>
      </c>
      <c r="C8" s="13" t="s">
        <v>16</v>
      </c>
      <c r="D8" s="14" t="s">
        <v>13</v>
      </c>
      <c r="E8" s="30" t="s">
        <v>14</v>
      </c>
      <c r="F8" s="25"/>
    </row>
    <row r="9" spans="1:16" s="4" customFormat="1" ht="51">
      <c r="A9" s="11" t="s">
        <v>17</v>
      </c>
      <c r="B9" s="12">
        <v>44253</v>
      </c>
      <c r="C9" s="13" t="s">
        <v>18</v>
      </c>
      <c r="D9" s="14" t="s">
        <v>13</v>
      </c>
      <c r="E9" s="30" t="s">
        <v>14</v>
      </c>
      <c r="F9" s="25"/>
    </row>
    <row r="10" spans="1:16" s="4" customFormat="1" ht="63.75">
      <c r="A10" s="11" t="s">
        <v>19</v>
      </c>
      <c r="B10" s="12">
        <v>44277</v>
      </c>
      <c r="C10" s="13" t="s">
        <v>20</v>
      </c>
      <c r="D10" s="14" t="s">
        <v>13</v>
      </c>
      <c r="E10" s="30" t="s">
        <v>14</v>
      </c>
      <c r="F10" s="25"/>
    </row>
    <row r="11" spans="1:16" s="4" customFormat="1" ht="178.5">
      <c r="A11" s="11" t="s">
        <v>21</v>
      </c>
      <c r="B11" s="12">
        <v>44328</v>
      </c>
      <c r="C11" s="13" t="s">
        <v>22</v>
      </c>
      <c r="D11" s="14" t="s">
        <v>13</v>
      </c>
      <c r="E11" s="30" t="s">
        <v>14</v>
      </c>
      <c r="F11" s="25"/>
    </row>
    <row r="12" spans="1:16" s="4" customFormat="1" ht="85.9" customHeight="1">
      <c r="A12" s="11" t="s">
        <v>23</v>
      </c>
      <c r="B12" s="12">
        <v>44467</v>
      </c>
      <c r="C12" s="40" t="s">
        <v>24</v>
      </c>
      <c r="D12" s="41" t="s">
        <v>25</v>
      </c>
      <c r="E12" s="14" t="s">
        <v>14</v>
      </c>
      <c r="F12" s="42"/>
    </row>
    <row r="13" spans="1:16" ht="89.25">
      <c r="A13" s="11" t="s">
        <v>26</v>
      </c>
      <c r="B13" s="12">
        <v>44482</v>
      </c>
      <c r="C13" s="40" t="s">
        <v>27</v>
      </c>
      <c r="D13" s="41" t="s">
        <v>13</v>
      </c>
      <c r="E13" s="14" t="s">
        <v>28</v>
      </c>
      <c r="F13" s="42"/>
    </row>
    <row r="14" spans="1:16" ht="30">
      <c r="A14" s="11" t="s">
        <v>29</v>
      </c>
      <c r="B14" s="12">
        <v>44526</v>
      </c>
      <c r="C14" s="40" t="s">
        <v>30</v>
      </c>
      <c r="D14" s="41" t="s">
        <v>13</v>
      </c>
      <c r="E14" s="14" t="s">
        <v>31</v>
      </c>
      <c r="F14" s="42"/>
    </row>
    <row r="15" spans="1:16" ht="26.25" thickBot="1">
      <c r="A15" s="44" t="s">
        <v>32</v>
      </c>
      <c r="B15" s="45">
        <v>44565</v>
      </c>
      <c r="C15" s="46" t="s">
        <v>33</v>
      </c>
      <c r="D15" s="47" t="s">
        <v>13</v>
      </c>
      <c r="E15" s="48"/>
      <c r="F15" s="49"/>
    </row>
  </sheetData>
  <phoneticPr fontId="11" type="noConversion"/>
  <conditionalFormatting sqref="G1:G2">
    <cfRule type="cellIs" dxfId="264" priority="8" operator="equal">
      <formula>"Non-functional"</formula>
    </cfRule>
    <cfRule type="cellIs" dxfId="263" priority="9" operator="equal">
      <formula>"Functional"</formula>
    </cfRule>
  </conditionalFormatting>
  <conditionalFormatting sqref="I1:J2">
    <cfRule type="cellIs" dxfId="262" priority="10" operator="equal">
      <formula>"Not Applicable"</formula>
    </cfRule>
    <cfRule type="cellIs" dxfId="261" priority="11" operator="equal">
      <formula>"4 - Future Initiative (out of scope)"</formula>
    </cfRule>
    <cfRule type="cellIs" dxfId="260" priority="12" operator="equal">
      <formula>"3 - Desirable (Nice To Have)"</formula>
    </cfRule>
    <cfRule type="cellIs" dxfId="259" priority="13" operator="equal">
      <formula>"2 - Recommended (Best Practice)"</formula>
    </cfRule>
    <cfRule type="cellIs" dxfId="258" priority="14" operator="equal">
      <formula>"1 - Mandatory (Must Have)"</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election activeCell="A30" sqref="A30"/>
    </sheetView>
  </sheetViews>
  <sheetFormatPr defaultRowHeight="15"/>
  <cols>
    <col min="1" max="1" width="47.28515625" bestFit="1" customWidth="1"/>
    <col min="2" max="2" width="25.5703125" customWidth="1"/>
  </cols>
  <sheetData>
    <row r="1" spans="1:15" s="1" customFormat="1" ht="18.75">
      <c r="A1" s="1" t="s">
        <v>34</v>
      </c>
      <c r="B1" s="2"/>
      <c r="C1" s="2"/>
      <c r="D1" s="2"/>
      <c r="E1" s="2"/>
      <c r="F1" s="3"/>
      <c r="G1" s="2"/>
      <c r="H1" s="3"/>
      <c r="I1" s="3"/>
      <c r="J1" s="3"/>
      <c r="K1" s="2"/>
      <c r="L1" s="2"/>
      <c r="M1" s="2"/>
      <c r="N1" s="2"/>
      <c r="O1" s="2"/>
    </row>
    <row r="2" spans="1:15" s="1" customFormat="1" ht="18.75">
      <c r="A2" s="1" t="s">
        <v>35</v>
      </c>
      <c r="B2" s="2"/>
      <c r="C2" s="2"/>
      <c r="D2" s="2"/>
      <c r="E2" s="2"/>
      <c r="F2" s="3"/>
      <c r="G2" s="2"/>
      <c r="H2" s="3"/>
      <c r="I2" s="3"/>
      <c r="J2" s="3"/>
      <c r="K2" s="2"/>
      <c r="L2" s="2"/>
      <c r="M2" s="2"/>
      <c r="N2" s="2"/>
      <c r="O2" s="2"/>
    </row>
    <row r="4" spans="1:15" s="15" customFormat="1">
      <c r="A4" s="15" t="s">
        <v>36</v>
      </c>
      <c r="B4" s="15" t="s">
        <v>37</v>
      </c>
    </row>
    <row r="5" spans="1:15">
      <c r="A5" t="s">
        <v>38</v>
      </c>
      <c r="B5" t="s">
        <v>39</v>
      </c>
    </row>
    <row r="6" spans="1:15">
      <c r="A6" t="s">
        <v>40</v>
      </c>
      <c r="B6" t="s">
        <v>41</v>
      </c>
    </row>
    <row r="7" spans="1:15">
      <c r="A7" t="s">
        <v>42</v>
      </c>
      <c r="B7" t="s">
        <v>43</v>
      </c>
    </row>
    <row r="8" spans="1:15">
      <c r="A8" t="s">
        <v>44</v>
      </c>
      <c r="B8" t="s">
        <v>45</v>
      </c>
    </row>
    <row r="9" spans="1:15">
      <c r="A9" t="s">
        <v>46</v>
      </c>
      <c r="B9" t="s">
        <v>47</v>
      </c>
    </row>
    <row r="10" spans="1:15">
      <c r="A10" t="s">
        <v>48</v>
      </c>
    </row>
    <row r="11" spans="1:15">
      <c r="A11" t="s">
        <v>49</v>
      </c>
    </row>
    <row r="12" spans="1:15">
      <c r="A12" t="s">
        <v>50</v>
      </c>
    </row>
    <row r="13" spans="1:15">
      <c r="A13" t="s">
        <v>51</v>
      </c>
    </row>
    <row r="14" spans="1:15">
      <c r="A14" t="s">
        <v>52</v>
      </c>
    </row>
    <row r="15" spans="1:15">
      <c r="A15" t="s">
        <v>53</v>
      </c>
    </row>
    <row r="16" spans="1:15">
      <c r="A16" t="s">
        <v>54</v>
      </c>
    </row>
    <row r="17" spans="1:1">
      <c r="A17" t="s">
        <v>55</v>
      </c>
    </row>
    <row r="18" spans="1:1">
      <c r="A18" t="s">
        <v>56</v>
      </c>
    </row>
    <row r="19" spans="1:1">
      <c r="A19" t="s">
        <v>57</v>
      </c>
    </row>
    <row r="20" spans="1:1">
      <c r="A20" t="s">
        <v>58</v>
      </c>
    </row>
    <row r="21" spans="1:1">
      <c r="A21" t="s">
        <v>59</v>
      </c>
    </row>
    <row r="22" spans="1:1">
      <c r="A22" t="s">
        <v>60</v>
      </c>
    </row>
    <row r="23" spans="1:1">
      <c r="A23" t="s">
        <v>61</v>
      </c>
    </row>
    <row r="24" spans="1:1">
      <c r="A24" t="s">
        <v>62</v>
      </c>
    </row>
    <row r="25" spans="1:1">
      <c r="A25" t="s">
        <v>63</v>
      </c>
    </row>
    <row r="26" spans="1:1">
      <c r="A26" t="s">
        <v>64</v>
      </c>
    </row>
    <row r="27" spans="1:1">
      <c r="A27" t="s">
        <v>65</v>
      </c>
    </row>
    <row r="28" spans="1:1">
      <c r="A28" t="s">
        <v>66</v>
      </c>
    </row>
    <row r="29" spans="1:1">
      <c r="A29" t="s">
        <v>67</v>
      </c>
    </row>
    <row r="30" spans="1:1">
      <c r="A30" t="s">
        <v>68</v>
      </c>
    </row>
  </sheetData>
  <sortState xmlns:xlrd2="http://schemas.microsoft.com/office/spreadsheetml/2017/richdata2" ref="A5:A15">
    <sortCondition ref="A16"/>
  </sortState>
  <conditionalFormatting sqref="F1:F2">
    <cfRule type="cellIs" dxfId="257" priority="1" operator="equal">
      <formula>"Non-functional"</formula>
    </cfRule>
    <cfRule type="cellIs" dxfId="256" priority="2" operator="equal">
      <formula>"Functional"</formula>
    </cfRule>
  </conditionalFormatting>
  <conditionalFormatting sqref="H1:I2">
    <cfRule type="cellIs" dxfId="255" priority="3" operator="equal">
      <formula>"Not Applicable"</formula>
    </cfRule>
    <cfRule type="cellIs" dxfId="254" priority="4" operator="equal">
      <formula>"4 - Future Initiative (out of scope)"</formula>
    </cfRule>
    <cfRule type="cellIs" dxfId="253" priority="5" operator="equal">
      <formula>"3 - Desirable (Nice To Have)"</formula>
    </cfRule>
    <cfRule type="cellIs" dxfId="252" priority="6" operator="equal">
      <formula>"2 - Recommended (Best Practice)"</formula>
    </cfRule>
    <cfRule type="cellIs" dxfId="251" priority="7" operator="equal">
      <formula>"1 - Mandatory (Must Have)"</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P15"/>
  <sheetViews>
    <sheetView workbookViewId="0">
      <pane xSplit="4" ySplit="6" topLeftCell="E7" activePane="bottomRight" state="frozen"/>
      <selection pane="bottomRight" activeCell="D3" sqref="D3"/>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70</v>
      </c>
      <c r="C1" s="20"/>
      <c r="D1" s="17" t="s">
        <v>71</v>
      </c>
      <c r="F1" s="31"/>
      <c r="H1" s="22"/>
    </row>
    <row r="2" spans="1:16" s="18" customFormat="1" ht="18.75">
      <c r="A2" s="16" t="s">
        <v>72</v>
      </c>
      <c r="B2" s="23">
        <v>1</v>
      </c>
      <c r="C2" s="22"/>
      <c r="D2" s="23"/>
      <c r="F2" s="31"/>
      <c r="H2" s="22"/>
    </row>
    <row r="3" spans="1:16" s="18" customFormat="1" ht="18.75">
      <c r="A3" s="16" t="s">
        <v>73</v>
      </c>
      <c r="B3" s="23" t="s">
        <v>74</v>
      </c>
      <c r="C3" s="22"/>
      <c r="D3" s="23"/>
      <c r="F3" s="31"/>
      <c r="H3" s="22"/>
    </row>
    <row r="4" spans="1:16" s="18" customFormat="1" ht="18.75">
      <c r="A4" s="16" t="s">
        <v>75</v>
      </c>
      <c r="B4" s="18" t="s">
        <v>76</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5" si="0">CONCATENATE($B$2, ".", A7)</f>
        <v>1.1</v>
      </c>
      <c r="C7" s="28" t="s">
        <v>43</v>
      </c>
      <c r="D7" s="5" t="s">
        <v>93</v>
      </c>
      <c r="E7" s="5" t="s">
        <v>60</v>
      </c>
      <c r="F7" s="5" t="s">
        <v>94</v>
      </c>
      <c r="G7" s="5" t="s">
        <v>94</v>
      </c>
      <c r="H7" s="28" t="s">
        <v>94</v>
      </c>
      <c r="I7" s="5" t="s">
        <v>95</v>
      </c>
      <c r="J7" s="5" t="s">
        <v>94</v>
      </c>
      <c r="K7" s="5" t="s">
        <v>94</v>
      </c>
      <c r="L7" s="5" t="s">
        <v>94</v>
      </c>
      <c r="M7" s="5" t="s">
        <v>94</v>
      </c>
      <c r="N7" s="5" t="s">
        <v>94</v>
      </c>
      <c r="O7" s="5" t="s">
        <v>94</v>
      </c>
      <c r="P7" s="5" t="s">
        <v>96</v>
      </c>
    </row>
    <row r="8" spans="1:16">
      <c r="A8" s="5">
        <v>2</v>
      </c>
      <c r="B8" s="5" t="str">
        <f t="shared" si="0"/>
        <v>1.2</v>
      </c>
      <c r="C8" s="28" t="s">
        <v>43</v>
      </c>
      <c r="D8" s="5" t="s">
        <v>94</v>
      </c>
      <c r="E8" s="5" t="s">
        <v>54</v>
      </c>
      <c r="F8" s="5" t="s">
        <v>94</v>
      </c>
      <c r="G8" s="5" t="s">
        <v>94</v>
      </c>
      <c r="H8" s="28" t="s">
        <v>94</v>
      </c>
      <c r="I8" s="5" t="s">
        <v>95</v>
      </c>
      <c r="J8" s="5" t="s">
        <v>94</v>
      </c>
      <c r="K8" s="5" t="s">
        <v>94</v>
      </c>
      <c r="L8" s="5" t="s">
        <v>94</v>
      </c>
      <c r="M8" s="5" t="s">
        <v>94</v>
      </c>
      <c r="N8" s="5" t="s">
        <v>94</v>
      </c>
      <c r="O8" s="5" t="s">
        <v>94</v>
      </c>
    </row>
    <row r="9" spans="1:16" ht="30">
      <c r="A9" s="5">
        <v>3</v>
      </c>
      <c r="B9" s="5" t="str">
        <f t="shared" si="0"/>
        <v>1.3</v>
      </c>
      <c r="C9" s="28" t="s">
        <v>43</v>
      </c>
      <c r="D9" s="5" t="s">
        <v>97</v>
      </c>
      <c r="E9" s="5" t="s">
        <v>61</v>
      </c>
      <c r="F9" s="5" t="s">
        <v>94</v>
      </c>
      <c r="G9" s="5" t="s">
        <v>94</v>
      </c>
      <c r="H9" s="28" t="s">
        <v>94</v>
      </c>
      <c r="I9" s="5" t="s">
        <v>95</v>
      </c>
      <c r="J9" s="5" t="s">
        <v>94</v>
      </c>
      <c r="K9" s="5" t="s">
        <v>94</v>
      </c>
      <c r="L9" s="5" t="s">
        <v>94</v>
      </c>
      <c r="M9" s="5" t="s">
        <v>94</v>
      </c>
      <c r="N9" s="5" t="s">
        <v>94</v>
      </c>
      <c r="O9" s="5" t="s">
        <v>94</v>
      </c>
    </row>
    <row r="10" spans="1:16" ht="60">
      <c r="A10" s="5">
        <v>4</v>
      </c>
      <c r="B10" s="5" t="str">
        <f t="shared" si="0"/>
        <v>1.4</v>
      </c>
      <c r="C10" s="28" t="s">
        <v>43</v>
      </c>
      <c r="D10" s="5" t="s">
        <v>98</v>
      </c>
      <c r="E10" s="5" t="s">
        <v>63</v>
      </c>
      <c r="F10" s="5" t="s">
        <v>94</v>
      </c>
      <c r="G10" s="5" t="s">
        <v>94</v>
      </c>
      <c r="H10" s="28" t="s">
        <v>94</v>
      </c>
      <c r="I10" s="5" t="s">
        <v>95</v>
      </c>
      <c r="J10" s="5" t="s">
        <v>94</v>
      </c>
      <c r="K10" s="5" t="s">
        <v>94</v>
      </c>
      <c r="L10" s="5" t="s">
        <v>94</v>
      </c>
      <c r="M10" s="5" t="s">
        <v>94</v>
      </c>
      <c r="N10" s="5" t="s">
        <v>94</v>
      </c>
      <c r="O10" s="5" t="s">
        <v>94</v>
      </c>
    </row>
    <row r="11" spans="1:16" ht="30">
      <c r="A11" s="5">
        <v>5</v>
      </c>
      <c r="B11" s="5" t="str">
        <f t="shared" si="0"/>
        <v>1.5</v>
      </c>
      <c r="C11" s="28" t="s">
        <v>43</v>
      </c>
      <c r="D11" s="5" t="s">
        <v>99</v>
      </c>
      <c r="E11" s="5" t="s">
        <v>61</v>
      </c>
      <c r="F11" s="5" t="s">
        <v>94</v>
      </c>
      <c r="G11" s="5" t="s">
        <v>94</v>
      </c>
      <c r="H11" s="28" t="s">
        <v>94</v>
      </c>
      <c r="I11" s="5" t="s">
        <v>95</v>
      </c>
      <c r="J11" s="5" t="s">
        <v>94</v>
      </c>
      <c r="K11" s="5" t="s">
        <v>94</v>
      </c>
      <c r="L11" s="5" t="s">
        <v>94</v>
      </c>
      <c r="M11" s="5" t="s">
        <v>94</v>
      </c>
      <c r="N11" s="5" t="s">
        <v>94</v>
      </c>
      <c r="O11" s="5" t="s">
        <v>94</v>
      </c>
    </row>
    <row r="12" spans="1:16" ht="60">
      <c r="A12" s="5">
        <v>6</v>
      </c>
      <c r="B12" s="5" t="str">
        <f t="shared" si="0"/>
        <v>1.6</v>
      </c>
      <c r="C12" s="28" t="s">
        <v>43</v>
      </c>
      <c r="D12" s="5" t="s">
        <v>100</v>
      </c>
      <c r="E12" s="5" t="s">
        <v>38</v>
      </c>
      <c r="F12" s="5" t="s">
        <v>101</v>
      </c>
      <c r="G12" s="5" t="s">
        <v>94</v>
      </c>
      <c r="H12" s="28" t="s">
        <v>94</v>
      </c>
      <c r="I12" s="5" t="s">
        <v>95</v>
      </c>
      <c r="J12" s="5" t="s">
        <v>94</v>
      </c>
      <c r="K12" s="5" t="s">
        <v>94</v>
      </c>
      <c r="L12" s="5" t="s">
        <v>94</v>
      </c>
      <c r="M12" s="5" t="s">
        <v>94</v>
      </c>
      <c r="N12" s="5" t="s">
        <v>94</v>
      </c>
      <c r="O12" s="5" t="s">
        <v>102</v>
      </c>
      <c r="P12" s="5" t="s">
        <v>103</v>
      </c>
    </row>
    <row r="13" spans="1:16" ht="75">
      <c r="A13" s="5">
        <v>7</v>
      </c>
      <c r="B13" s="5" t="str">
        <f t="shared" si="0"/>
        <v>1.7</v>
      </c>
      <c r="C13" s="28" t="s">
        <v>43</v>
      </c>
      <c r="D13" s="5" t="s">
        <v>104</v>
      </c>
      <c r="E13" s="5" t="s">
        <v>38</v>
      </c>
      <c r="F13" s="5" t="s">
        <v>101</v>
      </c>
      <c r="G13" s="5" t="s">
        <v>94</v>
      </c>
      <c r="H13" s="28" t="s">
        <v>94</v>
      </c>
      <c r="I13" s="5" t="s">
        <v>95</v>
      </c>
      <c r="J13" s="5" t="s">
        <v>94</v>
      </c>
      <c r="K13" s="5" t="s">
        <v>94</v>
      </c>
      <c r="L13" s="5" t="s">
        <v>94</v>
      </c>
      <c r="M13" s="5" t="s">
        <v>94</v>
      </c>
      <c r="N13" s="5" t="s">
        <v>94</v>
      </c>
      <c r="O13" s="5" t="s">
        <v>105</v>
      </c>
      <c r="P13" s="5" t="s">
        <v>103</v>
      </c>
    </row>
    <row r="14" spans="1:16">
      <c r="A14" s="5">
        <v>8</v>
      </c>
      <c r="B14" s="5" t="str">
        <f t="shared" si="0"/>
        <v>1.8</v>
      </c>
      <c r="C14" s="28" t="s">
        <v>43</v>
      </c>
      <c r="D14" s="5" t="s">
        <v>106</v>
      </c>
      <c r="E14" s="5" t="s">
        <v>38</v>
      </c>
      <c r="F14" s="5" t="s">
        <v>94</v>
      </c>
      <c r="G14" s="5" t="s">
        <v>94</v>
      </c>
      <c r="H14" s="28" t="s">
        <v>94</v>
      </c>
      <c r="I14" s="5" t="s">
        <v>95</v>
      </c>
      <c r="J14" s="5" t="s">
        <v>94</v>
      </c>
      <c r="K14" s="5" t="s">
        <v>94</v>
      </c>
      <c r="L14" s="5" t="s">
        <v>94</v>
      </c>
      <c r="M14" s="5" t="s">
        <v>94</v>
      </c>
      <c r="N14" s="5" t="s">
        <v>94</v>
      </c>
      <c r="O14" s="5" t="s">
        <v>107</v>
      </c>
    </row>
    <row r="15" spans="1:16">
      <c r="A15" s="5">
        <v>9</v>
      </c>
      <c r="B15" s="5" t="str">
        <f t="shared" si="0"/>
        <v>1.9</v>
      </c>
      <c r="C15" s="28" t="s">
        <v>43</v>
      </c>
      <c r="D15" s="5" t="s">
        <v>108</v>
      </c>
      <c r="E15" s="5" t="s">
        <v>38</v>
      </c>
      <c r="F15" s="5" t="s">
        <v>94</v>
      </c>
      <c r="G15" s="5" t="s">
        <v>94</v>
      </c>
      <c r="H15" s="28" t="s">
        <v>94</v>
      </c>
      <c r="I15" s="5" t="s">
        <v>95</v>
      </c>
      <c r="J15" s="5" t="s">
        <v>94</v>
      </c>
      <c r="K15" s="5" t="s">
        <v>94</v>
      </c>
      <c r="L15" s="5" t="s">
        <v>94</v>
      </c>
      <c r="M15" s="5" t="s">
        <v>94</v>
      </c>
      <c r="N15" s="5" t="s">
        <v>94</v>
      </c>
      <c r="O15" s="5" t="s">
        <v>109</v>
      </c>
    </row>
  </sheetData>
  <autoFilter ref="A6:P6" xr:uid="{00000000-0009-0000-0000-000002000000}"/>
  <conditionalFormatting sqref="A7:XFD7 A8:B12 C8:C15">
    <cfRule type="cellIs" dxfId="250" priority="17" operator="equal">
      <formula>"n/a"</formula>
    </cfRule>
  </conditionalFormatting>
  <conditionalFormatting sqref="B13 E13:N13">
    <cfRule type="cellIs" dxfId="249" priority="10" operator="equal">
      <formula>"n/a"</formula>
    </cfRule>
  </conditionalFormatting>
  <conditionalFormatting sqref="C7:C1048576">
    <cfRule type="cellIs" dxfId="248" priority="19" operator="equal">
      <formula>"WIP (see comments)"</formula>
    </cfRule>
    <cfRule type="cellIs" dxfId="247" priority="20" operator="equal">
      <formula>"Removed"</formula>
    </cfRule>
    <cfRule type="cellIs" dxfId="246" priority="21" operator="equal">
      <formula>"Updated"</formula>
    </cfRule>
    <cfRule type="cellIs" dxfId="245" priority="22" operator="equal">
      <formula>"New"</formula>
    </cfRule>
  </conditionalFormatting>
  <conditionalFormatting sqref="D7:D11">
    <cfRule type="cellIs" dxfId="244" priority="18" operator="equal">
      <formula>"-"</formula>
    </cfRule>
  </conditionalFormatting>
  <conditionalFormatting sqref="D14:D15">
    <cfRule type="cellIs" dxfId="243" priority="5" operator="equal">
      <formula>"-"</formula>
    </cfRule>
  </conditionalFormatting>
  <conditionalFormatting sqref="D14:N15">
    <cfRule type="cellIs" dxfId="242" priority="1" operator="equal">
      <formula>"n/a"</formula>
    </cfRule>
  </conditionalFormatting>
  <conditionalFormatting sqref="D8:XFD12">
    <cfRule type="cellIs" dxfId="241" priority="16" operator="equal">
      <formula>"n/a"</formula>
    </cfRule>
  </conditionalFormatting>
  <dataValidations count="1">
    <dataValidation type="list" allowBlank="1" showInputMessage="1" showErrorMessage="1" sqref="E16:E1048576" xr:uid="{00000000-0002-0000-0200-000000000000}">
      <formula1>$A$5:$A$31</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'List Values'!$B$5:$B$9</xm:f>
          </x14:formula1>
          <xm:sqref>C7:C1048576</xm:sqref>
        </x14:dataValidation>
        <x14:dataValidation type="list" allowBlank="1" showInputMessage="1" showErrorMessage="1" xr:uid="{00000000-0002-0000-0200-000002000000}">
          <x14:formula1>
            <xm:f>'List Values'!$A$5:$A$32</xm:f>
          </x14:formula1>
          <xm:sqref>E7:E13</xm:sqref>
        </x14:dataValidation>
        <x14:dataValidation type="list" allowBlank="1" showInputMessage="1" showErrorMessage="1" xr:uid="{00000000-0002-0000-0200-000003000000}">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7"/>
  <sheetViews>
    <sheetView workbookViewId="0">
      <pane xSplit="4" ySplit="6" topLeftCell="E7" activePane="bottomRight" state="frozen"/>
      <selection pane="bottomRight" activeCell="D1" sqref="D1"/>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112</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Q-SB1.1</v>
      </c>
      <c r="C7" s="28" t="s">
        <v>43</v>
      </c>
      <c r="D7" s="5" t="s">
        <v>113</v>
      </c>
      <c r="E7" s="5" t="s">
        <v>60</v>
      </c>
      <c r="F7" s="5" t="s">
        <v>94</v>
      </c>
      <c r="G7" s="5" t="s">
        <v>94</v>
      </c>
      <c r="H7" s="28" t="s">
        <v>94</v>
      </c>
      <c r="I7" s="5" t="s">
        <v>95</v>
      </c>
      <c r="J7" s="5" t="s">
        <v>94</v>
      </c>
      <c r="K7" s="5" t="s">
        <v>94</v>
      </c>
      <c r="L7" s="5" t="s">
        <v>94</v>
      </c>
      <c r="M7" s="5" t="s">
        <v>94</v>
      </c>
      <c r="N7" s="5" t="s">
        <v>94</v>
      </c>
    </row>
    <row r="8" spans="1:16">
      <c r="A8" s="5">
        <v>2</v>
      </c>
      <c r="B8" s="5" t="str">
        <f t="shared" si="0"/>
        <v>Q-SB1.2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Q-SB1.3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Q-SB1.4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Q-SB1.5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Q-SB1.6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Q-SB1.6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Q-SB1.7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Q-SB1.8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3000000}"/>
  <mergeCells count="2">
    <mergeCell ref="A10:E10"/>
    <mergeCell ref="A14:E14"/>
  </mergeCells>
  <conditionalFormatting sqref="A10">
    <cfRule type="cellIs" dxfId="240" priority="1" operator="equal">
      <formula>"n/a"</formula>
    </cfRule>
  </conditionalFormatting>
  <conditionalFormatting sqref="A14 F14:XFD14">
    <cfRule type="cellIs" dxfId="239" priority="9" operator="equal">
      <formula>"n/a"</formula>
    </cfRule>
  </conditionalFormatting>
  <conditionalFormatting sqref="A7:XFD9 B16:C17 E16:N17">
    <cfRule type="cellIs" dxfId="238" priority="13" operator="equal">
      <formula>"n/a"</formula>
    </cfRule>
  </conditionalFormatting>
  <conditionalFormatting sqref="A11:XFD13">
    <cfRule type="cellIs" dxfId="237" priority="2" operator="equal">
      <formula>"n/a"</formula>
    </cfRule>
  </conditionalFormatting>
  <conditionalFormatting sqref="A15:XFD15">
    <cfRule type="cellIs" dxfId="236" priority="12" operator="equal">
      <formula>"n/a"</formula>
    </cfRule>
  </conditionalFormatting>
  <conditionalFormatting sqref="C7:C9 C11:C13 C15:C1048576">
    <cfRule type="cellIs" dxfId="235" priority="15" operator="equal">
      <formula>"WIP (see comments)"</formula>
    </cfRule>
    <cfRule type="cellIs" dxfId="234" priority="16" operator="equal">
      <formula>"Removed"</formula>
    </cfRule>
    <cfRule type="cellIs" dxfId="233" priority="17" operator="equal">
      <formula>"Updated"</formula>
    </cfRule>
    <cfRule type="cellIs" dxfId="232" priority="18" operator="equal">
      <formula>"New"</formula>
    </cfRule>
  </conditionalFormatting>
  <conditionalFormatting sqref="D7:D9 D11:D13">
    <cfRule type="cellIs" dxfId="231" priority="14" operator="equal">
      <formula>"-"</formula>
    </cfRule>
  </conditionalFormatting>
  <conditionalFormatting sqref="F10:XFD10">
    <cfRule type="cellIs" dxfId="230"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Values'!$B$5:$B$9</xm:f>
          </x14:formula1>
          <xm:sqref>C7:C9 C11:C13 C15:C1048576</xm:sqref>
        </x14:dataValidation>
        <x14:dataValidation type="list" allowBlank="1" showInputMessage="1" showErrorMessage="1" xr:uid="{00000000-0002-0000-0300-000001000000}">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P17"/>
  <sheetViews>
    <sheetView workbookViewId="0">
      <pane xSplit="4" ySplit="6" topLeftCell="E7" activePane="bottomRight" state="frozen"/>
      <selection pane="bottomRight" activeCell="A17" sqref="A17"/>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127</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Q-SB2.1</v>
      </c>
      <c r="C7" s="28" t="s">
        <v>43</v>
      </c>
      <c r="D7" s="5" t="s">
        <v>128</v>
      </c>
      <c r="E7" s="5" t="s">
        <v>60</v>
      </c>
      <c r="F7" s="5" t="s">
        <v>94</v>
      </c>
      <c r="G7" s="5" t="s">
        <v>94</v>
      </c>
      <c r="H7" s="28" t="s">
        <v>94</v>
      </c>
      <c r="I7" s="5" t="s">
        <v>95</v>
      </c>
      <c r="J7" s="5" t="s">
        <v>94</v>
      </c>
      <c r="K7" s="5" t="s">
        <v>94</v>
      </c>
      <c r="L7" s="5" t="s">
        <v>94</v>
      </c>
      <c r="M7" s="5" t="s">
        <v>94</v>
      </c>
      <c r="N7" s="5" t="s">
        <v>94</v>
      </c>
    </row>
    <row r="8" spans="1:16">
      <c r="A8" s="5">
        <v>2</v>
      </c>
      <c r="B8" s="5" t="str">
        <f t="shared" si="0"/>
        <v>Q-SB2.2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Q-SB2.3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Q-SB2.4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Q-SB2.5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Q-SB2.6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Q-SB2.6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Q-SB2.7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Q-SB2.8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4000000}"/>
  <mergeCells count="2">
    <mergeCell ref="A10:E10"/>
    <mergeCell ref="A14:E14"/>
  </mergeCells>
  <conditionalFormatting sqref="A10">
    <cfRule type="cellIs" dxfId="229" priority="1" operator="equal">
      <formula>"n/a"</formula>
    </cfRule>
  </conditionalFormatting>
  <conditionalFormatting sqref="A14 F14:XFD14">
    <cfRule type="cellIs" dxfId="228" priority="8" operator="equal">
      <formula>"n/a"</formula>
    </cfRule>
  </conditionalFormatting>
  <conditionalFormatting sqref="A7:XFD9 B16:C17 E16:N17">
    <cfRule type="cellIs" dxfId="227" priority="12" operator="equal">
      <formula>"n/a"</formula>
    </cfRule>
  </conditionalFormatting>
  <conditionalFormatting sqref="A11:XFD13">
    <cfRule type="cellIs" dxfId="226" priority="2" operator="equal">
      <formula>"n/a"</formula>
    </cfRule>
  </conditionalFormatting>
  <conditionalFormatting sqref="A15:XFD15">
    <cfRule type="cellIs" dxfId="225" priority="11" operator="equal">
      <formula>"n/a"</formula>
    </cfRule>
  </conditionalFormatting>
  <conditionalFormatting sqref="C7:C9 C11:C13 C15:C1048576">
    <cfRule type="cellIs" dxfId="224" priority="14" operator="equal">
      <formula>"WIP (see comments)"</formula>
    </cfRule>
    <cfRule type="cellIs" dxfId="223" priority="15" operator="equal">
      <formula>"Removed"</formula>
    </cfRule>
    <cfRule type="cellIs" dxfId="222" priority="16" operator="equal">
      <formula>"Updated"</formula>
    </cfRule>
    <cfRule type="cellIs" dxfId="221" priority="17" operator="equal">
      <formula>"New"</formula>
    </cfRule>
  </conditionalFormatting>
  <conditionalFormatting sqref="D7:D9 D11:D13">
    <cfRule type="cellIs" dxfId="220" priority="13" operator="equal">
      <formula>"-"</formula>
    </cfRule>
  </conditionalFormatting>
  <conditionalFormatting sqref="F10:XFD10">
    <cfRule type="cellIs" dxfId="219"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'List Values'!$B$5:$B$9</xm:f>
          </x14:formula1>
          <xm:sqref>C7:C9 C11:C13 C15:C1048576</xm:sqref>
        </x14:dataValidation>
        <x14:dataValidation type="list" allowBlank="1" showInputMessage="1" showErrorMessage="1" xr:uid="{00000000-0002-0000-0400-000001000000}">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P17"/>
  <sheetViews>
    <sheetView workbookViewId="0">
      <pane xSplit="4" ySplit="6" topLeftCell="J7" activePane="bottomRight" state="frozen"/>
      <selection pane="bottomRight" activeCell="A5" sqref="A5"/>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129</v>
      </c>
      <c r="C1" s="20"/>
      <c r="D1" s="17" t="s">
        <v>130</v>
      </c>
      <c r="F1" s="31"/>
      <c r="H1" s="22"/>
    </row>
    <row r="2" spans="1:16" s="18" customFormat="1" ht="18.75">
      <c r="A2" s="16" t="s">
        <v>72</v>
      </c>
      <c r="B2" s="23" t="s">
        <v>131</v>
      </c>
      <c r="C2" s="22"/>
      <c r="D2" s="23"/>
      <c r="F2" s="31"/>
      <c r="H2" s="22"/>
    </row>
    <row r="3" spans="1:16" s="18" customFormat="1" ht="18.75">
      <c r="A3" s="16" t="s">
        <v>73</v>
      </c>
      <c r="B3" s="23" t="s">
        <v>132</v>
      </c>
      <c r="C3" s="22"/>
      <c r="D3" s="23"/>
      <c r="F3" s="31"/>
      <c r="H3" s="22"/>
    </row>
    <row r="4" spans="1:16" s="18" customFormat="1" ht="18.75">
      <c r="A4" s="16" t="s">
        <v>75</v>
      </c>
      <c r="B4" s="23" t="s">
        <v>133</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B7" s="5" t="str">
        <f t="shared" ref="B7:B17" si="0">CONCATENATE($B$2, ".", A7)</f>
        <v>2a.</v>
      </c>
      <c r="C7" s="28" t="s">
        <v>43</v>
      </c>
      <c r="D7" s="5" t="s">
        <v>134</v>
      </c>
      <c r="E7" s="5" t="s">
        <v>60</v>
      </c>
      <c r="F7" s="5" t="s">
        <v>94</v>
      </c>
      <c r="G7" s="5" t="s">
        <v>94</v>
      </c>
      <c r="H7" s="28" t="s">
        <v>94</v>
      </c>
      <c r="I7" s="5" t="s">
        <v>95</v>
      </c>
      <c r="J7" s="5" t="s">
        <v>94</v>
      </c>
      <c r="K7" s="5" t="s">
        <v>94</v>
      </c>
      <c r="L7" s="5" t="s">
        <v>94</v>
      </c>
      <c r="M7" s="5" t="s">
        <v>94</v>
      </c>
      <c r="N7" s="5" t="s">
        <v>94</v>
      </c>
      <c r="O7" s="5" t="s">
        <v>135</v>
      </c>
    </row>
    <row r="8" spans="1:16">
      <c r="B8" s="5" t="str">
        <f t="shared" si="0"/>
        <v>2a.</v>
      </c>
      <c r="C8" s="28" t="s">
        <v>43</v>
      </c>
      <c r="D8" s="5" t="s">
        <v>136</v>
      </c>
      <c r="E8" s="5" t="s">
        <v>61</v>
      </c>
      <c r="F8" s="5" t="s">
        <v>94</v>
      </c>
      <c r="G8" s="5" t="s">
        <v>94</v>
      </c>
      <c r="H8" s="28" t="s">
        <v>94</v>
      </c>
      <c r="I8" s="5" t="s">
        <v>95</v>
      </c>
      <c r="J8" s="5" t="s">
        <v>94</v>
      </c>
      <c r="K8" s="5" t="s">
        <v>94</v>
      </c>
      <c r="L8" s="5" t="s">
        <v>94</v>
      </c>
      <c r="M8" s="5" t="s">
        <v>94</v>
      </c>
      <c r="N8" s="5" t="s">
        <v>94</v>
      </c>
      <c r="O8" s="5" t="s">
        <v>137</v>
      </c>
    </row>
    <row r="9" spans="1:16" ht="45">
      <c r="C9" s="28" t="s">
        <v>43</v>
      </c>
      <c r="D9" s="5" t="s">
        <v>138</v>
      </c>
      <c r="E9" s="5" t="s">
        <v>64</v>
      </c>
      <c r="F9" s="5" t="s">
        <v>94</v>
      </c>
      <c r="G9" s="5" t="s">
        <v>94</v>
      </c>
      <c r="H9" s="28" t="s">
        <v>94</v>
      </c>
      <c r="I9" s="5" t="s">
        <v>139</v>
      </c>
      <c r="J9" s="5" t="s">
        <v>94</v>
      </c>
      <c r="K9" s="5" t="s">
        <v>94</v>
      </c>
      <c r="L9" s="5" t="s">
        <v>94</v>
      </c>
      <c r="M9" s="5" t="s">
        <v>94</v>
      </c>
      <c r="N9" s="5" t="s">
        <v>94</v>
      </c>
      <c r="O9" s="5" t="s">
        <v>140</v>
      </c>
    </row>
    <row r="10" spans="1:16" ht="45">
      <c r="B10" s="5" t="str">
        <f t="shared" si="0"/>
        <v>2a.</v>
      </c>
      <c r="C10" s="28" t="s">
        <v>43</v>
      </c>
      <c r="D10" s="5" t="s">
        <v>141</v>
      </c>
      <c r="E10" s="5" t="s">
        <v>64</v>
      </c>
      <c r="F10" s="5" t="s">
        <v>94</v>
      </c>
      <c r="G10" s="5" t="s">
        <v>94</v>
      </c>
      <c r="H10" s="28" t="s">
        <v>94</v>
      </c>
      <c r="I10" s="5" t="s">
        <v>142</v>
      </c>
      <c r="J10" s="5" t="s">
        <v>94</v>
      </c>
      <c r="K10" s="5" t="s">
        <v>94</v>
      </c>
      <c r="L10" s="5" t="s">
        <v>94</v>
      </c>
      <c r="M10" s="5" t="s">
        <v>94</v>
      </c>
      <c r="N10" s="5" t="s">
        <v>94</v>
      </c>
      <c r="O10" s="5" t="s">
        <v>143</v>
      </c>
    </row>
    <row r="11" spans="1:16" ht="30">
      <c r="B11" s="5" t="str">
        <f t="shared" si="0"/>
        <v>2a.</v>
      </c>
      <c r="C11" s="28" t="s">
        <v>43</v>
      </c>
      <c r="D11" s="5" t="s">
        <v>144</v>
      </c>
      <c r="E11" s="5" t="s">
        <v>64</v>
      </c>
      <c r="F11" s="5" t="s">
        <v>94</v>
      </c>
      <c r="G11" s="5" t="s">
        <v>94</v>
      </c>
      <c r="H11" s="28" t="s">
        <v>94</v>
      </c>
      <c r="I11" s="5" t="s">
        <v>95</v>
      </c>
      <c r="J11" s="5" t="s">
        <v>94</v>
      </c>
      <c r="K11" s="5" t="s">
        <v>94</v>
      </c>
      <c r="L11" s="5" t="s">
        <v>94</v>
      </c>
      <c r="M11" s="5" t="s">
        <v>94</v>
      </c>
      <c r="N11" s="5" t="s">
        <v>94</v>
      </c>
      <c r="O11" s="5" t="s">
        <v>145</v>
      </c>
    </row>
    <row r="12" spans="1:16">
      <c r="C12" s="28" t="s">
        <v>43</v>
      </c>
    </row>
    <row r="13" spans="1:16">
      <c r="C13" s="28" t="s">
        <v>43</v>
      </c>
    </row>
    <row r="14" spans="1:16" ht="45">
      <c r="B14" s="5" t="str">
        <f t="shared" si="0"/>
        <v>2a.</v>
      </c>
      <c r="C14" s="28" t="s">
        <v>43</v>
      </c>
      <c r="D14" s="5" t="s">
        <v>146</v>
      </c>
      <c r="E14" s="5" t="s">
        <v>49</v>
      </c>
      <c r="F14" s="5" t="s">
        <v>94</v>
      </c>
      <c r="G14" s="5" t="s">
        <v>94</v>
      </c>
      <c r="H14" s="28" t="s">
        <v>94</v>
      </c>
      <c r="I14" s="5" t="s">
        <v>147</v>
      </c>
      <c r="J14" s="5" t="s">
        <v>94</v>
      </c>
      <c r="K14" s="5" t="s">
        <v>94</v>
      </c>
      <c r="L14" s="5" t="s">
        <v>94</v>
      </c>
      <c r="M14" s="5" t="s">
        <v>94</v>
      </c>
      <c r="N14" s="5" t="s">
        <v>94</v>
      </c>
      <c r="O14" s="5" t="s">
        <v>148</v>
      </c>
    </row>
    <row r="15" spans="1:16" ht="60">
      <c r="B15" s="5" t="str">
        <f t="shared" si="0"/>
        <v>2a.</v>
      </c>
      <c r="C15" s="28" t="s">
        <v>43</v>
      </c>
      <c r="D15" s="5" t="s">
        <v>149</v>
      </c>
      <c r="E15" s="5" t="s">
        <v>49</v>
      </c>
      <c r="F15" s="5" t="s">
        <v>94</v>
      </c>
      <c r="G15" s="5" t="s">
        <v>94</v>
      </c>
      <c r="H15" s="28" t="s">
        <v>94</v>
      </c>
      <c r="I15" s="5" t="s">
        <v>150</v>
      </c>
      <c r="J15" s="5" t="s">
        <v>94</v>
      </c>
      <c r="K15" s="5" t="s">
        <v>94</v>
      </c>
      <c r="L15" s="5" t="s">
        <v>94</v>
      </c>
      <c r="M15" s="5" t="s">
        <v>94</v>
      </c>
      <c r="N15" s="5" t="s">
        <v>94</v>
      </c>
      <c r="O15" s="5" t="s">
        <v>151</v>
      </c>
    </row>
    <row r="16" spans="1:16">
      <c r="B16" s="5" t="str">
        <f>CONCATENATE($B$2, ".", A16)</f>
        <v>2a.</v>
      </c>
      <c r="C16" s="28" t="s">
        <v>43</v>
      </c>
      <c r="D16" s="5" t="s">
        <v>152</v>
      </c>
      <c r="E16" s="5" t="s">
        <v>49</v>
      </c>
      <c r="F16" s="5" t="s">
        <v>94</v>
      </c>
      <c r="G16" s="5" t="s">
        <v>94</v>
      </c>
      <c r="H16" s="28" t="s">
        <v>94</v>
      </c>
      <c r="I16" s="5" t="s">
        <v>95</v>
      </c>
      <c r="J16" s="5" t="s">
        <v>94</v>
      </c>
      <c r="K16" s="5" t="s">
        <v>94</v>
      </c>
      <c r="L16" s="5" t="s">
        <v>94</v>
      </c>
      <c r="M16" s="5" t="s">
        <v>94</v>
      </c>
      <c r="N16" s="5" t="s">
        <v>94</v>
      </c>
      <c r="O16" s="5" t="s">
        <v>153</v>
      </c>
    </row>
    <row r="17" spans="2:15" ht="30">
      <c r="B17" s="5" t="str">
        <f t="shared" si="0"/>
        <v>2a.</v>
      </c>
      <c r="C17" s="28" t="s">
        <v>43</v>
      </c>
      <c r="D17" s="5" t="s">
        <v>154</v>
      </c>
      <c r="E17" s="5" t="s">
        <v>38</v>
      </c>
      <c r="F17" s="5" t="s">
        <v>94</v>
      </c>
      <c r="G17" s="5" t="s">
        <v>94</v>
      </c>
      <c r="H17" s="28" t="s">
        <v>94</v>
      </c>
      <c r="I17" s="5" t="s">
        <v>95</v>
      </c>
      <c r="J17" s="5" t="s">
        <v>94</v>
      </c>
      <c r="K17" s="5" t="s">
        <v>94</v>
      </c>
      <c r="L17" s="5" t="s">
        <v>94</v>
      </c>
      <c r="M17" s="5" t="s">
        <v>94</v>
      </c>
      <c r="N17" s="5" t="s">
        <v>94</v>
      </c>
      <c r="O17" s="5" t="s">
        <v>155</v>
      </c>
    </row>
  </sheetData>
  <autoFilter ref="A6:P6" xr:uid="{00000000-0009-0000-0000-000006000000}"/>
  <conditionalFormatting sqref="A7:H7 P7:XFD17 A8:C17">
    <cfRule type="cellIs" dxfId="218" priority="12" operator="equal">
      <formula>"n/a"</formula>
    </cfRule>
  </conditionalFormatting>
  <conditionalFormatting sqref="C7:C1048576">
    <cfRule type="cellIs" dxfId="217" priority="14" operator="equal">
      <formula>"WIP (see comments)"</formula>
    </cfRule>
    <cfRule type="cellIs" dxfId="216" priority="15" operator="equal">
      <formula>"Removed"</formula>
    </cfRule>
    <cfRule type="cellIs" dxfId="215" priority="16" operator="equal">
      <formula>"Updated"</formula>
    </cfRule>
    <cfRule type="cellIs" dxfId="214" priority="17" operator="equal">
      <formula>"New"</formula>
    </cfRule>
  </conditionalFormatting>
  <conditionalFormatting sqref="D7:D16">
    <cfRule type="cellIs" dxfId="213" priority="3" operator="equal">
      <formula>"-"</formula>
    </cfRule>
  </conditionalFormatting>
  <conditionalFormatting sqref="D8:H9">
    <cfRule type="cellIs" dxfId="212" priority="23" operator="equal">
      <formula>"n/a"</formula>
    </cfRule>
  </conditionalFormatting>
  <conditionalFormatting sqref="D10:N17">
    <cfRule type="cellIs" dxfId="211" priority="2" operator="equal">
      <formula>"n/a"</formula>
    </cfRule>
  </conditionalFormatting>
  <conditionalFormatting sqref="I7:N9">
    <cfRule type="cellIs" dxfId="210" priority="1" operator="equal">
      <formula>"n/a"</formula>
    </cfRule>
  </conditionalFormatting>
  <conditionalFormatting sqref="O17">
    <cfRule type="cellIs" dxfId="209" priority="22"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Values'!$B$5:$B$9</xm:f>
          </x14:formula1>
          <xm:sqref>C7:C1048576</xm:sqref>
        </x14:dataValidation>
        <x14:dataValidation type="list" allowBlank="1" showInputMessage="1" showErrorMessage="1" xr:uid="{00000000-0002-0000-0600-000001000000}">
          <x14:formula1>
            <xm:f>'List Values'!$A$5:$A$33</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P17"/>
  <sheetViews>
    <sheetView workbookViewId="0">
      <pane ySplit="6" topLeftCell="A7" activePane="bottomLeft" state="frozen"/>
      <selection pane="bottomLeft" activeCell="A17" sqref="A17"/>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156</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Q-SB3.1</v>
      </c>
      <c r="C7" s="28" t="s">
        <v>43</v>
      </c>
      <c r="D7" s="5" t="s">
        <v>157</v>
      </c>
      <c r="E7" s="5" t="s">
        <v>60</v>
      </c>
      <c r="F7" s="5" t="s">
        <v>94</v>
      </c>
      <c r="G7" s="5" t="s">
        <v>94</v>
      </c>
      <c r="H7" s="28" t="s">
        <v>94</v>
      </c>
      <c r="I7" s="5" t="s">
        <v>95</v>
      </c>
      <c r="J7" s="5" t="s">
        <v>94</v>
      </c>
      <c r="K7" s="5" t="s">
        <v>94</v>
      </c>
      <c r="L7" s="5" t="s">
        <v>94</v>
      </c>
      <c r="M7" s="5" t="s">
        <v>94</v>
      </c>
      <c r="N7" s="5" t="s">
        <v>94</v>
      </c>
    </row>
    <row r="8" spans="1:16">
      <c r="A8" s="5">
        <v>2</v>
      </c>
      <c r="B8" s="5" t="str">
        <f t="shared" si="0"/>
        <v>Q-SB3.2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Q-SB3.3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Q-SB3.4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Q-SB3.5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Q-SB3.6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Q-SB3.6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Q-SB3.7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Q-SB3.8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7000000}"/>
  <mergeCells count="2">
    <mergeCell ref="A10:E10"/>
    <mergeCell ref="A14:E14"/>
  </mergeCells>
  <conditionalFormatting sqref="A10">
    <cfRule type="cellIs" dxfId="208" priority="1" operator="equal">
      <formula>"n/a"</formula>
    </cfRule>
  </conditionalFormatting>
  <conditionalFormatting sqref="A14 F14:XFD14">
    <cfRule type="cellIs" dxfId="207" priority="8" operator="equal">
      <formula>"n/a"</formula>
    </cfRule>
  </conditionalFormatting>
  <conditionalFormatting sqref="A7:XFD9 B16:C17 E16:N17">
    <cfRule type="cellIs" dxfId="206" priority="12" operator="equal">
      <formula>"n/a"</formula>
    </cfRule>
  </conditionalFormatting>
  <conditionalFormatting sqref="A11:XFD13">
    <cfRule type="cellIs" dxfId="205" priority="2" operator="equal">
      <formula>"n/a"</formula>
    </cfRule>
  </conditionalFormatting>
  <conditionalFormatting sqref="A15:XFD15">
    <cfRule type="cellIs" dxfId="204" priority="11" operator="equal">
      <formula>"n/a"</formula>
    </cfRule>
  </conditionalFormatting>
  <conditionalFormatting sqref="C7:C9 C11:C13 C15:C1048576">
    <cfRule type="cellIs" dxfId="203" priority="14" operator="equal">
      <formula>"WIP (see comments)"</formula>
    </cfRule>
    <cfRule type="cellIs" dxfId="202" priority="15" operator="equal">
      <formula>"Removed"</formula>
    </cfRule>
    <cfRule type="cellIs" dxfId="201" priority="16" operator="equal">
      <formula>"Updated"</formula>
    </cfRule>
    <cfRule type="cellIs" dxfId="200" priority="17" operator="equal">
      <formula>"New"</formula>
    </cfRule>
  </conditionalFormatting>
  <conditionalFormatting sqref="D7:D9 D11:D13">
    <cfRule type="cellIs" dxfId="199" priority="13" operator="equal">
      <formula>"-"</formula>
    </cfRule>
  </conditionalFormatting>
  <conditionalFormatting sqref="F10:XFD10">
    <cfRule type="cellIs" dxfId="198"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Values'!$B$5:$B$9</xm:f>
          </x14:formula1>
          <xm:sqref>C7:C9 C11:C13 C15:C1048576</xm:sqref>
        </x14:dataValidation>
        <x14:dataValidation type="list" allowBlank="1" showInputMessage="1" showErrorMessage="1" xr:uid="{00000000-0002-0000-0700-000001000000}">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7"/>
  <sheetViews>
    <sheetView workbookViewId="0">
      <pane ySplit="6" topLeftCell="A7" activePane="bottomLeft" state="frozen"/>
      <selection pane="bottomLeft"/>
    </sheetView>
  </sheetViews>
  <sheetFormatPr defaultColWidth="9.140625" defaultRowHeight="15"/>
  <cols>
    <col min="1" max="1" width="14.7109375" style="5" customWidth="1"/>
    <col min="2" max="2" width="12.5703125" style="5" customWidth="1"/>
    <col min="3" max="3" width="15.710937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110</v>
      </c>
      <c r="C1" s="20"/>
      <c r="D1" s="17" t="s">
        <v>111</v>
      </c>
      <c r="F1" s="31"/>
      <c r="H1" s="22"/>
    </row>
    <row r="2" spans="1:16" s="18" customFormat="1" ht="18.75">
      <c r="A2" s="16" t="s">
        <v>72</v>
      </c>
      <c r="B2" s="23" t="s">
        <v>158</v>
      </c>
      <c r="C2" s="22"/>
      <c r="D2" s="23"/>
      <c r="F2" s="31"/>
      <c r="H2" s="22"/>
    </row>
    <row r="3" spans="1:16" s="18" customFormat="1" ht="18.75">
      <c r="A3" s="16" t="s">
        <v>73</v>
      </c>
      <c r="B3" s="23"/>
      <c r="C3" s="22"/>
      <c r="D3" s="23"/>
      <c r="F3" s="31"/>
      <c r="H3" s="22"/>
    </row>
    <row r="4" spans="1:16" s="18" customFormat="1" ht="18.75">
      <c r="A4" s="16" t="s">
        <v>75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Q-SB4.1</v>
      </c>
      <c r="C7" s="28" t="s">
        <v>43</v>
      </c>
      <c r="D7" s="5" t="s">
        <v>159</v>
      </c>
      <c r="E7" s="5" t="s">
        <v>60</v>
      </c>
      <c r="F7" s="5" t="s">
        <v>94</v>
      </c>
      <c r="G7" s="5" t="s">
        <v>94</v>
      </c>
      <c r="H7" s="28" t="s">
        <v>94</v>
      </c>
      <c r="I7" s="5" t="s">
        <v>95</v>
      </c>
      <c r="J7" s="5" t="s">
        <v>94</v>
      </c>
      <c r="K7" s="5" t="s">
        <v>94</v>
      </c>
      <c r="L7" s="5" t="s">
        <v>94</v>
      </c>
      <c r="M7" s="5" t="s">
        <v>94</v>
      </c>
      <c r="N7" s="5" t="s">
        <v>94</v>
      </c>
    </row>
    <row r="8" spans="1:16">
      <c r="A8" s="5">
        <v>2</v>
      </c>
      <c r="B8" s="5" t="str">
        <f t="shared" si="0"/>
        <v>Q-SB4.2</v>
      </c>
      <c r="C8" s="28" t="s">
        <v>43</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Q-SB4.3</v>
      </c>
      <c r="C9" s="28" t="s">
        <v>43</v>
      </c>
      <c r="D9" s="32" t="s">
        <v>117</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Q-SB4.4</v>
      </c>
      <c r="C11" s="28" t="s">
        <v>43</v>
      </c>
      <c r="D11" s="32" t="s">
        <v>119</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Q-SB4.5</v>
      </c>
      <c r="C12" s="28" t="s">
        <v>43</v>
      </c>
      <c r="D12" s="32" t="s">
        <v>119</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Q-SB4.6</v>
      </c>
      <c r="C13" s="28" t="s">
        <v>43</v>
      </c>
      <c r="D13" s="32" t="s">
        <v>119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Q-SB4.6</v>
      </c>
      <c r="C15" s="28" t="s">
        <v>43</v>
      </c>
      <c r="D15" s="5" t="s">
        <v>106</v>
      </c>
      <c r="E15" s="5" t="s">
        <v>38</v>
      </c>
      <c r="F15" s="5" t="s">
        <v>94</v>
      </c>
      <c r="G15" s="5" t="s">
        <v>94</v>
      </c>
      <c r="H15" s="28" t="s">
        <v>94</v>
      </c>
      <c r="I15" s="5" t="s">
        <v>95</v>
      </c>
      <c r="J15" s="5" t="s">
        <v>94</v>
      </c>
      <c r="K15" s="5" t="s">
        <v>94</v>
      </c>
      <c r="L15" s="5" t="s">
        <v>94</v>
      </c>
      <c r="M15" s="5" t="s">
        <v>94</v>
      </c>
      <c r="N15" s="5" t="s">
        <v>94</v>
      </c>
      <c r="O15" s="5" t="s">
        <v>123</v>
      </c>
    </row>
    <row r="16" spans="1:16" ht="30">
      <c r="A16" s="5">
        <v>7</v>
      </c>
      <c r="B16" s="5" t="str">
        <f t="shared" si="0"/>
        <v>Q-SB4.7</v>
      </c>
      <c r="C16" s="28" t="s">
        <v>43</v>
      </c>
      <c r="D16" s="5" t="s">
        <v>108</v>
      </c>
      <c r="E16" s="5" t="s">
        <v>38</v>
      </c>
      <c r="F16" s="5" t="s">
        <v>94</v>
      </c>
      <c r="G16" s="5" t="s">
        <v>94</v>
      </c>
      <c r="H16" s="28" t="s">
        <v>94</v>
      </c>
      <c r="I16" s="5" t="s">
        <v>95</v>
      </c>
      <c r="J16" s="5" t="s">
        <v>94</v>
      </c>
      <c r="K16" s="5" t="s">
        <v>94</v>
      </c>
      <c r="L16" s="5" t="s">
        <v>94</v>
      </c>
      <c r="M16" s="5" t="s">
        <v>94</v>
      </c>
      <c r="N16" s="5" t="s">
        <v>94</v>
      </c>
      <c r="O16" s="32" t="s">
        <v>124</v>
      </c>
      <c r="P16" s="5" t="s">
        <v>125</v>
      </c>
    </row>
    <row r="17" spans="1:15" ht="30">
      <c r="A17" s="5">
        <v>8</v>
      </c>
      <c r="B17" s="5" t="str">
        <f t="shared" si="0"/>
        <v>Q-SB4.8</v>
      </c>
      <c r="C17" s="28" t="s">
        <v>43</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8000000}"/>
  <mergeCells count="2">
    <mergeCell ref="A10:E10"/>
    <mergeCell ref="A14:E14"/>
  </mergeCells>
  <conditionalFormatting sqref="A10">
    <cfRule type="cellIs" dxfId="197" priority="1" operator="equal">
      <formula>"n/a"</formula>
    </cfRule>
  </conditionalFormatting>
  <conditionalFormatting sqref="A14 F14:XFD14">
    <cfRule type="cellIs" dxfId="196" priority="8" operator="equal">
      <formula>"n/a"</formula>
    </cfRule>
  </conditionalFormatting>
  <conditionalFormatting sqref="A7:XFD9 B16:C17 E16:N17">
    <cfRule type="cellIs" dxfId="195" priority="12" operator="equal">
      <formula>"n/a"</formula>
    </cfRule>
  </conditionalFormatting>
  <conditionalFormatting sqref="A11:XFD13">
    <cfRule type="cellIs" dxfId="194" priority="2" operator="equal">
      <formula>"n/a"</formula>
    </cfRule>
  </conditionalFormatting>
  <conditionalFormatting sqref="A15:XFD15">
    <cfRule type="cellIs" dxfId="193" priority="11" operator="equal">
      <formula>"n/a"</formula>
    </cfRule>
  </conditionalFormatting>
  <conditionalFormatting sqref="C7:C9 C11:C13 C15:C1048576">
    <cfRule type="cellIs" dxfId="192" priority="14" operator="equal">
      <formula>"WIP (see comments)"</formula>
    </cfRule>
    <cfRule type="cellIs" dxfId="191" priority="15" operator="equal">
      <formula>"Removed"</formula>
    </cfRule>
    <cfRule type="cellIs" dxfId="190" priority="16" operator="equal">
      <formula>"Updated"</formula>
    </cfRule>
    <cfRule type="cellIs" dxfId="189" priority="17" operator="equal">
      <formula>"New"</formula>
    </cfRule>
  </conditionalFormatting>
  <conditionalFormatting sqref="D7:D9 D11:D13">
    <cfRule type="cellIs" dxfId="188" priority="13" operator="equal">
      <formula>"-"</formula>
    </cfRule>
  </conditionalFormatting>
  <conditionalFormatting sqref="F10:XFD10">
    <cfRule type="cellIs" dxfId="187"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 Values'!$B$5:$B$9</xm:f>
          </x14:formula1>
          <xm:sqref>C7:C9 C11:C13 C15:C1048576</xm:sqref>
        </x14:dataValidation>
        <x14:dataValidation type="list" allowBlank="1" showInputMessage="1" showErrorMessage="1" xr:uid="{00000000-0002-0000-0800-000001000000}">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B29"/>
  <sheetViews>
    <sheetView zoomScaleNormal="100" workbookViewId="0">
      <pane xSplit="4" ySplit="6" topLeftCell="E12" activePane="bottomRight" state="frozen"/>
      <selection pane="bottomRight" activeCell="D3" sqref="D3"/>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58.57031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600000000000001" hidden="1" customHeight="1">
      <c r="A1" s="16" t="s">
        <v>69</v>
      </c>
      <c r="B1" s="24" t="s">
        <v>160</v>
      </c>
      <c r="C1" s="20"/>
      <c r="D1" s="17"/>
      <c r="F1" s="31"/>
      <c r="H1" s="22"/>
    </row>
    <row r="2" spans="1:16" s="18" customFormat="1" ht="18.75">
      <c r="A2" s="16" t="s">
        <v>72</v>
      </c>
      <c r="B2" s="23">
        <v>2</v>
      </c>
      <c r="C2" s="22"/>
      <c r="E2" s="23" t="s">
        <v>161</v>
      </c>
      <c r="F2" s="31"/>
      <c r="H2" s="22"/>
    </row>
    <row r="3" spans="1:16" s="18" customFormat="1" ht="18.75">
      <c r="A3" s="16" t="s">
        <v>73</v>
      </c>
      <c r="B3" s="23" t="s">
        <v>162</v>
      </c>
      <c r="C3" s="22"/>
      <c r="D3" s="43" t="s">
        <v>163</v>
      </c>
      <c r="E3" s="23" t="s">
        <v>164</v>
      </c>
      <c r="F3" s="31"/>
      <c r="H3" s="22"/>
    </row>
    <row r="4" spans="1:16" s="18" customFormat="1" ht="18.75">
      <c r="A4" s="16" t="s">
        <v>75</v>
      </c>
      <c r="B4" s="18" t="s">
        <v>95</v>
      </c>
      <c r="C4" s="22"/>
      <c r="E4" s="18" t="s">
        <v>165</v>
      </c>
      <c r="F4" s="31"/>
      <c r="H4" s="22"/>
    </row>
    <row r="5" spans="1:16" s="4" customFormat="1" ht="18.75">
      <c r="C5" s="27"/>
      <c r="E5" s="18" t="s">
        <v>166</v>
      </c>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10" si="0">CONCATENATE($B$2, ".", A7)</f>
        <v>2.1</v>
      </c>
      <c r="C7" s="28" t="s">
        <v>41</v>
      </c>
      <c r="D7" s="5" t="s">
        <v>167</v>
      </c>
      <c r="E7" s="5" t="s">
        <v>65</v>
      </c>
      <c r="F7" s="5" t="s">
        <v>94</v>
      </c>
      <c r="G7" s="5" t="s">
        <v>94</v>
      </c>
      <c r="H7" s="28" t="s">
        <v>94</v>
      </c>
      <c r="I7" s="5" t="s">
        <v>95</v>
      </c>
      <c r="J7" s="5" t="s">
        <v>94</v>
      </c>
      <c r="K7" s="5" t="s">
        <v>94</v>
      </c>
      <c r="L7" s="5" t="s">
        <v>94</v>
      </c>
      <c r="M7" s="5" t="s">
        <v>94</v>
      </c>
      <c r="N7" s="5" t="s">
        <v>94</v>
      </c>
      <c r="O7" s="5" t="s">
        <v>94</v>
      </c>
    </row>
    <row r="8" spans="1:16">
      <c r="A8" s="5">
        <v>2</v>
      </c>
      <c r="B8" s="5" t="str">
        <f t="shared" si="0"/>
        <v>2.2</v>
      </c>
      <c r="C8" s="28" t="s">
        <v>41</v>
      </c>
      <c r="D8" s="5" t="s">
        <v>94</v>
      </c>
      <c r="E8" s="5" t="s">
        <v>54</v>
      </c>
      <c r="F8" s="5" t="s">
        <v>94</v>
      </c>
      <c r="G8" s="5" t="s">
        <v>94</v>
      </c>
      <c r="H8" s="28" t="s">
        <v>94</v>
      </c>
      <c r="I8" s="5" t="s">
        <v>95</v>
      </c>
      <c r="J8" s="5" t="s">
        <v>94</v>
      </c>
      <c r="K8" s="5" t="s">
        <v>94</v>
      </c>
      <c r="L8" s="5" t="s">
        <v>94</v>
      </c>
      <c r="M8" s="5" t="s">
        <v>94</v>
      </c>
      <c r="N8" s="5" t="s">
        <v>94</v>
      </c>
      <c r="O8" s="5" t="s">
        <v>94</v>
      </c>
    </row>
    <row r="9" spans="1:16" ht="45">
      <c r="A9" s="5">
        <v>3</v>
      </c>
      <c r="B9" s="5" t="str">
        <f t="shared" si="0"/>
        <v>2.3</v>
      </c>
      <c r="C9" s="28" t="s">
        <v>39</v>
      </c>
      <c r="D9" s="39" t="s">
        <v>168</v>
      </c>
      <c r="E9" s="5" t="s">
        <v>63</v>
      </c>
      <c r="F9" s="5" t="s">
        <v>94</v>
      </c>
      <c r="G9" s="5" t="s">
        <v>94</v>
      </c>
      <c r="H9" s="28" t="s">
        <v>94</v>
      </c>
      <c r="I9" s="5" t="s">
        <v>169</v>
      </c>
      <c r="J9" s="5" t="s">
        <v>94</v>
      </c>
      <c r="K9" s="5" t="s">
        <v>94</v>
      </c>
      <c r="L9" s="5" t="s">
        <v>94</v>
      </c>
      <c r="M9" s="5" t="s">
        <v>94</v>
      </c>
      <c r="N9" s="5" t="s">
        <v>94</v>
      </c>
      <c r="O9" s="5" t="s">
        <v>170</v>
      </c>
      <c r="P9" s="5" t="s">
        <v>171</v>
      </c>
    </row>
    <row r="10" spans="1:16">
      <c r="A10" s="5">
        <v>4</v>
      </c>
      <c r="B10" s="5" t="str">
        <f t="shared" si="0"/>
        <v>2.4</v>
      </c>
      <c r="C10" s="28" t="s">
        <v>41</v>
      </c>
      <c r="D10" s="5" t="s">
        <v>172</v>
      </c>
      <c r="E10" s="5" t="s">
        <v>60</v>
      </c>
      <c r="F10" s="5" t="s">
        <v>94</v>
      </c>
      <c r="G10" s="5" t="s">
        <v>94</v>
      </c>
      <c r="H10" s="28" t="s">
        <v>94</v>
      </c>
      <c r="I10" s="5" t="s">
        <v>95</v>
      </c>
      <c r="J10" s="5" t="s">
        <v>94</v>
      </c>
      <c r="K10" s="5" t="s">
        <v>94</v>
      </c>
      <c r="L10" s="5" t="s">
        <v>94</v>
      </c>
      <c r="M10" s="5" t="s">
        <v>94</v>
      </c>
      <c r="N10" s="5" t="s">
        <v>94</v>
      </c>
    </row>
    <row r="11" spans="1:16" ht="45">
      <c r="A11" s="5">
        <v>5</v>
      </c>
      <c r="B11" s="5" t="str">
        <f>CONCATENATE($B$2, ".", A11)</f>
        <v>2.5</v>
      </c>
      <c r="C11" s="28" t="s">
        <v>41</v>
      </c>
      <c r="D11" s="5" t="s">
        <v>173</v>
      </c>
      <c r="E11" s="5" t="s">
        <v>57</v>
      </c>
      <c r="F11" s="5" t="s">
        <v>174</v>
      </c>
      <c r="G11" s="5" t="s">
        <v>94</v>
      </c>
      <c r="H11" s="28" t="s">
        <v>94</v>
      </c>
      <c r="I11" s="5" t="s">
        <v>95</v>
      </c>
      <c r="J11" s="5" t="s">
        <v>175</v>
      </c>
      <c r="K11" s="5" t="s">
        <v>94</v>
      </c>
      <c r="L11" s="5" t="s">
        <v>94</v>
      </c>
      <c r="M11" s="5" t="s">
        <v>94</v>
      </c>
      <c r="N11" s="5" t="s">
        <v>94</v>
      </c>
      <c r="O11" s="5" t="s">
        <v>176</v>
      </c>
    </row>
    <row r="12" spans="1:16" ht="45">
      <c r="A12" s="5">
        <v>6</v>
      </c>
      <c r="B12" s="5" t="str">
        <f>CONCATENATE($B$2, ".", A12)</f>
        <v>2.6</v>
      </c>
      <c r="C12" s="28" t="s">
        <v>41</v>
      </c>
      <c r="D12" s="5" t="s">
        <v>177</v>
      </c>
      <c r="E12" s="5" t="s">
        <v>57</v>
      </c>
      <c r="F12" s="5" t="s">
        <v>174</v>
      </c>
      <c r="G12" s="5" t="s">
        <v>94</v>
      </c>
      <c r="H12" s="28" t="s">
        <v>94</v>
      </c>
      <c r="I12" s="5" t="s">
        <v>95</v>
      </c>
      <c r="J12" s="5" t="s">
        <v>178</v>
      </c>
      <c r="K12" s="5" t="s">
        <v>94</v>
      </c>
      <c r="L12" s="5" t="s">
        <v>94</v>
      </c>
      <c r="M12" s="5" t="s">
        <v>94</v>
      </c>
      <c r="N12" s="5" t="s">
        <v>94</v>
      </c>
      <c r="O12" s="5" t="s">
        <v>179</v>
      </c>
    </row>
    <row r="13" spans="1:16" s="26" customFormat="1" ht="15" customHeight="1">
      <c r="A13" s="36" t="s">
        <v>180</v>
      </c>
      <c r="B13" s="36"/>
      <c r="C13" s="36"/>
      <c r="D13" s="36"/>
      <c r="E13" s="36"/>
      <c r="F13" s="36"/>
    </row>
    <row r="14" spans="1:16" ht="165">
      <c r="A14" s="5">
        <v>7</v>
      </c>
      <c r="B14" s="5" t="str">
        <f>CONCATENATE($B$2, ".", A14)</f>
        <v>2.7</v>
      </c>
      <c r="C14" s="28" t="s">
        <v>41</v>
      </c>
      <c r="D14" s="5" t="s">
        <v>181</v>
      </c>
      <c r="E14" s="5" t="s">
        <v>40</v>
      </c>
      <c r="F14" s="5" t="s">
        <v>94</v>
      </c>
      <c r="G14" s="5" t="s">
        <v>94</v>
      </c>
      <c r="H14" s="28" t="s">
        <v>94</v>
      </c>
      <c r="I14" s="5" t="s">
        <v>95</v>
      </c>
      <c r="J14" s="5" t="s">
        <v>182</v>
      </c>
      <c r="K14" s="5" t="s">
        <v>94</v>
      </c>
      <c r="L14" s="5" t="s">
        <v>94</v>
      </c>
      <c r="M14" s="5" t="s">
        <v>94</v>
      </c>
      <c r="N14" s="5" t="s">
        <v>94</v>
      </c>
      <c r="O14" s="5" t="s">
        <v>183</v>
      </c>
    </row>
    <row r="15" spans="1:16">
      <c r="A15" s="5">
        <v>8</v>
      </c>
      <c r="B15" s="5" t="str">
        <f>CONCATENATE($B$2, ".", A15)</f>
        <v>2.8</v>
      </c>
      <c r="C15" s="28" t="s">
        <v>43</v>
      </c>
      <c r="D15" s="5" t="s">
        <v>184</v>
      </c>
      <c r="E15" s="5" t="s">
        <v>53</v>
      </c>
      <c r="F15" s="5" t="s">
        <v>94</v>
      </c>
      <c r="G15" s="5" t="s">
        <v>94</v>
      </c>
      <c r="H15" s="28" t="s">
        <v>94</v>
      </c>
      <c r="I15" s="5" t="s">
        <v>95</v>
      </c>
      <c r="J15" s="5" t="s">
        <v>94</v>
      </c>
      <c r="K15" s="5" t="s">
        <v>94</v>
      </c>
      <c r="L15" s="5" t="s">
        <v>94</v>
      </c>
      <c r="M15" s="5" t="s">
        <v>94</v>
      </c>
      <c r="N15" s="5" t="s">
        <v>94</v>
      </c>
    </row>
    <row r="16" spans="1:16">
      <c r="A16" s="5">
        <v>9</v>
      </c>
      <c r="B16" s="5" t="str">
        <f>CONCATENATE($B$2, ".", A16)</f>
        <v>2.9</v>
      </c>
      <c r="C16" s="28" t="s">
        <v>41</v>
      </c>
      <c r="D16" s="5" t="s">
        <v>134</v>
      </c>
      <c r="E16" s="5" t="s">
        <v>61</v>
      </c>
      <c r="F16" s="5" t="s">
        <v>94</v>
      </c>
      <c r="G16" s="5" t="s">
        <v>94</v>
      </c>
      <c r="H16" s="28" t="s">
        <v>94</v>
      </c>
      <c r="I16" s="5" t="s">
        <v>95</v>
      </c>
      <c r="J16" s="5" t="s">
        <v>94</v>
      </c>
      <c r="K16" s="5" t="s">
        <v>94</v>
      </c>
      <c r="L16" s="5" t="s">
        <v>94</v>
      </c>
      <c r="M16" s="5" t="s">
        <v>94</v>
      </c>
      <c r="N16" s="5" t="s">
        <v>94</v>
      </c>
    </row>
    <row r="17" spans="1:28">
      <c r="A17" s="5">
        <v>10</v>
      </c>
      <c r="B17" s="5" t="str">
        <f t="shared" ref="B17:B23" si="1">CONCATENATE($B$2, ".", A17)</f>
        <v>2.10</v>
      </c>
      <c r="C17" s="28" t="s">
        <v>41</v>
      </c>
      <c r="D17" s="5" t="s">
        <v>136</v>
      </c>
      <c r="E17" s="5" t="s">
        <v>49</v>
      </c>
      <c r="F17" s="5" t="s">
        <v>94</v>
      </c>
      <c r="G17" s="5" t="s">
        <v>94</v>
      </c>
      <c r="H17" s="28" t="s">
        <v>94</v>
      </c>
      <c r="I17" s="5" t="s">
        <v>95</v>
      </c>
      <c r="J17" s="5" t="s">
        <v>94</v>
      </c>
      <c r="K17" s="5" t="s">
        <v>94</v>
      </c>
      <c r="L17" s="5" t="s">
        <v>94</v>
      </c>
      <c r="M17" s="5" t="s">
        <v>94</v>
      </c>
      <c r="N17" s="5" t="s">
        <v>94</v>
      </c>
    </row>
    <row r="18" spans="1:28" ht="60">
      <c r="A18" s="5">
        <v>11</v>
      </c>
      <c r="B18" s="5" t="str">
        <f t="shared" si="1"/>
        <v>2.11</v>
      </c>
      <c r="C18" s="28" t="s">
        <v>41</v>
      </c>
      <c r="D18" s="5" t="s">
        <v>141</v>
      </c>
      <c r="E18" s="5" t="s">
        <v>49</v>
      </c>
      <c r="F18" s="5" t="s">
        <v>94</v>
      </c>
      <c r="G18" s="5" t="s">
        <v>94</v>
      </c>
      <c r="H18" s="28" t="s">
        <v>94</v>
      </c>
      <c r="I18" s="5" t="s">
        <v>169</v>
      </c>
      <c r="J18" s="5" t="s">
        <v>94</v>
      </c>
      <c r="K18" s="5" t="s">
        <v>94</v>
      </c>
      <c r="L18" s="5" t="s">
        <v>94</v>
      </c>
      <c r="M18" s="5" t="s">
        <v>94</v>
      </c>
      <c r="N18" s="5" t="s">
        <v>94</v>
      </c>
      <c r="O18" s="5" t="s">
        <v>185</v>
      </c>
    </row>
    <row r="19" spans="1:28" ht="60">
      <c r="A19" s="5">
        <v>12</v>
      </c>
      <c r="B19" s="5" t="str">
        <f>CONCATENATE($B$2, ".", A19)</f>
        <v>2.12</v>
      </c>
      <c r="C19" s="28" t="s">
        <v>41</v>
      </c>
      <c r="D19" s="5" t="s">
        <v>144</v>
      </c>
      <c r="E19" s="5" t="s">
        <v>49</v>
      </c>
      <c r="F19" s="5" t="s">
        <v>94</v>
      </c>
      <c r="G19" s="5" t="s">
        <v>94</v>
      </c>
      <c r="H19" s="28" t="s">
        <v>94</v>
      </c>
      <c r="I19" s="5" t="s">
        <v>95</v>
      </c>
      <c r="J19" s="5" t="s">
        <v>94</v>
      </c>
      <c r="K19" s="5" t="s">
        <v>94</v>
      </c>
      <c r="L19" s="5" t="s">
        <v>94</v>
      </c>
      <c r="M19" s="5" t="s">
        <v>94</v>
      </c>
      <c r="N19" s="5" t="s">
        <v>94</v>
      </c>
      <c r="O19" s="5" t="s">
        <v>186</v>
      </c>
    </row>
    <row r="20" spans="1:28" ht="60">
      <c r="A20" s="5">
        <v>13</v>
      </c>
      <c r="B20" s="5" t="str">
        <f t="shared" ref="B20:B21" si="2">CONCATENATE($B$2, ".", A20)</f>
        <v>2.13</v>
      </c>
      <c r="C20" s="28" t="s">
        <v>41</v>
      </c>
      <c r="D20" s="5" t="s">
        <v>146</v>
      </c>
      <c r="E20" s="5" t="s">
        <v>49</v>
      </c>
      <c r="F20" s="5" t="s">
        <v>94</v>
      </c>
      <c r="G20" s="5" t="s">
        <v>94</v>
      </c>
      <c r="H20" s="28" t="s">
        <v>94</v>
      </c>
      <c r="I20" s="5" t="s">
        <v>169</v>
      </c>
      <c r="J20" s="5" t="s">
        <v>94</v>
      </c>
      <c r="K20" s="5" t="s">
        <v>94</v>
      </c>
      <c r="L20" s="5" t="s">
        <v>94</v>
      </c>
      <c r="M20" s="5" t="s">
        <v>94</v>
      </c>
      <c r="N20" s="5" t="s">
        <v>94</v>
      </c>
      <c r="O20" s="5" t="s">
        <v>187</v>
      </c>
    </row>
    <row r="21" spans="1:28" ht="60">
      <c r="A21" s="5">
        <v>14</v>
      </c>
      <c r="B21" s="5" t="str">
        <f t="shared" si="2"/>
        <v>2.14</v>
      </c>
      <c r="C21" s="28" t="s">
        <v>41</v>
      </c>
      <c r="D21" s="5" t="s">
        <v>149</v>
      </c>
      <c r="E21" s="5" t="s">
        <v>49</v>
      </c>
      <c r="F21" s="5" t="s">
        <v>94</v>
      </c>
      <c r="G21" s="5" t="s">
        <v>94</v>
      </c>
      <c r="H21" s="28" t="s">
        <v>94</v>
      </c>
      <c r="I21" s="5" t="s">
        <v>169</v>
      </c>
      <c r="J21" s="5" t="s">
        <v>94</v>
      </c>
      <c r="K21" s="5" t="s">
        <v>94</v>
      </c>
      <c r="L21" s="5" t="s">
        <v>94</v>
      </c>
      <c r="M21" s="5" t="s">
        <v>94</v>
      </c>
      <c r="N21" s="5" t="s">
        <v>94</v>
      </c>
      <c r="O21" s="5" t="s">
        <v>188</v>
      </c>
    </row>
    <row r="22" spans="1:28" ht="30">
      <c r="A22" s="5">
        <v>15</v>
      </c>
      <c r="B22" s="5" t="str">
        <f>CONCATENATE($B$2, ".", A22)</f>
        <v>2.15</v>
      </c>
      <c r="C22" s="28" t="s">
        <v>41</v>
      </c>
      <c r="D22" s="5" t="s">
        <v>189</v>
      </c>
      <c r="E22" s="5" t="s">
        <v>62</v>
      </c>
      <c r="F22" s="5" t="s">
        <v>94</v>
      </c>
      <c r="G22" s="5" t="s">
        <v>94</v>
      </c>
      <c r="H22" s="28" t="s">
        <v>94</v>
      </c>
      <c r="I22" s="5" t="s">
        <v>95</v>
      </c>
      <c r="J22" s="5" t="s">
        <v>94</v>
      </c>
      <c r="K22" s="5" t="s">
        <v>94</v>
      </c>
      <c r="L22" s="5" t="s">
        <v>94</v>
      </c>
      <c r="M22" s="5" t="s">
        <v>94</v>
      </c>
      <c r="N22" s="5" t="s">
        <v>94</v>
      </c>
      <c r="O22" s="5" t="s">
        <v>190</v>
      </c>
    </row>
    <row r="23" spans="1:28" s="26" customFormat="1" ht="141.6" customHeight="1">
      <c r="A23" s="5">
        <v>16</v>
      </c>
      <c r="B23" s="5" t="str">
        <f t="shared" si="1"/>
        <v>2.16</v>
      </c>
      <c r="C23" s="28" t="s">
        <v>41</v>
      </c>
      <c r="D23" s="5" t="s">
        <v>191</v>
      </c>
      <c r="E23" s="5" t="s">
        <v>55</v>
      </c>
      <c r="F23" s="5" t="s">
        <v>192</v>
      </c>
      <c r="G23" s="5" t="s">
        <v>94</v>
      </c>
      <c r="H23" s="28">
        <v>1</v>
      </c>
      <c r="I23" s="5" t="s">
        <v>193</v>
      </c>
      <c r="J23" s="34" t="s">
        <v>182</v>
      </c>
      <c r="K23" s="5" t="s">
        <v>94</v>
      </c>
      <c r="L23" s="5" t="s">
        <v>94</v>
      </c>
      <c r="M23" s="5" t="s">
        <v>94</v>
      </c>
      <c r="N23" s="5" t="s">
        <v>94</v>
      </c>
      <c r="O23" s="5" t="s">
        <v>194</v>
      </c>
      <c r="P23" s="5"/>
      <c r="Q23" s="38"/>
      <c r="R23" s="38"/>
      <c r="S23" s="38"/>
      <c r="T23" s="38"/>
      <c r="U23" s="38"/>
      <c r="V23" s="38"/>
      <c r="W23" s="38"/>
      <c r="X23" s="38"/>
      <c r="Y23" s="38"/>
      <c r="Z23" s="38"/>
      <c r="AA23" s="38"/>
      <c r="AB23" s="38"/>
    </row>
    <row r="24" spans="1:28">
      <c r="A24" s="36" t="s">
        <v>195</v>
      </c>
      <c r="B24" s="36"/>
      <c r="C24" s="36"/>
      <c r="D24" s="36"/>
      <c r="E24" s="36"/>
      <c r="F24" s="36"/>
      <c r="G24" s="26"/>
      <c r="H24" s="26"/>
      <c r="I24" s="26"/>
      <c r="J24" s="26"/>
      <c r="K24" s="26"/>
      <c r="L24" s="26"/>
      <c r="M24" s="26"/>
      <c r="N24" s="26"/>
      <c r="O24" s="26"/>
      <c r="P24" s="26"/>
    </row>
    <row r="25" spans="1:28" ht="45">
      <c r="A25" s="5">
        <v>17</v>
      </c>
      <c r="B25" s="5" t="str">
        <f>CONCATENATE($B$2, ".", A25)</f>
        <v>2.17</v>
      </c>
      <c r="C25" s="28" t="s">
        <v>41</v>
      </c>
      <c r="D25" s="5" t="s">
        <v>196</v>
      </c>
      <c r="E25" s="5" t="s">
        <v>38</v>
      </c>
      <c r="F25" s="5" t="s">
        <v>197</v>
      </c>
      <c r="G25" s="5" t="s">
        <v>94</v>
      </c>
      <c r="H25" s="28" t="s">
        <v>94</v>
      </c>
      <c r="I25" s="5" t="s">
        <v>95</v>
      </c>
      <c r="J25" s="34" t="s">
        <v>182</v>
      </c>
      <c r="K25" s="5" t="s">
        <v>94</v>
      </c>
      <c r="L25" s="5" t="s">
        <v>94</v>
      </c>
      <c r="M25" s="5" t="s">
        <v>94</v>
      </c>
      <c r="N25" s="5" t="s">
        <v>94</v>
      </c>
      <c r="O25" s="5" t="s">
        <v>198</v>
      </c>
    </row>
    <row r="26" spans="1:28">
      <c r="A26" s="5">
        <v>18</v>
      </c>
      <c r="B26" s="5" t="str">
        <f>CONCATENATE($B$2, ".", A26)</f>
        <v>2.18</v>
      </c>
      <c r="C26" s="28" t="s">
        <v>41</v>
      </c>
      <c r="D26" s="5" t="s">
        <v>199</v>
      </c>
      <c r="E26" s="5" t="s">
        <v>38</v>
      </c>
      <c r="F26" s="5" t="s">
        <v>94</v>
      </c>
      <c r="G26" s="5" t="s">
        <v>94</v>
      </c>
      <c r="H26" s="28" t="s">
        <v>94</v>
      </c>
      <c r="I26" s="5" t="s">
        <v>95</v>
      </c>
      <c r="J26" s="5" t="s">
        <v>94</v>
      </c>
      <c r="K26" s="5" t="s">
        <v>94</v>
      </c>
      <c r="L26" s="5" t="s">
        <v>94</v>
      </c>
      <c r="M26" s="5" t="s">
        <v>94</v>
      </c>
      <c r="N26" s="5" t="s">
        <v>94</v>
      </c>
    </row>
    <row r="27" spans="1:28" ht="180">
      <c r="A27" s="5">
        <v>19</v>
      </c>
      <c r="B27" s="5" t="str">
        <f>CONCATENATE($B$2, ".", A27)</f>
        <v>2.19</v>
      </c>
      <c r="C27" s="28" t="s">
        <v>45</v>
      </c>
      <c r="D27" s="5" t="s">
        <v>106</v>
      </c>
      <c r="E27" s="5" t="s">
        <v>38</v>
      </c>
      <c r="F27" s="5" t="s">
        <v>94</v>
      </c>
      <c r="G27" s="5" t="s">
        <v>94</v>
      </c>
      <c r="H27" s="28" t="s">
        <v>94</v>
      </c>
      <c r="I27" s="5" t="s">
        <v>95</v>
      </c>
      <c r="J27" s="5" t="s">
        <v>94</v>
      </c>
      <c r="K27" s="5" t="s">
        <v>94</v>
      </c>
      <c r="L27" s="5" t="s">
        <v>94</v>
      </c>
      <c r="M27" s="5" t="s">
        <v>200</v>
      </c>
      <c r="N27" s="5" t="s">
        <v>201</v>
      </c>
      <c r="O27" s="5" t="s">
        <v>202</v>
      </c>
      <c r="P27" s="5" t="s">
        <v>203</v>
      </c>
    </row>
    <row r="28" spans="1:28" ht="45">
      <c r="A28" s="5">
        <v>20</v>
      </c>
      <c r="B28" s="5" t="str">
        <f>CONCATENATE($B$2, ".", A28)</f>
        <v>2.20</v>
      </c>
      <c r="C28" s="28" t="s">
        <v>45</v>
      </c>
      <c r="D28" s="5" t="s">
        <v>108</v>
      </c>
      <c r="E28" s="5" t="s">
        <v>38</v>
      </c>
      <c r="F28" s="5" t="s">
        <v>94</v>
      </c>
      <c r="G28" s="5" t="s">
        <v>94</v>
      </c>
      <c r="H28" s="28" t="s">
        <v>94</v>
      </c>
      <c r="I28" s="5" t="s">
        <v>204</v>
      </c>
      <c r="J28" s="5" t="s">
        <v>94</v>
      </c>
      <c r="K28" s="5" t="s">
        <v>94</v>
      </c>
      <c r="L28" s="5" t="s">
        <v>94</v>
      </c>
      <c r="M28" s="5" t="s">
        <v>94</v>
      </c>
      <c r="N28" s="5" t="s">
        <v>94</v>
      </c>
      <c r="O28" s="5" t="s">
        <v>205</v>
      </c>
      <c r="P28" s="5" t="s">
        <v>203</v>
      </c>
    </row>
    <row r="29" spans="1:28" ht="120">
      <c r="A29" s="5">
        <v>21</v>
      </c>
      <c r="B29" s="5" t="str">
        <f>CONCATENATE($B$2, ".", A29)</f>
        <v>2.21</v>
      </c>
      <c r="C29" s="28" t="s">
        <v>41</v>
      </c>
      <c r="D29" s="28" t="s">
        <v>206</v>
      </c>
      <c r="E29" s="5" t="s">
        <v>44</v>
      </c>
      <c r="F29" s="5" t="s">
        <v>94</v>
      </c>
      <c r="G29" s="5" t="s">
        <v>94</v>
      </c>
      <c r="H29" s="28" t="s">
        <v>94</v>
      </c>
      <c r="I29" s="34" t="s">
        <v>169</v>
      </c>
      <c r="J29" s="5" t="s">
        <v>94</v>
      </c>
      <c r="K29" s="5" t="s">
        <v>94</v>
      </c>
      <c r="L29" s="5" t="s">
        <v>94</v>
      </c>
      <c r="M29" s="5" t="s">
        <v>94</v>
      </c>
      <c r="N29" s="5" t="s">
        <v>94</v>
      </c>
      <c r="O29" s="5" t="s">
        <v>207</v>
      </c>
    </row>
  </sheetData>
  <autoFilter ref="A6:P6" xr:uid="{00000000-0009-0000-0000-000005000000}"/>
  <conditionalFormatting sqref="A15:A24">
    <cfRule type="cellIs" dxfId="186" priority="44" operator="equal">
      <formula>"n/a"</formula>
    </cfRule>
  </conditionalFormatting>
  <conditionalFormatting sqref="A14:N14">
    <cfRule type="cellIs" dxfId="185" priority="107" operator="equal">
      <formula>"n/a"</formula>
    </cfRule>
  </conditionalFormatting>
  <conditionalFormatting sqref="A25:N29">
    <cfRule type="cellIs" dxfId="184" priority="35" operator="equal">
      <formula>"n/a"</formula>
    </cfRule>
  </conditionalFormatting>
  <conditionalFormatting sqref="A7:P8 C9 E9:P9 B9:B10 A9:A13">
    <cfRule type="cellIs" dxfId="183" priority="18" operator="equal">
      <formula>"n/a"</formula>
    </cfRule>
  </conditionalFormatting>
  <conditionalFormatting sqref="B15:N23">
    <cfRule type="cellIs" dxfId="182" priority="1" operator="equal">
      <formula>"n/a"</formula>
    </cfRule>
  </conditionalFormatting>
  <conditionalFormatting sqref="C7:C12">
    <cfRule type="cellIs" dxfId="181" priority="20" operator="equal">
      <formula>"WIP (see comments)"</formula>
    </cfRule>
    <cfRule type="cellIs" dxfId="180" priority="21" operator="equal">
      <formula>"Removed"</formula>
    </cfRule>
    <cfRule type="cellIs" dxfId="179" priority="22" operator="equal">
      <formula>"Updated"</formula>
    </cfRule>
    <cfRule type="cellIs" dxfId="178" priority="23" operator="equal">
      <formula>"New"</formula>
    </cfRule>
  </conditionalFormatting>
  <conditionalFormatting sqref="C14:C23">
    <cfRule type="cellIs" dxfId="177" priority="3" operator="equal">
      <formula>"WIP (see comments)"</formula>
    </cfRule>
    <cfRule type="cellIs" dxfId="176" priority="4" operator="equal">
      <formula>"Removed"</formula>
    </cfRule>
    <cfRule type="cellIs" dxfId="175" priority="5" operator="equal">
      <formula>"Updated"</formula>
    </cfRule>
    <cfRule type="cellIs" dxfId="174" priority="6" operator="equal">
      <formula>"New"</formula>
    </cfRule>
  </conditionalFormatting>
  <conditionalFormatting sqref="C25:C1048576">
    <cfRule type="cellIs" dxfId="173" priority="41" operator="equal">
      <formula>"Removed"</formula>
    </cfRule>
    <cfRule type="cellIs" dxfId="172" priority="43" operator="equal">
      <formula>"New"</formula>
    </cfRule>
    <cfRule type="cellIs" dxfId="171" priority="42" operator="equal">
      <formula>"Updated"</formula>
    </cfRule>
    <cfRule type="cellIs" dxfId="170" priority="40" operator="equal">
      <formula>"WIP (see comments)"</formula>
    </cfRule>
  </conditionalFormatting>
  <conditionalFormatting sqref="C10:N10 P10:XFD12 B11:N12">
    <cfRule type="cellIs" dxfId="169" priority="61" operator="equal">
      <formula>"n/a"</formula>
    </cfRule>
  </conditionalFormatting>
  <conditionalFormatting sqref="D7:D8">
    <cfRule type="cellIs" dxfId="168" priority="19" operator="equal">
      <formula>"-"</formula>
    </cfRule>
  </conditionalFormatting>
  <conditionalFormatting sqref="D10:D12">
    <cfRule type="cellIs" dxfId="167" priority="62" operator="equal">
      <formula>"-"</formula>
    </cfRule>
  </conditionalFormatting>
  <conditionalFormatting sqref="D14:D23">
    <cfRule type="cellIs" dxfId="166" priority="2" operator="equal">
      <formula>"-"</formula>
    </cfRule>
  </conditionalFormatting>
  <conditionalFormatting sqref="D25:D29">
    <cfRule type="cellIs" dxfId="165" priority="39" operator="equal">
      <formula>"-"</formula>
    </cfRule>
  </conditionalFormatting>
  <conditionalFormatting sqref="G13:XFD13">
    <cfRule type="cellIs" dxfId="164" priority="45" operator="equal">
      <formula>"n/a"</formula>
    </cfRule>
  </conditionalFormatting>
  <conditionalFormatting sqref="P14:XFD23">
    <cfRule type="cellIs" dxfId="163" priority="7" operator="equal">
      <formula>"n/a"</formula>
    </cfRule>
  </conditionalFormatting>
  <conditionalFormatting sqref="Q7:XFD9 G24:P24">
    <cfRule type="cellIs" dxfId="162" priority="125" operator="equal">
      <formula>"n/a"</formula>
    </cfRule>
  </conditionalFormatting>
  <dataValidations count="1">
    <dataValidation type="list" allowBlank="1" showInputMessage="1" showErrorMessage="1" sqref="E30:E1048576" xr:uid="{00000000-0002-0000-0500-000000000000}">
      <formula1>$A$5:$A$23</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'List Values'!$B$5:$B$9</xm:f>
          </x14:formula1>
          <xm:sqref>C25:C1048576 C7:C12 C14:C23</xm:sqref>
        </x14:dataValidation>
        <x14:dataValidation type="list" allowBlank="1" showInputMessage="1" showErrorMessage="1" xr:uid="{00000000-0002-0000-0500-000002000000}">
          <x14:formula1>
            <xm:f>'List Values'!$A$5:$A$30</xm:f>
          </x14:formula1>
          <xm:sqref>E7:E29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P30"/>
  <sheetViews>
    <sheetView workbookViewId="0">
      <pane xSplit="4" ySplit="6" topLeftCell="O7" activePane="bottomRight" state="frozen"/>
      <selection pane="bottomRight" activeCell="O28" sqref="O28"/>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57.5703125" style="5" customWidth="1"/>
    <col min="5" max="5" width="28.7109375" style="5" customWidth="1"/>
    <col min="6" max="6" width="25.5703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22.140625" style="5" customWidth="1"/>
    <col min="15" max="15" width="48.42578125" style="5" customWidth="1"/>
    <col min="16" max="16" width="41.85546875" style="5" customWidth="1"/>
    <col min="17" max="16384" width="9.140625" style="5"/>
  </cols>
  <sheetData>
    <row r="1" spans="1:16" s="18" customFormat="1" ht="18.75">
      <c r="A1" s="16" t="s">
        <v>69</v>
      </c>
      <c r="B1" s="24" t="s">
        <v>208</v>
      </c>
      <c r="C1" s="20"/>
      <c r="D1" s="17"/>
      <c r="F1" s="31"/>
      <c r="H1" s="22"/>
    </row>
    <row r="2" spans="1:16" s="18" customFormat="1" ht="18.75">
      <c r="A2" s="16" t="s">
        <v>72</v>
      </c>
      <c r="B2" s="23">
        <v>3</v>
      </c>
      <c r="C2" s="22"/>
      <c r="F2" s="31"/>
      <c r="H2" s="22"/>
    </row>
    <row r="3" spans="1:16" s="18" customFormat="1" ht="18.75">
      <c r="A3" s="16" t="s">
        <v>73</v>
      </c>
      <c r="B3" s="23" t="s">
        <v>209</v>
      </c>
      <c r="C3" s="22"/>
      <c r="D3" s="43" t="s">
        <v>210</v>
      </c>
      <c r="E3" s="35" t="s">
        <v>211</v>
      </c>
      <c r="F3" s="31"/>
      <c r="H3" s="22"/>
    </row>
    <row r="4" spans="1:16" s="18" customFormat="1" ht="18.75">
      <c r="A4" s="16" t="s">
        <v>75</v>
      </c>
      <c r="B4" s="18" t="s">
        <v>95</v>
      </c>
      <c r="C4" s="22"/>
      <c r="E4" s="23" t="s">
        <v>164</v>
      </c>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8" si="0">CONCATENATE($B$2, ".", A7)</f>
        <v>3.1</v>
      </c>
      <c r="C7" s="28" t="s">
        <v>41</v>
      </c>
      <c r="D7" s="5" t="s">
        <v>212</v>
      </c>
      <c r="E7" s="5" t="s">
        <v>65</v>
      </c>
      <c r="F7" s="5" t="s">
        <v>94</v>
      </c>
      <c r="G7" s="5" t="s">
        <v>94</v>
      </c>
      <c r="H7" s="28" t="s">
        <v>94</v>
      </c>
      <c r="I7" s="5" t="s">
        <v>95</v>
      </c>
      <c r="J7" s="5" t="s">
        <v>94</v>
      </c>
      <c r="K7" s="5" t="s">
        <v>94</v>
      </c>
      <c r="L7" s="5" t="s">
        <v>94</v>
      </c>
      <c r="M7" s="5" t="s">
        <v>94</v>
      </c>
      <c r="N7" s="5" t="s">
        <v>94</v>
      </c>
      <c r="O7" s="5" t="s">
        <v>94</v>
      </c>
      <c r="P7" s="5" t="s">
        <v>96</v>
      </c>
    </row>
    <row r="8" spans="1:16">
      <c r="A8" s="5">
        <v>2</v>
      </c>
      <c r="B8" s="5" t="str">
        <f t="shared" si="0"/>
        <v>3.2</v>
      </c>
      <c r="C8" s="28" t="s">
        <v>41</v>
      </c>
      <c r="D8" s="5" t="s">
        <v>94</v>
      </c>
      <c r="E8" s="5" t="s">
        <v>54</v>
      </c>
      <c r="F8" s="5" t="s">
        <v>94</v>
      </c>
      <c r="G8" s="5" t="s">
        <v>94</v>
      </c>
      <c r="H8" s="28" t="s">
        <v>94</v>
      </c>
      <c r="I8" s="5" t="s">
        <v>95</v>
      </c>
      <c r="J8" s="5" t="s">
        <v>94</v>
      </c>
      <c r="K8" s="5" t="s">
        <v>94</v>
      </c>
      <c r="L8" s="5" t="s">
        <v>94</v>
      </c>
      <c r="M8" s="5" t="s">
        <v>94</v>
      </c>
      <c r="N8" s="5" t="s">
        <v>94</v>
      </c>
      <c r="O8" s="5" t="s">
        <v>94</v>
      </c>
    </row>
    <row r="9" spans="1:16" ht="90">
      <c r="A9" s="5">
        <v>3</v>
      </c>
      <c r="B9" s="5" t="str">
        <f>CONCATENATE($B$2, ".", A9)</f>
        <v>3.3</v>
      </c>
      <c r="C9" s="28" t="s">
        <v>41</v>
      </c>
      <c r="D9" s="5" t="s">
        <v>213</v>
      </c>
      <c r="E9" s="5" t="s">
        <v>48</v>
      </c>
      <c r="F9" s="5" t="s">
        <v>214</v>
      </c>
      <c r="G9" s="5" t="s">
        <v>215</v>
      </c>
      <c r="H9" s="28" t="s">
        <v>94</v>
      </c>
      <c r="I9" s="5" t="s">
        <v>95</v>
      </c>
      <c r="J9" s="5" t="s">
        <v>216</v>
      </c>
      <c r="K9" s="5" t="s">
        <v>94</v>
      </c>
      <c r="L9" s="5" t="s">
        <v>94</v>
      </c>
      <c r="M9" s="5" t="s">
        <v>94</v>
      </c>
      <c r="N9" s="5" t="s">
        <v>94</v>
      </c>
      <c r="O9" s="5" t="s">
        <v>217</v>
      </c>
      <c r="P9" s="5" t="s">
        <v>218</v>
      </c>
    </row>
    <row r="10" spans="1:16" ht="14.65" customHeight="1">
      <c r="A10" s="36" t="s">
        <v>219</v>
      </c>
      <c r="B10" s="36"/>
      <c r="C10" s="36"/>
      <c r="D10" s="36"/>
      <c r="E10" s="36"/>
      <c r="F10" s="36"/>
      <c r="G10" s="26"/>
      <c r="H10" s="26"/>
      <c r="I10" s="26"/>
      <c r="J10" s="26"/>
      <c r="K10" s="26"/>
      <c r="L10" s="26"/>
      <c r="M10" s="26"/>
      <c r="N10" s="26"/>
      <c r="O10" s="26"/>
      <c r="P10" s="26"/>
    </row>
    <row r="11" spans="1:16">
      <c r="A11" s="5">
        <v>4</v>
      </c>
      <c r="B11" s="5" t="str">
        <f t="shared" ref="B11:B24" si="1">CONCATENATE($B$2, ".", A11)</f>
        <v>3.4</v>
      </c>
      <c r="C11" s="28" t="s">
        <v>41</v>
      </c>
      <c r="D11" s="5" t="s">
        <v>220</v>
      </c>
      <c r="E11" s="5" t="s">
        <v>53</v>
      </c>
      <c r="F11" s="5" t="s">
        <v>94</v>
      </c>
      <c r="G11" s="5" t="s">
        <v>94</v>
      </c>
      <c r="H11" s="28" t="s">
        <v>94</v>
      </c>
      <c r="I11" s="5" t="s">
        <v>95</v>
      </c>
      <c r="J11" s="5" t="s">
        <v>94</v>
      </c>
      <c r="K11" s="5" t="s">
        <v>94</v>
      </c>
      <c r="L11" s="5" t="s">
        <v>94</v>
      </c>
      <c r="M11" s="5" t="s">
        <v>94</v>
      </c>
      <c r="N11" s="5" t="s">
        <v>94</v>
      </c>
      <c r="O11" s="5" t="s">
        <v>221</v>
      </c>
    </row>
    <row r="12" spans="1:16">
      <c r="A12" s="5">
        <v>5</v>
      </c>
      <c r="B12" s="5" t="str">
        <f>CONCATENATE($B$2, ".", A12)</f>
        <v>3.5</v>
      </c>
      <c r="C12" s="28" t="s">
        <v>41</v>
      </c>
      <c r="D12" s="5" t="s">
        <v>222</v>
      </c>
      <c r="E12" s="5" t="s">
        <v>60</v>
      </c>
      <c r="F12" s="5" t="s">
        <v>94</v>
      </c>
      <c r="G12" s="5" t="s">
        <v>94</v>
      </c>
      <c r="H12" s="28" t="s">
        <v>94</v>
      </c>
      <c r="I12" s="5" t="s">
        <v>95</v>
      </c>
      <c r="J12" s="5" t="s">
        <v>94</v>
      </c>
      <c r="K12" s="5" t="s">
        <v>94</v>
      </c>
      <c r="L12" s="5" t="s">
        <v>94</v>
      </c>
      <c r="M12" s="5" t="s">
        <v>94</v>
      </c>
      <c r="N12" s="5" t="s">
        <v>94</v>
      </c>
    </row>
    <row r="13" spans="1:16" ht="30">
      <c r="A13" s="5">
        <v>6</v>
      </c>
      <c r="B13" s="5" t="str">
        <f>CONCATENATE($B$2, ".", A13)</f>
        <v>3.6</v>
      </c>
      <c r="C13" s="28" t="s">
        <v>41</v>
      </c>
      <c r="D13" s="5" t="s">
        <v>223</v>
      </c>
      <c r="E13" s="5" t="s">
        <v>63</v>
      </c>
      <c r="F13" s="5" t="s">
        <v>94</v>
      </c>
      <c r="G13" s="5" t="s">
        <v>94</v>
      </c>
      <c r="H13" s="28" t="s">
        <v>94</v>
      </c>
      <c r="I13" s="5" t="s">
        <v>169</v>
      </c>
      <c r="J13" s="5" t="s">
        <v>94</v>
      </c>
      <c r="K13" s="5" t="s">
        <v>94</v>
      </c>
      <c r="L13" s="5" t="s">
        <v>94</v>
      </c>
      <c r="M13" s="5" t="s">
        <v>94</v>
      </c>
      <c r="N13" s="5" t="s">
        <v>94</v>
      </c>
      <c r="O13" s="5" t="s">
        <v>224</v>
      </c>
      <c r="P13" s="5" t="s">
        <v>225</v>
      </c>
    </row>
    <row r="14" spans="1:16">
      <c r="A14" s="36" t="s">
        <v>226</v>
      </c>
      <c r="B14" s="36"/>
      <c r="C14" s="36"/>
      <c r="D14" s="36"/>
      <c r="E14" s="36"/>
      <c r="F14" s="36"/>
      <c r="G14" s="26"/>
      <c r="H14" s="26"/>
      <c r="I14" s="26"/>
      <c r="J14" s="26"/>
      <c r="K14" s="26"/>
      <c r="L14" s="26"/>
      <c r="M14" s="26"/>
      <c r="N14" s="26"/>
      <c r="O14" s="26"/>
      <c r="P14" s="26"/>
    </row>
    <row r="15" spans="1:16" ht="75">
      <c r="A15" s="5">
        <v>7</v>
      </c>
      <c r="B15" s="5" t="str">
        <f>CONCATENATE($B$2, ".", A15)</f>
        <v>3.7</v>
      </c>
      <c r="C15" s="28" t="s">
        <v>41</v>
      </c>
      <c r="D15" s="5" t="s">
        <v>227</v>
      </c>
      <c r="E15" s="5" t="s">
        <v>49</v>
      </c>
      <c r="F15" s="5" t="s">
        <v>94</v>
      </c>
      <c r="G15" s="5" t="s">
        <v>94</v>
      </c>
      <c r="H15" s="28" t="s">
        <v>94</v>
      </c>
      <c r="I15" s="5" t="s">
        <v>169</v>
      </c>
      <c r="J15" s="5" t="s">
        <v>94</v>
      </c>
      <c r="K15" s="5" t="s">
        <v>94</v>
      </c>
      <c r="L15" s="5" t="s">
        <v>94</v>
      </c>
      <c r="M15" s="5" t="s">
        <v>94</v>
      </c>
      <c r="N15" s="5" t="s">
        <v>94</v>
      </c>
      <c r="O15" s="5" t="s">
        <v>228</v>
      </c>
      <c r="P15" s="5" t="s">
        <v>229</v>
      </c>
    </row>
    <row r="16" spans="1:16" ht="75">
      <c r="A16" s="5">
        <v>8</v>
      </c>
      <c r="B16" s="5" t="str">
        <f>CONCATENATE($B$2, ".", A16)</f>
        <v>3.8</v>
      </c>
      <c r="C16" s="28" t="s">
        <v>41</v>
      </c>
      <c r="D16" s="5" t="s">
        <v>181</v>
      </c>
      <c r="E16" s="5" t="s">
        <v>40</v>
      </c>
      <c r="F16" s="5" t="s">
        <v>94</v>
      </c>
      <c r="G16" s="5" t="s">
        <v>94</v>
      </c>
      <c r="H16" s="28" t="s">
        <v>94</v>
      </c>
      <c r="I16" s="5" t="s">
        <v>95</v>
      </c>
      <c r="J16" s="5" t="s">
        <v>178</v>
      </c>
      <c r="K16" s="5" t="s">
        <v>94</v>
      </c>
      <c r="L16" s="5" t="s">
        <v>94</v>
      </c>
      <c r="M16" s="5" t="s">
        <v>94</v>
      </c>
      <c r="N16" s="5" t="s">
        <v>94</v>
      </c>
      <c r="O16" s="5" t="s">
        <v>230</v>
      </c>
    </row>
    <row r="17" spans="1:16" ht="30">
      <c r="C17" s="28" t="s">
        <v>43</v>
      </c>
      <c r="D17" s="5" t="s">
        <v>184</v>
      </c>
      <c r="E17" s="5" t="s">
        <v>53</v>
      </c>
      <c r="F17" s="5" t="s">
        <v>94</v>
      </c>
      <c r="G17" s="5" t="s">
        <v>94</v>
      </c>
      <c r="H17" s="28" t="s">
        <v>94</v>
      </c>
      <c r="I17" s="5" t="s">
        <v>95</v>
      </c>
      <c r="J17" s="5" t="s">
        <v>94</v>
      </c>
      <c r="K17" s="5" t="s">
        <v>94</v>
      </c>
      <c r="L17" s="5" t="s">
        <v>94</v>
      </c>
      <c r="M17" s="5" t="s">
        <v>94</v>
      </c>
      <c r="N17" s="5" t="s">
        <v>94</v>
      </c>
      <c r="P17" s="5" t="s">
        <v>231</v>
      </c>
    </row>
    <row r="18" spans="1:16">
      <c r="A18" s="5">
        <v>9</v>
      </c>
      <c r="B18" s="5" t="str">
        <f t="shared" si="1"/>
        <v>3.9</v>
      </c>
      <c r="C18" s="28" t="s">
        <v>41</v>
      </c>
      <c r="D18" s="5" t="s">
        <v>134</v>
      </c>
      <c r="E18" s="5" t="s">
        <v>61</v>
      </c>
      <c r="F18" s="5" t="s">
        <v>94</v>
      </c>
      <c r="G18" s="5" t="s">
        <v>94</v>
      </c>
      <c r="H18" s="28" t="s">
        <v>94</v>
      </c>
      <c r="I18" s="5" t="s">
        <v>95</v>
      </c>
      <c r="J18" s="5" t="s">
        <v>94</v>
      </c>
      <c r="K18" s="5" t="s">
        <v>94</v>
      </c>
      <c r="L18" s="5" t="s">
        <v>94</v>
      </c>
      <c r="M18" s="5" t="s">
        <v>94</v>
      </c>
      <c r="N18" s="5" t="s">
        <v>94</v>
      </c>
    </row>
    <row r="19" spans="1:16">
      <c r="A19" s="5">
        <v>10</v>
      </c>
      <c r="B19" s="5" t="str">
        <f t="shared" si="1"/>
        <v>3.10</v>
      </c>
      <c r="C19" s="28" t="s">
        <v>41</v>
      </c>
      <c r="D19" s="5" t="s">
        <v>136</v>
      </c>
      <c r="E19" s="5" t="s">
        <v>49</v>
      </c>
      <c r="F19" s="5" t="s">
        <v>94</v>
      </c>
      <c r="G19" s="5" t="s">
        <v>94</v>
      </c>
      <c r="H19" s="28" t="s">
        <v>94</v>
      </c>
      <c r="I19" s="5" t="s">
        <v>95</v>
      </c>
      <c r="J19" s="5" t="s">
        <v>94</v>
      </c>
      <c r="K19" s="5" t="s">
        <v>94</v>
      </c>
      <c r="L19" s="5" t="s">
        <v>94</v>
      </c>
      <c r="M19" s="5" t="s">
        <v>94</v>
      </c>
      <c r="N19" s="5" t="s">
        <v>94</v>
      </c>
    </row>
    <row r="20" spans="1:16" ht="60">
      <c r="A20" s="5">
        <v>11</v>
      </c>
      <c r="B20" s="5" t="str">
        <f t="shared" si="1"/>
        <v>3.11</v>
      </c>
      <c r="C20" s="28" t="s">
        <v>41</v>
      </c>
      <c r="D20" s="5" t="s">
        <v>146</v>
      </c>
      <c r="E20" s="5" t="s">
        <v>49</v>
      </c>
      <c r="F20" s="5" t="s">
        <v>94</v>
      </c>
      <c r="G20" s="5" t="s">
        <v>94</v>
      </c>
      <c r="H20" s="28" t="s">
        <v>94</v>
      </c>
      <c r="I20" s="5" t="s">
        <v>169</v>
      </c>
      <c r="J20" s="5" t="s">
        <v>94</v>
      </c>
      <c r="K20" s="5" t="s">
        <v>94</v>
      </c>
      <c r="L20" s="5" t="s">
        <v>94</v>
      </c>
      <c r="M20" s="5" t="s">
        <v>94</v>
      </c>
      <c r="N20" s="5" t="s">
        <v>94</v>
      </c>
      <c r="O20" s="5" t="s">
        <v>187</v>
      </c>
      <c r="P20" s="5" t="s">
        <v>229</v>
      </c>
    </row>
    <row r="21" spans="1:16" ht="60">
      <c r="A21" s="5">
        <v>12</v>
      </c>
      <c r="B21" s="5" t="str">
        <f t="shared" si="1"/>
        <v>3.12</v>
      </c>
      <c r="C21" s="28" t="s">
        <v>41</v>
      </c>
      <c r="D21" s="5" t="s">
        <v>149</v>
      </c>
      <c r="E21" s="5" t="s">
        <v>49</v>
      </c>
      <c r="F21" s="5" t="s">
        <v>94</v>
      </c>
      <c r="G21" s="5" t="s">
        <v>94</v>
      </c>
      <c r="H21" s="28" t="s">
        <v>94</v>
      </c>
      <c r="I21" s="5" t="s">
        <v>169</v>
      </c>
      <c r="J21" s="5" t="s">
        <v>94</v>
      </c>
      <c r="K21" s="5" t="s">
        <v>94</v>
      </c>
      <c r="L21" s="5" t="s">
        <v>94</v>
      </c>
      <c r="M21" s="5" t="s">
        <v>94</v>
      </c>
      <c r="N21" s="5" t="s">
        <v>94</v>
      </c>
      <c r="O21" s="5" t="s">
        <v>188</v>
      </c>
      <c r="P21" s="5" t="s">
        <v>229</v>
      </c>
    </row>
    <row r="22" spans="1:16" ht="60">
      <c r="A22" s="5">
        <v>13</v>
      </c>
      <c r="B22" s="5" t="str">
        <f t="shared" ref="B22:B23" si="2">CONCATENATE($B$2, ".", A22)</f>
        <v>3.13</v>
      </c>
      <c r="C22" s="28" t="s">
        <v>41</v>
      </c>
      <c r="D22" s="5" t="s">
        <v>232</v>
      </c>
      <c r="E22" s="5" t="s">
        <v>49</v>
      </c>
      <c r="F22" s="5" t="s">
        <v>94</v>
      </c>
      <c r="G22" s="5" t="s">
        <v>94</v>
      </c>
      <c r="H22" s="28" t="s">
        <v>94</v>
      </c>
      <c r="I22" s="5" t="s">
        <v>169</v>
      </c>
      <c r="J22" s="5" t="s">
        <v>94</v>
      </c>
      <c r="K22" s="5" t="s">
        <v>94</v>
      </c>
      <c r="L22" s="5" t="s">
        <v>94</v>
      </c>
      <c r="M22" s="5" t="s">
        <v>94</v>
      </c>
      <c r="N22" s="5" t="s">
        <v>94</v>
      </c>
      <c r="O22" s="5" t="s">
        <v>233</v>
      </c>
    </row>
    <row r="23" spans="1:16" ht="60">
      <c r="A23" s="5">
        <v>14</v>
      </c>
      <c r="B23" s="5" t="str">
        <f t="shared" si="2"/>
        <v>3.14</v>
      </c>
      <c r="C23" s="28" t="s">
        <v>41</v>
      </c>
      <c r="D23" s="5" t="s">
        <v>234</v>
      </c>
      <c r="E23" s="5" t="s">
        <v>49</v>
      </c>
      <c r="F23" s="5" t="s">
        <v>94</v>
      </c>
      <c r="G23" s="5" t="s">
        <v>94</v>
      </c>
      <c r="H23" s="28" t="s">
        <v>94</v>
      </c>
      <c r="I23" s="5" t="s">
        <v>169</v>
      </c>
      <c r="J23" s="5" t="s">
        <v>94</v>
      </c>
      <c r="K23" s="5" t="s">
        <v>94</v>
      </c>
      <c r="L23" s="5" t="s">
        <v>94</v>
      </c>
      <c r="M23" s="5" t="s">
        <v>94</v>
      </c>
      <c r="N23" s="5" t="s">
        <v>94</v>
      </c>
      <c r="O23" s="5" t="s">
        <v>235</v>
      </c>
    </row>
    <row r="24" spans="1:16" ht="75">
      <c r="A24" s="5">
        <v>15</v>
      </c>
      <c r="B24" s="5" t="str">
        <f t="shared" si="1"/>
        <v>3.15</v>
      </c>
      <c r="C24" s="28" t="s">
        <v>41</v>
      </c>
      <c r="D24" s="5" t="s">
        <v>189</v>
      </c>
      <c r="E24" s="5" t="s">
        <v>62</v>
      </c>
      <c r="F24" s="5" t="s">
        <v>94</v>
      </c>
      <c r="G24" s="5" t="s">
        <v>94</v>
      </c>
      <c r="H24" s="28" t="s">
        <v>94</v>
      </c>
      <c r="I24" s="5" t="s">
        <v>169</v>
      </c>
      <c r="J24" s="5" t="s">
        <v>94</v>
      </c>
      <c r="K24" s="5" t="s">
        <v>94</v>
      </c>
      <c r="L24" s="5" t="s">
        <v>94</v>
      </c>
      <c r="M24" s="5" t="s">
        <v>94</v>
      </c>
      <c r="N24" s="5" t="s">
        <v>94</v>
      </c>
      <c r="O24" s="5" t="s">
        <v>236</v>
      </c>
    </row>
    <row r="25" spans="1:16">
      <c r="A25" s="36" t="s">
        <v>237</v>
      </c>
      <c r="B25" s="36"/>
      <c r="C25" s="36"/>
      <c r="D25" s="36"/>
      <c r="E25" s="36"/>
      <c r="F25" s="36"/>
      <c r="G25" s="26"/>
      <c r="H25" s="26"/>
      <c r="I25" s="26"/>
      <c r="J25" s="26"/>
      <c r="K25" s="26"/>
      <c r="L25" s="26"/>
      <c r="M25" s="26"/>
      <c r="N25" s="26"/>
      <c r="O25" s="26"/>
      <c r="P25" s="26"/>
    </row>
    <row r="26" spans="1:16" ht="30">
      <c r="A26" s="5">
        <v>16</v>
      </c>
      <c r="B26" s="5" t="str">
        <f>CONCATENATE($B$2, ".", A26)</f>
        <v>3.16</v>
      </c>
      <c r="C26" s="28" t="s">
        <v>41</v>
      </c>
      <c r="D26" s="5" t="s">
        <v>196</v>
      </c>
      <c r="E26" s="5" t="s">
        <v>38</v>
      </c>
      <c r="F26" s="5" t="s">
        <v>197</v>
      </c>
      <c r="G26" s="5" t="s">
        <v>94</v>
      </c>
      <c r="H26" s="28" t="s">
        <v>94</v>
      </c>
      <c r="I26" s="5" t="s">
        <v>95</v>
      </c>
      <c r="J26" s="34" t="s">
        <v>182</v>
      </c>
      <c r="K26" s="5" t="s">
        <v>94</v>
      </c>
      <c r="L26" s="5" t="s">
        <v>94</v>
      </c>
      <c r="M26" s="5" t="s">
        <v>94</v>
      </c>
      <c r="N26" s="5" t="s">
        <v>94</v>
      </c>
      <c r="O26" s="5" t="s">
        <v>238</v>
      </c>
    </row>
    <row r="27" spans="1:16">
      <c r="A27" s="5">
        <v>17</v>
      </c>
      <c r="B27" s="5" t="str">
        <f>CONCATENATE($B$2, ".", A27)</f>
        <v>3.17</v>
      </c>
      <c r="C27" s="28" t="s">
        <v>41</v>
      </c>
      <c r="D27" s="5" t="s">
        <v>239</v>
      </c>
      <c r="E27" s="5" t="s">
        <v>38</v>
      </c>
      <c r="F27" s="5" t="s">
        <v>94</v>
      </c>
      <c r="G27" s="5" t="s">
        <v>94</v>
      </c>
      <c r="H27" s="28" t="s">
        <v>94</v>
      </c>
      <c r="I27" s="5" t="s">
        <v>95</v>
      </c>
      <c r="J27" s="5" t="s">
        <v>94</v>
      </c>
      <c r="K27" s="5" t="s">
        <v>94</v>
      </c>
      <c r="L27" s="5" t="s">
        <v>94</v>
      </c>
      <c r="M27" s="5" t="s">
        <v>94</v>
      </c>
      <c r="N27" s="5" t="s">
        <v>94</v>
      </c>
    </row>
    <row r="28" spans="1:16" ht="360">
      <c r="A28" s="5">
        <v>18</v>
      </c>
      <c r="B28" s="5" t="str">
        <f>CONCATENATE($B$2, ".", A28)</f>
        <v>3.18</v>
      </c>
      <c r="C28" s="28" t="s">
        <v>45</v>
      </c>
      <c r="D28" s="5" t="s">
        <v>106</v>
      </c>
      <c r="E28" s="5" t="s">
        <v>38</v>
      </c>
      <c r="F28" s="5" t="s">
        <v>94</v>
      </c>
      <c r="G28" s="5" t="s">
        <v>94</v>
      </c>
      <c r="H28" s="28" t="s">
        <v>94</v>
      </c>
      <c r="I28" s="5" t="s">
        <v>95</v>
      </c>
      <c r="J28" s="5" t="s">
        <v>94</v>
      </c>
      <c r="K28" s="5" t="s">
        <v>94</v>
      </c>
      <c r="L28" s="5" t="s">
        <v>94</v>
      </c>
      <c r="M28" s="5" t="s">
        <v>240</v>
      </c>
      <c r="N28" s="5" t="s">
        <v>241</v>
      </c>
      <c r="O28" s="5" t="s">
        <v>242</v>
      </c>
      <c r="P28" s="5" t="s">
        <v>243</v>
      </c>
    </row>
    <row r="29" spans="1:16" ht="45">
      <c r="A29" s="5">
        <v>19</v>
      </c>
      <c r="B29" s="5" t="str">
        <f>CONCATENATE($B$2, ".", A29)</f>
        <v>3.19</v>
      </c>
      <c r="C29" s="28" t="s">
        <v>41</v>
      </c>
      <c r="D29" s="5" t="s">
        <v>108</v>
      </c>
      <c r="E29" s="5" t="s">
        <v>38</v>
      </c>
      <c r="F29" s="5" t="s">
        <v>94</v>
      </c>
      <c r="G29" s="5" t="s">
        <v>94</v>
      </c>
      <c r="H29" s="28" t="s">
        <v>94</v>
      </c>
      <c r="I29" s="5" t="s">
        <v>95</v>
      </c>
      <c r="J29" s="5" t="s">
        <v>94</v>
      </c>
      <c r="K29" s="5" t="s">
        <v>94</v>
      </c>
      <c r="L29" s="5" t="s">
        <v>94</v>
      </c>
      <c r="M29" s="5" t="s">
        <v>94</v>
      </c>
      <c r="N29" s="5" t="s">
        <v>94</v>
      </c>
      <c r="O29" s="5" t="s">
        <v>244</v>
      </c>
    </row>
    <row r="30" spans="1:16" ht="120" hidden="1">
      <c r="C30" s="28" t="s">
        <v>43</v>
      </c>
      <c r="D30" s="28" t="s">
        <v>245</v>
      </c>
      <c r="E30" s="5" t="s">
        <v>44</v>
      </c>
      <c r="F30" s="5" t="s">
        <v>94</v>
      </c>
      <c r="G30" s="5" t="s">
        <v>94</v>
      </c>
      <c r="H30" s="28" t="s">
        <v>94</v>
      </c>
      <c r="I30" s="28" t="s">
        <v>94</v>
      </c>
      <c r="J30" s="5" t="s">
        <v>94</v>
      </c>
      <c r="K30" s="5" t="s">
        <v>94</v>
      </c>
      <c r="L30" s="5" t="s">
        <v>94</v>
      </c>
      <c r="M30" s="5" t="s">
        <v>94</v>
      </c>
      <c r="N30" s="5" t="s">
        <v>94</v>
      </c>
      <c r="O30" s="37" t="s">
        <v>246</v>
      </c>
      <c r="P30" s="5" t="s">
        <v>247</v>
      </c>
    </row>
  </sheetData>
  <autoFilter ref="A6:P6" xr:uid="{00000000-0009-0000-0000-000009000000}"/>
  <conditionalFormatting sqref="A10:A14">
    <cfRule type="cellIs" dxfId="161" priority="77" operator="equal">
      <formula>"n/a"</formula>
    </cfRule>
  </conditionalFormatting>
  <conditionalFormatting sqref="A18:A23">
    <cfRule type="cellIs" dxfId="160" priority="12" operator="equal">
      <formula>"n/a"</formula>
    </cfRule>
  </conditionalFormatting>
  <conditionalFormatting sqref="A25">
    <cfRule type="cellIs" dxfId="159" priority="55" operator="equal">
      <formula>"n/a"</formula>
    </cfRule>
  </conditionalFormatting>
  <conditionalFormatting sqref="A18:B19 D18:N19">
    <cfRule type="cellIs" dxfId="158" priority="104" operator="equal">
      <formula>"n/a"</formula>
    </cfRule>
  </conditionalFormatting>
  <conditionalFormatting sqref="A21:B23 D21:N23">
    <cfRule type="cellIs" dxfId="157" priority="13" operator="equal">
      <formula>"n/a"</formula>
    </cfRule>
  </conditionalFormatting>
  <conditionalFormatting sqref="A11:H12 I11:N13">
    <cfRule type="cellIs" dxfId="156" priority="85" operator="equal">
      <formula>"n/a"</formula>
    </cfRule>
  </conditionalFormatting>
  <conditionalFormatting sqref="A15:N17">
    <cfRule type="cellIs" dxfId="155" priority="1" operator="equal">
      <formula>"n/a"</formula>
    </cfRule>
  </conditionalFormatting>
  <conditionalFormatting sqref="A24:N24">
    <cfRule type="cellIs" dxfId="154" priority="99" operator="equal">
      <formula>"n/a"</formula>
    </cfRule>
  </conditionalFormatting>
  <conditionalFormatting sqref="A26:N30">
    <cfRule type="cellIs" dxfId="153" priority="11" operator="equal">
      <formula>"n/a"</formula>
    </cfRule>
  </conditionalFormatting>
  <conditionalFormatting sqref="A7:P8 C7:C9">
    <cfRule type="cellIs" dxfId="152" priority="49" operator="equal">
      <formula>"n/a"</formula>
    </cfRule>
  </conditionalFormatting>
  <conditionalFormatting sqref="B13:H13">
    <cfRule type="cellIs" dxfId="151" priority="6" operator="equal">
      <formula>"n/a"</formula>
    </cfRule>
  </conditionalFormatting>
  <conditionalFormatting sqref="C7:C9">
    <cfRule type="cellIs" dxfId="150" priority="51" operator="equal">
      <formula>"WIP (see comments)"</formula>
    </cfRule>
    <cfRule type="cellIs" dxfId="149" priority="52" operator="equal">
      <formula>"Removed"</formula>
    </cfRule>
    <cfRule type="cellIs" dxfId="148" priority="53" operator="equal">
      <formula>"Updated"</formula>
    </cfRule>
    <cfRule type="cellIs" dxfId="147" priority="54" operator="equal">
      <formula>"New"</formula>
    </cfRule>
  </conditionalFormatting>
  <conditionalFormatting sqref="C11:C13">
    <cfRule type="cellIs" dxfId="146" priority="7" operator="equal">
      <formula>"WIP (see comments)"</formula>
    </cfRule>
    <cfRule type="cellIs" dxfId="145" priority="10" operator="equal">
      <formula>"New"</formula>
    </cfRule>
    <cfRule type="cellIs" dxfId="144" priority="9" operator="equal">
      <formula>"Updated"</formula>
    </cfRule>
    <cfRule type="cellIs" dxfId="143" priority="8" operator="equal">
      <formula>"Removed"</formula>
    </cfRule>
  </conditionalFormatting>
  <conditionalFormatting sqref="C15:C24">
    <cfRule type="cellIs" dxfId="142" priority="2" operator="equal">
      <formula>"WIP (see comments)"</formula>
    </cfRule>
    <cfRule type="cellIs" dxfId="141" priority="3" operator="equal">
      <formula>"Removed"</formula>
    </cfRule>
    <cfRule type="cellIs" dxfId="140" priority="4" operator="equal">
      <formula>"Updated"</formula>
    </cfRule>
    <cfRule type="cellIs" dxfId="139" priority="5" operator="equal">
      <formula>"New"</formula>
    </cfRule>
  </conditionalFormatting>
  <conditionalFormatting sqref="C18:C23 A20:N20">
    <cfRule type="cellIs" dxfId="138" priority="22" operator="equal">
      <formula>"n/a"</formula>
    </cfRule>
  </conditionalFormatting>
  <conditionalFormatting sqref="C26:C1048576">
    <cfRule type="cellIs" dxfId="137" priority="45" operator="equal">
      <formula>"WIP (see comments)"</formula>
    </cfRule>
    <cfRule type="cellIs" dxfId="136" priority="46" operator="equal">
      <formula>"Removed"</formula>
    </cfRule>
    <cfRule type="cellIs" dxfId="135" priority="47" operator="equal">
      <formula>"Updated"</formula>
    </cfRule>
    <cfRule type="cellIs" dxfId="134" priority="48" operator="equal">
      <formula>"New"</formula>
    </cfRule>
  </conditionalFormatting>
  <conditionalFormatting sqref="D7:D9">
    <cfRule type="cellIs" dxfId="133" priority="50" operator="equal">
      <formula>"-"</formula>
    </cfRule>
  </conditionalFormatting>
  <conditionalFormatting sqref="D11:D13">
    <cfRule type="cellIs" dxfId="132" priority="86" operator="equal">
      <formula>"-"</formula>
    </cfRule>
  </conditionalFormatting>
  <conditionalFormatting sqref="D15:D24">
    <cfRule type="cellIs" dxfId="131" priority="14" operator="equal">
      <formula>"-"</formula>
    </cfRule>
  </conditionalFormatting>
  <conditionalFormatting sqref="D26:D30">
    <cfRule type="cellIs" dxfId="130" priority="44" operator="equal">
      <formula>"-"</formula>
    </cfRule>
  </conditionalFormatting>
  <conditionalFormatting sqref="G14:P14">
    <cfRule type="cellIs" dxfId="129" priority="84" operator="equal">
      <formula>"n/a"</formula>
    </cfRule>
  </conditionalFormatting>
  <conditionalFormatting sqref="P11:XFD12">
    <cfRule type="cellIs" dxfId="128" priority="91" operator="equal">
      <formula>"n/a"</formula>
    </cfRule>
  </conditionalFormatting>
  <conditionalFormatting sqref="P15:XFD23">
    <cfRule type="cellIs" dxfId="127" priority="20" operator="equal">
      <formula>"n/a"</formula>
    </cfRule>
  </conditionalFormatting>
  <conditionalFormatting sqref="Q7:XFD9 A9:N9 P9 G10:XFD10 P13 Q13:XFD14 Q24:XFD24 G25:P25">
    <cfRule type="cellIs" dxfId="126" priority="174" operator="equal">
      <formula>"n/a"</formula>
    </cfRule>
  </conditionalFormatting>
  <dataValidations count="1">
    <dataValidation type="list" allowBlank="1" showInputMessage="1" showErrorMessage="1" sqref="E31:E1048576" xr:uid="{00000000-0002-0000-0900-000000000000}">
      <formula1>$A$5:$A$30</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'List Values'!$B$5:$B$9</xm:f>
          </x14:formula1>
          <xm:sqref>C11:C13 C26:C1048576 C7:C9 C15:C24</xm:sqref>
        </x14:dataValidation>
        <x14:dataValidation type="list" allowBlank="1" showInputMessage="1" showErrorMessage="1" xr:uid="{00000000-0002-0000-0900-000002000000}">
          <x14:formula1>
            <xm:f>'List Values'!$A$5:$A$30</xm:f>
          </x14:formula1>
          <xm:sqref>E7:E30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P13"/>
  <sheetViews>
    <sheetView workbookViewId="0">
      <pane xSplit="4" ySplit="6" topLeftCell="E7" activePane="bottomRight" state="frozen"/>
      <selection pane="bottomRight"/>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248</v>
      </c>
      <c r="C1" s="20"/>
      <c r="D1" s="17" t="s">
        <v>130</v>
      </c>
      <c r="F1" s="31"/>
      <c r="H1" s="22"/>
    </row>
    <row r="2" spans="1:16" s="18" customFormat="1" ht="18.75">
      <c r="A2" s="16" t="s">
        <v>72</v>
      </c>
      <c r="B2" s="23" t="s">
        <v>249</v>
      </c>
      <c r="C2" s="22"/>
      <c r="D2" s="33"/>
      <c r="F2" s="31"/>
      <c r="H2" s="22"/>
    </row>
    <row r="3" spans="1:16" s="18" customFormat="1" ht="18.75">
      <c r="A3" s="16" t="s">
        <v>73</v>
      </c>
      <c r="B3" s="23" t="s">
        <v>250</v>
      </c>
      <c r="C3" s="22"/>
      <c r="F3" s="31"/>
      <c r="H3" s="22"/>
    </row>
    <row r="4" spans="1:16" s="18" customFormat="1" ht="18.75">
      <c r="A4" s="16" t="s">
        <v>75</v>
      </c>
      <c r="B4" s="23" t="s">
        <v>133</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3" si="0">CONCATENATE($B$2, ".", A7)</f>
        <v>3a.1</v>
      </c>
      <c r="C7" s="28" t="s">
        <v>43</v>
      </c>
      <c r="D7" s="5" t="s">
        <v>184</v>
      </c>
      <c r="E7" s="5" t="s">
        <v>53</v>
      </c>
      <c r="F7" s="5" t="s">
        <v>94</v>
      </c>
      <c r="G7" s="5" t="s">
        <v>94</v>
      </c>
      <c r="H7" s="28" t="s">
        <v>94</v>
      </c>
      <c r="I7" s="5" t="s">
        <v>95</v>
      </c>
      <c r="J7" s="5" t="s">
        <v>94</v>
      </c>
      <c r="K7" s="5" t="s">
        <v>94</v>
      </c>
      <c r="L7" s="5" t="s">
        <v>94</v>
      </c>
      <c r="M7" s="5" t="s">
        <v>94</v>
      </c>
      <c r="N7" s="5" t="s">
        <v>94</v>
      </c>
    </row>
    <row r="8" spans="1:16">
      <c r="A8" s="5">
        <v>2</v>
      </c>
      <c r="B8" s="5" t="str">
        <f t="shared" si="0"/>
        <v>3a.2</v>
      </c>
      <c r="C8" s="28" t="s">
        <v>43</v>
      </c>
      <c r="D8" s="5" t="s">
        <v>134</v>
      </c>
      <c r="E8" s="5" t="s">
        <v>61</v>
      </c>
      <c r="F8" s="5" t="s">
        <v>94</v>
      </c>
      <c r="G8" s="5" t="s">
        <v>94</v>
      </c>
      <c r="H8" s="28" t="s">
        <v>94</v>
      </c>
      <c r="I8" s="5" t="s">
        <v>95</v>
      </c>
      <c r="J8" s="5" t="s">
        <v>94</v>
      </c>
      <c r="K8" s="5" t="s">
        <v>94</v>
      </c>
      <c r="L8" s="5" t="s">
        <v>94</v>
      </c>
      <c r="M8" s="5" t="s">
        <v>94</v>
      </c>
      <c r="N8" s="5" t="s">
        <v>94</v>
      </c>
    </row>
    <row r="9" spans="1:16">
      <c r="A9" s="5">
        <v>3</v>
      </c>
      <c r="B9" s="5" t="str">
        <f t="shared" si="0"/>
        <v>3a.3</v>
      </c>
      <c r="C9" s="28" t="s">
        <v>43</v>
      </c>
      <c r="D9" s="5" t="s">
        <v>136</v>
      </c>
      <c r="E9" s="5" t="s">
        <v>61</v>
      </c>
      <c r="F9" s="5" t="s">
        <v>94</v>
      </c>
      <c r="G9" s="5" t="s">
        <v>94</v>
      </c>
      <c r="H9" s="28" t="s">
        <v>94</v>
      </c>
      <c r="I9" s="5" t="s">
        <v>95</v>
      </c>
      <c r="J9" s="5" t="s">
        <v>94</v>
      </c>
      <c r="K9" s="5" t="s">
        <v>94</v>
      </c>
      <c r="L9" s="5" t="s">
        <v>94</v>
      </c>
      <c r="M9" s="5" t="s">
        <v>94</v>
      </c>
      <c r="N9" s="5" t="s">
        <v>94</v>
      </c>
    </row>
    <row r="10" spans="1:16">
      <c r="A10" s="5">
        <v>4</v>
      </c>
      <c r="B10" s="5" t="str">
        <f t="shared" si="0"/>
        <v>3a.4</v>
      </c>
      <c r="C10" s="28" t="s">
        <v>43</v>
      </c>
      <c r="D10" s="5" t="s">
        <v>251</v>
      </c>
      <c r="E10" s="5" t="s">
        <v>49</v>
      </c>
      <c r="F10" s="5" t="s">
        <v>94</v>
      </c>
      <c r="G10" s="5" t="s">
        <v>94</v>
      </c>
      <c r="H10" s="28" t="s">
        <v>94</v>
      </c>
      <c r="I10" s="5" t="s">
        <v>95</v>
      </c>
      <c r="J10" s="5" t="s">
        <v>94</v>
      </c>
      <c r="K10" s="5" t="s">
        <v>94</v>
      </c>
      <c r="L10" s="5" t="s">
        <v>94</v>
      </c>
      <c r="M10" s="5" t="s">
        <v>94</v>
      </c>
      <c r="N10" s="5" t="s">
        <v>94</v>
      </c>
    </row>
    <row r="11" spans="1:16">
      <c r="A11" s="5">
        <v>5</v>
      </c>
      <c r="B11" s="5" t="str">
        <f t="shared" si="0"/>
        <v>3a.5</v>
      </c>
      <c r="C11" s="28" t="s">
        <v>43</v>
      </c>
      <c r="D11" s="5" t="s">
        <v>252</v>
      </c>
      <c r="E11" s="5" t="s">
        <v>49</v>
      </c>
      <c r="F11" s="5" t="s">
        <v>94</v>
      </c>
      <c r="G11" s="5" t="s">
        <v>94</v>
      </c>
      <c r="H11" s="28" t="s">
        <v>94</v>
      </c>
      <c r="I11" s="5" t="s">
        <v>95</v>
      </c>
      <c r="J11" s="5" t="s">
        <v>94</v>
      </c>
      <c r="K11" s="5" t="s">
        <v>94</v>
      </c>
      <c r="L11" s="5" t="s">
        <v>94</v>
      </c>
      <c r="M11" s="5" t="s">
        <v>94</v>
      </c>
      <c r="N11" s="5" t="s">
        <v>94</v>
      </c>
    </row>
    <row r="12" spans="1:16">
      <c r="A12" s="5">
        <v>6</v>
      </c>
      <c r="B12" s="5" t="str">
        <f t="shared" si="0"/>
        <v>3a.6</v>
      </c>
      <c r="C12" s="28" t="s">
        <v>43</v>
      </c>
      <c r="D12" s="5" t="s">
        <v>253</v>
      </c>
      <c r="E12" s="5" t="s">
        <v>49</v>
      </c>
      <c r="F12" s="5" t="s">
        <v>94</v>
      </c>
      <c r="G12" s="5" t="s">
        <v>94</v>
      </c>
      <c r="H12" s="28" t="s">
        <v>94</v>
      </c>
      <c r="I12" s="5" t="s">
        <v>95</v>
      </c>
      <c r="J12" s="5" t="s">
        <v>94</v>
      </c>
      <c r="K12" s="5" t="s">
        <v>94</v>
      </c>
      <c r="L12" s="5" t="s">
        <v>94</v>
      </c>
      <c r="M12" s="5" t="s">
        <v>94</v>
      </c>
      <c r="N12" s="5" t="s">
        <v>94</v>
      </c>
    </row>
    <row r="13" spans="1:16" ht="30">
      <c r="A13" s="5">
        <v>7</v>
      </c>
      <c r="B13" s="5" t="str">
        <f t="shared" si="0"/>
        <v>3a.7</v>
      </c>
      <c r="C13" s="28" t="s">
        <v>43</v>
      </c>
      <c r="D13" s="5" t="s">
        <v>154</v>
      </c>
      <c r="E13" s="5" t="s">
        <v>38</v>
      </c>
      <c r="F13" s="5" t="s">
        <v>94</v>
      </c>
      <c r="G13" s="5" t="s">
        <v>94</v>
      </c>
      <c r="H13" s="28" t="s">
        <v>94</v>
      </c>
      <c r="I13" s="5" t="s">
        <v>95</v>
      </c>
      <c r="J13" s="5" t="s">
        <v>94</v>
      </c>
      <c r="K13" s="5" t="s">
        <v>94</v>
      </c>
      <c r="L13" s="5" t="s">
        <v>94</v>
      </c>
      <c r="M13" s="5" t="s">
        <v>94</v>
      </c>
      <c r="N13" s="5" t="s">
        <v>94</v>
      </c>
      <c r="O13" s="5" t="s">
        <v>155</v>
      </c>
    </row>
  </sheetData>
  <autoFilter ref="A6:P6" xr:uid="{00000000-0009-0000-0000-00000A000000}"/>
  <conditionalFormatting sqref="A7:N7">
    <cfRule type="cellIs" dxfId="125" priority="16" operator="equal">
      <formula>"n/a"</formula>
    </cfRule>
  </conditionalFormatting>
  <conditionalFormatting sqref="C7:C1048576">
    <cfRule type="cellIs" dxfId="124" priority="18" operator="equal">
      <formula>"WIP (see comments)"</formula>
    </cfRule>
    <cfRule type="cellIs" dxfId="123" priority="19" operator="equal">
      <formula>"Removed"</formula>
    </cfRule>
    <cfRule type="cellIs" dxfId="122" priority="20" operator="equal">
      <formula>"Updated"</formula>
    </cfRule>
    <cfRule type="cellIs" dxfId="121" priority="21" operator="equal">
      <formula>"New"</formula>
    </cfRule>
  </conditionalFormatting>
  <conditionalFormatting sqref="D7:D12">
    <cfRule type="cellIs" dxfId="120" priority="2" operator="equal">
      <formula>"-"</formula>
    </cfRule>
  </conditionalFormatting>
  <conditionalFormatting sqref="D8:N12">
    <cfRule type="cellIs" dxfId="119" priority="1" operator="equal">
      <formula>"n/a"</formula>
    </cfRule>
  </conditionalFormatting>
  <conditionalFormatting sqref="D13:O13">
    <cfRule type="cellIs" dxfId="118" priority="15" operator="equal">
      <formula>"n/a"</formula>
    </cfRule>
  </conditionalFormatting>
  <conditionalFormatting sqref="P7:XFD13 A8:C13">
    <cfRule type="cellIs" dxfId="117" priority="9"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'List Values'!$B$5:$B$9</xm:f>
          </x14:formula1>
          <xm:sqref>C7:C1048576</xm:sqref>
        </x14:dataValidation>
        <x14:dataValidation type="list" allowBlank="1" showInputMessage="1" showErrorMessage="1" xr:uid="{00000000-0002-0000-0A00-000001000000}">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P36"/>
  <sheetViews>
    <sheetView tabSelected="1" workbookViewId="0">
      <pane xSplit="4" ySplit="6" topLeftCell="E7" activePane="bottomRight" state="frozen"/>
      <selection pane="bottomRight" activeCell="E35" sqref="E35"/>
      <selection pane="bottomLeft" activeCell="A7" sqref="A7"/>
      <selection pane="topRight" activeCell="E1" sqref="E1"/>
    </sheetView>
  </sheetViews>
  <sheetFormatPr defaultColWidth="9.140625" defaultRowHeight="15"/>
  <cols>
    <col min="1" max="1" width="14.7109375" style="5" customWidth="1"/>
    <col min="2" max="2" width="12.5703125" style="5" customWidth="1"/>
    <col min="3" max="3" width="13.5703125" style="28" customWidth="1"/>
    <col min="4" max="4" width="47.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52.5703125" style="5" customWidth="1"/>
    <col min="16" max="16" width="41.85546875" style="5" customWidth="1"/>
    <col min="17" max="16384" width="9.140625" style="5"/>
  </cols>
  <sheetData>
    <row r="1" spans="1:16" s="18" customFormat="1" ht="18.75">
      <c r="A1" s="16" t="s">
        <v>69</v>
      </c>
      <c r="B1" s="24" t="s">
        <v>254</v>
      </c>
      <c r="C1" s="20"/>
      <c r="D1" s="17"/>
      <c r="F1" s="31"/>
      <c r="H1" s="22"/>
    </row>
    <row r="2" spans="1:16" s="18" customFormat="1" ht="18.75">
      <c r="A2" s="16" t="s">
        <v>72</v>
      </c>
      <c r="B2" s="23">
        <v>4</v>
      </c>
      <c r="C2" s="22"/>
      <c r="D2" s="23"/>
      <c r="F2" s="31"/>
      <c r="H2" s="22"/>
    </row>
    <row r="3" spans="1:16" s="18" customFormat="1" ht="18.75">
      <c r="A3" s="16" t="s">
        <v>73</v>
      </c>
      <c r="B3" s="23" t="s">
        <v>255</v>
      </c>
      <c r="C3" s="22"/>
      <c r="D3" s="23" t="s">
        <v>164</v>
      </c>
      <c r="F3" s="31"/>
      <c r="H3" s="22"/>
    </row>
    <row r="4" spans="1:16" s="18" customFormat="1" ht="18.75">
      <c r="A4" s="16" t="s">
        <v>75</v>
      </c>
      <c r="B4" s="18" t="s">
        <v>95</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30">
      <c r="A7" s="5">
        <v>1</v>
      </c>
      <c r="B7" s="5" t="str">
        <f t="shared" ref="B7:B8" si="0">CONCATENATE($B$2, ".", A7)</f>
        <v>4.1</v>
      </c>
      <c r="C7" s="28" t="s">
        <v>41</v>
      </c>
      <c r="D7" s="5" t="s">
        <v>256</v>
      </c>
      <c r="E7" s="5" t="s">
        <v>65</v>
      </c>
      <c r="F7" s="5" t="s">
        <v>94</v>
      </c>
      <c r="G7" s="5" t="s">
        <v>94</v>
      </c>
      <c r="H7" s="28" t="s">
        <v>94</v>
      </c>
      <c r="I7" s="5" t="s">
        <v>95</v>
      </c>
      <c r="J7" s="5" t="s">
        <v>94</v>
      </c>
      <c r="K7" s="5" t="s">
        <v>94</v>
      </c>
      <c r="L7" s="5" t="s">
        <v>94</v>
      </c>
      <c r="M7" s="5" t="s">
        <v>94</v>
      </c>
      <c r="N7" s="5" t="s">
        <v>94</v>
      </c>
      <c r="O7" s="5" t="s">
        <v>94</v>
      </c>
    </row>
    <row r="8" spans="1:16">
      <c r="A8" s="5">
        <v>2</v>
      </c>
      <c r="B8" s="5" t="str">
        <f t="shared" si="0"/>
        <v>4.2</v>
      </c>
      <c r="C8" s="28" t="s">
        <v>41</v>
      </c>
      <c r="D8" s="5" t="s">
        <v>94</v>
      </c>
      <c r="E8" s="5" t="s">
        <v>54</v>
      </c>
      <c r="F8" s="5" t="s">
        <v>94</v>
      </c>
      <c r="G8" s="5" t="s">
        <v>94</v>
      </c>
      <c r="H8" s="28" t="s">
        <v>94</v>
      </c>
      <c r="I8" s="5" t="s">
        <v>95</v>
      </c>
      <c r="J8" s="5" t="s">
        <v>94</v>
      </c>
      <c r="K8" s="5" t="s">
        <v>94</v>
      </c>
      <c r="L8" s="5" t="s">
        <v>94</v>
      </c>
      <c r="M8" s="5" t="s">
        <v>94</v>
      </c>
      <c r="N8" s="5" t="s">
        <v>94</v>
      </c>
      <c r="O8" s="5" t="s">
        <v>94</v>
      </c>
    </row>
    <row r="9" spans="1:16" s="26" customFormat="1" ht="15" customHeight="1">
      <c r="A9" s="50" t="s">
        <v>257</v>
      </c>
      <c r="B9" s="50"/>
      <c r="C9" s="50"/>
      <c r="D9" s="50"/>
      <c r="E9" s="50"/>
      <c r="F9" s="50"/>
    </row>
    <row r="10" spans="1:16">
      <c r="C10" s="28" t="s">
        <v>43</v>
      </c>
      <c r="D10" s="5" t="s">
        <v>184</v>
      </c>
      <c r="E10" s="5" t="s">
        <v>53</v>
      </c>
      <c r="F10" s="5" t="s">
        <v>94</v>
      </c>
      <c r="G10" s="5" t="s">
        <v>94</v>
      </c>
      <c r="H10" s="28" t="s">
        <v>94</v>
      </c>
      <c r="I10" s="5" t="s">
        <v>95</v>
      </c>
      <c r="J10" s="5" t="s">
        <v>94</v>
      </c>
      <c r="K10" s="5" t="s">
        <v>94</v>
      </c>
      <c r="L10" s="5" t="s">
        <v>94</v>
      </c>
      <c r="M10" s="5" t="s">
        <v>94</v>
      </c>
      <c r="N10" s="5" t="s">
        <v>94</v>
      </c>
      <c r="O10" s="5" t="s">
        <v>94</v>
      </c>
    </row>
    <row r="11" spans="1:16" ht="60">
      <c r="A11" s="5">
        <v>3</v>
      </c>
      <c r="B11" s="5" t="str">
        <f t="shared" ref="B11" si="1">CONCATENATE($B$2, ".", A11)</f>
        <v>4.3</v>
      </c>
      <c r="C11" s="28" t="s">
        <v>41</v>
      </c>
      <c r="D11" s="5" t="s">
        <v>227</v>
      </c>
      <c r="E11" s="5" t="s">
        <v>49</v>
      </c>
      <c r="F11" s="5" t="s">
        <v>94</v>
      </c>
      <c r="G11" s="5" t="s">
        <v>94</v>
      </c>
      <c r="H11" s="28" t="s">
        <v>94</v>
      </c>
      <c r="I11" s="5" t="s">
        <v>169</v>
      </c>
      <c r="J11" s="5" t="s">
        <v>94</v>
      </c>
      <c r="K11" s="5" t="s">
        <v>94</v>
      </c>
      <c r="L11" s="5" t="s">
        <v>94</v>
      </c>
      <c r="M11" s="5" t="s">
        <v>94</v>
      </c>
      <c r="N11" s="5" t="s">
        <v>94</v>
      </c>
      <c r="O11" s="5" t="s">
        <v>228</v>
      </c>
    </row>
    <row r="12" spans="1:16">
      <c r="A12" s="5">
        <v>4</v>
      </c>
      <c r="B12" s="5" t="str">
        <f t="shared" ref="B12:B22" si="2">CONCATENATE($B$2, ".", A12)</f>
        <v>4.4</v>
      </c>
      <c r="C12" s="28" t="s">
        <v>41</v>
      </c>
      <c r="D12" s="5" t="s">
        <v>134</v>
      </c>
      <c r="E12" s="5" t="s">
        <v>49</v>
      </c>
      <c r="F12" s="5" t="s">
        <v>94</v>
      </c>
      <c r="G12" s="5" t="s">
        <v>94</v>
      </c>
      <c r="H12" s="28" t="s">
        <v>94</v>
      </c>
      <c r="I12" s="5" t="s">
        <v>95</v>
      </c>
      <c r="J12" s="5" t="s">
        <v>94</v>
      </c>
      <c r="K12" s="5" t="s">
        <v>94</v>
      </c>
      <c r="L12" s="5" t="s">
        <v>94</v>
      </c>
      <c r="M12" s="5" t="s">
        <v>94</v>
      </c>
      <c r="N12" s="5" t="s">
        <v>94</v>
      </c>
      <c r="O12" s="5" t="s">
        <v>94</v>
      </c>
    </row>
    <row r="13" spans="1:16">
      <c r="A13" s="5">
        <v>5</v>
      </c>
      <c r="B13" s="5" t="str">
        <f t="shared" si="2"/>
        <v>4.5</v>
      </c>
      <c r="C13" s="28" t="s">
        <v>41</v>
      </c>
      <c r="D13" s="5" t="s">
        <v>136</v>
      </c>
      <c r="E13" s="5" t="s">
        <v>49</v>
      </c>
      <c r="F13" s="5" t="s">
        <v>94</v>
      </c>
      <c r="G13" s="5" t="s">
        <v>94</v>
      </c>
      <c r="H13" s="28" t="s">
        <v>94</v>
      </c>
      <c r="I13" s="5" t="s">
        <v>95</v>
      </c>
      <c r="J13" s="5" t="s">
        <v>94</v>
      </c>
      <c r="K13" s="5" t="s">
        <v>94</v>
      </c>
      <c r="L13" s="5" t="s">
        <v>94</v>
      </c>
      <c r="M13" s="5" t="s">
        <v>94</v>
      </c>
      <c r="N13" s="5" t="s">
        <v>94</v>
      </c>
      <c r="O13" s="5" t="s">
        <v>94</v>
      </c>
    </row>
    <row r="14" spans="1:16" ht="90">
      <c r="A14" s="5">
        <v>6</v>
      </c>
      <c r="B14" s="5" t="str">
        <f t="shared" si="2"/>
        <v>4.6</v>
      </c>
      <c r="C14" s="28" t="s">
        <v>41</v>
      </c>
      <c r="D14" s="5" t="s">
        <v>141</v>
      </c>
      <c r="E14" s="5" t="s">
        <v>49</v>
      </c>
      <c r="F14" s="5" t="s">
        <v>94</v>
      </c>
      <c r="G14" s="5" t="s">
        <v>94</v>
      </c>
      <c r="H14" s="28" t="s">
        <v>94</v>
      </c>
      <c r="I14" s="5" t="s">
        <v>169</v>
      </c>
      <c r="J14" s="5" t="s">
        <v>94</v>
      </c>
      <c r="K14" s="5" t="s">
        <v>94</v>
      </c>
      <c r="L14" s="5" t="s">
        <v>94</v>
      </c>
      <c r="M14" s="5" t="s">
        <v>94</v>
      </c>
      <c r="N14" s="5" t="s">
        <v>94</v>
      </c>
      <c r="O14" s="5" t="s">
        <v>258</v>
      </c>
    </row>
    <row r="15" spans="1:16" ht="90">
      <c r="A15" s="5">
        <v>7</v>
      </c>
      <c r="B15" s="5" t="str">
        <f>CONCATENATE($B$2, ".", A15)</f>
        <v>4.7</v>
      </c>
      <c r="C15" s="28" t="s">
        <v>41</v>
      </c>
      <c r="D15" s="5" t="s">
        <v>144</v>
      </c>
      <c r="E15" s="5" t="s">
        <v>49</v>
      </c>
      <c r="F15" s="5" t="s">
        <v>94</v>
      </c>
      <c r="G15" s="5" t="s">
        <v>94</v>
      </c>
      <c r="H15" s="28" t="s">
        <v>94</v>
      </c>
      <c r="I15" s="5" t="s">
        <v>169</v>
      </c>
      <c r="J15" s="5" t="s">
        <v>94</v>
      </c>
      <c r="K15" s="5" t="s">
        <v>94</v>
      </c>
      <c r="L15" s="5" t="s">
        <v>94</v>
      </c>
      <c r="M15" s="5" t="s">
        <v>94</v>
      </c>
      <c r="N15" s="5" t="s">
        <v>94</v>
      </c>
      <c r="O15" s="5" t="s">
        <v>259</v>
      </c>
    </row>
    <row r="16" spans="1:16" ht="60">
      <c r="A16" s="5">
        <v>8</v>
      </c>
      <c r="B16" s="5" t="str">
        <f t="shared" ref="B16:B19" si="3">CONCATENATE($B$2, ".", A16)</f>
        <v>4.8</v>
      </c>
      <c r="C16" s="28" t="s">
        <v>41</v>
      </c>
      <c r="D16" s="5" t="s">
        <v>146</v>
      </c>
      <c r="E16" s="5" t="s">
        <v>49</v>
      </c>
      <c r="F16" s="5" t="s">
        <v>94</v>
      </c>
      <c r="G16" s="5" t="s">
        <v>94</v>
      </c>
      <c r="H16" s="28" t="s">
        <v>94</v>
      </c>
      <c r="I16" s="5" t="s">
        <v>169</v>
      </c>
      <c r="J16" s="5" t="s">
        <v>94</v>
      </c>
      <c r="K16" s="5" t="s">
        <v>94</v>
      </c>
      <c r="L16" s="5" t="s">
        <v>94</v>
      </c>
      <c r="M16" s="5" t="s">
        <v>94</v>
      </c>
      <c r="N16" s="5" t="s">
        <v>94</v>
      </c>
      <c r="O16" s="5" t="s">
        <v>187</v>
      </c>
    </row>
    <row r="17" spans="1:16" s="26" customFormat="1" ht="60">
      <c r="A17" s="5">
        <v>9</v>
      </c>
      <c r="B17" s="5" t="str">
        <f t="shared" si="3"/>
        <v>4.9</v>
      </c>
      <c r="C17" s="28" t="s">
        <v>41</v>
      </c>
      <c r="D17" s="5" t="s">
        <v>149</v>
      </c>
      <c r="E17" s="5" t="s">
        <v>49</v>
      </c>
      <c r="F17" s="5" t="s">
        <v>94</v>
      </c>
      <c r="G17" s="5" t="s">
        <v>94</v>
      </c>
      <c r="H17" s="28" t="s">
        <v>94</v>
      </c>
      <c r="I17" s="5" t="s">
        <v>169</v>
      </c>
      <c r="J17" s="5" t="s">
        <v>94</v>
      </c>
      <c r="K17" s="5" t="s">
        <v>94</v>
      </c>
      <c r="L17" s="5" t="s">
        <v>94</v>
      </c>
      <c r="M17" s="5" t="s">
        <v>94</v>
      </c>
      <c r="N17" s="5" t="s">
        <v>94</v>
      </c>
      <c r="O17" s="5" t="s">
        <v>188</v>
      </c>
      <c r="P17" s="5"/>
    </row>
    <row r="18" spans="1:16" ht="60">
      <c r="A18" s="5">
        <v>10</v>
      </c>
      <c r="B18" s="5" t="str">
        <f t="shared" si="3"/>
        <v>4.10</v>
      </c>
      <c r="C18" s="28" t="s">
        <v>41</v>
      </c>
      <c r="D18" s="5" t="s">
        <v>232</v>
      </c>
      <c r="E18" s="5" t="s">
        <v>49</v>
      </c>
      <c r="F18" s="5" t="s">
        <v>94</v>
      </c>
      <c r="G18" s="5" t="s">
        <v>94</v>
      </c>
      <c r="H18" s="28" t="s">
        <v>94</v>
      </c>
      <c r="I18" s="5" t="s">
        <v>169</v>
      </c>
      <c r="J18" s="5" t="s">
        <v>94</v>
      </c>
      <c r="K18" s="5" t="s">
        <v>94</v>
      </c>
      <c r="L18" s="5" t="s">
        <v>94</v>
      </c>
      <c r="M18" s="5" t="s">
        <v>94</v>
      </c>
      <c r="N18" s="5" t="s">
        <v>94</v>
      </c>
      <c r="O18" s="5" t="s">
        <v>233</v>
      </c>
    </row>
    <row r="19" spans="1:16" ht="60">
      <c r="A19" s="5">
        <v>11</v>
      </c>
      <c r="B19" s="5" t="str">
        <f t="shared" si="3"/>
        <v>4.11</v>
      </c>
      <c r="C19" s="28" t="s">
        <v>41</v>
      </c>
      <c r="D19" s="5" t="s">
        <v>234</v>
      </c>
      <c r="E19" s="5" t="s">
        <v>49</v>
      </c>
      <c r="F19" s="5" t="s">
        <v>94</v>
      </c>
      <c r="G19" s="5" t="s">
        <v>94</v>
      </c>
      <c r="H19" s="28" t="s">
        <v>94</v>
      </c>
      <c r="I19" s="5" t="s">
        <v>169</v>
      </c>
      <c r="J19" s="5" t="s">
        <v>94</v>
      </c>
      <c r="K19" s="5" t="s">
        <v>94</v>
      </c>
      <c r="L19" s="5" t="s">
        <v>94</v>
      </c>
      <c r="M19" s="5" t="s">
        <v>94</v>
      </c>
      <c r="N19" s="5" t="s">
        <v>94</v>
      </c>
      <c r="O19" s="5" t="s">
        <v>235</v>
      </c>
    </row>
    <row r="20" spans="1:16" ht="90">
      <c r="A20" s="5">
        <v>12</v>
      </c>
      <c r="B20" s="5" t="str">
        <f t="shared" si="2"/>
        <v>4.12</v>
      </c>
      <c r="C20" s="28" t="s">
        <v>41</v>
      </c>
      <c r="D20" s="5" t="s">
        <v>260</v>
      </c>
      <c r="E20" s="5" t="s">
        <v>49</v>
      </c>
      <c r="F20" s="5" t="s">
        <v>94</v>
      </c>
      <c r="G20" s="5" t="s">
        <v>94</v>
      </c>
      <c r="H20" s="28" t="s">
        <v>94</v>
      </c>
      <c r="I20" s="5" t="s">
        <v>95</v>
      </c>
      <c r="J20" s="5" t="s">
        <v>261</v>
      </c>
      <c r="K20" s="5" t="s">
        <v>94</v>
      </c>
      <c r="L20" s="5" t="s">
        <v>94</v>
      </c>
      <c r="M20" s="5" t="s">
        <v>94</v>
      </c>
      <c r="N20" s="5" t="s">
        <v>94</v>
      </c>
      <c r="O20" s="5" t="s">
        <v>262</v>
      </c>
    </row>
    <row r="21" spans="1:16" ht="30">
      <c r="A21" s="5">
        <v>13</v>
      </c>
      <c r="B21" s="5" t="str">
        <f t="shared" si="2"/>
        <v>4.13</v>
      </c>
      <c r="C21" s="28" t="s">
        <v>41</v>
      </c>
      <c r="D21" s="5" t="s">
        <v>263</v>
      </c>
      <c r="E21" s="5" t="s">
        <v>62</v>
      </c>
      <c r="F21" s="5" t="s">
        <v>94</v>
      </c>
      <c r="G21" s="5" t="s">
        <v>94</v>
      </c>
      <c r="H21" s="28" t="s">
        <v>94</v>
      </c>
      <c r="I21" s="5" t="s">
        <v>95</v>
      </c>
      <c r="J21" s="5" t="s">
        <v>94</v>
      </c>
      <c r="K21" s="5" t="s">
        <v>94</v>
      </c>
      <c r="L21" s="5" t="s">
        <v>94</v>
      </c>
      <c r="M21" s="5" t="s">
        <v>94</v>
      </c>
      <c r="N21" s="5" t="s">
        <v>94</v>
      </c>
      <c r="O21" s="5" t="s">
        <v>264</v>
      </c>
    </row>
    <row r="22" spans="1:16" ht="90">
      <c r="A22" s="5">
        <v>14</v>
      </c>
      <c r="B22" s="5" t="str">
        <f t="shared" si="2"/>
        <v>4.14</v>
      </c>
      <c r="C22" s="28" t="s">
        <v>41</v>
      </c>
      <c r="D22" s="28" t="s">
        <v>265</v>
      </c>
      <c r="E22" s="5" t="s">
        <v>44</v>
      </c>
      <c r="F22" s="5" t="s">
        <v>94</v>
      </c>
      <c r="G22" s="5" t="s">
        <v>94</v>
      </c>
      <c r="H22" s="28" t="s">
        <v>94</v>
      </c>
      <c r="I22" s="5" t="s">
        <v>266</v>
      </c>
      <c r="J22" s="5" t="s">
        <v>94</v>
      </c>
      <c r="K22" s="5" t="s">
        <v>94</v>
      </c>
      <c r="L22" s="5" t="s">
        <v>94</v>
      </c>
      <c r="M22" s="5" t="s">
        <v>94</v>
      </c>
      <c r="N22" s="5" t="s">
        <v>94</v>
      </c>
      <c r="O22" s="5" t="s">
        <v>267</v>
      </c>
    </row>
    <row r="23" spans="1:16">
      <c r="A23" s="50" t="s">
        <v>268</v>
      </c>
      <c r="B23" s="50"/>
      <c r="C23" s="50"/>
      <c r="D23" s="50"/>
      <c r="E23" s="50"/>
      <c r="F23" s="26"/>
      <c r="G23" s="26"/>
      <c r="H23" s="26"/>
      <c r="I23" s="26"/>
      <c r="J23" s="26"/>
      <c r="K23" s="26"/>
      <c r="L23" s="26"/>
      <c r="M23" s="26"/>
      <c r="N23" s="26"/>
      <c r="O23" s="26"/>
      <c r="P23" s="26"/>
    </row>
    <row r="24" spans="1:16" ht="45">
      <c r="A24" s="5">
        <v>15</v>
      </c>
      <c r="B24" s="5" t="str">
        <f>CONCATENATE($B$2, ".", A24)</f>
        <v>4.15</v>
      </c>
      <c r="C24" s="28" t="s">
        <v>41</v>
      </c>
      <c r="D24" s="5" t="s">
        <v>269</v>
      </c>
      <c r="E24" s="5" t="s">
        <v>64</v>
      </c>
      <c r="F24" s="5" t="s">
        <v>94</v>
      </c>
      <c r="G24" s="5" t="s">
        <v>94</v>
      </c>
      <c r="H24" s="28" t="s">
        <v>94</v>
      </c>
      <c r="I24" s="5" t="s">
        <v>95</v>
      </c>
      <c r="J24" s="5" t="s">
        <v>94</v>
      </c>
      <c r="K24" s="5" t="s">
        <v>94</v>
      </c>
      <c r="L24" s="5" t="s">
        <v>94</v>
      </c>
      <c r="M24" s="5" t="s">
        <v>94</v>
      </c>
      <c r="N24" s="5" t="s">
        <v>94</v>
      </c>
      <c r="O24" s="5" t="s">
        <v>270</v>
      </c>
    </row>
    <row r="25" spans="1:16">
      <c r="A25" s="5">
        <v>16</v>
      </c>
      <c r="B25" s="5" t="str">
        <f>CONCATENATE($B$2, ".", A25)</f>
        <v>4.16</v>
      </c>
      <c r="C25" s="28" t="s">
        <v>41</v>
      </c>
      <c r="D25" s="5" t="s">
        <v>271</v>
      </c>
      <c r="E25" s="5" t="s">
        <v>63</v>
      </c>
      <c r="F25" s="5" t="s">
        <v>94</v>
      </c>
      <c r="G25" s="5" t="s">
        <v>94</v>
      </c>
      <c r="H25" s="28" t="s">
        <v>94</v>
      </c>
      <c r="I25" s="5" t="s">
        <v>95</v>
      </c>
      <c r="J25" s="5" t="s">
        <v>94</v>
      </c>
      <c r="K25" s="5" t="s">
        <v>94</v>
      </c>
      <c r="L25" s="5" t="s">
        <v>94</v>
      </c>
      <c r="M25" s="5" t="s">
        <v>94</v>
      </c>
      <c r="N25" s="5" t="s">
        <v>94</v>
      </c>
    </row>
    <row r="26" spans="1:16" ht="67.5" customHeight="1">
      <c r="A26" s="5">
        <v>17</v>
      </c>
      <c r="B26" s="5" t="str">
        <f>CONCATENATE($B$2, ".", A26)</f>
        <v>4.17</v>
      </c>
      <c r="C26" s="28" t="s">
        <v>45</v>
      </c>
      <c r="D26" s="5" t="s">
        <v>272</v>
      </c>
      <c r="E26" s="5" t="s">
        <v>61</v>
      </c>
      <c r="F26" s="5" t="s">
        <v>94</v>
      </c>
      <c r="G26" s="5" t="s">
        <v>94</v>
      </c>
      <c r="H26" s="28" t="s">
        <v>94</v>
      </c>
      <c r="I26" s="5" t="s">
        <v>169</v>
      </c>
      <c r="J26" s="5" t="s">
        <v>94</v>
      </c>
      <c r="K26" s="5" t="s">
        <v>94</v>
      </c>
      <c r="L26" s="5" t="s">
        <v>94</v>
      </c>
      <c r="M26" s="5" t="s">
        <v>94</v>
      </c>
      <c r="N26" s="5" t="s">
        <v>94</v>
      </c>
      <c r="O26" s="5" t="s">
        <v>273</v>
      </c>
      <c r="P26" s="5" t="s">
        <v>274</v>
      </c>
    </row>
    <row r="27" spans="1:16" ht="60">
      <c r="A27" s="5">
        <v>18</v>
      </c>
      <c r="B27" s="5" t="str">
        <f>CONCATENATE($B$2, ".", A27)</f>
        <v>4.18</v>
      </c>
      <c r="C27" s="28" t="s">
        <v>45</v>
      </c>
      <c r="D27" s="5" t="s">
        <v>275</v>
      </c>
      <c r="E27" s="5" t="s">
        <v>63</v>
      </c>
      <c r="F27" s="5" t="s">
        <v>94</v>
      </c>
      <c r="G27" s="5" t="s">
        <v>94</v>
      </c>
      <c r="H27" s="28" t="s">
        <v>94</v>
      </c>
      <c r="I27" s="5" t="s">
        <v>169</v>
      </c>
      <c r="J27" s="5" t="s">
        <v>94</v>
      </c>
      <c r="K27" s="5" t="s">
        <v>94</v>
      </c>
      <c r="L27" s="5" t="s">
        <v>94</v>
      </c>
      <c r="M27" s="5" t="s">
        <v>94</v>
      </c>
      <c r="N27" s="5" t="s">
        <v>94</v>
      </c>
      <c r="O27" s="5" t="s">
        <v>273</v>
      </c>
      <c r="P27" s="5" t="s">
        <v>274</v>
      </c>
    </row>
    <row r="28" spans="1:16" s="26" customFormat="1">
      <c r="A28" s="50" t="s">
        <v>276</v>
      </c>
      <c r="B28" s="50"/>
      <c r="C28" s="50"/>
      <c r="D28" s="50"/>
      <c r="E28" s="50"/>
      <c r="F28" s="50"/>
    </row>
    <row r="29" spans="1:16" ht="91.5" customHeight="1">
      <c r="A29" s="5">
        <v>19</v>
      </c>
      <c r="B29" s="5" t="str">
        <f t="shared" ref="B29:B33" si="4">CONCATENATE($B$2, ".", A29)</f>
        <v>4.19</v>
      </c>
      <c r="C29" s="28" t="s">
        <v>41</v>
      </c>
      <c r="D29" s="5" t="s">
        <v>134</v>
      </c>
      <c r="E29" s="5" t="s">
        <v>49</v>
      </c>
      <c r="F29" s="5" t="s">
        <v>94</v>
      </c>
      <c r="G29" s="5" t="s">
        <v>94</v>
      </c>
      <c r="H29" s="28" t="s">
        <v>94</v>
      </c>
      <c r="I29" s="5" t="s">
        <v>277</v>
      </c>
      <c r="J29" s="5" t="s">
        <v>94</v>
      </c>
      <c r="K29" s="5" t="s">
        <v>94</v>
      </c>
      <c r="L29" s="5" t="s">
        <v>94</v>
      </c>
      <c r="M29" s="5" t="s">
        <v>94</v>
      </c>
      <c r="N29" s="5" t="s">
        <v>94</v>
      </c>
    </row>
    <row r="30" spans="1:16" ht="30">
      <c r="A30" s="5">
        <v>20</v>
      </c>
      <c r="B30" s="5" t="str">
        <f t="shared" si="4"/>
        <v>4.20</v>
      </c>
      <c r="C30" s="28" t="s">
        <v>41</v>
      </c>
      <c r="D30" s="5" t="s">
        <v>136</v>
      </c>
      <c r="E30" s="5" t="s">
        <v>49</v>
      </c>
      <c r="F30" s="5" t="s">
        <v>94</v>
      </c>
      <c r="G30" s="5" t="s">
        <v>94</v>
      </c>
      <c r="H30" s="28" t="s">
        <v>94</v>
      </c>
      <c r="I30" s="5" t="s">
        <v>277</v>
      </c>
      <c r="J30" s="5" t="s">
        <v>94</v>
      </c>
      <c r="K30" s="5" t="s">
        <v>94</v>
      </c>
      <c r="L30" s="5" t="s">
        <v>94</v>
      </c>
      <c r="M30" s="5" t="s">
        <v>94</v>
      </c>
      <c r="N30" s="5" t="s">
        <v>94</v>
      </c>
    </row>
    <row r="31" spans="1:16" ht="30">
      <c r="A31" s="5">
        <v>21</v>
      </c>
      <c r="B31" s="5" t="str">
        <f t="shared" si="4"/>
        <v>4.21</v>
      </c>
      <c r="C31" s="28" t="s">
        <v>41</v>
      </c>
      <c r="D31" s="5" t="s">
        <v>278</v>
      </c>
      <c r="E31" s="5" t="s">
        <v>63</v>
      </c>
      <c r="F31" s="5" t="s">
        <v>94</v>
      </c>
      <c r="G31" s="5" t="s">
        <v>94</v>
      </c>
      <c r="H31" s="28" t="s">
        <v>94</v>
      </c>
      <c r="I31" s="5" t="s">
        <v>277</v>
      </c>
      <c r="J31" s="34">
        <v>1</v>
      </c>
      <c r="K31" s="5" t="s">
        <v>94</v>
      </c>
      <c r="L31" s="5" t="s">
        <v>94</v>
      </c>
      <c r="M31" s="5" t="s">
        <v>94</v>
      </c>
      <c r="N31" s="5" t="s">
        <v>94</v>
      </c>
      <c r="O31" s="5" t="s">
        <v>279</v>
      </c>
    </row>
    <row r="32" spans="1:16" ht="30">
      <c r="A32" s="5">
        <v>22</v>
      </c>
      <c r="B32" s="5" t="str">
        <f t="shared" si="4"/>
        <v>4.22</v>
      </c>
      <c r="C32" s="28" t="s">
        <v>41</v>
      </c>
      <c r="D32" s="5" t="s">
        <v>263</v>
      </c>
      <c r="E32" s="5" t="s">
        <v>62</v>
      </c>
      <c r="F32" s="5" t="s">
        <v>94</v>
      </c>
      <c r="G32" s="5" t="s">
        <v>94</v>
      </c>
      <c r="H32" s="28" t="s">
        <v>94</v>
      </c>
      <c r="I32" s="5" t="s">
        <v>277</v>
      </c>
      <c r="J32" s="5" t="s">
        <v>94</v>
      </c>
      <c r="K32" s="5" t="s">
        <v>94</v>
      </c>
      <c r="L32" s="5" t="s">
        <v>94</v>
      </c>
      <c r="M32" s="5" t="s">
        <v>94</v>
      </c>
      <c r="N32" s="5" t="s">
        <v>94</v>
      </c>
      <c r="O32" s="5" t="s">
        <v>280</v>
      </c>
    </row>
    <row r="33" spans="1:16" ht="90">
      <c r="A33" s="5">
        <v>23</v>
      </c>
      <c r="B33" s="5" t="str">
        <f t="shared" si="4"/>
        <v>4.23</v>
      </c>
      <c r="C33" s="28" t="s">
        <v>41</v>
      </c>
      <c r="D33" s="28" t="s">
        <v>265</v>
      </c>
      <c r="E33" s="5" t="s">
        <v>44</v>
      </c>
      <c r="F33" s="5" t="s">
        <v>94</v>
      </c>
      <c r="G33" s="5" t="s">
        <v>94</v>
      </c>
      <c r="H33" s="28" t="s">
        <v>94</v>
      </c>
      <c r="I33" s="5" t="s">
        <v>266</v>
      </c>
      <c r="J33" s="5" t="s">
        <v>94</v>
      </c>
      <c r="K33" s="5" t="s">
        <v>94</v>
      </c>
      <c r="L33" s="5" t="s">
        <v>94</v>
      </c>
      <c r="M33" s="5" t="s">
        <v>94</v>
      </c>
      <c r="N33" s="5" t="s">
        <v>94</v>
      </c>
      <c r="O33" s="5" t="s">
        <v>267</v>
      </c>
    </row>
    <row r="34" spans="1:16">
      <c r="A34" s="50" t="s">
        <v>237</v>
      </c>
      <c r="B34" s="50"/>
      <c r="C34" s="50"/>
      <c r="D34" s="50"/>
      <c r="E34" s="50"/>
      <c r="F34" s="26"/>
      <c r="G34" s="26"/>
      <c r="H34" s="26"/>
      <c r="I34" s="26"/>
      <c r="J34" s="26"/>
      <c r="K34" s="26"/>
      <c r="L34" s="26"/>
      <c r="M34" s="26"/>
      <c r="N34" s="26"/>
      <c r="O34" s="26"/>
      <c r="P34" s="26"/>
    </row>
    <row r="35" spans="1:16" ht="210">
      <c r="A35" s="5">
        <v>24</v>
      </c>
      <c r="B35" s="5" t="str">
        <f>CONCATENATE($B$2, ".", A35)</f>
        <v>4.24</v>
      </c>
      <c r="C35" s="28" t="s">
        <v>41</v>
      </c>
      <c r="D35" s="5" t="s">
        <v>106</v>
      </c>
      <c r="E35" s="5" t="s">
        <v>38</v>
      </c>
      <c r="F35" s="5" t="s">
        <v>94</v>
      </c>
      <c r="G35" s="5" t="s">
        <v>94</v>
      </c>
      <c r="H35" s="28" t="s">
        <v>94</v>
      </c>
      <c r="I35" s="5" t="s">
        <v>95</v>
      </c>
      <c r="J35" s="5" t="s">
        <v>94</v>
      </c>
      <c r="K35" s="5" t="s">
        <v>94</v>
      </c>
      <c r="L35" s="5" t="s">
        <v>94</v>
      </c>
      <c r="M35" s="5" t="s">
        <v>281</v>
      </c>
      <c r="N35" s="5" t="s">
        <v>282</v>
      </c>
      <c r="O35" s="5" t="s">
        <v>283</v>
      </c>
    </row>
    <row r="36" spans="1:16" ht="30">
      <c r="A36" s="5">
        <v>25</v>
      </c>
      <c r="B36" s="5" t="str">
        <f>CONCATENATE($B$2, ".", A36)</f>
        <v>4.25</v>
      </c>
      <c r="C36" s="28" t="s">
        <v>41</v>
      </c>
      <c r="D36" s="5" t="s">
        <v>108</v>
      </c>
      <c r="E36" s="5" t="s">
        <v>38</v>
      </c>
      <c r="F36" s="5" t="s">
        <v>94</v>
      </c>
      <c r="G36" s="5" t="s">
        <v>94</v>
      </c>
      <c r="H36" s="28" t="s">
        <v>94</v>
      </c>
      <c r="I36" s="5" t="s">
        <v>95</v>
      </c>
      <c r="J36" s="5" t="s">
        <v>94</v>
      </c>
      <c r="K36" s="5" t="s">
        <v>94</v>
      </c>
      <c r="L36" s="5" t="s">
        <v>94</v>
      </c>
      <c r="M36" s="5" t="s">
        <v>94</v>
      </c>
      <c r="N36" s="5" t="s">
        <v>94</v>
      </c>
      <c r="O36" s="5" t="s">
        <v>284</v>
      </c>
    </row>
  </sheetData>
  <autoFilter ref="A6:P6" xr:uid="{00000000-0009-0000-0000-00000B000000}"/>
  <mergeCells count="4">
    <mergeCell ref="A23:E23"/>
    <mergeCell ref="A9:F9"/>
    <mergeCell ref="A34:E34"/>
    <mergeCell ref="A28:F28"/>
  </mergeCells>
  <conditionalFormatting sqref="A9">
    <cfRule type="cellIs" dxfId="116" priority="94" operator="equal">
      <formula>"n/a"</formula>
    </cfRule>
  </conditionalFormatting>
  <conditionalFormatting sqref="A14:A19">
    <cfRule type="cellIs" dxfId="115" priority="15" operator="equal">
      <formula>"n/a"</formula>
    </cfRule>
  </conditionalFormatting>
  <conditionalFormatting sqref="A23">
    <cfRule type="cellIs" dxfId="114" priority="97" operator="equal">
      <formula>"n/a"</formula>
    </cfRule>
  </conditionalFormatting>
  <conditionalFormatting sqref="A28">
    <cfRule type="cellIs" dxfId="113" priority="34" operator="equal">
      <formula>"n/a"</formula>
    </cfRule>
  </conditionalFormatting>
  <conditionalFormatting sqref="A34">
    <cfRule type="cellIs" dxfId="112" priority="78" operator="equal">
      <formula>"n/a"</formula>
    </cfRule>
  </conditionalFormatting>
  <conditionalFormatting sqref="A14:N17">
    <cfRule type="cellIs" dxfId="111" priority="26" operator="equal">
      <formula>"n/a"</formula>
    </cfRule>
  </conditionalFormatting>
  <conditionalFormatting sqref="A10:O10 A12:XFD13 Q14:XFD18 B25 E25:N25 C25:C27 A26:B27 D26:P27 Q26:XFD28 G28:P28 F34:P34 E35:N36">
    <cfRule type="cellIs" dxfId="110" priority="101" operator="equal">
      <formula>"n/a"</formula>
    </cfRule>
  </conditionalFormatting>
  <conditionalFormatting sqref="A29:P33">
    <cfRule type="cellIs" dxfId="109" priority="1" operator="equal">
      <formula>"n/a"</formula>
    </cfRule>
  </conditionalFormatting>
  <conditionalFormatting sqref="A7:XFD8">
    <cfRule type="cellIs" dxfId="108" priority="38" operator="equal">
      <formula>"n/a"</formula>
    </cfRule>
  </conditionalFormatting>
  <conditionalFormatting sqref="A24:XFD24">
    <cfRule type="cellIs" dxfId="107" priority="100" operator="equal">
      <formula>"n/a"</formula>
    </cfRule>
  </conditionalFormatting>
  <conditionalFormatting sqref="B35:C36">
    <cfRule type="cellIs" dxfId="106" priority="47" operator="equal">
      <formula>"n/a"</formula>
    </cfRule>
  </conditionalFormatting>
  <conditionalFormatting sqref="C7:C8">
    <cfRule type="cellIs" dxfId="105" priority="42" operator="equal">
      <formula>"Updated"</formula>
    </cfRule>
    <cfRule type="cellIs" dxfId="104" priority="41" operator="equal">
      <formula>"Removed"</formula>
    </cfRule>
    <cfRule type="cellIs" dxfId="103" priority="40" operator="equal">
      <formula>"WIP (see comments)"</formula>
    </cfRule>
    <cfRule type="cellIs" dxfId="102" priority="43" operator="equal">
      <formula>"New"</formula>
    </cfRule>
  </conditionalFormatting>
  <conditionalFormatting sqref="C10:C22">
    <cfRule type="cellIs" dxfId="101" priority="31" operator="equal">
      <formula>"New"</formula>
    </cfRule>
    <cfRule type="cellIs" dxfId="100" priority="30" operator="equal">
      <formula>"Updated"</formula>
    </cfRule>
    <cfRule type="cellIs" dxfId="99" priority="28" operator="equal">
      <formula>"WIP (see comments)"</formula>
    </cfRule>
    <cfRule type="cellIs" dxfId="98" priority="29" operator="equal">
      <formula>"Removed"</formula>
    </cfRule>
  </conditionalFormatting>
  <conditionalFormatting sqref="C24:C27 C29:C33 C35:C1048576">
    <cfRule type="cellIs" dxfId="97" priority="105" operator="equal">
      <formula>"Updated"</formula>
    </cfRule>
    <cfRule type="cellIs" dxfId="96" priority="106" operator="equal">
      <formula>"New"</formula>
    </cfRule>
    <cfRule type="cellIs" dxfId="95" priority="103" operator="equal">
      <formula>"WIP (see comments)"</formula>
    </cfRule>
    <cfRule type="cellIs" dxfId="94" priority="104" operator="equal">
      <formula>"Removed"</formula>
    </cfRule>
  </conditionalFormatting>
  <conditionalFormatting sqref="D7:D8">
    <cfRule type="cellIs" dxfId="93" priority="39" operator="equal">
      <formula>"-"</formula>
    </cfRule>
  </conditionalFormatting>
  <conditionalFormatting sqref="D10:D22">
    <cfRule type="cellIs" dxfId="92" priority="7" operator="equal">
      <formula>"-"</formula>
    </cfRule>
  </conditionalFormatting>
  <conditionalFormatting sqref="D26:D27">
    <cfRule type="cellIs" dxfId="91" priority="102" operator="equal">
      <formula>"-"</formula>
    </cfRule>
  </conditionalFormatting>
  <conditionalFormatting sqref="D29:D33">
    <cfRule type="cellIs" dxfId="90" priority="2" operator="equal">
      <formula>"-"</formula>
    </cfRule>
  </conditionalFormatting>
  <conditionalFormatting sqref="D18:N19 A18:C22">
    <cfRule type="cellIs" dxfId="89" priority="16" operator="equal">
      <formula>"n/a"</formula>
    </cfRule>
  </conditionalFormatting>
  <conditionalFormatting sqref="D20:XFD22">
    <cfRule type="cellIs" dxfId="88" priority="75" operator="equal">
      <formula>"n/a"</formula>
    </cfRule>
  </conditionalFormatting>
  <conditionalFormatting sqref="F23:XFD23">
    <cfRule type="cellIs" dxfId="87" priority="69" operator="equal">
      <formula>"n/a"</formula>
    </cfRule>
  </conditionalFormatting>
  <conditionalFormatting sqref="G9:XFD9">
    <cfRule type="cellIs" dxfId="86" priority="98" operator="equal">
      <formula>"n/a"</formula>
    </cfRule>
  </conditionalFormatting>
  <conditionalFormatting sqref="P14:P19">
    <cfRule type="cellIs" dxfId="85" priority="19" operator="equal">
      <formula>"n/a"</formula>
    </cfRule>
  </conditionalFormatting>
  <conditionalFormatting sqref="P10:XFD11 A11:N11">
    <cfRule type="cellIs" dxfId="84" priority="6" operator="equal">
      <formula>"n/a"</formula>
    </cfRule>
  </conditionalFormatting>
  <dataValidations count="1">
    <dataValidation type="list" allowBlank="1" showInputMessage="1" showErrorMessage="1" sqref="E23 E34:E1048576" xr:uid="{00000000-0002-0000-0B00-000000000000}">
      <formula1>$A$5:$A$32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1000000}">
          <x14:formula1>
            <xm:f>'List Values'!$B$5:$B$9</xm:f>
          </x14:formula1>
          <xm:sqref>C7:C8 C29:C33 C10:C22 C24:C27 C35:C1048576</xm:sqref>
        </x14:dataValidation>
        <x14:dataValidation type="list" allowBlank="1" showInputMessage="1" showErrorMessage="1" xr:uid="{00000000-0002-0000-0B00-000002000000}">
          <x14:formula1>
            <xm:f>'List Values'!$A$5:$A$30</xm:f>
          </x14:formula1>
          <xm:sqref>E7:E8 E29:E33 E24:E27 E10:E22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
  <sheetViews>
    <sheetView workbookViewId="0">
      <pane ySplit="6" topLeftCell="A7" activePane="bottomLeft" state="frozen"/>
      <selection pane="bottomLeft" activeCell="C2" sqref="C2"/>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285</v>
      </c>
      <c r="C1" s="20"/>
      <c r="D1" s="17" t="s">
        <v>286</v>
      </c>
      <c r="F1" s="31"/>
      <c r="H1" s="22"/>
    </row>
    <row r="2" spans="1:16" s="18" customFormat="1" ht="18.75">
      <c r="A2" s="16" t="s">
        <v>72</v>
      </c>
      <c r="B2" s="23" t="s">
        <v>287</v>
      </c>
      <c r="C2" s="22"/>
      <c r="D2" s="23"/>
      <c r="F2" s="31"/>
      <c r="H2" s="22"/>
    </row>
    <row r="3" spans="1:16" s="18" customFormat="1" ht="18.75">
      <c r="A3" s="16" t="s">
        <v>73</v>
      </c>
      <c r="B3" s="23"/>
      <c r="C3" s="22"/>
      <c r="D3" s="23"/>
      <c r="F3" s="31"/>
      <c r="H3" s="22"/>
    </row>
    <row r="4" spans="1:16" s="18" customFormat="1" ht="18.75">
      <c r="A4" s="16" t="s">
        <v>75</v>
      </c>
      <c r="B4" s="18" t="s">
        <v>288</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2" si="0">CONCATENATE($B$2, ".", A7)</f>
        <v>1a.1</v>
      </c>
      <c r="C7" s="28" t="s">
        <v>39</v>
      </c>
      <c r="D7" s="5" t="s">
        <v>289</v>
      </c>
      <c r="E7" s="5" t="s">
        <v>60</v>
      </c>
      <c r="F7" s="5" t="s">
        <v>94</v>
      </c>
      <c r="G7" s="5" t="s">
        <v>94</v>
      </c>
      <c r="H7" s="28" t="s">
        <v>94</v>
      </c>
      <c r="I7" s="5" t="s">
        <v>95</v>
      </c>
      <c r="J7" s="5" t="s">
        <v>94</v>
      </c>
      <c r="K7" s="5" t="s">
        <v>94</v>
      </c>
      <c r="L7" s="5" t="s">
        <v>94</v>
      </c>
      <c r="M7" s="5" t="s">
        <v>94</v>
      </c>
      <c r="N7" s="5" t="s">
        <v>94</v>
      </c>
    </row>
    <row r="8" spans="1:16" ht="30">
      <c r="A8" s="5">
        <v>2</v>
      </c>
      <c r="B8" s="5" t="str">
        <f t="shared" si="0"/>
        <v>1a.2</v>
      </c>
      <c r="C8" s="28" t="s">
        <v>39</v>
      </c>
      <c r="D8" s="5" t="s">
        <v>290</v>
      </c>
      <c r="E8" s="5" t="s">
        <v>61</v>
      </c>
      <c r="F8" s="5" t="s">
        <v>94</v>
      </c>
      <c r="G8" s="5" t="s">
        <v>94</v>
      </c>
      <c r="H8" s="28" t="s">
        <v>94</v>
      </c>
      <c r="I8" s="5" t="s">
        <v>95</v>
      </c>
      <c r="J8" s="5" t="s">
        <v>94</v>
      </c>
      <c r="K8" s="5" t="s">
        <v>94</v>
      </c>
      <c r="L8" s="5" t="s">
        <v>94</v>
      </c>
      <c r="M8" s="5" t="s">
        <v>94</v>
      </c>
      <c r="N8" s="5" t="s">
        <v>94</v>
      </c>
    </row>
    <row r="9" spans="1:16" ht="30">
      <c r="A9" s="5">
        <v>3</v>
      </c>
      <c r="B9" s="5" t="str">
        <f t="shared" si="0"/>
        <v>1a.3</v>
      </c>
      <c r="C9" s="28" t="s">
        <v>39</v>
      </c>
      <c r="D9" s="5" t="s">
        <v>291</v>
      </c>
      <c r="E9" s="5" t="s">
        <v>63</v>
      </c>
      <c r="F9" s="5" t="s">
        <v>94</v>
      </c>
      <c r="G9" s="5" t="s">
        <v>94</v>
      </c>
      <c r="H9" s="28" t="s">
        <v>94</v>
      </c>
      <c r="I9" s="5" t="s">
        <v>95</v>
      </c>
      <c r="J9" s="5" t="s">
        <v>94</v>
      </c>
      <c r="K9" s="5" t="s">
        <v>94</v>
      </c>
      <c r="L9" s="5" t="s">
        <v>94</v>
      </c>
      <c r="M9" s="5" t="s">
        <v>94</v>
      </c>
      <c r="N9" s="5" t="s">
        <v>94</v>
      </c>
    </row>
    <row r="10" spans="1:16" ht="72.75" customHeight="1">
      <c r="A10" s="5">
        <v>4</v>
      </c>
      <c r="B10" s="5" t="str">
        <f t="shared" si="0"/>
        <v>1a.4</v>
      </c>
      <c r="C10" s="28" t="s">
        <v>39</v>
      </c>
      <c r="D10" s="5" t="s">
        <v>292</v>
      </c>
      <c r="E10" s="5" t="s">
        <v>66</v>
      </c>
      <c r="F10" s="5" t="s">
        <v>293</v>
      </c>
      <c r="G10" s="5" t="s">
        <v>94</v>
      </c>
      <c r="H10" s="28" t="s">
        <v>94</v>
      </c>
      <c r="I10" s="5" t="s">
        <v>95</v>
      </c>
      <c r="J10" s="5" t="s">
        <v>294</v>
      </c>
      <c r="K10" s="5" t="s">
        <v>122</v>
      </c>
      <c r="L10" s="5" t="s">
        <v>94</v>
      </c>
      <c r="M10" s="5" t="s">
        <v>295</v>
      </c>
      <c r="N10" s="5" t="s">
        <v>296</v>
      </c>
    </row>
    <row r="11" spans="1:16" ht="30">
      <c r="A11" s="5">
        <v>5</v>
      </c>
      <c r="B11" s="5" t="str">
        <f t="shared" si="0"/>
        <v>1a.5</v>
      </c>
      <c r="C11" s="28" t="s">
        <v>39</v>
      </c>
      <c r="D11" s="5" t="s">
        <v>100</v>
      </c>
      <c r="E11" s="5" t="s">
        <v>38</v>
      </c>
      <c r="F11" s="5" t="s">
        <v>94</v>
      </c>
      <c r="G11" s="5" t="s">
        <v>94</v>
      </c>
      <c r="H11" s="28" t="s">
        <v>94</v>
      </c>
      <c r="I11" s="5" t="s">
        <v>95</v>
      </c>
      <c r="J11" s="5" t="s">
        <v>94</v>
      </c>
      <c r="K11" s="5" t="s">
        <v>94</v>
      </c>
      <c r="L11" s="5" t="s">
        <v>94</v>
      </c>
      <c r="M11" s="5" t="s">
        <v>94</v>
      </c>
      <c r="N11" s="5" t="s">
        <v>94</v>
      </c>
      <c r="O11" s="5" t="s">
        <v>297</v>
      </c>
    </row>
    <row r="12" spans="1:16" ht="30">
      <c r="A12" s="5">
        <v>6</v>
      </c>
      <c r="B12" s="5" t="str">
        <f t="shared" si="0"/>
        <v>1a.6</v>
      </c>
      <c r="C12" s="28" t="s">
        <v>39</v>
      </c>
      <c r="D12" s="5" t="s">
        <v>104</v>
      </c>
      <c r="E12" s="5" t="s">
        <v>38</v>
      </c>
      <c r="F12" s="5" t="s">
        <v>94</v>
      </c>
      <c r="G12" s="5" t="s">
        <v>94</v>
      </c>
      <c r="H12" s="28" t="s">
        <v>94</v>
      </c>
      <c r="I12" s="5" t="s">
        <v>95</v>
      </c>
      <c r="J12" s="5" t="s">
        <v>94</v>
      </c>
      <c r="K12" s="5" t="s">
        <v>94</v>
      </c>
      <c r="L12" s="5" t="s">
        <v>94</v>
      </c>
      <c r="M12" s="5" t="s">
        <v>94</v>
      </c>
      <c r="N12" s="5" t="s">
        <v>94</v>
      </c>
      <c r="O12" s="5" t="s">
        <v>126</v>
      </c>
    </row>
  </sheetData>
  <autoFilter ref="A6:P6" xr:uid="{00000000-0009-0000-0000-00000C000000}"/>
  <conditionalFormatting sqref="A7:XFD11">
    <cfRule type="cellIs" dxfId="83" priority="1" operator="equal">
      <formula>"n/a"</formula>
    </cfRule>
  </conditionalFormatting>
  <conditionalFormatting sqref="C7:C1048576">
    <cfRule type="cellIs" dxfId="82" priority="9" operator="equal">
      <formula>"WIP (see comments)"</formula>
    </cfRule>
    <cfRule type="cellIs" dxfId="81" priority="10" operator="equal">
      <formula>"Removed"</formula>
    </cfRule>
    <cfRule type="cellIs" dxfId="80" priority="11" operator="equal">
      <formula>"Updated"</formula>
    </cfRule>
    <cfRule type="cellIs" dxfId="79" priority="12" operator="equal">
      <formula>"New"</formula>
    </cfRule>
  </conditionalFormatting>
  <conditionalFormatting sqref="C11:C12 B12 E12:N12">
    <cfRule type="cellIs" dxfId="78" priority="3" operator="equal">
      <formula>"n/a"</formula>
    </cfRule>
  </conditionalFormatting>
  <conditionalFormatting sqref="D7:D10">
    <cfRule type="cellIs" dxfId="77" priority="4"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'List Values'!$B$5:$B$9</xm:f>
          </x14:formula1>
          <xm:sqref>C7:C1048576</xm:sqref>
        </x14:dataValidation>
        <x14:dataValidation type="list" allowBlank="1" showInputMessage="1" showErrorMessage="1" xr:uid="{00000000-0002-0000-0C00-000001000000}">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298</v>
      </c>
      <c r="C1" s="20"/>
      <c r="D1" s="17" t="s">
        <v>286</v>
      </c>
      <c r="F1" s="31"/>
      <c r="H1" s="22"/>
    </row>
    <row r="2" spans="1:16" s="18" customFormat="1" ht="18.75">
      <c r="A2" s="16" t="s">
        <v>72</v>
      </c>
      <c r="B2" s="23" t="s">
        <v>299</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6" si="0">CONCATENATE($B$2, ".", A7)</f>
        <v>Q-P1.1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Q-P1.2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Q-P1.3</v>
      </c>
      <c r="C9" s="28" t="s">
        <v>39</v>
      </c>
      <c r="D9" s="5" t="s">
        <v>301</v>
      </c>
      <c r="E9" s="5" t="s">
        <v>61</v>
      </c>
      <c r="F9" s="5" t="s">
        <v>94</v>
      </c>
      <c r="G9" s="5" t="s">
        <v>94</v>
      </c>
      <c r="H9" s="28" t="s">
        <v>94</v>
      </c>
      <c r="I9" s="5" t="s">
        <v>95</v>
      </c>
      <c r="J9" s="5" t="s">
        <v>94</v>
      </c>
      <c r="K9" s="5" t="s">
        <v>94</v>
      </c>
      <c r="L9" s="5" t="s">
        <v>94</v>
      </c>
      <c r="M9" s="5" t="s">
        <v>94</v>
      </c>
      <c r="N9" s="5" t="s">
        <v>94</v>
      </c>
    </row>
    <row r="10" spans="1:16" s="26" customFormat="1">
      <c r="A10" s="50" t="s">
        <v>118</v>
      </c>
      <c r="B10" s="50"/>
      <c r="C10" s="50"/>
      <c r="D10" s="50"/>
      <c r="E10" s="50"/>
    </row>
    <row r="11" spans="1:16" ht="30">
      <c r="A11" s="5">
        <v>4</v>
      </c>
      <c r="B11" s="5" t="str">
        <f t="shared" si="0"/>
        <v>Q-P1.4</v>
      </c>
      <c r="C11" s="28" t="s">
        <v>47</v>
      </c>
      <c r="D11" s="5" t="s">
        <v>302</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Q-P1.5</v>
      </c>
      <c r="C12" s="28" t="s">
        <v>47</v>
      </c>
      <c r="D12" s="5" t="s">
        <v>303</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Q-P1.6</v>
      </c>
      <c r="C13" s="28" t="s">
        <v>47</v>
      </c>
      <c r="D13" s="5" t="s">
        <v>304</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7</v>
      </c>
      <c r="B15" s="5" t="str">
        <f t="shared" si="0"/>
        <v>Q-P1.7</v>
      </c>
      <c r="C15" s="28" t="s">
        <v>39</v>
      </c>
      <c r="D15" s="5" t="s">
        <v>106</v>
      </c>
      <c r="E15" s="5" t="s">
        <v>38</v>
      </c>
      <c r="F15" s="5" t="s">
        <v>94</v>
      </c>
      <c r="G15" s="5" t="s">
        <v>94</v>
      </c>
      <c r="H15" s="28" t="s">
        <v>94</v>
      </c>
      <c r="I15" s="5" t="s">
        <v>95</v>
      </c>
      <c r="J15" s="5" t="s">
        <v>94</v>
      </c>
      <c r="K15" s="5" t="s">
        <v>94</v>
      </c>
      <c r="L15" s="5" t="s">
        <v>94</v>
      </c>
      <c r="M15" s="5" t="s">
        <v>94</v>
      </c>
      <c r="N15" s="5" t="s">
        <v>94</v>
      </c>
      <c r="O15" s="5" t="s">
        <v>305</v>
      </c>
    </row>
    <row r="16" spans="1:16" ht="30">
      <c r="A16" s="5">
        <v>8</v>
      </c>
      <c r="B16" s="5" t="str">
        <f t="shared" si="0"/>
        <v>Q-P1.8</v>
      </c>
      <c r="C16" s="28" t="s">
        <v>39</v>
      </c>
      <c r="D16" s="5" t="s">
        <v>108</v>
      </c>
      <c r="E16" s="5" t="s">
        <v>38</v>
      </c>
      <c r="F16" s="5" t="s">
        <v>94</v>
      </c>
      <c r="G16" s="5" t="s">
        <v>94</v>
      </c>
      <c r="H16" s="28" t="s">
        <v>94</v>
      </c>
      <c r="I16" s="5" t="s">
        <v>95</v>
      </c>
      <c r="J16" s="5" t="s">
        <v>94</v>
      </c>
      <c r="K16" s="5" t="s">
        <v>94</v>
      </c>
      <c r="L16" s="5" t="s">
        <v>94</v>
      </c>
      <c r="M16" s="5" t="s">
        <v>94</v>
      </c>
      <c r="N16" s="5" t="s">
        <v>94</v>
      </c>
      <c r="O16" s="5" t="s">
        <v>306</v>
      </c>
    </row>
    <row r="17" spans="1:15" ht="30">
      <c r="A17" s="5">
        <v>9</v>
      </c>
      <c r="B17" s="5" t="str">
        <f>CONCATENATE($B$2, ".", A17)</f>
        <v>Q-P1.9</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0D000000}"/>
  <mergeCells count="2">
    <mergeCell ref="A10:E10"/>
    <mergeCell ref="A14:E14"/>
  </mergeCells>
  <conditionalFormatting sqref="A10 F10:XFD10">
    <cfRule type="cellIs" dxfId="76" priority="4" operator="equal">
      <formula>"n/a"</formula>
    </cfRule>
  </conditionalFormatting>
  <conditionalFormatting sqref="A14 F14:XFD14">
    <cfRule type="cellIs" dxfId="75" priority="3" operator="equal">
      <formula>"n/a"</formula>
    </cfRule>
  </conditionalFormatting>
  <conditionalFormatting sqref="A7:XFD9">
    <cfRule type="cellIs" dxfId="74" priority="1" operator="equal">
      <formula>"n/a"</formula>
    </cfRule>
  </conditionalFormatting>
  <conditionalFormatting sqref="A11:XFD13">
    <cfRule type="cellIs" dxfId="73" priority="5" operator="equal">
      <formula>"n/a"</formula>
    </cfRule>
  </conditionalFormatting>
  <conditionalFormatting sqref="A15:XFD15">
    <cfRule type="cellIs" dxfId="72" priority="6" operator="equal">
      <formula>"n/a"</formula>
    </cfRule>
  </conditionalFormatting>
  <conditionalFormatting sqref="B16:C17 E16:N17">
    <cfRule type="cellIs" dxfId="71" priority="7" operator="equal">
      <formula>"n/a"</formula>
    </cfRule>
  </conditionalFormatting>
  <conditionalFormatting sqref="C7:C9 C11:C13 C15:C1048576">
    <cfRule type="cellIs" dxfId="70" priority="9" operator="equal">
      <formula>"WIP (see comments)"</formula>
    </cfRule>
    <cfRule type="cellIs" dxfId="69" priority="10" operator="equal">
      <formula>"Removed"</formula>
    </cfRule>
    <cfRule type="cellIs" dxfId="68" priority="11" operator="equal">
      <formula>"Updated"</formula>
    </cfRule>
    <cfRule type="cellIs" dxfId="67" priority="12" operator="equal">
      <formula>"New"</formula>
    </cfRule>
  </conditionalFormatting>
  <conditionalFormatting sqref="D7:D9">
    <cfRule type="cellIs" dxfId="66" priority="2" operator="equal">
      <formula>"-"</formula>
    </cfRule>
  </conditionalFormatting>
  <conditionalFormatting sqref="D11:D13">
    <cfRule type="cellIs" dxfId="65" priority="8"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'List Values'!$B$5:$B$9</xm:f>
          </x14:formula1>
          <xm:sqref>C7:C9 C15:C1048576 C11:C13</xm:sqref>
        </x14:dataValidation>
        <x14:dataValidation type="list" allowBlank="1" showInputMessage="1" showErrorMessage="1" xr:uid="{00000000-0002-0000-0D00-000001000000}">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307</v>
      </c>
      <c r="C1" s="20"/>
      <c r="D1" s="17" t="s">
        <v>286</v>
      </c>
      <c r="F1" s="31"/>
      <c r="H1" s="22"/>
    </row>
    <row r="2" spans="1:16" s="18" customFormat="1" ht="18.75">
      <c r="A2" s="16" t="s">
        <v>72</v>
      </c>
      <c r="B2" s="23" t="s">
        <v>308</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6" si="0">CONCATENATE($B$2, ".", A7)</f>
        <v>Q-P2.1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Q-P2.2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Q-P2.3</v>
      </c>
      <c r="C9" s="28" t="s">
        <v>39</v>
      </c>
      <c r="D9" s="5" t="s">
        <v>309</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Q-P2.4</v>
      </c>
      <c r="C11" s="28" t="s">
        <v>47</v>
      </c>
      <c r="D11" s="5" t="s">
        <v>310</v>
      </c>
      <c r="E11" s="5" t="s">
        <v>57</v>
      </c>
      <c r="F11" s="5" t="s">
        <v>120</v>
      </c>
      <c r="G11" s="5" t="s">
        <v>94</v>
      </c>
      <c r="H11" s="28" t="s">
        <v>94</v>
      </c>
      <c r="I11" s="5" t="s">
        <v>95</v>
      </c>
      <c r="J11" s="5" t="s">
        <v>121</v>
      </c>
      <c r="K11" s="5" t="s">
        <v>122</v>
      </c>
      <c r="L11" s="5" t="s">
        <v>94</v>
      </c>
      <c r="M11" s="5" t="s">
        <v>94</v>
      </c>
      <c r="N11" s="5" t="s">
        <v>94</v>
      </c>
      <c r="O11" s="32" t="s">
        <v>115</v>
      </c>
      <c r="P11" s="5" t="s">
        <v>116</v>
      </c>
    </row>
    <row r="12" spans="1:16" ht="38.25" customHeight="1">
      <c r="A12" s="5">
        <v>5</v>
      </c>
      <c r="B12" s="5" t="str">
        <f t="shared" si="0"/>
        <v>Q-P2.5</v>
      </c>
      <c r="C12" s="28" t="s">
        <v>47</v>
      </c>
      <c r="D12" s="5" t="s">
        <v>311</v>
      </c>
      <c r="E12" s="5" t="s">
        <v>57</v>
      </c>
      <c r="F12" s="5" t="s">
        <v>120</v>
      </c>
      <c r="G12" s="5" t="s">
        <v>94</v>
      </c>
      <c r="H12" s="28" t="s">
        <v>94</v>
      </c>
      <c r="I12" s="5" t="s">
        <v>95</v>
      </c>
      <c r="J12" s="5" t="s">
        <v>121</v>
      </c>
      <c r="K12" s="5" t="s">
        <v>122</v>
      </c>
      <c r="L12" s="5" t="s">
        <v>94</v>
      </c>
      <c r="M12" s="5" t="s">
        <v>94</v>
      </c>
      <c r="N12" s="5" t="s">
        <v>94</v>
      </c>
      <c r="O12" s="32" t="s">
        <v>115</v>
      </c>
      <c r="P12" s="5" t="s">
        <v>116</v>
      </c>
    </row>
    <row r="13" spans="1:16" s="26" customFormat="1">
      <c r="A13" s="50"/>
      <c r="B13" s="50"/>
      <c r="C13" s="50"/>
      <c r="D13" s="50"/>
      <c r="E13" s="50"/>
    </row>
    <row r="14" spans="1:16" ht="30">
      <c r="A14" s="5">
        <v>6</v>
      </c>
      <c r="B14" s="5" t="str">
        <f t="shared" si="0"/>
        <v>Q-P2.6</v>
      </c>
      <c r="C14" s="28" t="s">
        <v>39</v>
      </c>
      <c r="D14" s="5" t="s">
        <v>106</v>
      </c>
      <c r="E14" s="5" t="s">
        <v>38</v>
      </c>
      <c r="F14" s="5" t="s">
        <v>94</v>
      </c>
      <c r="G14" s="5" t="s">
        <v>94</v>
      </c>
      <c r="H14" s="28" t="s">
        <v>94</v>
      </c>
      <c r="I14" s="5" t="s">
        <v>95</v>
      </c>
      <c r="J14" s="5" t="s">
        <v>94</v>
      </c>
      <c r="K14" s="5" t="s">
        <v>94</v>
      </c>
      <c r="L14" s="5" t="s">
        <v>94</v>
      </c>
      <c r="M14" s="5" t="s">
        <v>94</v>
      </c>
      <c r="N14" s="5" t="s">
        <v>94</v>
      </c>
      <c r="O14" s="5" t="s">
        <v>312</v>
      </c>
    </row>
    <row r="15" spans="1:16" ht="30">
      <c r="A15" s="5">
        <v>7</v>
      </c>
      <c r="B15" s="5" t="str">
        <f t="shared" si="0"/>
        <v>Q-P2.7</v>
      </c>
      <c r="C15" s="28" t="s">
        <v>39</v>
      </c>
      <c r="D15" s="5" t="s">
        <v>108</v>
      </c>
      <c r="E15" s="5" t="s">
        <v>38</v>
      </c>
      <c r="F15" s="5" t="s">
        <v>94</v>
      </c>
      <c r="G15" s="5" t="s">
        <v>94</v>
      </c>
      <c r="H15" s="28" t="s">
        <v>94</v>
      </c>
      <c r="I15" s="5" t="s">
        <v>95</v>
      </c>
      <c r="J15" s="5" t="s">
        <v>94</v>
      </c>
      <c r="K15" s="5" t="s">
        <v>94</v>
      </c>
      <c r="L15" s="5" t="s">
        <v>94</v>
      </c>
      <c r="M15" s="5" t="s">
        <v>94</v>
      </c>
      <c r="N15" s="5" t="s">
        <v>94</v>
      </c>
      <c r="O15" s="5" t="s">
        <v>313</v>
      </c>
    </row>
    <row r="16" spans="1:16" ht="30">
      <c r="A16" s="5">
        <v>8</v>
      </c>
      <c r="B16" s="5" t="str">
        <f t="shared" si="0"/>
        <v>Q-P2.8</v>
      </c>
      <c r="C16" s="28" t="s">
        <v>39</v>
      </c>
      <c r="D16" s="5" t="s">
        <v>104</v>
      </c>
      <c r="E16" s="5" t="s">
        <v>38</v>
      </c>
      <c r="F16" s="5" t="s">
        <v>94</v>
      </c>
      <c r="G16" s="5" t="s">
        <v>94</v>
      </c>
      <c r="H16" s="28" t="s">
        <v>94</v>
      </c>
      <c r="I16" s="5" t="s">
        <v>95</v>
      </c>
      <c r="J16" s="5" t="s">
        <v>94</v>
      </c>
      <c r="K16" s="5" t="s">
        <v>94</v>
      </c>
      <c r="L16" s="5" t="s">
        <v>94</v>
      </c>
      <c r="M16" s="5" t="s">
        <v>94</v>
      </c>
      <c r="N16" s="5" t="s">
        <v>94</v>
      </c>
      <c r="O16" s="5" t="s">
        <v>126</v>
      </c>
    </row>
  </sheetData>
  <autoFilter ref="A6:P6" xr:uid="{00000000-0009-0000-0000-00000E000000}"/>
  <mergeCells count="2">
    <mergeCell ref="A10:E10"/>
    <mergeCell ref="A13:E13"/>
  </mergeCells>
  <conditionalFormatting sqref="A10">
    <cfRule type="cellIs" dxfId="64" priority="1" operator="equal">
      <formula>"n/a"</formula>
    </cfRule>
  </conditionalFormatting>
  <conditionalFormatting sqref="A13 F13:XFD13">
    <cfRule type="cellIs" dxfId="63" priority="2" operator="equal">
      <formula>"n/a"</formula>
    </cfRule>
  </conditionalFormatting>
  <conditionalFormatting sqref="A7:XFD9 B15:C16 E15:N16">
    <cfRule type="cellIs" dxfId="62" priority="6" operator="equal">
      <formula>"n/a"</formula>
    </cfRule>
  </conditionalFormatting>
  <conditionalFormatting sqref="A11:XFD12">
    <cfRule type="cellIs" dxfId="61" priority="4" operator="equal">
      <formula>"n/a"</formula>
    </cfRule>
  </conditionalFormatting>
  <conditionalFormatting sqref="A14:XFD14">
    <cfRule type="cellIs" dxfId="60" priority="5" operator="equal">
      <formula>"n/a"</formula>
    </cfRule>
  </conditionalFormatting>
  <conditionalFormatting sqref="C7:C9 C11:C12 C14:C1048576">
    <cfRule type="cellIs" dxfId="59" priority="8" operator="equal">
      <formula>"WIP (see comments)"</formula>
    </cfRule>
    <cfRule type="cellIs" dxfId="58" priority="9" operator="equal">
      <formula>"Removed"</formula>
    </cfRule>
    <cfRule type="cellIs" dxfId="57" priority="10" operator="equal">
      <formula>"Updated"</formula>
    </cfRule>
    <cfRule type="cellIs" dxfId="56" priority="11" operator="equal">
      <formula>"New"</formula>
    </cfRule>
  </conditionalFormatting>
  <conditionalFormatting sqref="D7:D9 D11:D12">
    <cfRule type="cellIs" dxfId="55" priority="7" operator="equal">
      <formula>"-"</formula>
    </cfRule>
  </conditionalFormatting>
  <conditionalFormatting sqref="F10:XFD10">
    <cfRule type="cellIs" dxfId="54" priority="3"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Values'!$B$5:$B$9</xm:f>
          </x14:formula1>
          <xm:sqref>C7:C9 C14:C1048576 C11:C12</xm:sqref>
        </x14:dataValidation>
        <x14:dataValidation type="list" allowBlank="1" showInputMessage="1" showErrorMessage="1" xr:uid="{00000000-0002-0000-0E00-000001000000}">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314</v>
      </c>
      <c r="C1" s="20"/>
      <c r="D1" s="17" t="s">
        <v>286</v>
      </c>
      <c r="F1" s="31"/>
      <c r="H1" s="22"/>
    </row>
    <row r="2" spans="1:16" s="18" customFormat="1" ht="18.75">
      <c r="A2" s="16" t="s">
        <v>72</v>
      </c>
      <c r="B2" s="23" t="s">
        <v>315</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Q-P3.1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Q-P3.2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c r="A9" s="5">
        <v>3</v>
      </c>
      <c r="B9" s="5" t="str">
        <f t="shared" si="0"/>
        <v>Q-P3.3</v>
      </c>
      <c r="C9" s="28" t="s">
        <v>39</v>
      </c>
      <c r="D9" s="5" t="s">
        <v>316</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Q-P3.4</v>
      </c>
      <c r="C11" s="28" t="s">
        <v>47</v>
      </c>
      <c r="D11" s="5" t="s">
        <v>317</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CONCATENATE($B$2, ".", A12)</f>
        <v>Q-P3.5</v>
      </c>
      <c r="C12" s="28" t="s">
        <v>47</v>
      </c>
      <c r="D12" s="5" t="s">
        <v>318</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Q-P3.6</v>
      </c>
      <c r="C13" s="28" t="s">
        <v>47</v>
      </c>
      <c r="D13" s="5" t="s">
        <v>319</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81.75" customHeight="1">
      <c r="A15" s="5">
        <v>6</v>
      </c>
      <c r="B15" s="5" t="str">
        <f t="shared" si="0"/>
        <v>Q-P3.6</v>
      </c>
      <c r="C15" s="28" t="s">
        <v>39</v>
      </c>
      <c r="D15" s="5" t="s">
        <v>106</v>
      </c>
      <c r="E15" s="5" t="s">
        <v>38</v>
      </c>
      <c r="F15" s="5" t="s">
        <v>94</v>
      </c>
      <c r="G15" s="5" t="s">
        <v>94</v>
      </c>
      <c r="H15" s="28" t="s">
        <v>94</v>
      </c>
      <c r="I15" s="5" t="s">
        <v>95</v>
      </c>
      <c r="J15" s="5" t="s">
        <v>94</v>
      </c>
      <c r="K15" s="5" t="s">
        <v>94</v>
      </c>
      <c r="L15" s="5" t="s">
        <v>94</v>
      </c>
      <c r="M15" s="5" t="s">
        <v>94</v>
      </c>
      <c r="N15" s="5" t="s">
        <v>94</v>
      </c>
      <c r="O15" s="5" t="s">
        <v>320</v>
      </c>
    </row>
    <row r="16" spans="1:16" ht="30">
      <c r="A16" s="5">
        <v>7</v>
      </c>
      <c r="B16" s="5" t="str">
        <f t="shared" si="0"/>
        <v>Q-P3.7</v>
      </c>
      <c r="C16" s="28" t="s">
        <v>39</v>
      </c>
      <c r="D16" s="5" t="s">
        <v>108</v>
      </c>
      <c r="E16" s="5" t="s">
        <v>38</v>
      </c>
      <c r="F16" s="5" t="s">
        <v>94</v>
      </c>
      <c r="G16" s="5" t="s">
        <v>94</v>
      </c>
      <c r="H16" s="28" t="s">
        <v>94</v>
      </c>
      <c r="I16" s="5" t="s">
        <v>95</v>
      </c>
      <c r="J16" s="5" t="s">
        <v>94</v>
      </c>
      <c r="K16" s="5" t="s">
        <v>94</v>
      </c>
      <c r="L16" s="5" t="s">
        <v>94</v>
      </c>
      <c r="M16" s="5" t="s">
        <v>94</v>
      </c>
      <c r="N16" s="5" t="s">
        <v>94</v>
      </c>
      <c r="O16" s="5" t="s">
        <v>321</v>
      </c>
    </row>
    <row r="17" spans="1:15" ht="83.25" customHeight="1">
      <c r="A17" s="5">
        <v>8</v>
      </c>
      <c r="B17" s="5" t="str">
        <f t="shared" si="0"/>
        <v>Q-P3.8</v>
      </c>
      <c r="C17" s="28" t="s">
        <v>39</v>
      </c>
      <c r="D17" s="5" t="s">
        <v>104</v>
      </c>
      <c r="E17" s="5" t="s">
        <v>38</v>
      </c>
      <c r="F17" s="5" t="s">
        <v>94</v>
      </c>
      <c r="G17" s="5" t="s">
        <v>94</v>
      </c>
      <c r="H17" s="28" t="s">
        <v>94</v>
      </c>
      <c r="I17" s="5" t="s">
        <v>95</v>
      </c>
      <c r="J17" s="5" t="s">
        <v>94</v>
      </c>
      <c r="K17" s="5" t="s">
        <v>94</v>
      </c>
      <c r="L17" s="5" t="s">
        <v>94</v>
      </c>
      <c r="M17" s="5" t="s">
        <v>94</v>
      </c>
      <c r="N17" s="5" t="s">
        <v>94</v>
      </c>
      <c r="O17" s="5" t="s">
        <v>322</v>
      </c>
    </row>
  </sheetData>
  <autoFilter ref="A6:P6" xr:uid="{00000000-0009-0000-0000-00000F000000}"/>
  <mergeCells count="2">
    <mergeCell ref="A10:E10"/>
    <mergeCell ref="A14:E14"/>
  </mergeCells>
  <conditionalFormatting sqref="A10">
    <cfRule type="cellIs" dxfId="53" priority="1" operator="equal">
      <formula>"n/a"</formula>
    </cfRule>
  </conditionalFormatting>
  <conditionalFormatting sqref="A14 F14:XFD14">
    <cfRule type="cellIs" dxfId="52" priority="9" operator="equal">
      <formula>"n/a"</formula>
    </cfRule>
  </conditionalFormatting>
  <conditionalFormatting sqref="A7:XFD9 B16:C17 E16:N17">
    <cfRule type="cellIs" dxfId="51" priority="13" operator="equal">
      <formula>"n/a"</formula>
    </cfRule>
  </conditionalFormatting>
  <conditionalFormatting sqref="A11:XFD13">
    <cfRule type="cellIs" dxfId="50" priority="2" operator="equal">
      <formula>"n/a"</formula>
    </cfRule>
  </conditionalFormatting>
  <conditionalFormatting sqref="A15:XFD15">
    <cfRule type="cellIs" dxfId="49" priority="12" operator="equal">
      <formula>"n/a"</formula>
    </cfRule>
  </conditionalFormatting>
  <conditionalFormatting sqref="C7:C9 C15:C1048576">
    <cfRule type="cellIs" dxfId="48" priority="15" operator="equal">
      <formula>"WIP (see comments)"</formula>
    </cfRule>
    <cfRule type="cellIs" dxfId="47" priority="16" operator="equal">
      <formula>"Removed"</formula>
    </cfRule>
    <cfRule type="cellIs" dxfId="46" priority="17" operator="equal">
      <formula>"Updated"</formula>
    </cfRule>
    <cfRule type="cellIs" dxfId="45" priority="18" operator="equal">
      <formula>"New"</formula>
    </cfRule>
  </conditionalFormatting>
  <conditionalFormatting sqref="C11:C13">
    <cfRule type="cellIs" dxfId="44" priority="5" operator="equal">
      <formula>"WIP (see comments)"</formula>
    </cfRule>
    <cfRule type="cellIs" dxfId="43" priority="6" operator="equal">
      <formula>"Removed"</formula>
    </cfRule>
    <cfRule type="cellIs" dxfId="42" priority="7" operator="equal">
      <formula>"Updated"</formula>
    </cfRule>
    <cfRule type="cellIs" dxfId="41" priority="8" operator="equal">
      <formula>"New"</formula>
    </cfRule>
  </conditionalFormatting>
  <conditionalFormatting sqref="D7:D9">
    <cfRule type="cellIs" dxfId="40" priority="14" operator="equal">
      <formula>"-"</formula>
    </cfRule>
  </conditionalFormatting>
  <conditionalFormatting sqref="D11:D13">
    <cfRule type="cellIs" dxfId="39" priority="4" operator="equal">
      <formula>"-"</formula>
    </cfRule>
  </conditionalFormatting>
  <conditionalFormatting sqref="F10:XFD10">
    <cfRule type="cellIs" dxfId="38"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Values'!$B$5:$B$9</xm:f>
          </x14:formula1>
          <xm:sqref>C7:C9 C15:C1048576 C11:C13</xm:sqref>
        </x14:dataValidation>
        <x14:dataValidation type="list" allowBlank="1" showInputMessage="1" showErrorMessage="1" xr:uid="{00000000-0002-0000-0F00-000001000000}">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6"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323</v>
      </c>
      <c r="B1" s="24" t="s">
        <v>324</v>
      </c>
      <c r="C1" s="20"/>
      <c r="D1" s="17" t="s">
        <v>325</v>
      </c>
      <c r="F1" s="31"/>
      <c r="H1" s="22"/>
    </row>
    <row r="2" spans="1:16" s="18" customFormat="1" ht="18.75">
      <c r="A2" s="16" t="s">
        <v>72</v>
      </c>
      <c r="B2" s="23" t="s">
        <v>326</v>
      </c>
      <c r="C2" s="22"/>
      <c r="D2" s="23"/>
      <c r="F2" s="31"/>
      <c r="H2" s="22"/>
    </row>
    <row r="3" spans="1:16" s="18" customFormat="1" ht="18.75">
      <c r="A3" s="16" t="s">
        <v>73</v>
      </c>
      <c r="B3" s="23"/>
      <c r="C3" s="22"/>
      <c r="D3" s="23"/>
      <c r="F3" s="31"/>
      <c r="H3" s="22"/>
    </row>
    <row r="4" spans="1:16" s="18" customFormat="1" ht="18.75">
      <c r="A4" s="16" t="s">
        <v>75</v>
      </c>
      <c r="B4" s="18" t="s">
        <v>327</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ht="135">
      <c r="A7" s="5">
        <v>1</v>
      </c>
      <c r="B7" s="5" t="str">
        <f>CONCATENATE($B$2, ".", A7)</f>
        <v>P3a.1</v>
      </c>
      <c r="C7" s="28" t="s">
        <v>47</v>
      </c>
      <c r="D7" s="32" t="s">
        <v>328</v>
      </c>
      <c r="E7" s="5" t="s">
        <v>63</v>
      </c>
      <c r="F7" s="5" t="s">
        <v>94</v>
      </c>
      <c r="G7" s="5" t="s">
        <v>94</v>
      </c>
      <c r="H7" s="28" t="s">
        <v>94</v>
      </c>
      <c r="I7" s="5" t="s">
        <v>95</v>
      </c>
      <c r="J7" s="5" t="s">
        <v>94</v>
      </c>
      <c r="K7" s="5" t="s">
        <v>94</v>
      </c>
      <c r="L7" s="5" t="s">
        <v>94</v>
      </c>
      <c r="M7" s="5" t="s">
        <v>94</v>
      </c>
      <c r="N7" s="5" t="s">
        <v>94</v>
      </c>
    </row>
    <row r="8" spans="1:16" ht="45">
      <c r="A8" s="5">
        <v>2</v>
      </c>
      <c r="B8" s="5" t="str">
        <f>CONCATENATE($B$2, ".", A8)</f>
        <v>P3a.2</v>
      </c>
      <c r="C8" s="28" t="s">
        <v>39</v>
      </c>
      <c r="D8" s="5" t="s">
        <v>329</v>
      </c>
      <c r="E8" s="5" t="s">
        <v>38</v>
      </c>
      <c r="F8" s="5" t="s">
        <v>94</v>
      </c>
      <c r="G8" s="5" t="s">
        <v>94</v>
      </c>
      <c r="H8" s="28" t="s">
        <v>94</v>
      </c>
      <c r="I8" s="5" t="s">
        <v>95</v>
      </c>
      <c r="J8" s="5" t="s">
        <v>94</v>
      </c>
      <c r="K8" s="5" t="s">
        <v>94</v>
      </c>
      <c r="L8" s="5" t="s">
        <v>94</v>
      </c>
      <c r="M8" s="5" t="s">
        <v>94</v>
      </c>
      <c r="N8" s="5" t="s">
        <v>94</v>
      </c>
      <c r="O8" s="5" t="s">
        <v>330</v>
      </c>
    </row>
  </sheetData>
  <autoFilter ref="A6:P6" xr:uid="{00000000-0009-0000-0000-000010000000}"/>
  <conditionalFormatting sqref="A7:XFD8">
    <cfRule type="cellIs" dxfId="37" priority="12" operator="equal">
      <formula>"n/a"</formula>
    </cfRule>
  </conditionalFormatting>
  <conditionalFormatting sqref="C7:C1048576">
    <cfRule type="cellIs" dxfId="36" priority="15" operator="equal">
      <formula>"WIP (see comments)"</formula>
    </cfRule>
    <cfRule type="cellIs" dxfId="35" priority="16" operator="equal">
      <formula>"Removed"</formula>
    </cfRule>
    <cfRule type="cellIs" dxfId="34" priority="17" operator="equal">
      <formula>"Updated"</formula>
    </cfRule>
    <cfRule type="cellIs" dxfId="33" priority="18" operator="equal">
      <formula>"New"</formula>
    </cfRule>
  </conditionalFormatting>
  <conditionalFormatting sqref="D7">
    <cfRule type="cellIs" dxfId="32" priority="14" operator="equal">
      <formul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Values'!$B$5:$B$9</xm:f>
          </x14:formula1>
          <xm:sqref>C7 C8:C1048576</xm:sqref>
        </x14:dataValidation>
        <x14:dataValidation type="list" allowBlank="1" showInputMessage="1" showErrorMessage="1" xr:uid="{00000000-0002-0000-1000-000001000000}">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331</v>
      </c>
      <c r="C1" s="20"/>
      <c r="D1" s="17" t="s">
        <v>286</v>
      </c>
      <c r="F1" s="31"/>
      <c r="H1" s="22"/>
    </row>
    <row r="2" spans="1:16" s="18" customFormat="1" ht="18.75">
      <c r="A2" s="16" t="s">
        <v>72</v>
      </c>
      <c r="B2" s="23" t="s">
        <v>332</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Q-P4.1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Q-P4.2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ht="30">
      <c r="A9" s="5">
        <v>3</v>
      </c>
      <c r="B9" s="5" t="str">
        <f t="shared" si="0"/>
        <v>Q-P4.3</v>
      </c>
      <c r="C9" s="28" t="s">
        <v>39</v>
      </c>
      <c r="D9" s="5" t="s">
        <v>333</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Q-P4.4</v>
      </c>
      <c r="C11" s="28" t="s">
        <v>47</v>
      </c>
      <c r="D11" s="5" t="s">
        <v>334</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Q-P4.5</v>
      </c>
      <c r="C12" s="28" t="s">
        <v>47</v>
      </c>
      <c r="D12" s="5" t="s">
        <v>335</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Q-P4.6</v>
      </c>
      <c r="C13" s="28" t="s">
        <v>47</v>
      </c>
      <c r="D13" s="5" t="s">
        <v>336</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Q-P4.6</v>
      </c>
      <c r="C15" s="28" t="s">
        <v>39</v>
      </c>
      <c r="D15" s="5" t="s">
        <v>106</v>
      </c>
      <c r="E15" s="5" t="s">
        <v>38</v>
      </c>
      <c r="F15" s="5" t="s">
        <v>94</v>
      </c>
      <c r="G15" s="5" t="s">
        <v>94</v>
      </c>
      <c r="H15" s="28" t="s">
        <v>94</v>
      </c>
      <c r="I15" s="5" t="s">
        <v>95</v>
      </c>
      <c r="J15" s="5" t="s">
        <v>94</v>
      </c>
      <c r="K15" s="5" t="s">
        <v>94</v>
      </c>
      <c r="L15" s="5" t="s">
        <v>94</v>
      </c>
      <c r="M15" s="5" t="s">
        <v>94</v>
      </c>
      <c r="N15" s="5" t="s">
        <v>94</v>
      </c>
      <c r="O15" s="5" t="s">
        <v>337</v>
      </c>
    </row>
    <row r="16" spans="1:16" ht="30">
      <c r="A16" s="5">
        <v>7</v>
      </c>
      <c r="B16" s="5" t="str">
        <f t="shared" si="0"/>
        <v>Q-P4.7</v>
      </c>
      <c r="C16" s="28" t="s">
        <v>39</v>
      </c>
      <c r="D16" s="5" t="s">
        <v>108</v>
      </c>
      <c r="E16" s="5" t="s">
        <v>38</v>
      </c>
      <c r="F16" s="5" t="s">
        <v>94</v>
      </c>
      <c r="G16" s="5" t="s">
        <v>94</v>
      </c>
      <c r="H16" s="28" t="s">
        <v>94</v>
      </c>
      <c r="I16" s="5" t="s">
        <v>95</v>
      </c>
      <c r="J16" s="5" t="s">
        <v>94</v>
      </c>
      <c r="K16" s="5" t="s">
        <v>94</v>
      </c>
      <c r="L16" s="5" t="s">
        <v>94</v>
      </c>
      <c r="M16" s="5" t="s">
        <v>94</v>
      </c>
      <c r="N16" s="5" t="s">
        <v>94</v>
      </c>
      <c r="O16" s="5" t="s">
        <v>338</v>
      </c>
    </row>
    <row r="17" spans="1:15" ht="30">
      <c r="A17" s="5">
        <v>8</v>
      </c>
      <c r="B17" s="5" t="str">
        <f t="shared" si="0"/>
        <v>Q-P4.8</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11000000}"/>
  <mergeCells count="2">
    <mergeCell ref="A10:E10"/>
    <mergeCell ref="A14:E14"/>
  </mergeCells>
  <conditionalFormatting sqref="A10">
    <cfRule type="cellIs" dxfId="31" priority="1" operator="equal">
      <formula>"n/a"</formula>
    </cfRule>
  </conditionalFormatting>
  <conditionalFormatting sqref="A14 F14:XFD14">
    <cfRule type="cellIs" dxfId="30" priority="9" operator="equal">
      <formula>"n/a"</formula>
    </cfRule>
  </conditionalFormatting>
  <conditionalFormatting sqref="A7:XFD9 B16:C17 E16:N17">
    <cfRule type="cellIs" dxfId="29" priority="13" operator="equal">
      <formula>"n/a"</formula>
    </cfRule>
  </conditionalFormatting>
  <conditionalFormatting sqref="A11:XFD13">
    <cfRule type="cellIs" dxfId="28" priority="2" operator="equal">
      <formula>"n/a"</formula>
    </cfRule>
  </conditionalFormatting>
  <conditionalFormatting sqref="A15:XFD15">
    <cfRule type="cellIs" dxfId="27" priority="12" operator="equal">
      <formula>"n/a"</formula>
    </cfRule>
  </conditionalFormatting>
  <conditionalFormatting sqref="C7:C9 C15:C1048576">
    <cfRule type="cellIs" dxfId="26" priority="15" operator="equal">
      <formula>"WIP (see comments)"</formula>
    </cfRule>
    <cfRule type="cellIs" dxfId="25" priority="16" operator="equal">
      <formula>"Removed"</formula>
    </cfRule>
    <cfRule type="cellIs" dxfId="24" priority="17" operator="equal">
      <formula>"Updated"</formula>
    </cfRule>
    <cfRule type="cellIs" dxfId="23" priority="18" operator="equal">
      <formula>"New"</formula>
    </cfRule>
  </conditionalFormatting>
  <conditionalFormatting sqref="C11:C13">
    <cfRule type="cellIs" dxfId="22" priority="5" operator="equal">
      <formula>"WIP (see comments)"</formula>
    </cfRule>
    <cfRule type="cellIs" dxfId="21" priority="6" operator="equal">
      <formula>"Removed"</formula>
    </cfRule>
    <cfRule type="cellIs" dxfId="20" priority="7" operator="equal">
      <formula>"Updated"</formula>
    </cfRule>
    <cfRule type="cellIs" dxfId="19" priority="8" operator="equal">
      <formula>"New"</formula>
    </cfRule>
  </conditionalFormatting>
  <conditionalFormatting sqref="D7:D9">
    <cfRule type="cellIs" dxfId="18" priority="14" operator="equal">
      <formula>"-"</formula>
    </cfRule>
  </conditionalFormatting>
  <conditionalFormatting sqref="D11:D13">
    <cfRule type="cellIs" dxfId="17" priority="4" operator="equal">
      <formula>"-"</formula>
    </cfRule>
  </conditionalFormatting>
  <conditionalFormatting sqref="F10:XFD10">
    <cfRule type="cellIs" dxfId="16"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Values'!$B$5:$B$9</xm:f>
          </x14:formula1>
          <xm:sqref>C7:C9 C15:C1048576 C11:C13</xm:sqref>
        </x14:dataValidation>
        <x14:dataValidation type="list" allowBlank="1" showInputMessage="1" showErrorMessage="1" xr:uid="{00000000-0002-0000-1100-000001000000}">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7"/>
  <sheetViews>
    <sheetView workbookViewId="0">
      <pane ySplit="6" topLeftCell="A7" activePane="bottomLeft" state="frozen"/>
      <selection pane="bottomLeft" activeCell="A5" sqref="A5"/>
    </sheetView>
  </sheetViews>
  <sheetFormatPr defaultColWidth="9.140625" defaultRowHeight="15"/>
  <cols>
    <col min="1" max="1" width="14.7109375" style="5" customWidth="1"/>
    <col min="2" max="2" width="12.5703125" style="5" customWidth="1"/>
    <col min="3" max="3" width="13.5703125" style="28" customWidth="1"/>
    <col min="4" max="4" width="45.140625" style="5" customWidth="1"/>
    <col min="5" max="5" width="28.7109375" style="5" customWidth="1"/>
    <col min="6" max="6" width="19.42578125" style="5" customWidth="1"/>
    <col min="7" max="7" width="29.28515625" style="5" customWidth="1"/>
    <col min="8" max="8" width="11.5703125" style="28"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18" customFormat="1" ht="18.75">
      <c r="A1" s="16" t="s">
        <v>69</v>
      </c>
      <c r="B1" s="24" t="s">
        <v>339</v>
      </c>
      <c r="C1" s="20"/>
      <c r="D1" s="17" t="s">
        <v>286</v>
      </c>
      <c r="F1" s="31"/>
      <c r="H1" s="22"/>
    </row>
    <row r="2" spans="1:16" s="18" customFormat="1" ht="18.75">
      <c r="A2" s="16" t="s">
        <v>72</v>
      </c>
      <c r="B2" s="23" t="s">
        <v>340</v>
      </c>
      <c r="C2" s="22"/>
      <c r="D2" s="23"/>
      <c r="F2" s="31"/>
      <c r="H2" s="22"/>
    </row>
    <row r="3" spans="1:16" s="18" customFormat="1" ht="18.75">
      <c r="A3" s="16" t="s">
        <v>73</v>
      </c>
      <c r="B3" s="23"/>
      <c r="C3" s="22"/>
      <c r="D3" s="23"/>
      <c r="F3" s="31"/>
      <c r="H3" s="22"/>
    </row>
    <row r="4" spans="1:16" s="18" customFormat="1" ht="18.75">
      <c r="A4" s="16" t="s">
        <v>75</v>
      </c>
      <c r="B4" s="18" t="s">
        <v>300</v>
      </c>
      <c r="C4" s="22"/>
      <c r="F4" s="31"/>
      <c r="H4" s="22"/>
    </row>
    <row r="5" spans="1:16" s="4" customFormat="1">
      <c r="C5" s="27"/>
      <c r="F5" s="5"/>
      <c r="H5" s="27"/>
    </row>
    <row r="6" spans="1:16" s="19" customFormat="1" ht="15.75" thickBot="1">
      <c r="A6" s="19" t="s">
        <v>77</v>
      </c>
      <c r="B6" s="19" t="s">
        <v>78</v>
      </c>
      <c r="C6" s="21" t="s">
        <v>79</v>
      </c>
      <c r="D6" s="19" t="s">
        <v>80</v>
      </c>
      <c r="E6" s="19" t="s">
        <v>81</v>
      </c>
      <c r="F6" s="19" t="s">
        <v>82</v>
      </c>
      <c r="G6" s="19" t="s">
        <v>83</v>
      </c>
      <c r="H6" s="21" t="s">
        <v>84</v>
      </c>
      <c r="I6" s="19" t="s">
        <v>85</v>
      </c>
      <c r="J6" s="19" t="s">
        <v>86</v>
      </c>
      <c r="K6" s="19" t="s">
        <v>87</v>
      </c>
      <c r="L6" s="19" t="s">
        <v>88</v>
      </c>
      <c r="M6" s="19" t="s">
        <v>89</v>
      </c>
      <c r="N6" s="19" t="s">
        <v>90</v>
      </c>
      <c r="O6" s="19" t="s">
        <v>91</v>
      </c>
      <c r="P6" s="19" t="s">
        <v>92</v>
      </c>
    </row>
    <row r="7" spans="1:16">
      <c r="A7" s="5">
        <v>1</v>
      </c>
      <c r="B7" s="5" t="str">
        <f t="shared" ref="B7:B17" si="0">CONCATENATE($B$2, ".", A7)</f>
        <v>Q-P5.1</v>
      </c>
      <c r="C7" s="28" t="s">
        <v>39</v>
      </c>
      <c r="D7" s="5" t="s">
        <v>113</v>
      </c>
      <c r="E7" s="5" t="s">
        <v>60</v>
      </c>
      <c r="F7" s="5" t="s">
        <v>94</v>
      </c>
      <c r="G7" s="5" t="s">
        <v>94</v>
      </c>
      <c r="H7" s="28" t="s">
        <v>94</v>
      </c>
      <c r="I7" s="5" t="s">
        <v>95</v>
      </c>
      <c r="J7" s="5" t="s">
        <v>94</v>
      </c>
      <c r="K7" s="5" t="s">
        <v>94</v>
      </c>
      <c r="L7" s="5" t="s">
        <v>94</v>
      </c>
      <c r="M7" s="5" t="s">
        <v>94</v>
      </c>
      <c r="N7" s="5" t="s">
        <v>94</v>
      </c>
    </row>
    <row r="8" spans="1:16" ht="30">
      <c r="A8" s="5">
        <v>2</v>
      </c>
      <c r="B8" s="5" t="str">
        <f t="shared" si="0"/>
        <v>Q-P5.2</v>
      </c>
      <c r="C8" s="28" t="s">
        <v>47</v>
      </c>
      <c r="D8" s="5" t="s">
        <v>114</v>
      </c>
      <c r="E8" s="5" t="s">
        <v>53</v>
      </c>
      <c r="F8" s="5" t="s">
        <v>94</v>
      </c>
      <c r="G8" s="5" t="s">
        <v>94</v>
      </c>
      <c r="H8" s="28" t="s">
        <v>94</v>
      </c>
      <c r="I8" s="5" t="s">
        <v>95</v>
      </c>
      <c r="J8" s="5" t="s">
        <v>94</v>
      </c>
      <c r="K8" s="5" t="s">
        <v>94</v>
      </c>
      <c r="L8" s="5" t="s">
        <v>94</v>
      </c>
      <c r="M8" s="5" t="s">
        <v>94</v>
      </c>
      <c r="N8" s="5" t="s">
        <v>94</v>
      </c>
      <c r="O8" s="32" t="s">
        <v>115</v>
      </c>
      <c r="P8" s="5" t="s">
        <v>116</v>
      </c>
    </row>
    <row r="9" spans="1:16" ht="30">
      <c r="A9" s="5">
        <v>3</v>
      </c>
      <c r="B9" s="5" t="str">
        <f t="shared" si="0"/>
        <v>Q-P5.3</v>
      </c>
      <c r="C9" s="28" t="s">
        <v>39</v>
      </c>
      <c r="D9" s="5" t="s">
        <v>341</v>
      </c>
      <c r="E9" s="5" t="s">
        <v>61</v>
      </c>
      <c r="F9" s="5" t="s">
        <v>94</v>
      </c>
      <c r="G9" s="5" t="s">
        <v>94</v>
      </c>
      <c r="H9" s="28" t="s">
        <v>94</v>
      </c>
      <c r="I9" s="5" t="s">
        <v>95</v>
      </c>
      <c r="J9" s="5" t="s">
        <v>94</v>
      </c>
      <c r="K9" s="5" t="s">
        <v>94</v>
      </c>
      <c r="L9" s="5" t="s">
        <v>94</v>
      </c>
      <c r="M9" s="5" t="s">
        <v>94</v>
      </c>
      <c r="N9" s="5" t="s">
        <v>94</v>
      </c>
    </row>
    <row r="10" spans="1:16" s="26" customFormat="1" ht="15" customHeight="1">
      <c r="A10" s="50" t="s">
        <v>118</v>
      </c>
      <c r="B10" s="50"/>
      <c r="C10" s="50"/>
      <c r="D10" s="50"/>
      <c r="E10" s="50"/>
    </row>
    <row r="11" spans="1:16" ht="30">
      <c r="A11" s="5">
        <v>4</v>
      </c>
      <c r="B11" s="5" t="str">
        <f t="shared" si="0"/>
        <v>Q-P5.4</v>
      </c>
      <c r="C11" s="28" t="s">
        <v>47</v>
      </c>
      <c r="D11" s="5" t="s">
        <v>342</v>
      </c>
      <c r="E11" s="5" t="s">
        <v>57</v>
      </c>
      <c r="F11" s="5" t="s">
        <v>120</v>
      </c>
      <c r="G11" s="5" t="s">
        <v>94</v>
      </c>
      <c r="H11" s="28" t="s">
        <v>94</v>
      </c>
      <c r="I11" s="5" t="s">
        <v>95</v>
      </c>
      <c r="J11" s="5" t="s">
        <v>121</v>
      </c>
      <c r="K11" s="5" t="s">
        <v>122</v>
      </c>
      <c r="L11" s="5" t="s">
        <v>94</v>
      </c>
      <c r="M11" s="5" t="s">
        <v>94</v>
      </c>
      <c r="N11" s="5" t="s">
        <v>94</v>
      </c>
      <c r="O11" s="32" t="s">
        <v>115</v>
      </c>
      <c r="P11" s="5" t="s">
        <v>116</v>
      </c>
    </row>
    <row r="12" spans="1:16" ht="30">
      <c r="A12" s="5">
        <v>5</v>
      </c>
      <c r="B12" s="5" t="str">
        <f t="shared" si="0"/>
        <v>Q-P5.5</v>
      </c>
      <c r="C12" s="28" t="s">
        <v>47</v>
      </c>
      <c r="D12" s="5" t="s">
        <v>343</v>
      </c>
      <c r="E12" s="5" t="s">
        <v>57</v>
      </c>
      <c r="F12" s="5" t="s">
        <v>120</v>
      </c>
      <c r="G12" s="5" t="s">
        <v>94</v>
      </c>
      <c r="H12" s="28" t="s">
        <v>94</v>
      </c>
      <c r="I12" s="5" t="s">
        <v>95</v>
      </c>
      <c r="J12" s="5" t="s">
        <v>121</v>
      </c>
      <c r="K12" s="5" t="s">
        <v>122</v>
      </c>
      <c r="L12" s="5" t="s">
        <v>94</v>
      </c>
      <c r="M12" s="5" t="s">
        <v>94</v>
      </c>
      <c r="N12" s="5" t="s">
        <v>94</v>
      </c>
      <c r="O12" s="32" t="s">
        <v>115</v>
      </c>
      <c r="P12" s="5" t="s">
        <v>116</v>
      </c>
    </row>
    <row r="13" spans="1:16" ht="30">
      <c r="A13" s="5">
        <v>6</v>
      </c>
      <c r="B13" s="5" t="str">
        <f t="shared" si="0"/>
        <v>Q-P5.6</v>
      </c>
      <c r="C13" s="28" t="s">
        <v>47</v>
      </c>
      <c r="D13" s="5" t="s">
        <v>344</v>
      </c>
      <c r="E13" s="5" t="s">
        <v>57</v>
      </c>
      <c r="F13" s="5" t="s">
        <v>120</v>
      </c>
      <c r="G13" s="5" t="s">
        <v>94</v>
      </c>
      <c r="H13" s="28" t="s">
        <v>94</v>
      </c>
      <c r="I13" s="5" t="s">
        <v>95</v>
      </c>
      <c r="J13" s="5" t="s">
        <v>121</v>
      </c>
      <c r="K13" s="5" t="s">
        <v>122</v>
      </c>
      <c r="L13" s="5" t="s">
        <v>94</v>
      </c>
      <c r="M13" s="5" t="s">
        <v>94</v>
      </c>
      <c r="N13" s="5" t="s">
        <v>94</v>
      </c>
      <c r="O13" s="32" t="s">
        <v>115</v>
      </c>
      <c r="P13" s="5" t="s">
        <v>116</v>
      </c>
    </row>
    <row r="14" spans="1:16" s="26" customFormat="1">
      <c r="A14" s="50"/>
      <c r="B14" s="50"/>
      <c r="C14" s="50"/>
      <c r="D14" s="50"/>
      <c r="E14" s="50"/>
    </row>
    <row r="15" spans="1:16" ht="30">
      <c r="A15" s="5">
        <v>6</v>
      </c>
      <c r="B15" s="5" t="str">
        <f t="shared" si="0"/>
        <v>Q-P5.6</v>
      </c>
      <c r="C15" s="28" t="s">
        <v>39</v>
      </c>
      <c r="D15" s="5" t="s">
        <v>106</v>
      </c>
      <c r="E15" s="5" t="s">
        <v>38</v>
      </c>
      <c r="F15" s="5" t="s">
        <v>94</v>
      </c>
      <c r="G15" s="5" t="s">
        <v>94</v>
      </c>
      <c r="H15" s="28" t="s">
        <v>94</v>
      </c>
      <c r="I15" s="5" t="s">
        <v>95</v>
      </c>
      <c r="J15" s="5" t="s">
        <v>94</v>
      </c>
      <c r="K15" s="5" t="s">
        <v>94</v>
      </c>
      <c r="L15" s="5" t="s">
        <v>94</v>
      </c>
      <c r="M15" s="5" t="s">
        <v>94</v>
      </c>
      <c r="N15" s="5" t="s">
        <v>94</v>
      </c>
      <c r="O15" s="5" t="s">
        <v>345</v>
      </c>
    </row>
    <row r="16" spans="1:16" ht="30">
      <c r="A16" s="5">
        <v>7</v>
      </c>
      <c r="B16" s="5" t="str">
        <f t="shared" si="0"/>
        <v>Q-P5.7</v>
      </c>
      <c r="C16" s="28" t="s">
        <v>39</v>
      </c>
      <c r="D16" s="5" t="s">
        <v>108</v>
      </c>
      <c r="E16" s="5" t="s">
        <v>38</v>
      </c>
      <c r="F16" s="5" t="s">
        <v>94</v>
      </c>
      <c r="G16" s="5" t="s">
        <v>94</v>
      </c>
      <c r="H16" s="28" t="s">
        <v>94</v>
      </c>
      <c r="I16" s="5" t="s">
        <v>95</v>
      </c>
      <c r="J16" s="5" t="s">
        <v>94</v>
      </c>
      <c r="K16" s="5" t="s">
        <v>94</v>
      </c>
      <c r="L16" s="5" t="s">
        <v>94</v>
      </c>
      <c r="M16" s="5" t="s">
        <v>94</v>
      </c>
      <c r="N16" s="5" t="s">
        <v>94</v>
      </c>
      <c r="O16" s="5" t="s">
        <v>346</v>
      </c>
    </row>
    <row r="17" spans="1:15" ht="30">
      <c r="A17" s="5">
        <v>8</v>
      </c>
      <c r="B17" s="5" t="str">
        <f t="shared" si="0"/>
        <v>Q-P5.8</v>
      </c>
      <c r="C17" s="28" t="s">
        <v>39</v>
      </c>
      <c r="D17" s="5" t="s">
        <v>104</v>
      </c>
      <c r="E17" s="5" t="s">
        <v>38</v>
      </c>
      <c r="F17" s="5" t="s">
        <v>94</v>
      </c>
      <c r="G17" s="5" t="s">
        <v>94</v>
      </c>
      <c r="H17" s="28" t="s">
        <v>94</v>
      </c>
      <c r="I17" s="5" t="s">
        <v>95</v>
      </c>
      <c r="J17" s="5" t="s">
        <v>94</v>
      </c>
      <c r="K17" s="5" t="s">
        <v>94</v>
      </c>
      <c r="L17" s="5" t="s">
        <v>94</v>
      </c>
      <c r="M17" s="5" t="s">
        <v>94</v>
      </c>
      <c r="N17" s="5" t="s">
        <v>94</v>
      </c>
      <c r="O17" s="5" t="s">
        <v>126</v>
      </c>
    </row>
  </sheetData>
  <autoFilter ref="A6:P6" xr:uid="{00000000-0009-0000-0000-000012000000}"/>
  <mergeCells count="2">
    <mergeCell ref="A10:E10"/>
    <mergeCell ref="A14:E14"/>
  </mergeCells>
  <conditionalFormatting sqref="A10">
    <cfRule type="cellIs" dxfId="15" priority="1" operator="equal">
      <formula>"n/a"</formula>
    </cfRule>
  </conditionalFormatting>
  <conditionalFormatting sqref="A14 F14:XFD14">
    <cfRule type="cellIs" dxfId="14" priority="9" operator="equal">
      <formula>"n/a"</formula>
    </cfRule>
  </conditionalFormatting>
  <conditionalFormatting sqref="A7:XFD9 B16:C17 E16:N17">
    <cfRule type="cellIs" dxfId="13" priority="13" operator="equal">
      <formula>"n/a"</formula>
    </cfRule>
  </conditionalFormatting>
  <conditionalFormatting sqref="A11:XFD13">
    <cfRule type="cellIs" dxfId="12" priority="2" operator="equal">
      <formula>"n/a"</formula>
    </cfRule>
  </conditionalFormatting>
  <conditionalFormatting sqref="A15:XFD15">
    <cfRule type="cellIs" dxfId="11" priority="12" operator="equal">
      <formula>"n/a"</formula>
    </cfRule>
  </conditionalFormatting>
  <conditionalFormatting sqref="C7:C9 C15:C1048576">
    <cfRule type="cellIs" dxfId="10" priority="15" operator="equal">
      <formula>"WIP (see comments)"</formula>
    </cfRule>
    <cfRule type="cellIs" dxfId="9" priority="16" operator="equal">
      <formula>"Removed"</formula>
    </cfRule>
    <cfRule type="cellIs" dxfId="8" priority="17" operator="equal">
      <formula>"Updated"</formula>
    </cfRule>
    <cfRule type="cellIs" dxfId="7" priority="18" operator="equal">
      <formula>"New"</formula>
    </cfRule>
  </conditionalFormatting>
  <conditionalFormatting sqref="C11:C13">
    <cfRule type="cellIs" dxfId="6" priority="5" operator="equal">
      <formula>"WIP (see comments)"</formula>
    </cfRule>
    <cfRule type="cellIs" dxfId="5" priority="6" operator="equal">
      <formula>"Removed"</formula>
    </cfRule>
    <cfRule type="cellIs" dxfId="4" priority="7" operator="equal">
      <formula>"Updated"</formula>
    </cfRule>
    <cfRule type="cellIs" dxfId="3" priority="8" operator="equal">
      <formula>"New"</formula>
    </cfRule>
  </conditionalFormatting>
  <conditionalFormatting sqref="D7:D9">
    <cfRule type="cellIs" dxfId="2" priority="14" operator="equal">
      <formula>"-"</formula>
    </cfRule>
  </conditionalFormatting>
  <conditionalFormatting sqref="D11:D13">
    <cfRule type="cellIs" dxfId="1" priority="4" operator="equal">
      <formula>"-"</formula>
    </cfRule>
  </conditionalFormatting>
  <conditionalFormatting sqref="F10:XFD10">
    <cfRule type="cellIs" dxfId="0" priority="10"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Values'!$B$5:$B$9</xm:f>
          </x14:formula1>
          <xm:sqref>C7:C9 C15:C1048576 C11:C13</xm:sqref>
        </x14:dataValidation>
        <x14:dataValidation type="list" allowBlank="1" showInputMessage="1" showErrorMessage="1" xr:uid="{00000000-0002-0000-1200-000001000000}">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B6E4AD-A385-4DDC-8392-81725E56A02E}"/>
</file>

<file path=customXml/itemProps2.xml><?xml version="1.0" encoding="utf-8"?>
<ds:datastoreItem xmlns:ds="http://schemas.openxmlformats.org/officeDocument/2006/customXml" ds:itemID="{F80C8B34-1812-4E41-8E45-3DB43F1D8EE4}"/>
</file>

<file path=customXml/itemProps3.xml><?xml version="1.0" encoding="utf-8"?>
<ds:datastoreItem xmlns:ds="http://schemas.openxmlformats.org/officeDocument/2006/customXml" ds:itemID="{9A56DCBA-E6D7-49A7-926E-1E6BEEF06152}"/>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2026-02-05T19:42:56Z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