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filterPrivacy="1" codeName="ThisWorkbook"/>
  <xr:revisionPtr revIDLastSave="0" documentId="13_ncr:1_{A9373558-0ABB-4FC5-86C1-3F2DBC7B4453}" xr6:coauthVersionLast="47" xr6:coauthVersionMax="47" xr10:uidLastSave="{00000000-0000-0000-0000-000000000000}"/>
  <bookViews>
    <workbookView xWindow="61200" yWindow="10395" windowWidth="10260" windowHeight="3795" tabRatio="816" activeTab="2" xr2:uid="{00000000-000D-0000-FFFF-FFFF00000000}"/>
  </bookViews>
  <sheets>
    <sheet name="Revision Control" sheetId="1" r:id="rId1"/>
    <sheet name="List Values" sheetId="3" r:id="rId2"/>
    <sheet name="1. Landing Page" sheetId="66" r:id="rId3"/>
    <sheet name="Branch ENUM" sheetId="65" r:id="rId4"/>
    <sheet name="2. Contact Info" sheetId="49" r:id="rId5"/>
    <sheet name="3. Name" sheetId="53" r:id="rId6"/>
    <sheet name="4. Address" sheetId="54" r:id="rId7"/>
    <sheet name="5. Birthday &amp; SIN" sheetId="55" r:id="rId8"/>
    <sheet name="6. In-Branch Customer Info" sheetId="69" r:id="rId9"/>
    <sheet name="ID Type ENUM" sheetId="64" r:id="rId10"/>
    <sheet name="7. Credit Bureau Results" sheetId="70" r:id="rId11"/>
    <sheet name="8. Product Selector" sheetId="7" r:id="rId12"/>
    <sheet name="8a. Product Info-REMOVED" sheetId="43" r:id="rId13"/>
    <sheet name="8b. Investment Options" sheetId="76" r:id="rId14"/>
    <sheet name="8c. Joint Applicant" sheetId="74" r:id="rId15"/>
    <sheet name="9. Debit Card Requisition" sheetId="71" r:id="rId16"/>
    <sheet name="10. Finish+Notifications" sheetId="73" r:id="rId17"/>
    <sheet name="A. Generic Error" sheetId="22" r:id="rId18"/>
    <sheet name="B. Cancel" sheetId="26" r:id="rId19"/>
    <sheet name="C. Time Out" sheetId="33" r:id="rId20"/>
    <sheet name="D. Concurrent App" sheetId="52" r:id="rId21"/>
  </sheets>
  <externalReferences>
    <externalReference r:id="rId22"/>
    <externalReference r:id="rId23"/>
    <externalReference r:id="rId24"/>
    <externalReference r:id="rId25"/>
    <externalReference r:id="rId26"/>
    <externalReference r:id="rId27"/>
  </externalReferences>
  <definedNames>
    <definedName name="_xlnm._FilterDatabase" localSheetId="7" hidden="1">'5. Birthday &amp; SIN'!$A$6:$P$14</definedName>
    <definedName name="_xlnm._FilterDatabase" localSheetId="8" hidden="1">'6. In-Branch Customer Info'!$A$6:$P$33</definedName>
    <definedName name="_xlnm._FilterDatabase" localSheetId="14" hidden="1">'8c. Joint Applicant'!$C$7:$C$23</definedName>
    <definedName name="_xlnm._FilterDatabase" localSheetId="15" hidden="1">'9. Debit Card Requisition'!$A$6:$P$17</definedName>
    <definedName name="_xlnm._FilterDatabase" localSheetId="17" hidden="1">'A. Generic Error'!$A$6:$P$9</definedName>
    <definedName name="_xlnm._FilterDatabase" localSheetId="18" hidden="1">'B. Cancel'!$A$6:$P$9</definedName>
    <definedName name="_xlnm._FilterDatabase" localSheetId="19" hidden="1">'C. Time Out'!$A$6:$P$6</definedName>
    <definedName name="_xlnm._FilterDatabase" localSheetId="20" hidden="1">'D. Concurrent App'!$A$6:$P$6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9" i="66" l="1"/>
  <c r="B18" i="66"/>
  <c r="B17" i="66"/>
  <c r="B16" i="66"/>
  <c r="B15" i="66"/>
  <c r="B14" i="66"/>
  <c r="B13" i="66"/>
  <c r="B12" i="66"/>
  <c r="B11" i="66"/>
  <c r="B10" i="66"/>
  <c r="B9" i="66"/>
  <c r="B8" i="66"/>
  <c r="B7" i="66"/>
  <c r="B28" i="73" l="1"/>
  <c r="B11" i="71"/>
  <c r="B15" i="71"/>
  <c r="B16" i="71"/>
  <c r="B20" i="69"/>
  <c r="B26" i="73"/>
  <c r="B25" i="73"/>
  <c r="B24" i="73"/>
  <c r="B23" i="73"/>
  <c r="B22" i="73"/>
  <c r="B21" i="73"/>
  <c r="B21" i="7"/>
  <c r="B17" i="73"/>
  <c r="B23" i="7" l="1"/>
  <c r="B15" i="7"/>
  <c r="B16" i="7"/>
  <c r="B17" i="7"/>
  <c r="B18" i="7"/>
  <c r="B19" i="7"/>
  <c r="B20" i="7"/>
  <c r="B22" i="7"/>
  <c r="B22" i="76"/>
  <c r="B23" i="76"/>
  <c r="B11" i="7" l="1"/>
  <c r="B12" i="7"/>
  <c r="B17" i="71" l="1"/>
  <c r="B18" i="71"/>
  <c r="B13" i="76"/>
  <c r="B14" i="76"/>
  <c r="B15" i="76"/>
  <c r="B16" i="76"/>
  <c r="B17" i="76"/>
  <c r="B18" i="76"/>
  <c r="B19" i="76"/>
  <c r="B20" i="76"/>
  <c r="B21" i="76"/>
  <c r="B25" i="76"/>
  <c r="B26" i="76"/>
  <c r="B12" i="76"/>
  <c r="B11" i="76"/>
  <c r="B10" i="76"/>
  <c r="B8" i="76"/>
  <c r="B7" i="76"/>
  <c r="B11" i="49" l="1"/>
  <c r="B10" i="49"/>
  <c r="B13" i="49"/>
  <c r="B14" i="49"/>
  <c r="B10" i="70"/>
  <c r="B23" i="74" l="1"/>
  <c r="B22" i="74"/>
  <c r="B21" i="74"/>
  <c r="B20" i="74"/>
  <c r="B19" i="74"/>
  <c r="B18" i="74"/>
  <c r="B17" i="74"/>
  <c r="B16" i="74"/>
  <c r="B15" i="74"/>
  <c r="B14" i="74"/>
  <c r="B13" i="74"/>
  <c r="B12" i="74"/>
  <c r="B11" i="74"/>
  <c r="B10" i="74"/>
  <c r="B9" i="74"/>
  <c r="B8" i="74"/>
  <c r="B7" i="74"/>
  <c r="B10" i="69" l="1"/>
  <c r="B9" i="55"/>
  <c r="B29" i="73" l="1"/>
  <c r="B9" i="70" l="1"/>
  <c r="B11" i="70" l="1"/>
  <c r="B9" i="71"/>
  <c r="B27" i="73" l="1"/>
  <c r="B20" i="73"/>
  <c r="B19" i="73"/>
  <c r="B18" i="73"/>
  <c r="B16" i="73"/>
  <c r="B15" i="73"/>
  <c r="B14" i="73"/>
  <c r="B13" i="73"/>
  <c r="B12" i="73"/>
  <c r="B11" i="73"/>
  <c r="B10" i="73"/>
  <c r="B9" i="73"/>
  <c r="B8" i="73"/>
  <c r="B7" i="73"/>
  <c r="B26" i="69" l="1"/>
  <c r="B9" i="69"/>
  <c r="B30" i="69"/>
  <c r="B27" i="69"/>
  <c r="B10" i="71" l="1"/>
  <c r="B8" i="71"/>
  <c r="B7" i="71"/>
  <c r="B17" i="70"/>
  <c r="B16" i="70"/>
  <c r="B15" i="70"/>
  <c r="B14" i="70"/>
  <c r="B13" i="70"/>
  <c r="B12" i="70"/>
  <c r="B8" i="70"/>
  <c r="B7" i="70"/>
  <c r="B34" i="69"/>
  <c r="B33" i="69"/>
  <c r="B32" i="69"/>
  <c r="B31" i="69"/>
  <c r="B29" i="69"/>
  <c r="B28" i="69"/>
  <c r="B25" i="69"/>
  <c r="B24" i="69"/>
  <c r="B23" i="69"/>
  <c r="B22" i="69"/>
  <c r="B21" i="69"/>
  <c r="B19" i="69"/>
  <c r="B18" i="69"/>
  <c r="B17" i="69"/>
  <c r="B16" i="69"/>
  <c r="B15" i="69"/>
  <c r="B14" i="69"/>
  <c r="B13" i="69"/>
  <c r="B12" i="69"/>
  <c r="B11" i="69"/>
  <c r="B8" i="69"/>
  <c r="B7" i="69"/>
  <c r="B11" i="55" l="1"/>
  <c r="B12" i="55"/>
  <c r="B13" i="55"/>
  <c r="B14" i="55"/>
  <c r="B10" i="55" l="1"/>
  <c r="B8" i="55"/>
  <c r="B7" i="55"/>
  <c r="B37" i="54"/>
  <c r="B36" i="54"/>
  <c r="B34" i="54"/>
  <c r="B33" i="54"/>
  <c r="B32" i="54"/>
  <c r="B31" i="54"/>
  <c r="B30" i="54"/>
  <c r="B29" i="54"/>
  <c r="B28" i="54"/>
  <c r="B27" i="54"/>
  <c r="B25" i="54"/>
  <c r="B24" i="54"/>
  <c r="B23" i="54"/>
  <c r="B22" i="54"/>
  <c r="B21" i="54"/>
  <c r="B20" i="54"/>
  <c r="B19" i="54"/>
  <c r="B18" i="54"/>
  <c r="B16" i="54"/>
  <c r="B15" i="54"/>
  <c r="B14" i="54"/>
  <c r="B13" i="54"/>
  <c r="B12" i="54"/>
  <c r="B11" i="54"/>
  <c r="B10" i="54"/>
  <c r="B8" i="54"/>
  <c r="B7" i="54"/>
  <c r="B12" i="53"/>
  <c r="B11" i="53"/>
  <c r="B10" i="53"/>
  <c r="B9" i="53"/>
  <c r="B8" i="53"/>
  <c r="B7" i="53"/>
  <c r="B18" i="52" l="1"/>
  <c r="B17" i="52"/>
  <c r="B16" i="52"/>
  <c r="B15" i="52"/>
  <c r="B13" i="52"/>
  <c r="B12" i="52"/>
  <c r="B11" i="52"/>
  <c r="B9" i="52"/>
  <c r="B8" i="52"/>
  <c r="B9" i="49" l="1"/>
  <c r="B8" i="49"/>
  <c r="B7" i="49"/>
  <c r="B7" i="33" l="1"/>
  <c r="B16" i="43" l="1"/>
  <c r="B8" i="43" l="1"/>
  <c r="B18" i="43" l="1"/>
  <c r="B17" i="43"/>
  <c r="B15" i="43"/>
  <c r="B14" i="43"/>
  <c r="B12" i="43"/>
  <c r="B10" i="43"/>
  <c r="B11" i="43"/>
  <c r="B13" i="43"/>
  <c r="B19" i="43"/>
  <c r="B9" i="43"/>
  <c r="B7" i="43"/>
  <c r="B10" i="7"/>
  <c r="B11" i="33" l="1"/>
  <c r="B9" i="33"/>
  <c r="B10" i="33"/>
  <c r="B8" i="33"/>
  <c r="B7" i="26" l="1"/>
  <c r="B9" i="26"/>
  <c r="B8" i="26"/>
  <c r="B10" i="22"/>
  <c r="B7" i="22"/>
  <c r="B9" i="22"/>
  <c r="B8" i="22"/>
  <c r="B9" i="7" l="1"/>
  <c r="B7" i="7" l="1"/>
  <c r="B25" i="7" l="1"/>
  <c r="B26" i="7"/>
  <c r="B14" i="7"/>
  <c r="B8" i="7"/>
</calcChain>
</file>

<file path=xl/sharedStrings.xml><?xml version="1.0" encoding="utf-8"?>
<sst xmlns="http://schemas.openxmlformats.org/spreadsheetml/2006/main" count="3497" uniqueCount="762">
  <si>
    <t>Field Specification - Revision Control Form</t>
  </si>
  <si>
    <t>Document Version</t>
  </si>
  <si>
    <t>Revision Date</t>
  </si>
  <si>
    <t>Change Summary</t>
  </si>
  <si>
    <t>Updated by</t>
  </si>
  <si>
    <t>1.0</t>
  </si>
  <si>
    <t>Approved by</t>
  </si>
  <si>
    <t>Page Name</t>
  </si>
  <si>
    <t>Page ID</t>
  </si>
  <si>
    <t>Visibility</t>
  </si>
  <si>
    <t>Always</t>
  </si>
  <si>
    <t>ID</t>
  </si>
  <si>
    <t>Field ID</t>
  </si>
  <si>
    <t>Type</t>
  </si>
  <si>
    <t>Permitted Data</t>
  </si>
  <si>
    <t>Inline Help</t>
  </si>
  <si>
    <t>Length</t>
  </si>
  <si>
    <t>Display</t>
  </si>
  <si>
    <t>Default Value</t>
  </si>
  <si>
    <t>Mandatory</t>
  </si>
  <si>
    <t>Mandatory Message</t>
  </si>
  <si>
    <t>Validation Rule/Regex</t>
  </si>
  <si>
    <t>Validation Message</t>
  </si>
  <si>
    <t>Business Rules</t>
  </si>
  <si>
    <t>Comments/Questions</t>
  </si>
  <si>
    <t>Caption</t>
  </si>
  <si>
    <t>Status</t>
  </si>
  <si>
    <t>Field Specification - List Values</t>
  </si>
  <si>
    <t>Field Type</t>
  </si>
  <si>
    <t>Section (sub-heading)</t>
  </si>
  <si>
    <t>Checkbox</t>
  </si>
  <si>
    <t>Section (footer)</t>
  </si>
  <si>
    <t>Radio button group</t>
  </si>
  <si>
    <t>Text field</t>
  </si>
  <si>
    <t>Static text</t>
  </si>
  <si>
    <t>Drop-down list</t>
  </si>
  <si>
    <t>Static text with parameter(s)</t>
  </si>
  <si>
    <t>n/a</t>
  </si>
  <si>
    <t>Updated</t>
  </si>
  <si>
    <t>Field Status</t>
  </si>
  <si>
    <t>No Change</t>
  </si>
  <si>
    <t>Removed</t>
  </si>
  <si>
    <t>New</t>
  </si>
  <si>
    <t>Button</t>
  </si>
  <si>
    <t>Story ID</t>
  </si>
  <si>
    <t>WIP (see comments)</t>
  </si>
  <si>
    <t>Always Show</t>
  </si>
  <si>
    <t>Progress bar</t>
  </si>
  <si>
    <t>Progress Bar</t>
  </si>
  <si>
    <t>Numbers, spaces, dashes, parentheses</t>
  </si>
  <si>
    <t>Alphanumeric</t>
  </si>
  <si>
    <t>54 characters</t>
  </si>
  <si>
    <t>Yes</t>
  </si>
  <si>
    <t>A) 10 digits
B) 14 incl. spaces, dashes, parentheses</t>
  </si>
  <si>
    <t>North American Numbering Plan (NANP) format:
"NXX-NXX-XXXX" 
or "(NXX) NXX-XXXX", 
where N is 2 to 9, and X is 0 to 9.</t>
  </si>
  <si>
    <t>Back</t>
  </si>
  <si>
    <t>Next</t>
  </si>
  <si>
    <t>A) Yes
B) No</t>
  </si>
  <si>
    <t>Product Selector</t>
  </si>
  <si>
    <t>Checkbox Group</t>
  </si>
  <si>
    <t>A) Checked
B) Unchecked</t>
  </si>
  <si>
    <t>No Selection</t>
  </si>
  <si>
    <t xml:space="preserve"> </t>
  </si>
  <si>
    <t>Unit</t>
  </si>
  <si>
    <t>City</t>
  </si>
  <si>
    <t>Province</t>
  </si>
  <si>
    <t>Postal code</t>
  </si>
  <si>
    <t>Text field (with suggestions)</t>
  </si>
  <si>
    <t>Street number</t>
  </si>
  <si>
    <t>no</t>
  </si>
  <si>
    <t>Value must come from a drop down list of valid Canadian provinces. Must not be Quebec.</t>
  </si>
  <si>
    <t>No</t>
  </si>
  <si>
    <t>Date Picker</t>
  </si>
  <si>
    <t>Date</t>
  </si>
  <si>
    <t>Numeric</t>
  </si>
  <si>
    <t>None</t>
  </si>
  <si>
    <t>Static text with hyperlink</t>
  </si>
  <si>
    <t>Email address format:
"local-part@DomainName"</t>
  </si>
  <si>
    <t>Yes 
(at least one product must be selected)</t>
  </si>
  <si>
    <t>First name:</t>
  </si>
  <si>
    <t>Last name:</t>
  </si>
  <si>
    <t>Please tell us whether your mailing address matches your home address.</t>
  </si>
  <si>
    <t>Empty</t>
  </si>
  <si>
    <t>Street name</t>
  </si>
  <si>
    <t>Street name or P.O. box</t>
  </si>
  <si>
    <t>Image</t>
  </si>
  <si>
    <t>Section (heading)</t>
  </si>
  <si>
    <t>Generic Error Message</t>
  </si>
  <si>
    <t>Cancel Message</t>
  </si>
  <si>
    <t>As Required (in response to a user-initiated cancellation)</t>
  </si>
  <si>
    <t>Must match the format: 
###-###-###
Number provided must pass Luhn (Mod 10) Algorithm validation.</t>
  </si>
  <si>
    <t>A</t>
  </si>
  <si>
    <t>C</t>
  </si>
  <si>
    <t>Value must come from a drop down list of valid Canadian provinces. Note: "Quebec" is a valid selection for previous address.</t>
  </si>
  <si>
    <t>Value must come from a drop down list of valid Canadian provinces. Note: "Quebec" is a valid selection for mailing address.</t>
  </si>
  <si>
    <t>[Empty selection]</t>
  </si>
  <si>
    <t>ID Scan Control</t>
  </si>
  <si>
    <t>Continue</t>
  </si>
  <si>
    <t>Flinks IDV Widget</t>
  </si>
  <si>
    <t>As Required (in response to a user inactivity)</t>
  </si>
  <si>
    <t>Application Time Out Page</t>
  </si>
  <si>
    <t>On click, close the time out page, and return the user to the page they were working on when the time out event occurred.</t>
  </si>
  <si>
    <t>Timer</t>
  </si>
  <si>
    <t>&lt;&lt;Countdown timer - m:ss &gt;&gt;</t>
  </si>
  <si>
    <t>Display the time remaining until application expiry,  using the format m:ss (example: 1:07).</t>
  </si>
  <si>
    <t>Google reCAPTCHA</t>
  </si>
  <si>
    <t>Use Canada Post Address Verification API to provide suggestions for typed addresses.
A) Do not include PO boxes in API response
B) Include Quebec addresses in API response</t>
  </si>
  <si>
    <t>Use Canada Post Address Verification API to provide suggestions for typed addresses.
A) Include PO boxes in API response
B) Include Quebec addresses in API response</t>
  </si>
  <si>
    <t>Confirmation Message (modal)</t>
  </si>
  <si>
    <t>Reviewed by</t>
  </si>
  <si>
    <t>Alphanumeric (plus special chars)</t>
  </si>
  <si>
    <t>Permit all alphanumeric characters, plus the following:
‘ ( ) + , - . / : ? &amp;</t>
  </si>
  <si>
    <t>CWB Personal Digital Client Onboarding (DCO)</t>
  </si>
  <si>
    <t>Please select one or more of the following accounts.</t>
  </si>
  <si>
    <t>Please select at least one account from the list above.</t>
  </si>
  <si>
    <t>At least one product card must be "Checked".  If not, display mandatory message and prevent forward page navigation.</t>
  </si>
  <si>
    <t>&lt;&lt;Product Description&gt;&gt;</t>
  </si>
  <si>
    <t>&lt;&lt;Product Name&gt;&gt;</t>
  </si>
  <si>
    <t>Dynamic text</t>
  </si>
  <si>
    <t>&lt;&lt;Product Free Transactions&gt;&gt; free transactions per month</t>
  </si>
  <si>
    <t>[Display as bullet point]
&lt;&lt;Product Free Transactions&gt;&gt; free transactions per month</t>
  </si>
  <si>
    <t>Only for chequing accounts</t>
  </si>
  <si>
    <t>Only for savings accounts</t>
  </si>
  <si>
    <t>[Display as bullet point]
Monthly fee waived with a balance of $&lt;&lt;Product Fee Waiver Balance&gt;&gt;</t>
  </si>
  <si>
    <t>Learn More</t>
  </si>
  <si>
    <t>Product Information</t>
  </si>
  <si>
    <t>Monthly fee: $&lt;&lt;Product Monthly Fee&gt;&gt;</t>
  </si>
  <si>
    <t>Monthly fee waived with a minimum balance of $&lt;&lt;Product Fee Waiver Balance&gt;&gt;</t>
  </si>
  <si>
    <t>Outgoing Interac e-transfer fee: $&lt;&lt;Product E-Transfer Fee&gt;&gt;</t>
  </si>
  <si>
    <t>Transaction fee*: $&lt;&lt;Product Transaction Fee&gt;&gt;</t>
  </si>
  <si>
    <r>
      <t xml:space="preserve">* Excluding non-EXCHANGE ATM Withdrawals. See the complete listing of related </t>
    </r>
    <r>
      <rPr>
        <u/>
        <sz val="11"/>
        <color theme="1"/>
        <rFont val="Calibri"/>
        <family val="2"/>
        <scheme val="minor"/>
      </rPr>
      <t>service charges</t>
    </r>
    <r>
      <rPr>
        <sz val="11"/>
        <color theme="1"/>
        <rFont val="Calibri"/>
        <family val="2"/>
        <scheme val="minor"/>
      </rPr>
      <t xml:space="preserve"> including payment and other sundry services.</t>
    </r>
  </si>
  <si>
    <t>Underlined text to be hyperlinked to the following URL:
https://www.cwbank.com/-/media/canadianwesternbank/documents/Migrated/Banking-Charges/CWB_BankingCharges_Personal_Aug2020.ashx</t>
  </si>
  <si>
    <t>Competitive interest rate of &lt;&lt;Product Interest Rate&gt;&gt;% **</t>
  </si>
  <si>
    <t>Display a separate product card, containing the following fields, for each product that meets the filter criteria from Field 4.4.</t>
  </si>
  <si>
    <t>Box should be "Checked" if associated &lt;&lt;Product Code&gt;&gt; matches DCO URL parameter. 
Otherwise "Unchecked"</t>
  </si>
  <si>
    <t>Please select at least one account before continuing.</t>
  </si>
  <si>
    <t>&lt;&lt;Product Tag Line&gt;&gt;</t>
  </si>
  <si>
    <t>If value = "Quebec" then
"Sorry, but we are unable to offer banking services to residents of Quebec at this time."</t>
  </si>
  <si>
    <t>If specified address is a Quebec address then
"Sorry, but we are unable to offer banking services to residents of Quebec at this time."</t>
  </si>
  <si>
    <t>Non-CWB ATM withdrawal fee: $&lt;&lt;Product Non-CWB ATM Fee&gt;&gt;</t>
  </si>
  <si>
    <t>Filter the list of product cards below based on the value selected for this field.
Use the "Product Type" attribute in the product catalogue to match products with the selected filter value.</t>
  </si>
  <si>
    <t>Show me:</t>
  </si>
  <si>
    <t>&lt;&lt;selection count&gt;&gt; account(s) selected</t>
  </si>
  <si>
    <t>&lt;&lt;Icon - see business rules&gt;&gt;</t>
  </si>
  <si>
    <r>
      <t xml:space="preserve">1) Display close icon. 
Refer to CWB Design System for the icon asset.
2) On click, close dialog (stay on </t>
    </r>
    <r>
      <rPr>
        <b/>
        <sz val="11"/>
        <color theme="1"/>
        <rFont val="Calibri"/>
        <family val="2"/>
        <scheme val="minor"/>
      </rPr>
      <t>"Product Selector"</t>
    </r>
    <r>
      <rPr>
        <sz val="11"/>
        <color theme="1"/>
        <rFont val="Calibri"/>
        <family val="2"/>
        <scheme val="minor"/>
      </rPr>
      <t xml:space="preserve"> page)</t>
    </r>
  </si>
  <si>
    <t>Display image "broken link.svg".
Refer to the CWB Design System for image asset.</t>
  </si>
  <si>
    <t>Display image "open door.svg".
Refer to the CWB Design System for image asset.</t>
  </si>
  <si>
    <t>Display image "hourglass.svg".
Refer to the CWB Design System for image asset.</t>
  </si>
  <si>
    <t>** Effective &lt;&lt;Product Interest Eff. Date&gt;&gt;
Interest is calculated on the daily closing balance at the applicable rate tier and paid on the last day of the month, for the period beginning on the last day of the previous month and ending on the second last day of the month. Interest and rate tiers are subject to change without notice. Interest is paid in the currency of the account.  All rates are per annum and are subject to change without notice.</t>
  </si>
  <si>
    <t xml:space="preserve">A) What was your favorite restaurant in college?
B) What is your father's middle name?
C) In what city was your mother born? 
D) What is the first name of your oldest nephew?
E) What was the name of your first pet?
F) What was the colour of your first car?
</t>
  </si>
  <si>
    <t>Dean Poole</t>
  </si>
  <si>
    <t>Baseline of document using existing Personal DCO Primary Applicant field spec.</t>
  </si>
  <si>
    <t>CWB Personal Digital Client Onboarding (DCO) In-Branch Form</t>
  </si>
  <si>
    <t>Enter a valid email address</t>
  </si>
  <si>
    <t>Enter a valid primary phone number</t>
  </si>
  <si>
    <t>Debit Card Requisition</t>
  </si>
  <si>
    <t>1.1</t>
  </si>
  <si>
    <t>Roland Matsuba</t>
  </si>
  <si>
    <t>Updated baseline to include and remove fields and pages that are not required for In-Branch DCO</t>
  </si>
  <si>
    <t>Credit Bureau Results</t>
  </si>
  <si>
    <t>Landing Page</t>
  </si>
  <si>
    <t>Always show</t>
  </si>
  <si>
    <t>B</t>
  </si>
  <si>
    <t>This phone number is the primary phone number that can be used to contact the client.</t>
  </si>
  <si>
    <t>Client's application has been cancelled</t>
  </si>
  <si>
    <r>
      <t xml:space="preserve">The client application has been cancelled, but if they change their mind, please have the client email  </t>
    </r>
    <r>
      <rPr>
        <u/>
        <sz val="11"/>
        <color theme="1"/>
        <rFont val="Calibri"/>
        <family val="2"/>
        <scheme val="minor"/>
      </rPr>
      <t>[e-mail address TBD]</t>
    </r>
    <r>
      <rPr>
        <sz val="11"/>
        <color theme="1"/>
        <rFont val="Calibri"/>
        <family val="2"/>
        <scheme val="minor"/>
      </rPr>
      <t>, or call [toll free # TBD] between the hours of [operating hours TBD] MST Monday to Friday.</t>
    </r>
  </si>
  <si>
    <t>What will this account  be used for?</t>
  </si>
  <si>
    <t>Contact Information</t>
  </si>
  <si>
    <t>Only if associated product checkbox (Field 8.6) is checked</t>
  </si>
  <si>
    <t>8a</t>
  </si>
  <si>
    <r>
      <t xml:space="preserve">On click, navigate back to </t>
    </r>
    <r>
      <rPr>
        <b/>
        <sz val="11"/>
        <color theme="1"/>
        <rFont val="Calibri"/>
        <family val="2"/>
        <scheme val="minor"/>
      </rPr>
      <t>"Credit Bureau Results"</t>
    </r>
    <r>
      <rPr>
        <sz val="11"/>
        <color theme="1"/>
        <rFont val="Calibri"/>
        <family val="2"/>
        <scheme val="minor"/>
      </rPr>
      <t xml:space="preserve"> page</t>
    </r>
  </si>
  <si>
    <r>
      <t xml:space="preserve">On click, navigate back to </t>
    </r>
    <r>
      <rPr>
        <b/>
        <sz val="11"/>
        <color theme="1"/>
        <rFont val="Calibri"/>
        <family val="2"/>
        <scheme val="minor"/>
      </rPr>
      <t>"Landing Page"</t>
    </r>
    <r>
      <rPr>
        <sz val="11"/>
        <color theme="1"/>
        <rFont val="Calibri"/>
        <family val="2"/>
        <scheme val="minor"/>
      </rPr>
      <t xml:space="preserve"> page</t>
    </r>
  </si>
  <si>
    <t>On click, navigate to "Contact Information" page</t>
  </si>
  <si>
    <t>List the name of services that passed</t>
  </si>
  <si>
    <t>Text typed into this field should be used to search the NOC list in real time.  As the user types, relevant NOC list suggestions should appear in a drop-down list.
The data stored as part of this selection should be the numeric NOC (code), not the text-based occupation description.</t>
  </si>
  <si>
    <t>&lt;&lt;Original Application Number&gt;&gt;</t>
  </si>
  <si>
    <t>The email address should be hyperlinked.</t>
  </si>
  <si>
    <t>Only if pre-existing application has a status of "Saved" or "Review"</t>
  </si>
  <si>
    <t>Contact instructions - dynamic display based on the status of the applicant's previously created application</t>
  </si>
  <si>
    <t>Only if pre-existing application has a status of "Declined"</t>
  </si>
  <si>
    <t>Only if pre-existing application has a status of "Review"</t>
  </si>
  <si>
    <t>Only if pre-existing application has a status of "Saved"</t>
  </si>
  <si>
    <t>Main body content - dynamic display based on the status of the applicant's previously created application</t>
  </si>
  <si>
    <t>Page header content - dynamic display based on the status of the applicant's previously created application</t>
  </si>
  <si>
    <t>As Required (in response to a user trying to start a concurrent application)</t>
  </si>
  <si>
    <t>E</t>
  </si>
  <si>
    <t>Concurrent Application Page</t>
  </si>
  <si>
    <t>Previous Application Declined</t>
  </si>
  <si>
    <t>Pre-existing Application Found</t>
  </si>
  <si>
    <t>Name</t>
  </si>
  <si>
    <t>Address</t>
  </si>
  <si>
    <r>
      <t xml:space="preserve">On click, navigate to </t>
    </r>
    <r>
      <rPr>
        <b/>
        <sz val="11"/>
        <color theme="1"/>
        <rFont val="Calibri"/>
        <family val="2"/>
        <scheme val="minor"/>
      </rPr>
      <t>"Name"</t>
    </r>
    <r>
      <rPr>
        <sz val="11"/>
        <color theme="1"/>
        <rFont val="Calibri"/>
        <family val="2"/>
        <scheme val="minor"/>
      </rPr>
      <t xml:space="preserve"> page</t>
    </r>
  </si>
  <si>
    <t xml:space="preserve">On click, navigate to "Birthday &amp; SIN" page </t>
  </si>
  <si>
    <t xml:space="preserve">On click, navigate to "Name" page </t>
  </si>
  <si>
    <t>Only if manual address mode is enabled on field 4.3 (current address).</t>
  </si>
  <si>
    <t>Only if radio button 4.10 is "No".</t>
  </si>
  <si>
    <t>Only if radio button 4.10 is "No", and manual address mode is enabled on field 4.11 (previous address).</t>
  </si>
  <si>
    <t>Yes, if radio button 4.18 is "No", and not in manual address mode.</t>
  </si>
  <si>
    <t>Only if radio button 4.18 is "No".</t>
  </si>
  <si>
    <t>Only if radio button 4.18 is "No", and manual address mode is enabled on field 4.19 (previous address).</t>
  </si>
  <si>
    <t>Step 3: Name</t>
  </si>
  <si>
    <t>Step 4: Address</t>
  </si>
  <si>
    <t>Step 5: Birthday, SIN &amp; Occupation</t>
  </si>
  <si>
    <r>
      <t xml:space="preserve">On click, navigate back to </t>
    </r>
    <r>
      <rPr>
        <b/>
        <sz val="11"/>
        <rFont val="Calibri"/>
        <family val="2"/>
        <scheme val="minor"/>
      </rPr>
      <t>"Birthday &amp; SIN"</t>
    </r>
    <r>
      <rPr>
        <sz val="11"/>
        <rFont val="Calibri"/>
        <family val="2"/>
        <scheme val="minor"/>
      </rPr>
      <t xml:space="preserve"> page</t>
    </r>
  </si>
  <si>
    <t>What was the client's previous home address?</t>
  </si>
  <si>
    <t>Has the client lived at this address for more than 2 years?</t>
  </si>
  <si>
    <t>What is the client's mailing address?</t>
  </si>
  <si>
    <t>In-Branch Customer Info</t>
  </si>
  <si>
    <t>&lt;Credit Bureau Report Information&gt;</t>
  </si>
  <si>
    <t>Joint Applicant</t>
  </si>
  <si>
    <t>Pre-selected, see Business Rules</t>
  </si>
  <si>
    <t>Pre-select based upon SSO credentials (logged-in user) when DCO form is launched</t>
  </si>
  <si>
    <t>4 characters</t>
  </si>
  <si>
    <t>Pre-filled, see Business Rules</t>
  </si>
  <si>
    <t>Step 6: In-Branch Customer Information</t>
  </si>
  <si>
    <t>Conditional</t>
  </si>
  <si>
    <t>A) Yes (see  business rules)</t>
  </si>
  <si>
    <r>
      <t xml:space="preserve">CWB collects and maintains the information submitted in this application.
Prior to pulling a credit bureau, the following consent form </t>
    </r>
    <r>
      <rPr>
        <u/>
        <sz val="11"/>
        <color theme="1"/>
        <rFont val="Calibri"/>
        <family val="2"/>
        <scheme val="minor"/>
      </rPr>
      <t>Form 4325 Consent to Obtain Financial Information</t>
    </r>
    <r>
      <rPr>
        <sz val="11"/>
        <color theme="1"/>
        <rFont val="Calibri"/>
        <family val="2"/>
        <scheme val="minor"/>
      </rPr>
      <t xml:space="preserve"> must be completed and signed by the client.  </t>
    </r>
  </si>
  <si>
    <r>
      <t xml:space="preserve">Hyperlink underlined text to the following URL </t>
    </r>
    <r>
      <rPr>
        <b/>
        <sz val="11"/>
        <color theme="1"/>
        <rFont val="Calibri"/>
        <family val="2"/>
        <scheme val="minor"/>
      </rPr>
      <t>https://livecycle.cwb.local/forms/4325.pdf</t>
    </r>
  </si>
  <si>
    <t>Step 7: DCO Decisioning</t>
  </si>
  <si>
    <t>Only if Credit Bureau service was invoked from the previous page.</t>
  </si>
  <si>
    <t>Only if no Credit Bureau was obtained.</t>
  </si>
  <si>
    <t>This radio button group will determine which path/functionality to use and if Product Selection is required.</t>
  </si>
  <si>
    <r>
      <t xml:space="preserve">On click, navigate back to the </t>
    </r>
    <r>
      <rPr>
        <b/>
        <sz val="11"/>
        <color theme="1"/>
        <rFont val="Calibri"/>
        <family val="2"/>
        <scheme val="minor"/>
      </rPr>
      <t xml:space="preserve">"In-Branch Customer Info" </t>
    </r>
    <r>
      <rPr>
        <sz val="11"/>
        <color theme="1"/>
        <rFont val="Calibri"/>
        <family val="2"/>
        <scheme val="minor"/>
      </rPr>
      <t>page</t>
    </r>
  </si>
  <si>
    <t>Step 2: Contact Information</t>
  </si>
  <si>
    <t>Birthday, SIN &amp; Occupation</t>
  </si>
  <si>
    <t>8b</t>
  </si>
  <si>
    <r>
      <t xml:space="preserve">Only show for Joint Applicants (see Business Logic in </t>
    </r>
    <r>
      <rPr>
        <b/>
        <sz val="14"/>
        <color theme="1"/>
        <rFont val="Calibri"/>
        <family val="2"/>
        <scheme val="minor"/>
      </rPr>
      <t xml:space="preserve">7. Credit Bureau Results </t>
    </r>
    <r>
      <rPr>
        <sz val="14"/>
        <color theme="1"/>
        <rFont val="Calibri"/>
        <family val="2"/>
        <scheme val="minor"/>
      </rPr>
      <t>- fields 7.6 and 7.7)</t>
    </r>
  </si>
  <si>
    <r>
      <t>On click, navigate to "</t>
    </r>
    <r>
      <rPr>
        <b/>
        <sz val="11"/>
        <color theme="1"/>
        <rFont val="Calibri"/>
        <family val="2"/>
        <scheme val="minor"/>
      </rPr>
      <t>Credit Bureau Results</t>
    </r>
    <r>
      <rPr>
        <sz val="11"/>
        <color theme="1"/>
        <rFont val="Calibri"/>
        <family val="2"/>
        <scheme val="minor"/>
      </rPr>
      <t xml:space="preserve">" page </t>
    </r>
  </si>
  <si>
    <t>ISO country list</t>
  </si>
  <si>
    <t>Canada</t>
  </si>
  <si>
    <t>Mandatory message not required as a selection will be defaulted.</t>
  </si>
  <si>
    <t>A) CWB Staff
B) National Leasing Staff
C) McLean Staff
D) Spouse
E) Family
F) Retired Staff</t>
  </si>
  <si>
    <t>Updated: navigation</t>
  </si>
  <si>
    <t>Updated: caption</t>
  </si>
  <si>
    <r>
      <t>On click, navigate to "</t>
    </r>
    <r>
      <rPr>
        <b/>
        <sz val="11"/>
        <color theme="1"/>
        <rFont val="Calibri"/>
        <family val="2"/>
        <scheme val="minor"/>
      </rPr>
      <t>Address</t>
    </r>
    <r>
      <rPr>
        <sz val="11"/>
        <color theme="1"/>
        <rFont val="Calibri"/>
        <family val="2"/>
        <scheme val="minor"/>
      </rPr>
      <t xml:space="preserve">" page </t>
    </r>
  </si>
  <si>
    <r>
      <t>On click, navigate to "</t>
    </r>
    <r>
      <rPr>
        <b/>
        <sz val="11"/>
        <color theme="1"/>
        <rFont val="Calibri"/>
        <family val="2"/>
        <scheme val="minor"/>
      </rPr>
      <t>Contact Info</t>
    </r>
    <r>
      <rPr>
        <sz val="11"/>
        <color theme="1"/>
        <rFont val="Calibri"/>
        <family val="2"/>
        <scheme val="minor"/>
      </rPr>
      <t xml:space="preserve">" page </t>
    </r>
  </si>
  <si>
    <t>Updated: caption; mandatory msg</t>
  </si>
  <si>
    <t>The SIN entered is not valid. Please provide a valid SIN.</t>
  </si>
  <si>
    <t>Applicant age must not exceed 120 years.  Reject dates that do not align with this rule as they are typically data entry errors.</t>
  </si>
  <si>
    <t>Please provide a valid birthdate</t>
  </si>
  <si>
    <t>Updated: caption; inline help; mandatory/validation msg</t>
  </si>
  <si>
    <t>Updated: caption; inline help</t>
  </si>
  <si>
    <t>Updated: navigation; removed age logic</t>
  </si>
  <si>
    <r>
      <t>On click, navigate to "</t>
    </r>
    <r>
      <rPr>
        <b/>
        <sz val="11"/>
        <color theme="1"/>
        <rFont val="Calibri"/>
        <family val="2"/>
        <scheme val="minor"/>
      </rPr>
      <t>In-Branch Customer Info</t>
    </r>
    <r>
      <rPr>
        <sz val="11"/>
        <color theme="1"/>
        <rFont val="Calibri"/>
        <family val="2"/>
        <scheme val="minor"/>
      </rPr>
      <t>" page</t>
    </r>
  </si>
  <si>
    <t>&lt;&lt;Product Short Description&gt;&gt;</t>
  </si>
  <si>
    <t>Removed for In Brance</t>
  </si>
  <si>
    <t>The application is going to expire in</t>
  </si>
  <si>
    <t>Continue with the application to cancel the time out.</t>
  </si>
  <si>
    <t>The Client has already completed another application which CWB declined.</t>
  </si>
  <si>
    <t>Please include this number in any inquiries about the client's application when dealing with the support team.</t>
  </si>
  <si>
    <t>Display only if pre-existing application has a status of "Saved" or "Review"</t>
  </si>
  <si>
    <t>Display only if pre-existing application has a status of "Declined"</t>
  </si>
  <si>
    <t>Display only if pre-existing application has a status of "Saved"</t>
  </si>
  <si>
    <t>Display only if pre-existing application has a status of "Review"</t>
  </si>
  <si>
    <t>1.2</t>
  </si>
  <si>
    <t>Text must be a valid entry in the Canadian National Occupational Classification (NOC) list.</t>
  </si>
  <si>
    <t>Enter jurisdiction in which the ID document was issued.
Example #1- Gov't issued ID -country, state, or province.
Example #2 - Credit Card - Issuing financial institution (RBC, TD, etc.)</t>
  </si>
  <si>
    <r>
      <t xml:space="preserve">If Yes, please complete form </t>
    </r>
    <r>
      <rPr>
        <u/>
        <sz val="11"/>
        <color theme="1"/>
        <rFont val="Calibri"/>
        <family val="2"/>
        <scheme val="minor"/>
      </rPr>
      <t>4192 Third Party Determination</t>
    </r>
    <r>
      <rPr>
        <sz val="11"/>
        <color theme="1"/>
        <rFont val="Calibri"/>
        <family val="2"/>
        <scheme val="minor"/>
      </rPr>
      <t>.</t>
    </r>
  </si>
  <si>
    <t>Hyperlink form number from inline help to the following URL:
https://livecycle.cwb.local/forms/external/4192cwb.pdf</t>
  </si>
  <si>
    <t>Select a security question for the client:</t>
  </si>
  <si>
    <t>Answer for the selected security question:</t>
  </si>
  <si>
    <t>Please ensure to make a note of all account numbers to which a joint applicant will be linked.</t>
  </si>
  <si>
    <t>Finish and Notifications</t>
  </si>
  <si>
    <t>As Required (in response to unexpected errors)</t>
  </si>
  <si>
    <t>Hyperlink ServiceNow to this URL:
https://cwbank.service-now.com/buddy?spa=1
The email address should be hyperlinked (Mailto link).</t>
  </si>
  <si>
    <r>
      <t xml:space="preserve">For support:
Self-Serve: </t>
    </r>
    <r>
      <rPr>
        <u/>
        <sz val="11"/>
        <color theme="1"/>
        <rFont val="Calibri"/>
        <family val="2"/>
        <scheme val="minor"/>
      </rPr>
      <t>ServiceNow</t>
    </r>
    <r>
      <rPr>
        <sz val="11"/>
        <color theme="1"/>
        <rFont val="Calibri"/>
        <family val="2"/>
        <scheme val="minor"/>
      </rPr>
      <t xml:space="preserve">
Email: helpdesk@cwbank.com 
Phone: 1-844-441-2248, Option 1
Hours of Operation: 
Monday to Friday 6:00AM – 6:00PM MT</t>
    </r>
  </si>
  <si>
    <t>Unable to process the application.</t>
  </si>
  <si>
    <t>Application Error</t>
  </si>
  <si>
    <t>Roland Matsuba
Ian Hicks</t>
  </si>
  <si>
    <t>Type the first name (legal name of the individual as shown on the ID document).</t>
  </si>
  <si>
    <t>Type family name (surname) of the individual as shown on the ID document.</t>
  </si>
  <si>
    <t>Updated: no prefill from IDScan; inline help; mandatory msg</t>
  </si>
  <si>
    <t>Select a value that best describes the individual's occupation.</t>
  </si>
  <si>
    <t>Home address:</t>
  </si>
  <si>
    <t>Social Insurance Number (SIN):</t>
  </si>
  <si>
    <t>Current occupation:</t>
  </si>
  <si>
    <t>Phone number:</t>
  </si>
  <si>
    <t>Date of birth (MM/DD/YYYY):</t>
  </si>
  <si>
    <t>Although not required, providing a SIN increases the chances of a successful credit check.</t>
  </si>
  <si>
    <t>Staff identifier:</t>
  </si>
  <si>
    <t>Employee payroll number:</t>
  </si>
  <si>
    <t>Is a credit bureau required?</t>
  </si>
  <si>
    <t>Is or will this account be operated for or on behalf of a Third Party?</t>
  </si>
  <si>
    <t>Onboarding Results</t>
  </si>
  <si>
    <r>
      <t xml:space="preserve">Please email the application reference number (below) to </t>
    </r>
    <r>
      <rPr>
        <u/>
        <sz val="11"/>
        <color theme="1"/>
        <rFont val="Calibri"/>
        <family val="2"/>
        <scheme val="minor"/>
      </rPr>
      <t>personal-onboarding@cwbank.com</t>
    </r>
  </si>
  <si>
    <t>The client has already started an application with CWB and is in review. Please inform the support team to cancel the saved application.</t>
  </si>
  <si>
    <t>The client has already started an application with CWB and is saved in the online queue. Please inform the support team to cancel the saved application.</t>
  </si>
  <si>
    <r>
      <t xml:space="preserve">In-Branch Customer Info - enumerated list for </t>
    </r>
    <r>
      <rPr>
        <b/>
        <sz val="14"/>
        <rFont val="Calibri"/>
        <family val="2"/>
        <scheme val="minor"/>
      </rPr>
      <t>ID Type</t>
    </r>
  </si>
  <si>
    <t>F2F-ABM Card</t>
  </si>
  <si>
    <t>F2F-BC Combination ID Card</t>
  </si>
  <si>
    <t>F2F-Birth Cert From Can Prov Or Ter</t>
  </si>
  <si>
    <t>F2F-Cert Canadian Citizenship</t>
  </si>
  <si>
    <t>F2F-Cert Immigration Canada</t>
  </si>
  <si>
    <t>F2F-Certificate Of Indian Status</t>
  </si>
  <si>
    <t>F2F-CNIB Card</t>
  </si>
  <si>
    <t>F2F-Credit Card</t>
  </si>
  <si>
    <t>F2F-Current Employee ID Card</t>
  </si>
  <si>
    <t>F2F-Federal Aviation License</t>
  </si>
  <si>
    <t>F2F-Firearms Acquisition Card</t>
  </si>
  <si>
    <t>F2F-Foreign Driver's License</t>
  </si>
  <si>
    <t>F2F-Valid Driver's License</t>
  </si>
  <si>
    <t>F2F-Nexus Card</t>
  </si>
  <si>
    <t>F2F-Not on ID List</t>
  </si>
  <si>
    <t>F2F-Old Age Security Card</t>
  </si>
  <si>
    <t>F2F-Passport</t>
  </si>
  <si>
    <t>F2F-Permanent Resident Card</t>
  </si>
  <si>
    <t>F2F-Provincial Health Care Card</t>
  </si>
  <si>
    <t>F2F-Provincially Issued ID</t>
  </si>
  <si>
    <t>F2F-Registered Plan Only</t>
  </si>
  <si>
    <t>NF2F-Canadian Financial Entity</t>
  </si>
  <si>
    <t>NF2F-CND Government Issued Doc</t>
  </si>
  <si>
    <t>NF2F-CND Credit FIle Method &gt;=6 Mth</t>
  </si>
  <si>
    <t>NF2F-CND Credit File Method &gt;=3 yr</t>
  </si>
  <si>
    <t>NF2F-Exempt per Policy</t>
  </si>
  <si>
    <t>NF2F-Reliable Private Enterprise Doc</t>
  </si>
  <si>
    <t>Enumerated list - see following tab</t>
  </si>
  <si>
    <t>ENUM list (next tab) is based on allowable T24 values</t>
  </si>
  <si>
    <t>Step 8: Select Account(s)</t>
  </si>
  <si>
    <t>Select appropriate staff identifier.</t>
  </si>
  <si>
    <t>Enter the employee payroll number if the applicant is staff, spouse or family.</t>
  </si>
  <si>
    <t xml:space="preserve">CWB requires this information and a deposit inquiry credit score to open most new accounts.
</t>
  </si>
  <si>
    <t>In order to access online banking, the client must set a Personal Access Code (PAC). Use the fields below to set a temporary PAC. The Client will be prompted to change the PAC the first time they log in.
This code is like their password, and should be kept confidential. CWB will never ask the client for their PAC, and they must not share it with anyone.</t>
  </si>
  <si>
    <t>Select a new debit card from your inventory and enter the PAN here.</t>
  </si>
  <si>
    <t>Select from the drop-down list the information that was validated in the source selected in the ID Type field.</t>
  </si>
  <si>
    <t>Matching criteria is mandatory if face to face is B) "No"</t>
  </si>
  <si>
    <t>Only if ID 2 face-to-face is "No"</t>
  </si>
  <si>
    <t>Only if ID 1 face-to-face is "No"</t>
  </si>
  <si>
    <t>CWB Edm Main - Br 2</t>
  </si>
  <si>
    <t>CWB Calg Main - Br 3</t>
  </si>
  <si>
    <t>CWB Edm West Point - Br 4</t>
  </si>
  <si>
    <t>CWB Red Deer - Br 5</t>
  </si>
  <si>
    <t>CWB South Edm Common - Br 6</t>
  </si>
  <si>
    <t>CWB Lethbridge - Br 7</t>
  </si>
  <si>
    <t>CWB Edm 103rd Street - Br 8</t>
  </si>
  <si>
    <t>CWB St. Albert - Br 9</t>
  </si>
  <si>
    <t>CWB Sherwood Park - Br 10</t>
  </si>
  <si>
    <t>CWB Edm Old Strathcona - Br 11</t>
  </si>
  <si>
    <t>CWB Calg Chinook Stn - Br 12</t>
  </si>
  <si>
    <t>CWB Grande Prairie - Br 14</t>
  </si>
  <si>
    <t>CWB Calg South Trail Crossing - Br 15</t>
  </si>
  <si>
    <t>CWB Calg NE - Br 16</t>
  </si>
  <si>
    <t>CWB Calg Foothills - Br 17</t>
  </si>
  <si>
    <t>CWB Broker Buying Centre - Br 18</t>
  </si>
  <si>
    <t>CWB Medicine Hat - Br 19</t>
  </si>
  <si>
    <t>CWB Winnipeg - Br 20</t>
  </si>
  <si>
    <t>CWB Winnipeg Kenaston - Br 22</t>
  </si>
  <si>
    <t>CWB Leduc - Br 23</t>
  </si>
  <si>
    <t>CWB Lloydminster - Br 24</t>
  </si>
  <si>
    <t>CWB Van Regional - Br 30</t>
  </si>
  <si>
    <t>CWB Van DPC - Br 31</t>
  </si>
  <si>
    <t>CWB Edm DPC - Br 32</t>
  </si>
  <si>
    <t>CWB Victoria - Br 33</t>
  </si>
  <si>
    <t>CWB Kelowna - Br 34</t>
  </si>
  <si>
    <t>CWB Van Park Place - Br 35</t>
  </si>
  <si>
    <t>CWB Nanaimo - Br 36</t>
  </si>
  <si>
    <t>CWB Van West Broadway - Br 37</t>
  </si>
  <si>
    <t>CWB Kelowna Industrial - Br 38</t>
  </si>
  <si>
    <t>CWB Prince George - Br 39</t>
  </si>
  <si>
    <t>CWB Saskatoon - Br 40</t>
  </si>
  <si>
    <t>CWB Regina - Br 41</t>
  </si>
  <si>
    <t>CWB Yorkton - Br 42</t>
  </si>
  <si>
    <t>CWB Saskatoon North Landing - Br 43</t>
  </si>
  <si>
    <t>CWB Courtenay - Branch 60</t>
  </si>
  <si>
    <t>CWB Coquitlam - Branch 61</t>
  </si>
  <si>
    <t>CWB Langley - Br 62</t>
  </si>
  <si>
    <t>CWB Surrey Strawberry Hill - Br 63</t>
  </si>
  <si>
    <t>CWB Kamloops - Br 64</t>
  </si>
  <si>
    <t>CWB Van Kitsilano - Br 65</t>
  </si>
  <si>
    <t>CWB Abbotsford - Br 66</t>
  </si>
  <si>
    <t>CWB Cranbrook Industrial - Br 67</t>
  </si>
  <si>
    <t>CWB Surrey Panorama Ridge - Br 68</t>
  </si>
  <si>
    <t>CWB Richmond - Br 69</t>
  </si>
  <si>
    <t>Mississauga- Br 83</t>
  </si>
  <si>
    <t>Corp Office CWB Direct Virtual Branch - Br 97</t>
  </si>
  <si>
    <t>Reviewed and updated based on finalized Journey Flow.
Added tabs for enumerated lists - Branch (after page 1), ID Type (after page 6)</t>
  </si>
  <si>
    <t>Welcome to CWB Digital Client Onboarding</t>
  </si>
  <si>
    <t>Static text - bulleted list</t>
  </si>
  <si>
    <t>Opening a joint account?</t>
  </si>
  <si>
    <t>You will be prompted to add the Joint Applicant after the Primary Applicant process is completed.
There can only be one Joint Applicant for an account originated through DCO.</t>
  </si>
  <si>
    <t>Enter your information</t>
  </si>
  <si>
    <t>Select your branch</t>
  </si>
  <si>
    <t>Department Account Officer (DAO)</t>
  </si>
  <si>
    <t>Enter the DAO number of the account officer responsible for the customer.</t>
  </si>
  <si>
    <t>Onboard joint applicant</t>
  </si>
  <si>
    <t>No selection</t>
  </si>
  <si>
    <t>Select "Yes" if you are adding a joint applicant; otherwise select "No".</t>
  </si>
  <si>
    <r>
      <t xml:space="preserve">Select "Yes" if the account(s) you just opened will be joint, then click the </t>
    </r>
    <r>
      <rPr>
        <b/>
        <sz val="11"/>
        <color theme="1"/>
        <rFont val="Calibri"/>
        <family val="2"/>
        <scheme val="minor"/>
      </rPr>
      <t>Onboard joint applicant</t>
    </r>
    <r>
      <rPr>
        <sz val="11"/>
        <color theme="1"/>
        <rFont val="Calibri"/>
        <family val="2"/>
        <scheme val="minor"/>
      </rPr>
      <t xml:space="preserve"> button to start a new DCO form.</t>
    </r>
  </si>
  <si>
    <t>Client identification #1</t>
  </si>
  <si>
    <t>ID type:</t>
  </si>
  <si>
    <t>ID number:</t>
  </si>
  <si>
    <t>Country of issue:</t>
  </si>
  <si>
    <t>Place of issue/jurisdiction:</t>
  </si>
  <si>
    <t>Expiry date:</t>
  </si>
  <si>
    <t>Matching criteria</t>
  </si>
  <si>
    <t>Client identification #2</t>
  </si>
  <si>
    <t>Credit Bureau was not required for this customer.</t>
  </si>
  <si>
    <t>Enter the Personal Access Number (PAN):</t>
  </si>
  <si>
    <t>Is the client in branch?</t>
  </si>
  <si>
    <t>For staff accounts only</t>
  </si>
  <si>
    <t>Display image Paper write.svg  at left side, in line with "Before we start…" (1.4)</t>
  </si>
  <si>
    <t>Display image Multiple user.svg at left side, in line with "Opening a joint account" (1.7)</t>
  </si>
  <si>
    <t>Display image Bank.svg at left side, in line with "Enter your information" (1.10)</t>
  </si>
  <si>
    <r>
      <t xml:space="preserve">On click, apply the following business logic:
If 6.26 = Yes, call Equifax Credit Bureau service using the applicant's information, then navigate to the </t>
    </r>
    <r>
      <rPr>
        <b/>
        <sz val="11"/>
        <rFont val="Calibri"/>
        <family val="2"/>
        <scheme val="minor"/>
      </rPr>
      <t>"Credit Bureau Results"</t>
    </r>
    <r>
      <rPr>
        <sz val="11"/>
        <rFont val="Calibri"/>
        <family val="2"/>
        <scheme val="minor"/>
      </rPr>
      <t xml:space="preserve"> page
If 6.26 = No, do not invoke the Credit Bureau service and navigate  to the "</t>
    </r>
    <r>
      <rPr>
        <b/>
        <sz val="11"/>
        <rFont val="Calibri"/>
        <family val="2"/>
        <scheme val="minor"/>
      </rPr>
      <t>Credit Bureau Results</t>
    </r>
    <r>
      <rPr>
        <sz val="11"/>
        <rFont val="Calibri"/>
        <family val="2"/>
        <scheme val="minor"/>
      </rPr>
      <t>" page</t>
    </r>
  </si>
  <si>
    <t>Application Type:</t>
  </si>
  <si>
    <t>Confirm PAC:</t>
  </si>
  <si>
    <t>Enter a temporary PAC:</t>
  </si>
  <si>
    <t>1.3</t>
  </si>
  <si>
    <t>Finalized pages with digital team; final approval version</t>
  </si>
  <si>
    <t>Roland Matsuba
Ian Hicks
Lorraine McLeod
Candyse Watkinson
Steve Kelcher
Connie Smart</t>
  </si>
  <si>
    <t>Roland Matsuba
Ian Hicks
Lorraine McLeod
Candyse Watkinson
Sandra Murillo Paz
Kelvin Fernando</t>
  </si>
  <si>
    <t>Christina Mullin
Stacy Schmidt</t>
  </si>
  <si>
    <t>Image asset "Joint users.svg"
Position in line to the left of heading 8b.2</t>
  </si>
  <si>
    <t>Account number:</t>
  </si>
  <si>
    <t>1) Account number must be a 12 digit number
2) Duplicate entry; please enter a different account number</t>
  </si>
  <si>
    <r>
      <t xml:space="preserve">CIF Created:
</t>
    </r>
    <r>
      <rPr>
        <i/>
        <sz val="11"/>
        <color theme="1"/>
        <rFont val="Calibri"/>
        <family val="2"/>
        <scheme val="minor"/>
      </rPr>
      <t>&lt;CIF Number&gt;</t>
    </r>
  </si>
  <si>
    <r>
      <t xml:space="preserve">Account(s) created:
</t>
    </r>
    <r>
      <rPr>
        <i/>
        <sz val="11"/>
        <color theme="1"/>
        <rFont val="Calibri"/>
        <family val="2"/>
        <scheme val="minor"/>
      </rPr>
      <t>&lt;Account ID&gt; &lt;Account Description&gt;</t>
    </r>
  </si>
  <si>
    <t>Conditional: 
Only if 1 or more accounts has been provisioned</t>
  </si>
  <si>
    <t>Omit this field if no accounts provisioned for this instance of the DCO form.
If &gt;1 account provisioned, repeat &lt;account ID&gt; and &lt;account description&gt; line for each account with corresponding ID and description (line break after each description).</t>
  </si>
  <si>
    <t>Services passed:
&lt;Name of Service Passed&gt;</t>
  </si>
  <si>
    <t>Based on the results displayed, if the CIF or account(s) were not created or if any services failed, follow procedures to manually create those required using the banking system.</t>
  </si>
  <si>
    <t>Display image "Joint users.svg" at left side, inline with radio button caption (10.12)</t>
  </si>
  <si>
    <t>Remember to record the account number(s) created, as you will need this to link the joint applicant to the account.</t>
  </si>
  <si>
    <t>For any clients that have confirmed an account 
will be operated for or on behalf of a Third Party, ensure Form 4192 Third Party Determination has been completed.</t>
  </si>
  <si>
    <t>Select "Yes" if the client and the ID are physically in the same location as the person checking the ID.
Select "No" if the client was not physically in a branch to open the account.</t>
  </si>
  <si>
    <t>Minor change to update Business Rules for Employee Payroll Number on In-Branch Customer Info page to include that it is mandatory if Staff Identifier is CWB Staff, National Leasing Staff
McLean Staff, or Retired Staff.</t>
  </si>
  <si>
    <t>Employee Payroll # is mandatory if a Staff Identifier is selected
(A) CWB Staff, B) National Leasing Staff, C) McLean Staff, D) Spouse, E) Family or F) Retired Staff)</t>
  </si>
  <si>
    <t>If Staff Identifier (6.23) remains unselected, default to (A) Yes (editable); else
If Staff Identifier (6.23) selection = (A) CWB Staff, B) National Leasing Staff, C) McLean Staff, then set selection to (B) No and do not allow selection to be changed.</t>
  </si>
  <si>
    <t>CWBPD-36</t>
  </si>
  <si>
    <t>CWBPD-191</t>
  </si>
  <si>
    <t>CWBPD-194</t>
  </si>
  <si>
    <t>CWBPD-195</t>
  </si>
  <si>
    <t>CWBPD-197</t>
  </si>
  <si>
    <t>CWBPD-198</t>
  </si>
  <si>
    <t>CWBPD-200</t>
  </si>
  <si>
    <t>CWBPD-205</t>
  </si>
  <si>
    <t>CWBPD-207</t>
  </si>
  <si>
    <t>CWBPD-208</t>
  </si>
  <si>
    <t>CWBPD-209</t>
  </si>
  <si>
    <t>CWBPD-193</t>
  </si>
  <si>
    <t>CWBPD-232</t>
  </si>
  <si>
    <t>CWBPD-233</t>
  </si>
  <si>
    <t>CWBPD-234</t>
  </si>
  <si>
    <t>For future build/update.
Display image Single id.svg at left side, in line with Client Information</t>
  </si>
  <si>
    <t>For future build/update.
Display image Double id.svg at left side, in line with Client Information</t>
  </si>
  <si>
    <t>1.4</t>
  </si>
  <si>
    <t>Update: not possible to use check marks as bullet points - will be numbered list.</t>
  </si>
  <si>
    <t>Images to be added in future build</t>
  </si>
  <si>
    <t>For future build
Display image CWB logo.svg at left side, in line with For staff accounts only</t>
  </si>
  <si>
    <t>For future build</t>
  </si>
  <si>
    <t>Debit card type:</t>
  </si>
  <si>
    <t>Stacy Schmidt</t>
  </si>
  <si>
    <t>Optimum Mortgage - Br 95</t>
  </si>
  <si>
    <t>Drop-down text for UI</t>
  </si>
  <si>
    <t>CA0011002</t>
  </si>
  <si>
    <t>CA0011003</t>
  </si>
  <si>
    <t>CA0011004</t>
  </si>
  <si>
    <t>CA0011005</t>
  </si>
  <si>
    <t>CA0011006</t>
  </si>
  <si>
    <t>CA0011007</t>
  </si>
  <si>
    <t>CA0011008</t>
  </si>
  <si>
    <t>CA0011009</t>
  </si>
  <si>
    <t>CA0011010</t>
  </si>
  <si>
    <t>CA0011011</t>
  </si>
  <si>
    <t>CA0011012</t>
  </si>
  <si>
    <t>CA0011014</t>
  </si>
  <si>
    <t>CA0011015</t>
  </si>
  <si>
    <t>CA0011016</t>
  </si>
  <si>
    <t>CA0011017</t>
  </si>
  <si>
    <t>Company Code</t>
  </si>
  <si>
    <t>CA0011018</t>
  </si>
  <si>
    <t>CA0011019</t>
  </si>
  <si>
    <t>CA0011020</t>
  </si>
  <si>
    <t>CA0011022</t>
  </si>
  <si>
    <t>CA0011023</t>
  </si>
  <si>
    <t>CA0011024</t>
  </si>
  <si>
    <t>CA0011030</t>
  </si>
  <si>
    <t>CA0011031</t>
  </si>
  <si>
    <t>CA0011032</t>
  </si>
  <si>
    <t>CA0011033</t>
  </si>
  <si>
    <t>CA0011034</t>
  </si>
  <si>
    <t>CA0011035</t>
  </si>
  <si>
    <t>CA0011036</t>
  </si>
  <si>
    <t>CA0011037</t>
  </si>
  <si>
    <t>CA0011038</t>
  </si>
  <si>
    <t>CA0011039</t>
  </si>
  <si>
    <t>CA0011040</t>
  </si>
  <si>
    <t>CA0011041</t>
  </si>
  <si>
    <t>CA0011042</t>
  </si>
  <si>
    <t>CA0011043</t>
  </si>
  <si>
    <t>CA0011060</t>
  </si>
  <si>
    <t>CA0011061</t>
  </si>
  <si>
    <t>CA0011062</t>
  </si>
  <si>
    <t>CA0011063</t>
  </si>
  <si>
    <t>CA0011064</t>
  </si>
  <si>
    <t>CA0011065</t>
  </si>
  <si>
    <t>CA0011066</t>
  </si>
  <si>
    <t>CA0011067</t>
  </si>
  <si>
    <t>CA0011068</t>
  </si>
  <si>
    <t>CA0011069</t>
  </si>
  <si>
    <t>CA0011083</t>
  </si>
  <si>
    <t>CA0011095</t>
  </si>
  <si>
    <t>CA0011097</t>
  </si>
  <si>
    <t>1.5</t>
  </si>
  <si>
    <t>Minor change to add in comments for Branch and DAO - companyCode and accountOfficer to be passed thru to T24 on Customer Create.</t>
  </si>
  <si>
    <t>Pass the branch that is selected by the user as the full companyCode through to T24 on Customer Create. 
Example of companyCode format: CA0011005</t>
  </si>
  <si>
    <t>1.6</t>
  </si>
  <si>
    <t>Pass the DAO that is selected by the user as the   accountOfficer through to T24 on Customer Create.
Value entered for DAO must be between 1 and 9999</t>
  </si>
  <si>
    <t>1) Validate for length
2) Validate number entered is unique/does not match  8b.6, 8b.8,  8b.10 or 8b.12</t>
  </si>
  <si>
    <t>1) Validate for length
2) Validate number entered is unique/does not match 8b.6, 8b.8 or 8b.10</t>
  </si>
  <si>
    <t>1) Validate for length
2) Validate number entered is unique/does not match 8b.6 or 8b.8</t>
  </si>
  <si>
    <t>Account type:</t>
  </si>
  <si>
    <t>One account type must be selected if 8b.8 Account number is entered.</t>
  </si>
  <si>
    <t>One account type must be selected if 8b.10 Account number is entered.</t>
  </si>
  <si>
    <t>One account type must be selected if 8b.12 Account number is entered.</t>
  </si>
  <si>
    <t>One account type must be selected if 8b.14 Account number is entered.</t>
  </si>
  <si>
    <t>Drop down will be based on the products available for In-Branch Personal.</t>
  </si>
  <si>
    <t xml:space="preserve">Following Updates made: 
- 1. Landing Page - Updated 1.12 to include value entered for DAO must be between 1 and 9999
- 7 Credit Bureau Results page: Removed wording for 7.8 from "Cancel/Decline Application" to "Decline Application"
- 8b. Joint Applicant page: Added in Account Type based on discussion with Temenos that this is required in order to add in the account for joint applicants need to identify the account type along with the account number for initial go-live.
- 10. Finish and Notifications page: Remove the back button to be consistent with Motive and Personal DCO (this will remove the risk of duplication and errors by not allowing to go back). 
</t>
  </si>
  <si>
    <t>Select the CWB branch from the list.</t>
  </si>
  <si>
    <t>Please enter a DAO.</t>
  </si>
  <si>
    <t>Enter a valid email address.</t>
  </si>
  <si>
    <t>Enter a valid primary phone number.</t>
  </si>
  <si>
    <t>Please select one of the following to continue.</t>
  </si>
  <si>
    <t>Please select a next step to continue.</t>
  </si>
  <si>
    <t>Please provide a valid birthdate.</t>
  </si>
  <si>
    <t>Please select an occupation.</t>
  </si>
  <si>
    <t>[Display as bullet point]
Monthly fee: $&lt;&lt;Product Monthly Fee&gt;&gt;</t>
  </si>
  <si>
    <t>[Display as bullet point]
Transactions fee: $&lt;&lt;Product Transaction Fee&gt;&gt;</t>
  </si>
  <si>
    <t>Enter last name.</t>
  </si>
  <si>
    <t>Enter first name.</t>
  </si>
  <si>
    <t>Enter physical address.</t>
  </si>
  <si>
    <t>Please provide a street number.</t>
  </si>
  <si>
    <t>Please provide a street name.</t>
  </si>
  <si>
    <t>Please provide a city name.</t>
  </si>
  <si>
    <t>Please select a province.</t>
  </si>
  <si>
    <t>Please provide a postal code.</t>
  </si>
  <si>
    <t>Please confirm the client's previous physical address.</t>
  </si>
  <si>
    <t>Please tell us your mailing address.</t>
  </si>
  <si>
    <t xml:space="preserve">Please provide a street name or P.O. box number. </t>
  </si>
  <si>
    <t>Select the debit card type.</t>
  </si>
  <si>
    <t>Debit card type is mandatory.</t>
  </si>
  <si>
    <t>PAN is required.</t>
  </si>
  <si>
    <t>Enter an answer for the security question.</t>
  </si>
  <si>
    <t>A) Yes</t>
  </si>
  <si>
    <t>Please select an ID type.</t>
  </si>
  <si>
    <t>Please enter the ID number.</t>
  </si>
  <si>
    <t>Please enter the place/jurisdiction of issue.</t>
  </si>
  <si>
    <t>Please select the expiry date.</t>
  </si>
  <si>
    <t>Please select the matching criteria.</t>
  </si>
  <si>
    <t>Please enter the place of issue.</t>
  </si>
  <si>
    <t>Matching criteria:</t>
  </si>
  <si>
    <t>Expiry date must be a date in the future.</t>
  </si>
  <si>
    <t>1.7</t>
  </si>
  <si>
    <t>Future Change</t>
  </si>
  <si>
    <t>Conditional - if Employee Payroll is entered then mandatory</t>
  </si>
  <si>
    <t>CWBPD-364  - Release is Future TBD</t>
  </si>
  <si>
    <t>Pass the Third Party flag that is selected by the user as the thirdParty through to T24 on Customer Create.</t>
  </si>
  <si>
    <t>Conditional - if Staff Identifier is entered then mandatory</t>
  </si>
  <si>
    <t>1.8</t>
  </si>
  <si>
    <t>Display the primary applicant's CIF</t>
  </si>
  <si>
    <t>Prepopulate with the Primary applicant's CIF</t>
  </si>
  <si>
    <t xml:space="preserve">&lt;&lt;CIF&gt;&gt; </t>
  </si>
  <si>
    <t>Select the account(s) the joint applicant is applying for:</t>
  </si>
  <si>
    <t>&lt;&lt;Account number&gt;&gt;</t>
  </si>
  <si>
    <t>Default to selected state</t>
  </si>
  <si>
    <t>Yes 
(at least one account must be selected)</t>
  </si>
  <si>
    <t>At least one account must be "Checked".  If not, display mandatory message and prevent forward page navigation.</t>
  </si>
  <si>
    <t xml:space="preserve">Prepopulate with all of the account numbers associated with the Primary applicant's CIF in 8b.5
First checkbox in first row (titles) used to select/unselect all accounts underneath it. </t>
  </si>
  <si>
    <t>&lt;&lt;Account Type&gt;&gt;</t>
  </si>
  <si>
    <t>Account Type will be displayed next to the account Number. 
Prepopulate with the account type of the account number of the primary applicant identified in 8b.5.
If the Account Number is deselected then the account type is deselected.</t>
  </si>
  <si>
    <t>A) Name and Address
B) Name and Conf of Financial Account
C) Name and Date of Birth
D) Name, Address and Date of Birth</t>
  </si>
  <si>
    <t>Is the client's mailing address the same as their home address?</t>
  </si>
  <si>
    <t>Please provide a province.</t>
  </si>
  <si>
    <t>Please confirm if the client has lived at their current address for more than 2 years.</t>
  </si>
  <si>
    <t>[Display as bullet point]
Competitive interest rate of &lt;&lt;Product Interest Rate&gt;&gt;%</t>
  </si>
  <si>
    <t>PAN must be 16 characters long and numeric.</t>
  </si>
  <si>
    <t>Updated 8b. Joint Applicant to prepopulate the Primary Applicant's CIF, Account Number and Account Type for the Joint Applicant. 
Added validation for 7.8 if not coming thru via link for Joint Applicant and user selects Joint Applicant - display validation message.</t>
  </si>
  <si>
    <t xml:space="preserve">if "Joint Applicant" is selected and user did not come thru via link from 10.14  </t>
  </si>
  <si>
    <t>Joint Applicant is not a valid option, please select another Application Type.</t>
  </si>
  <si>
    <t>Expiry Date must be &gt; Current Date</t>
  </si>
  <si>
    <t>What is the client's intended use for the account?</t>
  </si>
  <si>
    <t>Ask if the client wants to set up pre-arranged security questions for an additional layer of security when contacting the branch by telephone.</t>
  </si>
  <si>
    <t>Following updates made: 
- Joint Applicant - added field to capture Primary CIF
- Debit Card Requisition - added debit card type field and rules around entering PAN manually for Flash Debit Card vs using existing functionality to select PAN number instead of manual entry.
- Credit Bureau Results - added a button to generate the Credit Bureau Report - still in WIP but there will be a button to generate the report.
- Customer Info Page and Notifications Page - comment on the icons to be For future build/update. 
- In line images / bullet points on main form pages cannot be included in the MVP build due to time constraints - marked as Removed, to be re-added in a future build.
- Added branch (T24 Company Code) code values to Branch ENUM tab</t>
  </si>
  <si>
    <t>CWBPD364- Minor updates based on  raised by Testing Team.
- Added missing periods to all mandatory messages
- Field 1.04 - added colon to end of caption
- Field 1.11 &amp; 1.12 - added period to error message
- Field 2.30 &amp; 2.40 - added periods to error message
- Field 4.10 - changed from "as" to "has"
- Field 5.30 &amp; 5.60- added period to error message
- Field 6.5x - changed to default to "Yes" for Is the client in branch
- Field 6.20 - added colon to matching criteria label
- Field 6.10, 6.19 - changed from "myst" to "must"
- Field 6.24 - this has been changed to verify that the payroll 
- Field 7.80 - added period to caption message and error message
- Field 8b.6 - set display to "Always"
- Field 8.40 - removed Show me:
- Field 8.10 &amp; 8.12 - added in $ 
- Field 9.30 - added period to inline help
- Field 9.40 &amp; 9.70 - added period to error message
number is mandatory if Staff Identifier is set.
CWBPD-401 - Field 4.24 - removed reference to 'State'
CWBPD-404 - Field 6.25 Credit Bureau required - set to 'Yes'
CWBPD-414 - Field 9.8 - Change to inline help. 
CWBPD-398 - Field 4.18 - added in the word 'as'
CWBPD-403 - Field 6.11, 6.20 - removed extra 'c' in account.
Other minor corrections:
- Field 8.14 - Changed caption and removed 's' from Generals
- Field 8.9 - Add % to the end
- Also added in on 8 Product Selector - a comment regarding 8.15 passing the value of the Third Party to T24
CWBPD-417 &amp; CWBPD-418 - Field 9.4 Added validation rules and message for PAN to be 16 characters in length and numeric.
Field 6.10 &amp; 6.19 Change from "=&gt;" to "&gt;"
CWBPD-394 - 8b.7 validation message changed from "below" to "above"
CWBPD-248 - Updated 7.4 &amp; 7.5  based on work done for the Credit Bureau Report</t>
  </si>
  <si>
    <t>&lt;&lt;Primary applicant name&gt;&gt; CIF</t>
  </si>
  <si>
    <t>Display the primary applicant's Name</t>
  </si>
  <si>
    <t>Prepopulate with the Primary applicant's Name</t>
  </si>
  <si>
    <t>View Credit Bureau Report</t>
  </si>
  <si>
    <t>Display the FICO Score that was returned from the Credit Bureau Report.</t>
  </si>
  <si>
    <t>Services failed:
&lt;Name of Service Failed&gt;
&lt;Error Message&gt;</t>
  </si>
  <si>
    <t>List the name of any services that failed and the error message
e.g. PAN failed  - list the PAN Number</t>
  </si>
  <si>
    <t>Conditional: Only if currently working on a primary applicant</t>
  </si>
  <si>
    <t xml:space="preserve">A joint account can only be opened for a primary account and not for a joint account. </t>
  </si>
  <si>
    <t>This button should be hidden if currently working on joint applicant.</t>
  </si>
  <si>
    <t xml:space="preserve">Do not display question  if currently working on a joint account. 
Only display question when currently working on the primary account. </t>
  </si>
  <si>
    <t>On click, view Credit Bureau Report</t>
  </si>
  <si>
    <t xml:space="preserve">Display the Credit Bureau Report in a new tab once the View Credit Bureau Report button is pressed. 
Once the button is pressed and the report is displayed, do not allow the button to be pressed again. 
This report is printable from the DCO.
The Credit Bureau Report will display the following information: 
Subject Information
  - Last Name, First Name
  - Date of Birth
  - Date of Death
  - SIN
  - Martial Status
  - # of Dependents
  - Current Addresses
  - Previous Addresses
Bureau Information
  - Bureau Name
  - File ID
  - Hit Strength
  - Created Date
  - Last Act. Date
  - Total Inquiries
Scores
  - Name
  - Score
Special Services Bulletins
   - Reported Date
   - Service Type
</t>
  </si>
  <si>
    <t>On click of button, Display the Credit Bureau Report. The Credit Bureau Report will be the HTML report that is created and displayed in a new tab on the browser.  The report can be printed to a printer or printed to a PDF file.</t>
  </si>
  <si>
    <t>CWBPD-469 - 7. Credit Bureau Results - change wording for View Credit Bureau Report
- Display the wording FICO Score to clearly identify that it is a FICO Score and move to display FICO Score under the Credit Bureau Report button
CWB-470 - 10. Finish+Notifications - display message returned for any failed services  ( ie PAN creation)
CWB-471 - 10.  Finish+Notifications - Add in validation to not allow to add a joint account on a joint account. Only allowed to add a joint account to a primary account. Button should be removed.</t>
  </si>
  <si>
    <t>2.0</t>
  </si>
  <si>
    <t>Does the client require digital banking access?</t>
  </si>
  <si>
    <t>Yes
No</t>
  </si>
  <si>
    <t xml:space="preserve">Yes </t>
  </si>
  <si>
    <t>Email address provided will be used for digital banking activation.</t>
  </si>
  <si>
    <t>Updated: inline help removed due to pending operational procedure changes</t>
  </si>
  <si>
    <t>Enter &lt;name of service passed&gt; for each service completed successfully, with line break in between. (Includes T24 and Okta services)
If no services completed successfully, insert "None" instead of service name. (Includes T24 and Okta services)</t>
  </si>
  <si>
    <t>Enter &lt;name of service failed&gt; for each service that failed, if applicable, with line break in between. (Includes T24 and Okta services)
If no services failed, insert "None" instead of service name. (Includes T24 and Okta services)</t>
  </si>
  <si>
    <t>Dynamic step number indicated by &lt;&lt;n&gt;&gt;</t>
  </si>
  <si>
    <t>Existing customer/authenticated path - updated to use dynamic step# for different paths.</t>
  </si>
  <si>
    <t>&lt;&lt;product name&gt;&gt;</t>
  </si>
  <si>
    <t>See product catalogue</t>
  </si>
  <si>
    <t>Amount</t>
  </si>
  <si>
    <t>Text field (currency amount)</t>
  </si>
  <si>
    <t>Minimum $1000
Maximum - see product catalogue
&lt;&lt;maximum amount&gt;&gt;</t>
  </si>
  <si>
    <t>Please enter the amount you wish to invest.</t>
  </si>
  <si>
    <t>Cannot exceed maximum value allowed (&lt;&lt;maximum amount&gt;&gt; for selected product);
Cannot exceed maximum &lt;&lt;available balance&gt;&gt; for selected funding account (see 4c.6)</t>
  </si>
  <si>
    <t>Amount must be at least $1000 and cannot exceed the GIC maximum or your available balance.</t>
  </si>
  <si>
    <t>Minimum $1000 deposit</t>
  </si>
  <si>
    <t>See business rules</t>
  </si>
  <si>
    <t>Term length and interest rate</t>
  </si>
  <si>
    <t>Select a term length</t>
  </si>
  <si>
    <t>Please select a term length.</t>
  </si>
  <si>
    <r>
      <t xml:space="preserve">Interest is &lt;&lt;interest calculation&gt;&gt;.
Use the </t>
    </r>
    <r>
      <rPr>
        <u/>
        <sz val="11"/>
        <color theme="1"/>
        <rFont val="Calibri"/>
        <family val="2"/>
        <scheme val="minor"/>
      </rPr>
      <t>CWB Investment Return Calculator</t>
    </r>
    <r>
      <rPr>
        <sz val="11"/>
        <color theme="1"/>
        <rFont val="Calibri"/>
        <family val="2"/>
        <scheme val="minor"/>
      </rPr>
      <t xml:space="preserve"> to estimate your interest amount.</t>
    </r>
  </si>
  <si>
    <t>Investment purpose?</t>
  </si>
  <si>
    <t>Select an investment purpose</t>
  </si>
  <si>
    <t>Please select an investment purpose.</t>
  </si>
  <si>
    <t>I'd like to open this account with another person (joint account)</t>
  </si>
  <si>
    <t>Unchecked</t>
  </si>
  <si>
    <t>Servicing Flow through Account?</t>
  </si>
  <si>
    <t>Rate discretion</t>
  </si>
  <si>
    <t>Numeric 1.000</t>
  </si>
  <si>
    <t>Plan Type</t>
  </si>
  <si>
    <t>Investment Options</t>
  </si>
  <si>
    <t>Step &lt;&lt;n&gt;&gt;: Investment Options</t>
  </si>
  <si>
    <t>RRSP Type</t>
  </si>
  <si>
    <t>TFSA
RRSP</t>
  </si>
  <si>
    <t>RRSP REGULAR
RRSP SPOUSAL
RRIF REGULAR
RRIF SPOUSAL
LIRA ALBERTA
LIRA BC
LIRA FEDERAL
LIRA MANITOBA
LIRA New Brunswick
LIRA Newfoundland &amp; Labrador
LIRA Nova Scotia
LIRA ONTARIO
LIRA SASKATCHEWAN
LRSP BRITISH COLUMBIA
LRSP FEDERAL
PRIF SASKATCHEWAN
RLSP FEDERAL</t>
  </si>
  <si>
    <t>Please make a selection.</t>
  </si>
  <si>
    <t>Branch Manager/RGM discretion</t>
  </si>
  <si>
    <t>Select only if rate discretion will be applied for this client and account.</t>
  </si>
  <si>
    <t>Only for GIC/FLR products</t>
  </si>
  <si>
    <t>1+3 decimal places</t>
  </si>
  <si>
    <t>Value cannot exceed 3.000</t>
  </si>
  <si>
    <t>Only for GIC/FLR products if checkbox  8b.10 = checked</t>
  </si>
  <si>
    <t>Conditional - only if checkbox 8b.10 = checked</t>
  </si>
  <si>
    <t>Please enter the rate discretion amount.</t>
  </si>
  <si>
    <t>Rate discretion cannot exceed 3%.</t>
  </si>
  <si>
    <t>Conditional: only show if product is a non-registered GIC/FLR</t>
  </si>
  <si>
    <t>Renew (same term)
Pay out to funding account</t>
  </si>
  <si>
    <t>Maturity option</t>
  </si>
  <si>
    <t>Please select a maturity option.</t>
  </si>
  <si>
    <t>Begin repeatable section - repeat these fields for each GIC, FLR or Registered Savings account being opened</t>
  </si>
  <si>
    <t>Insert selected product name (from product catalogue) in collapsible section header.
If &gt;1 of the same product type, enter sequence number after product name, in parentheses
e.g. GIC Personal (1)</t>
  </si>
  <si>
    <t>End repeatable section</t>
  </si>
  <si>
    <t>New major version for Infinity compatibility/authenticated path updates:
2. Contact Info
8. Product Selector
8b. Investment Options - net new page
9. Debit Card Requisition
10. Finish &amp; Notifications</t>
  </si>
  <si>
    <t>Manny Ine</t>
  </si>
  <si>
    <t>Candyse Watkinson
Kelvin Fernando
Ian Hicks</t>
  </si>
  <si>
    <t>2.1</t>
  </si>
  <si>
    <t>Email address:</t>
  </si>
  <si>
    <t>v2.1 radio button not required as plan type is implicit in product selection.</t>
  </si>
  <si>
    <t>Conditional - only if selected product is an RRSP.
(Westearner RRSP Account or RRSP Premium GIC, including staff/family versions of these products).</t>
  </si>
  <si>
    <t>Conditional - only required if selected product = RRSP</t>
  </si>
  <si>
    <t>Display only if selected product = RRSP; selection is required if this field is revealed.</t>
  </si>
  <si>
    <t>v2.1 updated logic to base on product selected.</t>
  </si>
  <si>
    <t>Display only for GIC or FLR products.
Amount is required; validate as described.</t>
  </si>
  <si>
    <t>Display only for GIC or FLR products.
If checked, provision flow through account. If unchecked do not provision flow through account.</t>
  </si>
  <si>
    <t>Display only for GIC or FLR products.
For each list item, concatenate:
&lt;&lt;term&gt;&gt; (&lt;&lt;interest rate&gt;&gt;%)
Where term is expressed in days or months (from product catalogue) and interest rate is populated from Transact lookup (periodic interest table).
E.g.
12 months (0.45%)
24 months (0.50%)
or
120 days (0.30%)
180 days (0.35%)</t>
  </si>
  <si>
    <t>Display only for GIC or FLR products.</t>
  </si>
  <si>
    <r>
      <t xml:space="preserve">Display only for </t>
    </r>
    <r>
      <rPr>
        <b/>
        <sz val="11"/>
        <color theme="1"/>
        <rFont val="Calibri"/>
        <family val="2"/>
        <scheme val="minor"/>
      </rPr>
      <t>non-registered</t>
    </r>
    <r>
      <rPr>
        <sz val="11"/>
        <color theme="1"/>
        <rFont val="Calibri"/>
        <family val="2"/>
        <scheme val="minor"/>
      </rPr>
      <t xml:space="preserve"> GIC or FLR products.
See navigation for 'Next' (4c.11)</t>
    </r>
  </si>
  <si>
    <t>CWBPD-708</t>
  </si>
  <si>
    <t>8c</t>
  </si>
  <si>
    <t>Display for primary applicant form only, if any GIC/FLR or registered savings product selected</t>
  </si>
  <si>
    <t>On click, navigate back to 'Product Selector' page.</t>
  </si>
  <si>
    <t>2021 release CWBPD-670</t>
  </si>
  <si>
    <t>2021 release CWBPD-735</t>
  </si>
  <si>
    <t>Modal for product info no longer used - Learn More now linked to Sitecore pages</t>
  </si>
  <si>
    <r>
      <t>Display only for</t>
    </r>
    <r>
      <rPr>
        <b/>
        <sz val="11"/>
        <color theme="1"/>
        <rFont val="Calibri"/>
        <family val="2"/>
        <scheme val="minor"/>
      </rPr>
      <t xml:space="preserve"> non-registered</t>
    </r>
    <r>
      <rPr>
        <sz val="11"/>
        <color theme="1"/>
        <rFont val="Calibri"/>
        <family val="2"/>
        <scheme val="minor"/>
      </rPr>
      <t xml:space="preserve"> GIC or FLR products.</t>
    </r>
  </si>
  <si>
    <t>2021 release CWBPD-673</t>
  </si>
  <si>
    <t>Defaults to 'Yes'.
Non-editable if 9.3 Debit Card Type = (B) Online Access.
(Selection of 'No' is only permitted if 9.3 Debit Card Type = (A) Flash Debit Card)
IF selection equals 'No' do not provision Okta profile and do not send activation email;
ELSE IF selection equals 'Yes' then provision Okta profile and send activation email.</t>
  </si>
  <si>
    <t>Removed for 2021 release</t>
  </si>
  <si>
    <t>Conditional logic: entry is required if selection is made in 9.6.
Use this field after the creation of the T24 CIF, to create a new record in CR.CONTACT.LOG with the following values:
A) CONTACT.CLIENT = [CIF for new client]
B) CONTACT.TYPE = "NOTES"
C) CONTACT.STATUS = "NEW"
D) CONTACT.DESC = "Security Question"
E) CONTACT.NOTES = [Field value]
F) CONTACT.CHANNEL = "EMAIL"
G) CONTACT. DATE = [Date of the application]</t>
  </si>
  <si>
    <r>
      <t>On click, invoke (T24) provisioning services and navigate to "</t>
    </r>
    <r>
      <rPr>
        <b/>
        <sz val="11"/>
        <color theme="1"/>
        <rFont val="Calibri"/>
        <family val="2"/>
        <scheme val="minor"/>
      </rPr>
      <t>Finish+Notifications</t>
    </r>
    <r>
      <rPr>
        <sz val="11"/>
        <color theme="1"/>
        <rFont val="Calibri"/>
        <family val="2"/>
        <scheme val="minor"/>
      </rPr>
      <t>" page.</t>
    </r>
  </si>
  <si>
    <t>Explore our accounts</t>
  </si>
  <si>
    <t>Chequing
Savings
Investing</t>
  </si>
  <si>
    <t>Open on Chequing tab</t>
  </si>
  <si>
    <t>Tab (category)</t>
  </si>
  <si>
    <t>Investing tab only</t>
  </si>
  <si>
    <t>All accounts</t>
  </si>
  <si>
    <t>One of the following filter values:
All accounts
Guaranteed Investment Certificate (GIC/FLR)
Registered Retirement Savings Plan (RRSP) 
Tax Free Savings Account (TFSA) 
US dollar investments</t>
  </si>
  <si>
    <t>Subject to review/confirmation due to new products</t>
  </si>
  <si>
    <t>On click, open applicable CWB website product page URL (new tab/window). Refer to Product Specification / Product list URL tab.</t>
  </si>
  <si>
    <t>Updated - no longer using modal. Refer to product spec for list of URLs.</t>
  </si>
  <si>
    <t>End product card section</t>
  </si>
  <si>
    <t>Removed/replaced with Explore our accounts (8.4)</t>
  </si>
  <si>
    <t xml:space="preserve">
Chequing and Savings accounts only and only if associated product checkbox (Field 8.7) is checked</t>
  </si>
  <si>
    <t>Checked
Unchecked</t>
  </si>
  <si>
    <t>No
Yes</t>
  </si>
  <si>
    <t>Updated navigation for 2021 release.</t>
  </si>
  <si>
    <t>&lt;&lt;Selection Count&gt;&gt; is the number of products where Field 8.7 is "checked".</t>
  </si>
  <si>
    <t>Filter list of product cards displayed according to staff /non-staff selection from 'In-Branch Customer Info' page:
- IF Staff or Family, include staff/family products
ELSE do not include staff/family products.</t>
  </si>
  <si>
    <t>General savings or accrue interest
Investment savings
Employment or pension income
Family and household expenses
Education savings/expenses</t>
  </si>
  <si>
    <r>
      <t xml:space="preserve">Display only for </t>
    </r>
    <r>
      <rPr>
        <b/>
        <sz val="11"/>
        <color theme="1"/>
        <rFont val="Calibri"/>
        <family val="2"/>
        <scheme val="minor"/>
      </rPr>
      <t>non-registered</t>
    </r>
    <r>
      <rPr>
        <sz val="11"/>
        <color theme="1"/>
        <rFont val="Calibri"/>
        <family val="2"/>
        <scheme val="minor"/>
      </rPr>
      <t xml:space="preserve"> GIC or FLR products.
ENUM values must be mapped to the following numeric codes, which must be passed to Transact with the create account request.
Education savings/expenses - 82
General savings or accrue interest - 86
Large purchase savings - 88
Saving for the future - 81</t>
    </r>
  </si>
  <si>
    <t>These controls should only appear for the user's selected products. One drop-down list with caption should appear for each selected demand (chequing/savings) product.
ENUM values must be mapped to the following numeric codes, which must be passed to Transact with the create account request:
General savings or accrue interest - 97
Investment savings - 97
Employment or pension income - 70
Family and household expenses - 80
Education savings/expenses - 82</t>
  </si>
  <si>
    <t>Education savings/expenses
General savings or accrue interest
Large purchase savings
Saving for the future</t>
  </si>
  <si>
    <t>Added v2.1 (previously missed)
Pass the Third Party flag that is selected by the user as the thirdParty through to T24 on Customer Create.</t>
  </si>
  <si>
    <r>
      <t xml:space="preserve">Insert applicable interest calculation text below in field indicated by &lt;&lt;&gt;&gt; tags, based on product selection.
</t>
    </r>
    <r>
      <rPr>
        <b/>
        <sz val="11"/>
        <color theme="1"/>
        <rFont val="Calibri"/>
        <family val="2"/>
        <scheme val="minor"/>
      </rPr>
      <t>Long Term (&gt;=12 months) GIC/all registered GIC products</t>
    </r>
    <r>
      <rPr>
        <sz val="11"/>
        <color theme="1"/>
        <rFont val="Calibri"/>
        <family val="2"/>
        <scheme val="minor"/>
      </rPr>
      <t xml:space="preserve">
compounded and paid annually
</t>
    </r>
    <r>
      <rPr>
        <b/>
        <sz val="11"/>
        <color theme="1"/>
        <rFont val="Calibri"/>
        <family val="2"/>
        <scheme val="minor"/>
      </rPr>
      <t>Short Term GIC</t>
    </r>
    <r>
      <rPr>
        <sz val="11"/>
        <color theme="1"/>
        <rFont val="Calibri"/>
        <family val="2"/>
        <scheme val="minor"/>
      </rPr>
      <t xml:space="preserve">
paid at maturity
</t>
    </r>
    <r>
      <rPr>
        <b/>
        <sz val="11"/>
        <color theme="1"/>
        <rFont val="Calibri"/>
        <family val="2"/>
        <scheme val="minor"/>
      </rPr>
      <t>Floating Rate Redeemable GIC</t>
    </r>
    <r>
      <rPr>
        <sz val="11"/>
        <color theme="1"/>
        <rFont val="Calibri"/>
        <family val="2"/>
        <scheme val="minor"/>
      </rPr>
      <t xml:space="preserve">
paid annually for terms of more than 1 year, or paid at maturity for terms of less than 1 year
Hyperlink underlined text (open in new tab/window) to the following URL:
https://www.cwbank.com/en/calculators/investment-returns</t>
    </r>
  </si>
  <si>
    <t>v2.1 added logic for interaction with Debit Card Type field.</t>
  </si>
  <si>
    <t>Must be 16 characters
AND must be numeric</t>
  </si>
  <si>
    <t xml:space="preserve">Flash Debit Card
Online Access </t>
  </si>
  <si>
    <t>Flash Debit Card</t>
  </si>
  <si>
    <t>Only if 9.3 = Flash Debit Card</t>
  </si>
  <si>
    <t>If 9.3 = Flash Debit Card Type then PAN is manually entered and auto prefixed with "FLS" 
if 9.3 = Online Access then system uses existing functionality to populate the PAN automatically.</t>
  </si>
  <si>
    <t>Updated in v2.1 for 2021 release.</t>
  </si>
  <si>
    <t>2021 release CWBPD-684</t>
  </si>
  <si>
    <t>Ian Hicks</t>
  </si>
  <si>
    <t>Candyse Watkinson
Ian Hicks</t>
  </si>
  <si>
    <r>
      <t>On click:
If Primary Applicant AND no investment products selected, navigate back to "</t>
    </r>
    <r>
      <rPr>
        <b/>
        <sz val="11"/>
        <color theme="1"/>
        <rFont val="Calibri"/>
        <family val="2"/>
        <scheme val="minor"/>
      </rPr>
      <t>Product Selector</t>
    </r>
    <r>
      <rPr>
        <sz val="11"/>
        <color theme="1"/>
        <rFont val="Calibri"/>
        <family val="2"/>
        <scheme val="minor"/>
      </rPr>
      <t>" page
OR IF investment product(s) selected, navigate back to "</t>
    </r>
    <r>
      <rPr>
        <b/>
        <sz val="11"/>
        <color theme="1"/>
        <rFont val="Calibri"/>
        <family val="2"/>
        <scheme val="minor"/>
      </rPr>
      <t>Investment Options</t>
    </r>
    <r>
      <rPr>
        <sz val="11"/>
        <color theme="1"/>
        <rFont val="Calibri"/>
        <family val="2"/>
        <scheme val="minor"/>
      </rPr>
      <t>";
ELSE IF Joint Applicant navigate back to "</t>
    </r>
    <r>
      <rPr>
        <b/>
        <sz val="11"/>
        <color theme="1"/>
        <rFont val="Calibri"/>
        <family val="2"/>
        <scheme val="minor"/>
      </rPr>
      <t>Joint Applicant</t>
    </r>
    <r>
      <rPr>
        <sz val="11"/>
        <color theme="1"/>
        <rFont val="Calibri"/>
        <family val="2"/>
        <scheme val="minor"/>
      </rPr>
      <t>" page.</t>
    </r>
  </si>
  <si>
    <t>Please choose a security question.</t>
  </si>
  <si>
    <t>Step &lt;&lt;n&gt;&gt;: Debit Card and Online Banking Access</t>
  </si>
  <si>
    <t>Step &lt;&lt;n&gt;&gt;: DCO Process Complete</t>
  </si>
  <si>
    <t>Hyperlink underlined text for Registered Account Application - https://adobeas03.cwb.local:8443/lc/libs/ws/index.html#/startprocess/Registered%20Products%2FCreate%20Registered%20Application%20Package
Hyperlink underlined text for GIC application - https://adobeas03.cwb.local:8443/lc/libs/ws/index.html#/startprocess/GIC%27s%2FCreate%20GIC%20application%20package
Hyperlink underlined text to Declaration of Tax Residence - 
https://www.canada.ca/en/revenue-agency/services/forms-publications/forms/rc518.html</t>
  </si>
  <si>
    <r>
      <t xml:space="preserve">If client is Staff or Family complete </t>
    </r>
    <r>
      <rPr>
        <u/>
        <sz val="11"/>
        <color theme="1"/>
        <rFont val="Calibri"/>
        <family val="2"/>
        <scheme val="minor"/>
      </rPr>
      <t>Personnel Deposit and Investment Benefits for Family Members</t>
    </r>
  </si>
  <si>
    <t>Hyperlink underlined text for  - Personnel Deposit and Investment Benefits for Family Members https://livecycle.cwb.local/forms/2028b.pdf</t>
  </si>
  <si>
    <t>2021-11-05
(republish)</t>
  </si>
  <si>
    <t>8. Product Selector - marked 8.3 as removed, clarified business rules in 8.4/8.5, corrected rules/behaviour for 'Learn more' links in product cards, corrected navigation for 'Next'.
8a. Product Info - deprecated as no longer using this modal.
8b. Investment Options removed 8b.4 Plan Type as this is implicit from product selection, clarified conditionality rules throughout the page, added 8b.15 Third Party field (previously missed).
9. Debit Card Requisition added logic for interaction between 9.5 Digital banking access field and 9.3 Debit card type field, corrected navigation for 'Next'
Republished due to incorrect version of 10. Finish+Notifications page</t>
  </si>
  <si>
    <t>Matching criteria is displayed and mandatory only if Field ID 6.4 is selected as 'No'</t>
  </si>
  <si>
    <t>FICO score result: &lt;new line&gt; &lt;FICO Score&gt;</t>
  </si>
  <si>
    <t>Conditional:
Only if radio button 10.13 selection = A) Yes</t>
  </si>
  <si>
    <r>
      <t>Display button only if radio button 10.13 selection = A) Yes.
On click, navigate to "</t>
    </r>
    <r>
      <rPr>
        <b/>
        <sz val="11"/>
        <color theme="1"/>
        <rFont val="Calibri"/>
        <family val="2"/>
        <scheme val="minor"/>
      </rPr>
      <t>Landing Page</t>
    </r>
    <r>
      <rPr>
        <sz val="11"/>
        <color theme="1"/>
        <rFont val="Calibri"/>
        <family val="2"/>
        <scheme val="minor"/>
      </rPr>
      <t>".</t>
    </r>
  </si>
  <si>
    <t>Conditional:
Only if radio button 10.13 selection = B) No OR the application currently working on is a Joint Applicant</t>
  </si>
  <si>
    <t>Branch Info
Branch: &lt;Branch&gt;
Department Account Officer (DAO): &lt;DAO&gt;</t>
  </si>
  <si>
    <t>Applicant Info
Name: &lt;Last Name&gt;, &lt;First Name&gt;
Contact Info: &lt;Applicant Email&gt;, &lt;Applicant Contact Number&gt;
DOB: &lt;Applicant DOB&gt;
SIN: &lt;Applicant SIN&gt;
NOC: &lt;Applicant NOC&gt;
Home Address: &lt;Applicant Home Address&gt;
Previous Address: &lt;Applicant Previous Address&gt;
Mailing Address: &lt;Applicant Mailing Address&gt;</t>
  </si>
  <si>
    <t xml:space="preserve">Enter &lt;Branch&gt; and &lt;DAO&gt;, with line break in between.
</t>
  </si>
  <si>
    <t>Enter i. &lt;Last Name&gt;, &lt;First Name&gt;
ii. &lt;Applicant Email&gt;, &lt;Applicant Contact Number&gt;
iii. &lt;Applicant DOB&gt;
iv. &lt;Applicant SIN&gt;
v. &lt;Applicant NOC&gt;
vi. &lt;Applicant Home Address&gt;
vii. &lt;Applicant Previous Address&gt;
viii. &lt;Applicant Mailing Address&gt;
with a line break in between</t>
  </si>
  <si>
    <t>Enter &lt;ID1&gt; and &lt;ID2&gt; information with a line break in between</t>
  </si>
  <si>
    <t>Identification Info
Identification #1: &lt;ID1 info&gt;
Identification #2: &lt;ID2 info&gt;</t>
  </si>
  <si>
    <t>Staff Info
Staff: &lt;Staff info&gt;</t>
  </si>
  <si>
    <t>Credit Score
&lt;Credit Score&gt;</t>
  </si>
  <si>
    <t>Enter &lt;Credit Score&gt;
If no credit score information is available, insert 'No Score'.</t>
  </si>
  <si>
    <t>Account Info
Primary Applicant: &lt;Primary Applicant First and Last Name&gt;</t>
  </si>
  <si>
    <t>Enter &lt;Staff info&gt;
If no staff information is available, leave it blank after 'Staff:'.</t>
  </si>
  <si>
    <t>Enter &lt;Primary Applicant First and Last Name&gt;
If no staff information is available, leave it blank after 'Primary Applicant:'.</t>
  </si>
  <si>
    <t xml:space="preserve">1.4 updated to 'no change'
3, 4, 5, 6 and 7 updated to 'no change' for all the fields
6.4 and 6.5 moved to correct order
6.11 and 6.19 display and business rules updated
6.14 removed and subsequent field ids updated 1 number above
</t>
  </si>
  <si>
    <t>Chintan Choksi</t>
  </si>
  <si>
    <r>
      <t xml:space="preserve">If CIF and account created successfully and all services passed, the following forms must be generated and printed from T24:
   </t>
    </r>
    <r>
      <rPr>
        <sz val="11"/>
        <color theme="1"/>
        <rFont val="Calibri"/>
        <family val="2"/>
      </rPr>
      <t xml:space="preserve">• Form 4042 - Account Application
   • Form 4081 - Personal Account Agreement
   • Form 4175 - Signature Card
Form 4042 - Account Application and Form 4175 - Signature Card must be signed by the client. 
If GIC/FLR only client complete </t>
    </r>
    <r>
      <rPr>
        <u/>
        <sz val="11"/>
        <color theme="1"/>
        <rFont val="Calibri"/>
        <family val="2"/>
      </rPr>
      <t>GIC application</t>
    </r>
    <r>
      <rPr>
        <sz val="11"/>
        <color theme="1"/>
        <rFont val="Calibri"/>
        <family val="2"/>
      </rPr>
      <t xml:space="preserve"> .
If opening Registered Plan then complete </t>
    </r>
    <r>
      <rPr>
        <u/>
        <sz val="11"/>
        <color theme="1"/>
        <rFont val="Calibri"/>
        <family val="2"/>
      </rPr>
      <t>Registered Account application</t>
    </r>
    <r>
      <rPr>
        <sz val="11"/>
        <color theme="1"/>
        <rFont val="Calibri"/>
        <family val="2"/>
      </rPr>
      <t xml:space="preserve">.
The </t>
    </r>
    <r>
      <rPr>
        <u/>
        <sz val="11"/>
        <color theme="1"/>
        <rFont val="Calibri"/>
        <family val="2"/>
      </rPr>
      <t>Declaration of Tax Residence</t>
    </r>
    <r>
      <rPr>
        <sz val="11"/>
        <color theme="1"/>
        <rFont val="Calibri"/>
        <family val="2"/>
      </rPr>
      <t xml:space="preserve"> form must also be completed by staff and signed by the client.</t>
    </r>
  </si>
  <si>
    <t>What type of client lorem ipsum?</t>
  </si>
  <si>
    <t>Radio Button Group</t>
  </si>
  <si>
    <t>A) Business
B) Personal</t>
  </si>
  <si>
    <r>
      <t xml:space="preserve">On click, 
IF (Selected Products &lt;&gt; 0)
AND no products selected from the Investments tab 
THEN navigate to </t>
    </r>
    <r>
      <rPr>
        <b/>
        <sz val="11"/>
        <color theme="1"/>
        <rFont val="Calibri"/>
        <family val="2"/>
        <scheme val="minor"/>
      </rPr>
      <t>"Debit Card Requisition "</t>
    </r>
    <r>
      <rPr>
        <sz val="11"/>
        <color theme="1"/>
        <rFont val="Calibri"/>
        <family val="2"/>
        <scheme val="minor"/>
      </rPr>
      <t xml:space="preserve"> page;
ELSE IF &gt;=1 product selected from the Investments tab
THEN navigate to "</t>
    </r>
    <r>
      <rPr>
        <b/>
        <sz val="11"/>
        <color theme="1"/>
        <rFont val="Calibri"/>
        <family val="2"/>
        <scheme val="minor"/>
      </rPr>
      <t>Investment Options</t>
    </r>
    <r>
      <rPr>
        <sz val="11"/>
        <color theme="1"/>
        <rFont val="Calibri"/>
        <family val="2"/>
        <scheme val="minor"/>
      </rPr>
      <t>" page )</t>
    </r>
  </si>
  <si>
    <t>On click, 
navigate to 'Debit Card Requisition' page</t>
  </si>
  <si>
    <r>
      <t>On click, invoke Update CIF (T24) service and 
navigate to "</t>
    </r>
    <r>
      <rPr>
        <b/>
        <sz val="11"/>
        <color theme="1"/>
        <rFont val="Calibri"/>
        <family val="2"/>
        <scheme val="minor"/>
      </rPr>
      <t>Debit Card Requisition</t>
    </r>
    <r>
      <rPr>
        <sz val="11"/>
        <color theme="1"/>
        <rFont val="Calibri"/>
        <family val="2"/>
        <scheme val="minor"/>
      </rPr>
      <t>" page</t>
    </r>
  </si>
  <si>
    <t>Start a new DCO form</t>
  </si>
  <si>
    <t xml:space="preserve">
On click, exit the DCO session and navigate to In-branch DCO landing page for a new application.</t>
  </si>
  <si>
    <t>Back (TBD)</t>
  </si>
  <si>
    <r>
      <t>On click, 
IF 1.2 = (B)Personal
navigate back to "</t>
    </r>
    <r>
      <rPr>
        <b/>
        <sz val="11"/>
        <color theme="1"/>
        <rFont val="Calibri"/>
        <family val="2"/>
        <scheme val="minor"/>
      </rPr>
      <t>Debit Card Requisition</t>
    </r>
    <r>
      <rPr>
        <sz val="11"/>
        <color theme="1"/>
        <rFont val="Calibri"/>
        <family val="2"/>
        <scheme val="minor"/>
      </rPr>
      <t>" page
ELSE IF 1.2 = (A)Business
navigate to "</t>
    </r>
    <r>
      <rPr>
        <b/>
        <sz val="11"/>
        <color theme="1"/>
        <rFont val="Calibri"/>
        <family val="2"/>
        <scheme val="minor"/>
      </rPr>
      <t xml:space="preserve">Credit Bureau Results" </t>
    </r>
    <r>
      <rPr>
        <sz val="11"/>
        <color theme="1"/>
        <rFont val="Calibri"/>
        <family val="2"/>
        <scheme val="minor"/>
      </rPr>
      <t>page</t>
    </r>
  </si>
  <si>
    <r>
      <t>On click,
IF 1.2 = (B)Personal
THEN apply the following business logic: 
If selection in 7.9 = A) Primary Applicant, navigate to "</t>
    </r>
    <r>
      <rPr>
        <b/>
        <sz val="11"/>
        <color theme="1"/>
        <rFont val="Calibri"/>
        <family val="2"/>
        <scheme val="minor"/>
      </rPr>
      <t>Product Selector</t>
    </r>
    <r>
      <rPr>
        <sz val="11"/>
        <color theme="1"/>
        <rFont val="Calibri"/>
        <family val="2"/>
        <scheme val="minor"/>
      </rPr>
      <t>" page; else
If selection in 7.9 = B) Primary Applicant-CIF Only (either personal CIF or business CIF), invoke T24 Create CIF service and navigate to "</t>
    </r>
    <r>
      <rPr>
        <b/>
        <sz val="11"/>
        <color theme="1"/>
        <rFont val="Calibri"/>
        <family val="2"/>
        <scheme val="minor"/>
      </rPr>
      <t>Notifications</t>
    </r>
    <r>
      <rPr>
        <sz val="11"/>
        <color theme="1"/>
        <rFont val="Calibri"/>
        <family val="2"/>
        <scheme val="minor"/>
      </rPr>
      <t>" page; else
If selection in 7.9 = C) Joint Applicant, navigate to "</t>
    </r>
    <r>
      <rPr>
        <b/>
        <sz val="11"/>
        <color theme="1"/>
        <rFont val="Calibri"/>
        <family val="2"/>
        <scheme val="minor"/>
      </rPr>
      <t>Joint Applicant</t>
    </r>
    <r>
      <rPr>
        <sz val="11"/>
        <color theme="1"/>
        <rFont val="Calibri"/>
        <family val="2"/>
        <scheme val="minor"/>
      </rPr>
      <t>" page; else
If selection in 7.9  = D) Decline Application,  display modal that asks "Are you sure you want to exit?"
ELSE IF 1.2 = (A)Business
THEN navigate tp "Finish+Notifications" page.</t>
    </r>
  </si>
  <si>
    <t>IF 1.2 = (B)Personal THEN
(Primary Applicant
Primary Applicant - CIF Only
Joint Applicant
Decline Application)
ELSE IF 1.2 = (A)Business THEN
Primary Applicant - CIF Only</t>
  </si>
  <si>
    <t>IF 1.2 = (A)Business THEN
Disable all radio button selections except Primary Applicant - CIF Only.</t>
  </si>
  <si>
    <t>IF 1.2 = B) Personal THEN
Before we start, here's a checklist of what you will need to onboard a client:
ELSE</t>
  </si>
  <si>
    <t>If 1.2 = B) Personal THEN
1. All applicant(s) are present.
2. Applicant(s) have two pieces of identification including 1 piece of Government-issued photo ID.
If non-face-to-face, ensure applicant(s) identification has been verified per policy.
3. Applicant(s) are new CWB clients and do not have an existing CIF. 
4. A Fircosoft Due Diligence (FDD) search has been completed for all Applicant(s).
NOTE: Existing client check and FDD search must be completed in T24.
ELSE</t>
  </si>
  <si>
    <t>Display when 1.2 gets selected with either of the two values.</t>
  </si>
  <si>
    <t>Display when 1.2 = (B) Personal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</si>
</sst>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9" x14ac:knownFonts="1">
    <font>
      <sz val="11"/>
      <color theme="1"/>
      <name val="Calibri"/>
      <family val="2"/>
      <scheme val="minor"/>
    </font>
    <font>
      <b/>
      <sz val="11"/>
      <color theme="1"/>
      <name val="Calibri"/>
      <family val="2"/>
      <scheme val="minor"/>
    </font>
    <font>
      <b/>
      <sz val="14"/>
      <color theme="1"/>
      <name val="Calibri"/>
      <family val="2"/>
      <scheme val="minor"/>
    </font>
    <font>
      <sz val="10"/>
      <color theme="1"/>
      <name val="Calibri"/>
      <family val="2"/>
      <scheme val="minor"/>
    </font>
    <font>
      <sz val="14"/>
      <color theme="1"/>
      <name val="Calibri"/>
      <family val="2"/>
      <scheme val="minor"/>
    </font>
    <font>
      <sz val="14"/>
      <name val="Calibri"/>
      <family val="2"/>
      <scheme val="minor"/>
    </font>
    <font>
      <sz val="14"/>
      <color rgb="FFFF0000"/>
      <name val="Calibri"/>
      <family val="2"/>
      <scheme val="minor"/>
    </font>
    <font>
      <u/>
      <sz val="11"/>
      <color theme="1"/>
      <name val="Calibri"/>
      <family val="2"/>
      <scheme val="minor"/>
    </font>
    <font>
      <b/>
      <sz val="11"/>
      <color theme="0" tint="-4.9989318521683403E-2"/>
      <name val="Calibri"/>
      <family val="2"/>
      <scheme val="minor"/>
    </font>
    <font>
      <sz val="11"/>
      <color rgb="FFFF0000"/>
      <name val="Calibri"/>
      <family val="2"/>
      <scheme val="minor"/>
    </font>
    <font>
      <i/>
      <sz val="11"/>
      <color theme="1"/>
      <name val="Calibri"/>
      <family val="2"/>
      <scheme val="minor"/>
    </font>
    <font>
      <sz val="11"/>
      <color theme="1"/>
      <name val="Calibri"/>
      <family val="2"/>
    </font>
    <font>
      <sz val="11"/>
      <name val="Calibri"/>
      <family val="2"/>
      <scheme val="minor"/>
    </font>
    <font>
      <b/>
      <sz val="11"/>
      <name val="Calibri"/>
      <family val="2"/>
      <scheme val="minor"/>
    </font>
    <font>
      <b/>
      <sz val="14"/>
      <name val="Calibri"/>
      <family val="2"/>
      <scheme val="minor"/>
    </font>
    <font>
      <u/>
      <sz val="11"/>
      <color theme="10"/>
      <name val="Calibri"/>
      <family val="2"/>
      <scheme val="minor"/>
    </font>
    <font>
      <u/>
      <sz val="11"/>
      <color theme="1"/>
      <name val="Calibri"/>
      <family val="2"/>
    </font>
    <font>
      <b/>
      <sz val="11"/>
      <color theme="0"/>
      <name val="Calibri"/>
      <family val="2"/>
      <scheme val="minor"/>
    </font>
    <font>
      <sz val="8"/>
      <name val="Calibri"/>
      <family val="2"/>
      <scheme val="minor"/>
    </font>
  </fonts>
  <fills count="12">
    <fill>
      <patternFill patternType="none"/>
    </fill>
    <fill>
      <patternFill patternType="gray125"/>
    </fill>
    <fill>
      <patternFill patternType="solid">
        <fgColor theme="4" tint="0.39997558519241921"/>
        <bgColor indexed="64"/>
      </patternFill>
    </fill>
    <fill>
      <patternFill patternType="solid">
        <fgColor theme="2" tint="-9.9978637043366805E-2"/>
        <bgColor indexed="64"/>
      </patternFill>
    </fill>
    <fill>
      <patternFill patternType="solid">
        <fgColor theme="4" tint="0.59999389629810485"/>
        <bgColor indexed="64"/>
      </patternFill>
    </fill>
    <fill>
      <patternFill patternType="solid">
        <fgColor theme="1" tint="0.34998626667073579"/>
        <bgColor indexed="64"/>
      </patternFill>
    </fill>
    <fill>
      <patternFill patternType="solid">
        <fgColor theme="7" tint="0.39997558519241921"/>
        <bgColor indexed="64"/>
      </patternFill>
    </fill>
    <fill>
      <patternFill patternType="solid">
        <fgColor theme="0"/>
        <bgColor indexed="64"/>
      </patternFill>
    </fill>
    <fill>
      <patternFill patternType="solid">
        <fgColor rgb="FFB4C6E7"/>
        <bgColor indexed="64"/>
      </patternFill>
    </fill>
    <fill>
      <patternFill patternType="solid">
        <fgColor theme="9" tint="0.59999389629810485"/>
        <bgColor indexed="64"/>
      </patternFill>
    </fill>
    <fill>
      <patternFill patternType="solid">
        <fgColor rgb="FFFFFF00"/>
        <bgColor indexed="64"/>
      </patternFill>
    </fill>
    <fill>
      <patternFill patternType="solid">
        <fgColor theme="0" tint="-0.499984740745262"/>
        <bgColor indexed="64"/>
      </patternFill>
    </fill>
  </fills>
  <borders count="19">
    <border>
      <left/>
      <right/>
      <top/>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right/>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thin">
        <color auto="1"/>
      </left>
      <right/>
      <top style="medium">
        <color auto="1"/>
      </top>
      <bottom style="medium">
        <color auto="1"/>
      </bottom>
      <diagonal/>
    </border>
    <border>
      <left style="thin">
        <color auto="1"/>
      </left>
      <right/>
      <top style="thin">
        <color auto="1"/>
      </top>
      <bottom/>
      <diagonal/>
    </border>
    <border>
      <left style="thin">
        <color auto="1"/>
      </left>
      <right/>
      <top style="medium">
        <color auto="1"/>
      </top>
      <bottom style="thin">
        <color auto="1"/>
      </bottom>
      <diagonal/>
    </border>
    <border>
      <left style="thin">
        <color auto="1"/>
      </left>
      <right/>
      <top style="thin">
        <color auto="1"/>
      </top>
      <bottom style="thin">
        <color auto="1"/>
      </bottom>
      <diagonal/>
    </border>
    <border>
      <left/>
      <right style="medium">
        <color auto="1"/>
      </right>
      <top/>
      <bottom/>
      <diagonal/>
    </border>
  </borders>
  <cellStyleXfs count="2">
    <xf numFmtId="0" fontId="0" fillId="0" borderId="0"/>
    <xf numFmtId="0" fontId="15" fillId="0" borderId="0" applyNumberFormat="0" applyFill="0" applyBorder="0" applyAlignment="0" applyProtection="0"/>
  </cellStyleXfs>
  <cellXfs count="133">
    <xf numFmtId="0" fontId="0" fillId="0" borderId="0" xfId="0"/>
    <xf numFmtId="0" fontId="2" fillId="2" borderId="0" xfId="0" applyFont="1" applyFill="1" applyAlignment="1">
      <alignment vertical="center"/>
    </xf>
    <xf numFmtId="0" fontId="1" fillId="2" borderId="0" xfId="0" applyFont="1" applyFill="1" applyAlignment="1">
      <alignment vertical="center" wrapText="1"/>
    </xf>
    <xf numFmtId="0" fontId="1" fillId="2" borderId="0" xfId="0" applyFont="1" applyFill="1" applyAlignment="1">
      <alignment vertical="center"/>
    </xf>
    <xf numFmtId="0" fontId="0" fillId="0" borderId="0" xfId="0" applyAlignment="1">
      <alignment vertical="center"/>
    </xf>
    <xf numFmtId="0" fontId="0" fillId="0" borderId="0" xfId="0" applyFont="1" applyAlignment="1">
      <alignment vertical="center" wrapText="1"/>
    </xf>
    <xf numFmtId="0" fontId="0" fillId="0" borderId="0" xfId="0" applyAlignment="1">
      <alignment vertical="center" wrapText="1"/>
    </xf>
    <xf numFmtId="0" fontId="1" fillId="3" borderId="1"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3" xfId="0" applyFont="1" applyFill="1" applyBorder="1" applyAlignment="1">
      <alignment vertical="center" wrapText="1"/>
    </xf>
    <xf numFmtId="0" fontId="1" fillId="3" borderId="2" xfId="0" applyFont="1" applyFill="1" applyBorder="1" applyAlignment="1">
      <alignment horizontal="center" vertical="center"/>
    </xf>
    <xf numFmtId="0" fontId="1" fillId="0" borderId="0" xfId="0" applyFont="1" applyAlignment="1">
      <alignment vertical="center"/>
    </xf>
    <xf numFmtId="49" fontId="0" fillId="0" borderId="4" xfId="0" applyNumberFormat="1" applyBorder="1" applyAlignment="1">
      <alignment horizontal="center" vertical="center"/>
    </xf>
    <xf numFmtId="164" fontId="0" fillId="0" borderId="5" xfId="0" applyNumberFormat="1" applyBorder="1" applyAlignment="1">
      <alignment horizontal="center" vertical="center"/>
    </xf>
    <xf numFmtId="0" fontId="3" fillId="0" borderId="5" xfId="0" applyFont="1" applyBorder="1" applyAlignment="1">
      <alignment vertical="center" wrapText="1"/>
    </xf>
    <xf numFmtId="49" fontId="0" fillId="0" borderId="7" xfId="0" applyNumberFormat="1" applyBorder="1" applyAlignment="1">
      <alignment horizontal="center" vertical="center"/>
    </xf>
    <xf numFmtId="164" fontId="0" fillId="0" borderId="8" xfId="0" applyNumberFormat="1" applyBorder="1" applyAlignment="1">
      <alignment horizontal="center" vertical="center"/>
    </xf>
    <xf numFmtId="0" fontId="3" fillId="0" borderId="8" xfId="0" quotePrefix="1" applyFont="1" applyBorder="1" applyAlignment="1">
      <alignment vertical="center" wrapText="1"/>
    </xf>
    <xf numFmtId="0" fontId="0" fillId="0" borderId="9" xfId="0" applyBorder="1" applyAlignment="1">
      <alignment horizontal="center" vertical="center"/>
    </xf>
    <xf numFmtId="0" fontId="3" fillId="0" borderId="8" xfId="0" applyFont="1" applyBorder="1" applyAlignment="1">
      <alignment vertical="center" wrapText="1"/>
    </xf>
    <xf numFmtId="0" fontId="0" fillId="0" borderId="5" xfId="0" applyBorder="1" applyAlignment="1">
      <alignment horizontal="center" vertical="center"/>
    </xf>
    <xf numFmtId="0" fontId="0" fillId="0" borderId="8" xfId="0" applyBorder="1" applyAlignment="1">
      <alignment horizontal="center" vertical="center"/>
    </xf>
    <xf numFmtId="0" fontId="0" fillId="0" borderId="6" xfId="0" applyBorder="1" applyAlignment="1">
      <alignment horizontal="center" vertical="center" wrapText="1"/>
    </xf>
    <xf numFmtId="0" fontId="0" fillId="0" borderId="8" xfId="0" applyBorder="1" applyAlignment="1">
      <alignment horizontal="center" vertical="center" wrapText="1"/>
    </xf>
    <xf numFmtId="0" fontId="1" fillId="0" borderId="0" xfId="0" applyFont="1"/>
    <xf numFmtId="0" fontId="2" fillId="0" borderId="0" xfId="0" applyFont="1" applyAlignment="1">
      <alignment vertical="center"/>
    </xf>
    <xf numFmtId="0" fontId="6" fillId="0" borderId="0" xfId="0" applyFont="1" applyAlignment="1">
      <alignment vertical="center"/>
    </xf>
    <xf numFmtId="0" fontId="4" fillId="0" borderId="0" xfId="0" applyFont="1" applyAlignment="1">
      <alignment vertical="center"/>
    </xf>
    <xf numFmtId="0" fontId="1" fillId="4" borderId="10" xfId="0" applyFont="1" applyFill="1" applyBorder="1" applyAlignment="1">
      <alignment vertical="center" wrapText="1"/>
    </xf>
    <xf numFmtId="0" fontId="6" fillId="0" borderId="0" xfId="0" applyFont="1" applyAlignment="1">
      <alignment horizontal="center" vertical="center"/>
    </xf>
    <xf numFmtId="0" fontId="1" fillId="4" borderId="10" xfId="0" applyFont="1" applyFill="1" applyBorder="1" applyAlignment="1">
      <alignment horizontal="center" vertical="center" wrapText="1"/>
    </xf>
    <xf numFmtId="0" fontId="0" fillId="0" borderId="0" xfId="0" applyAlignment="1">
      <alignment horizontal="center" vertical="center" wrapText="1"/>
    </xf>
    <xf numFmtId="0" fontId="4" fillId="0" borderId="0" xfId="0" applyFont="1" applyAlignment="1">
      <alignment horizontal="center" vertical="center"/>
    </xf>
    <xf numFmtId="0" fontId="4" fillId="0" borderId="0" xfId="0" applyFont="1" applyAlignment="1">
      <alignment horizontal="left" vertical="center"/>
    </xf>
    <xf numFmtId="0" fontId="0" fillId="0" borderId="0" xfId="0" applyAlignment="1">
      <alignment horizontal="center" vertical="center"/>
    </xf>
    <xf numFmtId="0" fontId="5" fillId="0" borderId="0" xfId="0" applyFont="1" applyAlignment="1">
      <alignment vertical="center"/>
    </xf>
    <xf numFmtId="0" fontId="0" fillId="0" borderId="0" xfId="0" applyFill="1" applyAlignment="1">
      <alignment vertical="center" wrapText="1"/>
    </xf>
    <xf numFmtId="0" fontId="0" fillId="0" borderId="0" xfId="0" applyFont="1" applyFill="1" applyAlignment="1">
      <alignment vertical="center" wrapText="1"/>
    </xf>
    <xf numFmtId="0" fontId="0" fillId="0" borderId="0" xfId="0" applyFont="1" applyAlignment="1">
      <alignment horizontal="center" vertical="center" wrapText="1"/>
    </xf>
    <xf numFmtId="0" fontId="0" fillId="0" borderId="0" xfId="0" applyFont="1" applyAlignment="1">
      <alignment vertical="center"/>
    </xf>
    <xf numFmtId="0" fontId="0" fillId="0" borderId="0" xfId="0" applyFont="1" applyAlignment="1">
      <alignment horizontal="center" vertical="center"/>
    </xf>
    <xf numFmtId="0" fontId="0" fillId="0" borderId="0" xfId="0" applyFont="1" applyAlignment="1">
      <alignment vertical="top" wrapText="1"/>
    </xf>
    <xf numFmtId="0" fontId="0" fillId="0" borderId="9" xfId="0" applyBorder="1" applyAlignment="1">
      <alignment horizontal="center" vertical="center" wrapText="1"/>
    </xf>
    <xf numFmtId="0" fontId="0" fillId="0" borderId="0" xfId="0" applyFill="1" applyAlignment="1">
      <alignment horizontal="center" vertical="center" wrapText="1"/>
    </xf>
    <xf numFmtId="0" fontId="0" fillId="0" borderId="0" xfId="0" applyFont="1" applyAlignment="1">
      <alignment horizontal="center" vertical="center" wrapText="1"/>
    </xf>
    <xf numFmtId="49" fontId="0" fillId="0" borderId="11" xfId="0" applyNumberFormat="1" applyBorder="1" applyAlignment="1">
      <alignment horizontal="center" vertical="center"/>
    </xf>
    <xf numFmtId="164" fontId="0" fillId="0" borderId="12" xfId="0" applyNumberFormat="1" applyBorder="1" applyAlignment="1">
      <alignment horizontal="center" vertical="center"/>
    </xf>
    <xf numFmtId="0" fontId="3" fillId="0" borderId="12" xfId="0" applyFont="1" applyBorder="1" applyAlignment="1">
      <alignment vertical="center" wrapText="1"/>
    </xf>
    <xf numFmtId="0" fontId="0" fillId="0" borderId="12" xfId="0" applyBorder="1" applyAlignment="1">
      <alignment horizontal="center" vertical="center"/>
    </xf>
    <xf numFmtId="0" fontId="0" fillId="0" borderId="13" xfId="0" applyBorder="1" applyAlignment="1">
      <alignment horizontal="center" vertical="center"/>
    </xf>
    <xf numFmtId="0" fontId="2" fillId="0" borderId="0" xfId="0" applyFont="1" applyFill="1" applyAlignment="1">
      <alignment vertical="center"/>
    </xf>
    <xf numFmtId="0" fontId="5" fillId="0" borderId="0" xfId="0" applyFont="1" applyFill="1" applyAlignment="1">
      <alignment vertical="center"/>
    </xf>
    <xf numFmtId="0" fontId="6" fillId="0" borderId="0" xfId="0" applyFont="1" applyFill="1" applyAlignment="1">
      <alignment horizontal="center" vertical="center"/>
    </xf>
    <xf numFmtId="0" fontId="4" fillId="0" borderId="0" xfId="0" applyFont="1" applyFill="1" applyAlignment="1">
      <alignment vertical="center"/>
    </xf>
    <xf numFmtId="0" fontId="4" fillId="0" borderId="0" xfId="0" applyFont="1" applyFill="1" applyAlignment="1">
      <alignment horizontal="left" vertical="center"/>
    </xf>
    <xf numFmtId="0" fontId="4" fillId="0" borderId="0" xfId="0" applyFont="1" applyFill="1" applyAlignment="1">
      <alignment horizontal="center" vertical="center"/>
    </xf>
    <xf numFmtId="0" fontId="0" fillId="0" borderId="0" xfId="0" applyFill="1" applyAlignment="1">
      <alignment vertical="center"/>
    </xf>
    <xf numFmtId="0" fontId="0" fillId="0" borderId="0" xfId="0" applyFill="1" applyAlignment="1">
      <alignment horizontal="center" vertical="center"/>
    </xf>
    <xf numFmtId="0" fontId="1" fillId="2" borderId="10" xfId="0" applyFont="1" applyFill="1" applyBorder="1" applyAlignment="1">
      <alignment vertical="center" wrapText="1"/>
    </xf>
    <xf numFmtId="0" fontId="1" fillId="2" borderId="10" xfId="0" applyFont="1" applyFill="1" applyBorder="1" applyAlignment="1">
      <alignment horizontal="center" vertical="center" wrapText="1"/>
    </xf>
    <xf numFmtId="0" fontId="8" fillId="5" borderId="0" xfId="0" applyFont="1" applyFill="1" applyAlignment="1">
      <alignment vertical="center" wrapText="1"/>
    </xf>
    <xf numFmtId="0" fontId="0" fillId="0" borderId="13" xfId="0" applyBorder="1" applyAlignment="1">
      <alignment horizontal="center" vertical="center" wrapText="1"/>
    </xf>
    <xf numFmtId="0" fontId="1" fillId="3" borderId="14" xfId="0" applyFont="1" applyFill="1" applyBorder="1" applyAlignment="1">
      <alignment horizontal="center" vertical="center"/>
    </xf>
    <xf numFmtId="0" fontId="0" fillId="0" borderId="16" xfId="0" applyBorder="1" applyAlignment="1">
      <alignment horizontal="center" vertical="center" wrapText="1"/>
    </xf>
    <xf numFmtId="0" fontId="0" fillId="0" borderId="17" xfId="0" applyBorder="1" applyAlignment="1">
      <alignment horizontal="center" vertical="center" wrapText="1"/>
    </xf>
    <xf numFmtId="0" fontId="8" fillId="5" borderId="0" xfId="0" applyFont="1" applyFill="1" applyAlignment="1">
      <alignment vertical="center"/>
    </xf>
    <xf numFmtId="0" fontId="0" fillId="0" borderId="0" xfId="0" applyFont="1" applyAlignment="1">
      <alignment horizontal="center" vertical="center" wrapText="1"/>
    </xf>
    <xf numFmtId="0" fontId="0" fillId="7" borderId="0" xfId="0" applyFill="1" applyAlignment="1">
      <alignment vertical="center" wrapText="1"/>
    </xf>
    <xf numFmtId="0" fontId="9" fillId="0" borderId="0" xfId="0" applyFont="1" applyFill="1" applyAlignment="1">
      <alignment vertical="center" wrapText="1"/>
    </xf>
    <xf numFmtId="0" fontId="0" fillId="0" borderId="0" xfId="0" applyFill="1" applyAlignment="1">
      <alignment horizontal="left" vertical="center" wrapText="1"/>
    </xf>
    <xf numFmtId="0" fontId="0" fillId="0" borderId="0" xfId="0" applyAlignment="1">
      <alignment vertical="center"/>
    </xf>
    <xf numFmtId="0" fontId="0" fillId="0" borderId="0" xfId="0" applyFont="1" applyAlignment="1">
      <alignment vertical="center" wrapText="1"/>
    </xf>
    <xf numFmtId="0" fontId="0" fillId="0" borderId="0" xfId="0" applyAlignment="1">
      <alignment vertical="center" wrapText="1"/>
    </xf>
    <xf numFmtId="0" fontId="2" fillId="0" borderId="0" xfId="0" applyFont="1" applyAlignment="1">
      <alignment vertical="center"/>
    </xf>
    <xf numFmtId="0" fontId="6" fillId="0" borderId="0" xfId="0" applyFont="1" applyAlignment="1">
      <alignment vertical="center"/>
    </xf>
    <xf numFmtId="0" fontId="4" fillId="0" borderId="0" xfId="0" applyFont="1" applyAlignment="1">
      <alignment vertical="center"/>
    </xf>
    <xf numFmtId="0" fontId="1" fillId="4" borderId="10" xfId="0" applyFont="1" applyFill="1" applyBorder="1" applyAlignment="1">
      <alignment vertical="center" wrapText="1"/>
    </xf>
    <xf numFmtId="0" fontId="6" fillId="0" borderId="0" xfId="0" applyFont="1" applyAlignment="1">
      <alignment horizontal="center" vertical="center"/>
    </xf>
    <xf numFmtId="0" fontId="1" fillId="4" borderId="10" xfId="0" applyFont="1" applyFill="1" applyBorder="1" applyAlignment="1">
      <alignment horizontal="center" vertical="center" wrapText="1"/>
    </xf>
    <xf numFmtId="0" fontId="0" fillId="0" borderId="0" xfId="0" applyAlignment="1">
      <alignment horizontal="center" vertical="center" wrapText="1"/>
    </xf>
    <xf numFmtId="0" fontId="4" fillId="0" borderId="0" xfId="0" applyFont="1" applyAlignment="1">
      <alignment horizontal="center" vertical="center"/>
    </xf>
    <xf numFmtId="0" fontId="4" fillId="0" borderId="0" xfId="0" applyFont="1" applyAlignment="1">
      <alignment horizontal="left" vertical="center"/>
    </xf>
    <xf numFmtId="0" fontId="0" fillId="0" borderId="0" xfId="0" applyAlignment="1">
      <alignment horizontal="center" vertical="center"/>
    </xf>
    <xf numFmtId="0" fontId="5" fillId="0" borderId="0" xfId="0" applyFont="1" applyAlignment="1">
      <alignment vertical="center"/>
    </xf>
    <xf numFmtId="0" fontId="0" fillId="0" borderId="0" xfId="0" applyFill="1" applyAlignment="1">
      <alignment vertical="center" wrapText="1"/>
    </xf>
    <xf numFmtId="0" fontId="0" fillId="0" borderId="0" xfId="0" applyFont="1" applyFill="1" applyAlignment="1">
      <alignment vertical="center" wrapText="1"/>
    </xf>
    <xf numFmtId="0" fontId="0" fillId="0" borderId="0" xfId="0" applyFill="1" applyAlignment="1">
      <alignment horizontal="center" vertical="center" wrapText="1"/>
    </xf>
    <xf numFmtId="0" fontId="0" fillId="6" borderId="0" xfId="0" applyFill="1" applyAlignment="1">
      <alignment vertical="center" wrapText="1"/>
    </xf>
    <xf numFmtId="0" fontId="0" fillId="0" borderId="0" xfId="0" applyFont="1" applyFill="1" applyAlignment="1">
      <alignment horizontal="center" vertical="center" wrapText="1"/>
    </xf>
    <xf numFmtId="0" fontId="12" fillId="0" borderId="0" xfId="0" applyFont="1" applyFill="1" applyAlignment="1">
      <alignment vertical="center" wrapText="1"/>
    </xf>
    <xf numFmtId="0" fontId="0" fillId="0" borderId="0" xfId="0"/>
    <xf numFmtId="0" fontId="0" fillId="0" borderId="0" xfId="0" applyFill="1" applyAlignment="1">
      <alignment vertical="center" wrapText="1"/>
    </xf>
    <xf numFmtId="0" fontId="0" fillId="0" borderId="0" xfId="0" applyFont="1" applyFill="1" applyAlignment="1">
      <alignment vertical="center" wrapText="1"/>
    </xf>
    <xf numFmtId="0" fontId="0" fillId="0" borderId="0" xfId="0" applyFont="1" applyAlignment="1">
      <alignment horizontal="center" vertical="center" wrapText="1"/>
    </xf>
    <xf numFmtId="0" fontId="12" fillId="0" borderId="0" xfId="0" applyFont="1" applyAlignment="1">
      <alignment vertical="center" wrapText="1"/>
    </xf>
    <xf numFmtId="0" fontId="0" fillId="0" borderId="0" xfId="0" applyFont="1" applyAlignment="1">
      <alignment horizontal="left" vertical="center" wrapText="1"/>
    </xf>
    <xf numFmtId="0" fontId="0" fillId="0" borderId="0" xfId="0" applyAlignment="1">
      <alignment horizontal="left" vertical="center" wrapText="1"/>
    </xf>
    <xf numFmtId="0" fontId="0" fillId="0" borderId="0" xfId="0" applyFont="1" applyAlignment="1">
      <alignment vertical="center" wrapText="1"/>
    </xf>
    <xf numFmtId="0" fontId="0" fillId="0" borderId="0" xfId="0" applyFill="1" applyAlignment="1">
      <alignment vertical="center" wrapText="1"/>
    </xf>
    <xf numFmtId="0" fontId="0" fillId="0" borderId="0" xfId="0" applyFont="1" applyFill="1" applyAlignment="1">
      <alignment vertical="center" wrapText="1"/>
    </xf>
    <xf numFmtId="0" fontId="0" fillId="0" borderId="0" xfId="0" applyFill="1" applyAlignment="1">
      <alignment horizontal="left" vertical="center" wrapText="1"/>
    </xf>
    <xf numFmtId="0" fontId="0" fillId="0" borderId="0" xfId="0" applyFill="1" applyAlignment="1">
      <alignment horizontal="center" vertical="center" wrapText="1"/>
    </xf>
    <xf numFmtId="0" fontId="0" fillId="0" borderId="0" xfId="0" applyFont="1" applyFill="1" applyAlignment="1">
      <alignment vertical="top" wrapText="1"/>
    </xf>
    <xf numFmtId="0" fontId="15" fillId="0" borderId="0" xfId="1" applyFill="1" applyAlignment="1">
      <alignment vertical="center" wrapText="1"/>
    </xf>
    <xf numFmtId="0" fontId="2" fillId="0" borderId="0" xfId="0" applyFont="1" applyAlignment="1">
      <alignment horizontal="left" vertical="center"/>
    </xf>
    <xf numFmtId="0" fontId="3" fillId="0" borderId="12" xfId="0" quotePrefix="1" applyFont="1" applyBorder="1" applyAlignment="1">
      <alignment vertical="center" wrapText="1"/>
    </xf>
    <xf numFmtId="0" fontId="0" fillId="8" borderId="0" xfId="0" applyFill="1" applyAlignment="1">
      <alignment horizontal="center" vertical="center" wrapText="1"/>
    </xf>
    <xf numFmtId="0" fontId="0" fillId="8" borderId="0" xfId="0" applyFont="1" applyFill="1" applyAlignment="1">
      <alignment vertical="center" wrapText="1"/>
    </xf>
    <xf numFmtId="0" fontId="0" fillId="0" borderId="0" xfId="0" applyFont="1" applyFill="1" applyAlignment="1">
      <alignment vertical="center" wrapText="1"/>
    </xf>
    <xf numFmtId="0" fontId="0" fillId="6" borderId="0" xfId="0" applyFont="1" applyFill="1" applyAlignment="1">
      <alignment vertical="center" wrapText="1"/>
    </xf>
    <xf numFmtId="0" fontId="12" fillId="6" borderId="0" xfId="0" applyFont="1" applyFill="1" applyAlignment="1">
      <alignment vertical="center" wrapText="1"/>
    </xf>
    <xf numFmtId="0" fontId="0" fillId="9" borderId="0" xfId="0" applyFill="1" applyAlignment="1">
      <alignment vertical="center" wrapText="1"/>
    </xf>
    <xf numFmtId="0" fontId="0" fillId="9" borderId="0" xfId="0" applyFont="1" applyFill="1" applyAlignment="1">
      <alignment vertical="center" wrapText="1"/>
    </xf>
    <xf numFmtId="0" fontId="0" fillId="0" borderId="0" xfId="0" quotePrefix="1" applyAlignment="1">
      <alignment vertical="center" wrapText="1"/>
    </xf>
    <xf numFmtId="0" fontId="0" fillId="10" borderId="0" xfId="0" applyFill="1" applyAlignment="1">
      <alignment vertical="center" wrapText="1"/>
    </xf>
    <xf numFmtId="0" fontId="0" fillId="11" borderId="0" xfId="0" applyFill="1" applyAlignment="1">
      <alignment vertical="center" wrapText="1"/>
    </xf>
    <xf numFmtId="0" fontId="0" fillId="11" borderId="0" xfId="0" applyFill="1" applyAlignment="1">
      <alignment horizontal="center" vertical="center" wrapText="1"/>
    </xf>
    <xf numFmtId="0" fontId="17" fillId="11" borderId="0" xfId="0" applyFont="1" applyFill="1" applyAlignment="1">
      <alignment vertical="center"/>
    </xf>
    <xf numFmtId="0" fontId="0" fillId="0" borderId="15" xfId="0" applyBorder="1" applyAlignment="1">
      <alignment horizontal="center" vertical="center" wrapText="1"/>
    </xf>
    <xf numFmtId="0" fontId="0" fillId="10" borderId="0" xfId="0" applyFont="1" applyFill="1" applyAlignment="1">
      <alignment vertical="center" wrapText="1"/>
    </xf>
    <xf numFmtId="164" fontId="0" fillId="0" borderId="12" xfId="0" applyNumberFormat="1" applyBorder="1" applyAlignment="1">
      <alignment horizontal="center" vertical="center" wrapText="1"/>
    </xf>
    <xf numFmtId="0" fontId="0" fillId="0" borderId="8" xfId="0" applyBorder="1" applyAlignment="1">
      <alignment vertical="center"/>
    </xf>
    <xf numFmtId="0" fontId="0" fillId="0" borderId="18" xfId="0" applyBorder="1"/>
    <xf numFmtId="0" fontId="0" fillId="0" borderId="9" xfId="0" applyBorder="1" applyAlignment="1">
      <alignment vertical="center"/>
    </xf>
    <xf numFmtId="14" fontId="0" fillId="0" borderId="8" xfId="0" applyNumberFormat="1" applyBorder="1" applyAlignment="1">
      <alignment vertical="center"/>
    </xf>
    <xf numFmtId="0" fontId="8" fillId="5" borderId="0" xfId="0" applyFont="1" applyFill="1" applyAlignment="1">
      <alignment horizontal="left" vertical="center" wrapText="1"/>
    </xf>
    <xf numFmtId="0" fontId="4" fillId="0" borderId="0" xfId="0" applyFont="1" applyAlignment="1">
      <alignment horizontal="left" vertical="center" wrapText="1"/>
    </xf>
    <xf numFmtId="0" fontId="0" fillId="0" borderId="0" xfId="0" applyFont="1" applyFill="1" applyAlignment="1">
      <alignment horizontal="left" vertical="center" wrapText="1"/>
    </xf>
    <xf numFmtId="0" fontId="0" fillId="10" borderId="0" xfId="0" applyFill="1" applyAlignment="1">
      <alignment horizontal="center" vertical="center" wrapText="1"/>
    </xf>
    <xf numFmtId="0" fontId="0" fillId="10" borderId="0" xfId="0" applyFill="1" applyAlignment="1">
      <alignment horizontal="left" vertical="center" wrapText="1"/>
    </xf>
    <xf numFmtId="0" fontId="9" fillId="10" borderId="0" xfId="0" applyFont="1" applyFill="1" applyAlignment="1">
      <alignment vertical="center" wrapText="1"/>
    </xf>
    <xf numFmtId="0" fontId="0" fillId="8" borderId="0" xfId="0" applyFill="1" applyAlignment="1">
      <alignment vertical="center" wrapText="1"/>
    </xf>
    <xf numFmtId="0" fontId="0" fillId="8" borderId="0" xfId="0" applyFill="1" applyAlignment="1">
      <alignment horizontal="left" vertical="center" wrapText="1"/>
    </xf>
  </cellXfs>
  <cellStyles count="2">
    <cellStyle name="Hyperlink" xfId="1" builtinId="8"/>
    <cellStyle name="Normal" xfId="0" builtinId="0"/>
  </cellStyles>
  <dxfs count="950">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rgb="FFB4C6E7"/>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rgb="FFB4C6E7"/>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rgb="FFB4C6E7"/>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rgb="FFB4C6E7"/>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rgb="FFB4C6E7"/>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rgb="FFB4C6E7"/>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rgb="FFB4C6E7"/>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rgb="FFB4C6E7"/>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rgb="FFB4C6E7"/>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rgb="FFB4C6E7"/>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rgb="FFB4C6E7"/>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rgb="FFB4C6E7"/>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rgb="FFB4C6E7"/>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rgb="FFB4C6E7"/>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rgb="FFB4C6E7"/>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rgb="FFB4C6E7"/>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rgb="FFB4C6E7"/>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rgb="FFB4C6E7"/>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rgb="FFB4C6E7"/>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rgb="FFB4C6E7"/>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rgb="FFB4C6E7"/>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rgb="FFB4C6E7"/>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rgb="FFB4C6E7"/>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rgb="FFB4C6E7"/>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rgb="FFB4C6E7"/>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rgb="FFB4C6E7"/>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rgb="FFB4C6E7"/>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rgb="FFB4C6E7"/>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rgb="FFB4C6E7"/>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rgb="FFB4C6E7"/>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rgb="FFB4C6E7"/>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rgb="FFB4C6E7"/>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rgb="FFB4C6E7"/>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s>
  <tableStyles count="0" defaultTableStyle="TableStyleMedium2" defaultPivotStyle="PivotStyleLight16"/>
  <colors>
    <mruColors>
      <color rgb="FFB4C6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5.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4.xml"/><Relationship Id="rId33"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3.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externalLink" Target="externalLinks/externalLink6.xml"/><Relationship Id="rId30" Type="http://schemas.openxmlformats.org/officeDocument/2006/relationships/sharedStrings" Target="sharedStrings.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matsubar/Desktop/In-Branch%20DCO%20Primary%20Applicant%20Field%20Spec%20Draft.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matsubar/AppData/Local/Microsoft/Windows/INetCache/Content.Outlook/NQ5K8F7W/CWB%20In-Branch%20Personal%20DCO%20Field%20Spec-IH%202020-10-0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matsubar/AppData/Local/Microsoft/Windows/INetCache/Content.Outlook/NQ5K8F7W/CWB%20In-Branch%20Personal%20DCO%20Field%20Spec-IH%202020-10-0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sp.cwb.local/projects/pmo2/Digital%20Program/Digital%20Program%20SharePoint/2%20Digital%20Client%20Onboarding/5%20In-Branch%20DCO/2%20Design/Field%20Specification/CWB%20In-Branch%20Personal%20DCO%20Field%20Spec%20WIP.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hicksi/Documents/In%20Branch%20DCO/CWB%20In-Branch%20Personal%20DCO%20Field%20Spec%20WIP%20copy%20for%20UX%202020-10-02.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matsubar/Desktop/CWB%20In-Branch%20Personal%20DCO%20Field%20Spec%20-%20%20Based%20on%20Proposed%20Solution-OL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 Value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 Values"/>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 Values"/>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 Values"/>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 Value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 Values"/>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P27"/>
  <sheetViews>
    <sheetView zoomScaleNormal="100" workbookViewId="0">
      <pane ySplit="5" topLeftCell="A30" activePane="bottomLeft" state="frozen"/>
      <selection pane="bottomLeft" activeCell="C19" sqref="C19"/>
    </sheetView>
  </sheetViews>
  <sheetFormatPr defaultRowHeight="14.25" x14ac:dyDescent="0.45"/>
  <cols>
    <col min="1" max="1" width="19.796875" customWidth="1"/>
    <col min="2" max="2" width="18.796875" bestFit="1" customWidth="1"/>
    <col min="3" max="3" width="52.19921875" customWidth="1"/>
    <col min="4" max="6" width="21.53125" customWidth="1"/>
    <col min="7" max="7" width="20.19921875" customWidth="1"/>
  </cols>
  <sheetData>
    <row r="1" spans="1:16" s="1" customFormat="1" ht="18" x14ac:dyDescent="0.45">
      <c r="A1" s="1" t="s">
        <v>152</v>
      </c>
      <c r="B1" s="2"/>
      <c r="C1" s="2"/>
      <c r="D1" s="2"/>
      <c r="E1" s="2"/>
      <c r="F1" s="2"/>
      <c r="G1" s="3"/>
      <c r="H1" s="2"/>
      <c r="I1" s="3"/>
      <c r="J1" s="3"/>
      <c r="K1" s="3"/>
      <c r="L1" s="2"/>
      <c r="M1" s="2"/>
      <c r="N1" s="2"/>
      <c r="O1" s="2"/>
      <c r="P1" s="2"/>
    </row>
    <row r="2" spans="1:16" s="1" customFormat="1" ht="18" x14ac:dyDescent="0.45">
      <c r="A2" s="1" t="s">
        <v>0</v>
      </c>
      <c r="B2" s="2"/>
      <c r="C2" s="2"/>
      <c r="D2" s="2"/>
      <c r="E2" s="2"/>
      <c r="F2" s="2"/>
      <c r="G2" s="3"/>
      <c r="H2" s="2"/>
      <c r="I2" s="3"/>
      <c r="J2" s="3"/>
      <c r="K2" s="3"/>
      <c r="L2" s="2"/>
      <c r="M2" s="2"/>
      <c r="N2" s="2"/>
      <c r="O2" s="2"/>
      <c r="P2" s="2"/>
    </row>
    <row r="3" spans="1:16" s="4" customFormat="1" x14ac:dyDescent="0.45">
      <c r="C3" s="6"/>
    </row>
    <row r="4" spans="1:16" ht="14.65" thickBot="1" x14ac:dyDescent="0.5"/>
    <row r="5" spans="1:16" s="11" customFormat="1" ht="14.65" thickBot="1" x14ac:dyDescent="0.5">
      <c r="A5" s="7" t="s">
        <v>1</v>
      </c>
      <c r="B5" s="8" t="s">
        <v>2</v>
      </c>
      <c r="C5" s="9" t="s">
        <v>3</v>
      </c>
      <c r="D5" s="8" t="s">
        <v>4</v>
      </c>
      <c r="E5" s="62" t="s">
        <v>109</v>
      </c>
      <c r="F5" s="10" t="s">
        <v>6</v>
      </c>
    </row>
    <row r="6" spans="1:16" s="4" customFormat="1" ht="26.65" thickBot="1" x14ac:dyDescent="0.5">
      <c r="A6" s="12" t="s">
        <v>5</v>
      </c>
      <c r="B6" s="13">
        <v>44093</v>
      </c>
      <c r="C6" s="14" t="s">
        <v>151</v>
      </c>
      <c r="D6" s="20" t="s">
        <v>150</v>
      </c>
      <c r="E6" s="63"/>
      <c r="F6" s="22"/>
    </row>
    <row r="7" spans="1:16" s="4" customFormat="1" ht="26.25" x14ac:dyDescent="0.45">
      <c r="A7" s="15" t="s">
        <v>156</v>
      </c>
      <c r="B7" s="13">
        <v>44093</v>
      </c>
      <c r="C7" s="17" t="s">
        <v>158</v>
      </c>
      <c r="D7" s="23" t="s">
        <v>157</v>
      </c>
      <c r="E7" s="64"/>
      <c r="F7" s="18"/>
    </row>
    <row r="8" spans="1:16" s="4" customFormat="1" ht="85.5" x14ac:dyDescent="0.45">
      <c r="A8" s="15" t="s">
        <v>255</v>
      </c>
      <c r="B8" s="16">
        <v>44110</v>
      </c>
      <c r="C8" s="17" t="s">
        <v>375</v>
      </c>
      <c r="D8" s="23" t="s">
        <v>269</v>
      </c>
      <c r="E8" s="64" t="s">
        <v>409</v>
      </c>
      <c r="F8" s="42"/>
    </row>
    <row r="9" spans="1:16" s="4" customFormat="1" ht="85.5" x14ac:dyDescent="0.45">
      <c r="A9" s="15" t="s">
        <v>407</v>
      </c>
      <c r="B9" s="16">
        <v>44111</v>
      </c>
      <c r="C9" s="17" t="s">
        <v>408</v>
      </c>
      <c r="D9" s="23" t="s">
        <v>269</v>
      </c>
      <c r="E9" s="64" t="s">
        <v>410</v>
      </c>
      <c r="F9" s="42" t="s">
        <v>411</v>
      </c>
    </row>
    <row r="10" spans="1:16" s="4" customFormat="1" ht="52.5" x14ac:dyDescent="0.45">
      <c r="A10" s="15" t="s">
        <v>407</v>
      </c>
      <c r="B10" s="16">
        <v>44113</v>
      </c>
      <c r="C10" s="19" t="s">
        <v>425</v>
      </c>
      <c r="D10" s="21" t="s">
        <v>157</v>
      </c>
      <c r="E10" s="23" t="s">
        <v>269</v>
      </c>
      <c r="F10" s="42"/>
    </row>
    <row r="11" spans="1:16" s="4" customFormat="1" ht="183.75" x14ac:dyDescent="0.45">
      <c r="A11" s="45" t="s">
        <v>445</v>
      </c>
      <c r="B11" s="46">
        <v>44126</v>
      </c>
      <c r="C11" s="47" t="s">
        <v>582</v>
      </c>
      <c r="D11" s="23" t="s">
        <v>269</v>
      </c>
      <c r="E11" s="64" t="s">
        <v>410</v>
      </c>
      <c r="F11" s="61" t="s">
        <v>451</v>
      </c>
    </row>
    <row r="12" spans="1:16" s="4" customFormat="1" ht="39.4" x14ac:dyDescent="0.45">
      <c r="A12" s="45" t="s">
        <v>503</v>
      </c>
      <c r="B12" s="46">
        <v>44132</v>
      </c>
      <c r="C12" s="47" t="s">
        <v>504</v>
      </c>
      <c r="D12" s="48" t="s">
        <v>157</v>
      </c>
      <c r="E12" s="23" t="s">
        <v>269</v>
      </c>
      <c r="F12" s="61"/>
    </row>
    <row r="13" spans="1:16" s="4" customFormat="1" ht="170.65" x14ac:dyDescent="0.45">
      <c r="A13" s="45" t="s">
        <v>506</v>
      </c>
      <c r="B13" s="46">
        <v>44141</v>
      </c>
      <c r="C13" s="105" t="s">
        <v>517</v>
      </c>
      <c r="D13" s="48" t="s">
        <v>157</v>
      </c>
      <c r="E13" s="64" t="s">
        <v>410</v>
      </c>
      <c r="F13" s="61" t="s">
        <v>451</v>
      </c>
    </row>
    <row r="14" spans="1:16" s="70" customFormat="1" ht="85.5" x14ac:dyDescent="0.45">
      <c r="A14" s="45" t="s">
        <v>552</v>
      </c>
      <c r="B14" s="46">
        <v>44147</v>
      </c>
      <c r="C14" s="47" t="s">
        <v>576</v>
      </c>
      <c r="D14" s="48" t="s">
        <v>157</v>
      </c>
      <c r="E14" s="64" t="s">
        <v>410</v>
      </c>
      <c r="F14" s="61" t="s">
        <v>451</v>
      </c>
    </row>
    <row r="15" spans="1:16" s="4" customFormat="1" ht="409.5" x14ac:dyDescent="0.45">
      <c r="A15" s="45" t="s">
        <v>558</v>
      </c>
      <c r="B15" s="46">
        <v>44141</v>
      </c>
      <c r="C15" s="47" t="s">
        <v>583</v>
      </c>
      <c r="D15" s="48" t="s">
        <v>157</v>
      </c>
      <c r="E15" s="64" t="s">
        <v>410</v>
      </c>
      <c r="F15" s="61"/>
    </row>
    <row r="16" spans="1:16" s="4" customFormat="1" ht="131.25" x14ac:dyDescent="0.45">
      <c r="A16" s="45"/>
      <c r="B16" s="46">
        <v>44175</v>
      </c>
      <c r="C16" s="47" t="s">
        <v>598</v>
      </c>
      <c r="D16" s="48"/>
      <c r="E16" s="64" t="s">
        <v>410</v>
      </c>
      <c r="F16" s="61" t="s">
        <v>451</v>
      </c>
    </row>
    <row r="17" spans="1:6" s="4" customFormat="1" ht="91.9" x14ac:dyDescent="0.45">
      <c r="A17" s="45" t="s">
        <v>599</v>
      </c>
      <c r="B17" s="46">
        <v>44441</v>
      </c>
      <c r="C17" s="47" t="s">
        <v>654</v>
      </c>
      <c r="D17" s="48" t="s">
        <v>655</v>
      </c>
      <c r="E17" s="118" t="s">
        <v>656</v>
      </c>
      <c r="F17" s="49"/>
    </row>
    <row r="18" spans="1:6" s="70" customFormat="1" ht="144.4" x14ac:dyDescent="0.45">
      <c r="A18" s="45" t="s">
        <v>657</v>
      </c>
      <c r="B18" s="120" t="s">
        <v>723</v>
      </c>
      <c r="C18" s="47" t="s">
        <v>724</v>
      </c>
      <c r="D18" s="48" t="s">
        <v>714</v>
      </c>
      <c r="E18" s="118" t="s">
        <v>715</v>
      </c>
      <c r="F18" s="49"/>
    </row>
    <row r="19" spans="1:6" s="4" customFormat="1" ht="78.75" x14ac:dyDescent="0.45">
      <c r="A19" s="121">
        <v>2.2000000000000002</v>
      </c>
      <c r="B19" s="124">
        <v>44540</v>
      </c>
      <c r="C19" s="19" t="s">
        <v>742</v>
      </c>
      <c r="D19" s="21" t="s">
        <v>743</v>
      </c>
      <c r="E19" s="23" t="s">
        <v>715</v>
      </c>
      <c r="F19" s="123"/>
    </row>
    <row r="27" spans="1:6" x14ac:dyDescent="0.45">
      <c r="E27" s="122"/>
    </row>
  </sheetData>
  <conditionalFormatting sqref="I1:J2">
    <cfRule type="cellIs" dxfId="949" priority="10" operator="equal">
      <formula>"Not Applicable"</formula>
    </cfRule>
    <cfRule type="cellIs" dxfId="948" priority="11" operator="equal">
      <formula>"4 - Future Initiative (out of scope)"</formula>
    </cfRule>
    <cfRule type="cellIs" dxfId="947" priority="12" operator="equal">
      <formula>"3 - Desirable (Nice To Have)"</formula>
    </cfRule>
    <cfRule type="cellIs" dxfId="946" priority="13" operator="equal">
      <formula>"2 - Recommended (Best Practice)"</formula>
    </cfRule>
    <cfRule type="cellIs" dxfId="945" priority="14" operator="equal">
      <formula>"1 - Mandatory (Must Have)"</formula>
    </cfRule>
  </conditionalFormatting>
  <conditionalFormatting sqref="G1:G2">
    <cfRule type="cellIs" dxfId="944" priority="8" operator="equal">
      <formula>"Non-functional"</formula>
    </cfRule>
    <cfRule type="cellIs" dxfId="943" priority="9" operator="equal">
      <formula>"Functional"</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28"/>
  <sheetViews>
    <sheetView workbookViewId="0">
      <selection activeCell="A25" sqref="A25"/>
    </sheetView>
  </sheetViews>
  <sheetFormatPr defaultRowHeight="14.25" x14ac:dyDescent="0.45"/>
  <cols>
    <col min="1" max="1" width="47.19921875" bestFit="1" customWidth="1"/>
    <col min="2" max="2" width="25.53125" customWidth="1"/>
  </cols>
  <sheetData>
    <row r="1" spans="1:15" s="1" customFormat="1" ht="18" x14ac:dyDescent="0.45">
      <c r="A1" s="1" t="s">
        <v>112</v>
      </c>
      <c r="B1" s="2"/>
      <c r="C1" s="2"/>
      <c r="D1" s="2"/>
      <c r="E1" s="2"/>
      <c r="F1" s="3"/>
      <c r="G1" s="2"/>
      <c r="H1" s="3"/>
      <c r="I1" s="3"/>
      <c r="J1" s="3"/>
      <c r="K1" s="2"/>
      <c r="L1" s="2"/>
      <c r="M1" s="2"/>
      <c r="N1" s="2"/>
      <c r="O1" s="2"/>
    </row>
    <row r="2" spans="1:15" s="1" customFormat="1" ht="18" x14ac:dyDescent="0.45">
      <c r="A2" s="1" t="s">
        <v>27</v>
      </c>
      <c r="B2" s="2"/>
      <c r="C2" s="2"/>
      <c r="D2" s="2"/>
      <c r="E2" s="2"/>
      <c r="F2" s="3"/>
      <c r="G2" s="2"/>
      <c r="H2" s="3"/>
      <c r="I2" s="3"/>
      <c r="J2" s="3"/>
      <c r="K2" s="2"/>
      <c r="L2" s="2"/>
      <c r="M2" s="2"/>
      <c r="N2" s="2"/>
      <c r="O2" s="2"/>
    </row>
    <row r="4" spans="1:15" s="24" customFormat="1" x14ac:dyDescent="0.45">
      <c r="A4" s="24" t="s">
        <v>28</v>
      </c>
      <c r="B4" s="24" t="s">
        <v>39</v>
      </c>
    </row>
    <row r="5" spans="1:15" x14ac:dyDescent="0.45">
      <c r="A5" t="s">
        <v>43</v>
      </c>
      <c r="B5" t="s">
        <v>42</v>
      </c>
    </row>
    <row r="6" spans="1:15" x14ac:dyDescent="0.45">
      <c r="A6" t="s">
        <v>30</v>
      </c>
      <c r="B6" t="s">
        <v>40</v>
      </c>
    </row>
    <row r="7" spans="1:15" x14ac:dyDescent="0.45">
      <c r="A7" t="s">
        <v>59</v>
      </c>
      <c r="B7" t="s">
        <v>41</v>
      </c>
    </row>
    <row r="8" spans="1:15" x14ac:dyDescent="0.45">
      <c r="A8" t="s">
        <v>108</v>
      </c>
      <c r="B8" t="s">
        <v>38</v>
      </c>
    </row>
    <row r="9" spans="1:15" x14ac:dyDescent="0.45">
      <c r="A9" t="s">
        <v>72</v>
      </c>
      <c r="B9" t="s">
        <v>45</v>
      </c>
    </row>
    <row r="10" spans="1:15" x14ac:dyDescent="0.45">
      <c r="A10" t="s">
        <v>35</v>
      </c>
      <c r="B10" t="s">
        <v>553</v>
      </c>
    </row>
    <row r="11" spans="1:15" x14ac:dyDescent="0.45">
      <c r="A11" t="s">
        <v>118</v>
      </c>
    </row>
    <row r="12" spans="1:15" x14ac:dyDescent="0.45">
      <c r="A12" t="s">
        <v>98</v>
      </c>
    </row>
    <row r="13" spans="1:15" x14ac:dyDescent="0.45">
      <c r="A13" t="s">
        <v>105</v>
      </c>
    </row>
    <row r="14" spans="1:15" x14ac:dyDescent="0.45">
      <c r="A14" t="s">
        <v>96</v>
      </c>
    </row>
    <row r="15" spans="1:15" x14ac:dyDescent="0.45">
      <c r="A15" t="s">
        <v>85</v>
      </c>
    </row>
    <row r="16" spans="1:15" x14ac:dyDescent="0.45">
      <c r="A16" t="s">
        <v>47</v>
      </c>
    </row>
    <row r="17" spans="1:1" x14ac:dyDescent="0.45">
      <c r="A17" t="s">
        <v>32</v>
      </c>
    </row>
    <row r="18" spans="1:1" x14ac:dyDescent="0.45">
      <c r="A18" t="s">
        <v>31</v>
      </c>
    </row>
    <row r="19" spans="1:1" x14ac:dyDescent="0.45">
      <c r="A19" t="s">
        <v>86</v>
      </c>
    </row>
    <row r="20" spans="1:1" x14ac:dyDescent="0.45">
      <c r="A20" t="s">
        <v>29</v>
      </c>
    </row>
    <row r="21" spans="1:1" x14ac:dyDescent="0.45">
      <c r="A21" t="s">
        <v>76</v>
      </c>
    </row>
    <row r="22" spans="1:1" x14ac:dyDescent="0.45">
      <c r="A22" t="s">
        <v>34</v>
      </c>
    </row>
    <row r="23" spans="1:1" s="90" customFormat="1" x14ac:dyDescent="0.45">
      <c r="A23" s="90" t="s">
        <v>377</v>
      </c>
    </row>
    <row r="24" spans="1:1" x14ac:dyDescent="0.45">
      <c r="A24" t="s">
        <v>36</v>
      </c>
    </row>
    <row r="25" spans="1:1" s="90" customFormat="1" x14ac:dyDescent="0.45">
      <c r="A25" s="90" t="s">
        <v>685</v>
      </c>
    </row>
    <row r="26" spans="1:1" x14ac:dyDescent="0.45">
      <c r="A26" t="s">
        <v>33</v>
      </c>
    </row>
    <row r="27" spans="1:1" x14ac:dyDescent="0.45">
      <c r="A27" t="s">
        <v>67</v>
      </c>
    </row>
    <row r="28" spans="1:1" x14ac:dyDescent="0.45">
      <c r="A28" t="s">
        <v>102</v>
      </c>
    </row>
  </sheetData>
  <sortState xmlns:xlrd2="http://schemas.microsoft.com/office/spreadsheetml/2017/richdata2" ref="A5:A15">
    <sortCondition ref="A16"/>
  </sortState>
  <conditionalFormatting sqref="H1:I2">
    <cfRule type="cellIs" dxfId="942" priority="3" operator="equal">
      <formula>"Not Applicable"</formula>
    </cfRule>
    <cfRule type="cellIs" dxfId="941" priority="4" operator="equal">
      <formula>"4 - Future Initiative (out of scope)"</formula>
    </cfRule>
    <cfRule type="cellIs" dxfId="940" priority="5" operator="equal">
      <formula>"3 - Desirable (Nice To Have)"</formula>
    </cfRule>
    <cfRule type="cellIs" dxfId="939" priority="6" operator="equal">
      <formula>"2 - Recommended (Best Practice)"</formula>
    </cfRule>
    <cfRule type="cellIs" dxfId="938" priority="7" operator="equal">
      <formula>"1 - Mandatory (Must Have)"</formula>
    </cfRule>
  </conditionalFormatting>
  <conditionalFormatting sqref="F1:F2">
    <cfRule type="cellIs" dxfId="937" priority="1" operator="equal">
      <formula>"Non-functional"</formula>
    </cfRule>
    <cfRule type="cellIs" dxfId="936" priority="2" operator="equal">
      <formula>"Functional"</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B4C6E7"/>
  </sheetPr>
  <dimension ref="A1:P19"/>
  <sheetViews>
    <sheetView tabSelected="1" zoomScaleNormal="100" workbookViewId="0">
      <pane xSplit="4" ySplit="5" topLeftCell="N6" activePane="bottomRight" state="frozen"/>
      <selection pane="topRight" activeCell="E1" sqref="E1"/>
      <selection pane="bottomLeft" activeCell="A7" sqref="A7"/>
      <selection pane="bottomRight" activeCell="O11" sqref="O11"/>
    </sheetView>
  </sheetViews>
  <sheetFormatPr defaultColWidth="9.19921875" defaultRowHeight="14.25" x14ac:dyDescent="0.45"/>
  <cols>
    <col min="1" max="1" width="14.796875" style="72" customWidth="1"/>
    <col min="2" max="2" width="12.53125" style="72" customWidth="1"/>
    <col min="3" max="3" width="13" style="79" customWidth="1"/>
    <col min="4" max="4" width="45.19921875" style="72" customWidth="1"/>
    <col min="5" max="5" width="28.796875" style="72" customWidth="1"/>
    <col min="6" max="6" width="14.53125" style="72" bestFit="1" customWidth="1"/>
    <col min="7" max="7" width="17.796875" style="72" customWidth="1"/>
    <col min="8" max="8" width="10.796875" style="72" customWidth="1"/>
    <col min="9" max="9" width="34.796875" style="72" customWidth="1"/>
    <col min="10" max="10" width="13.19921875" style="72" bestFit="1" customWidth="1"/>
    <col min="11" max="11" width="10.796875" style="72" bestFit="1" customWidth="1"/>
    <col min="12" max="12" width="19.19921875" style="72" bestFit="1" customWidth="1"/>
    <col min="13" max="13" width="21.19921875" style="72" bestFit="1" customWidth="1"/>
    <col min="14" max="14" width="18.796875" style="72" bestFit="1" customWidth="1"/>
    <col min="15" max="15" width="48.46484375" style="72" customWidth="1"/>
    <col min="16" max="16" width="41.796875" style="72" customWidth="1"/>
    <col min="17" max="16384" width="9.19921875" style="72"/>
  </cols>
  <sheetData>
    <row r="1" spans="1:16" s="75" customFormat="1" ht="18" x14ac:dyDescent="0.45">
      <c r="A1" s="73" t="s">
        <v>7</v>
      </c>
      <c r="B1" s="83" t="s">
        <v>160</v>
      </c>
      <c r="C1" s="77"/>
      <c r="D1" s="74"/>
    </row>
    <row r="2" spans="1:16" s="75" customFormat="1" ht="18" x14ac:dyDescent="0.45">
      <c r="A2" s="73" t="s">
        <v>8</v>
      </c>
      <c r="B2" s="81">
        <v>1</v>
      </c>
      <c r="C2" s="80"/>
      <c r="D2" s="81"/>
    </row>
    <row r="3" spans="1:16" s="75" customFormat="1" ht="18" x14ac:dyDescent="0.45">
      <c r="A3" s="73" t="s">
        <v>44</v>
      </c>
      <c r="B3" s="81" t="s">
        <v>428</v>
      </c>
      <c r="C3" s="80"/>
      <c r="D3" s="81"/>
    </row>
    <row r="4" spans="1:16" s="75" customFormat="1" ht="18" x14ac:dyDescent="0.45">
      <c r="A4" s="73" t="s">
        <v>9</v>
      </c>
      <c r="B4" s="75" t="s">
        <v>161</v>
      </c>
      <c r="C4" s="80"/>
    </row>
    <row r="5" spans="1:16" s="70" customFormat="1" x14ac:dyDescent="0.45">
      <c r="C5" s="82"/>
    </row>
    <row r="6" spans="1:16" s="76" customFormat="1" ht="14.65" thickBot="1" x14ac:dyDescent="0.5">
      <c r="A6" s="76" t="s">
        <v>11</v>
      </c>
      <c r="B6" s="76" t="s">
        <v>12</v>
      </c>
      <c r="C6" s="78" t="s">
        <v>26</v>
      </c>
      <c r="D6" s="76" t="s">
        <v>25</v>
      </c>
      <c r="E6" s="76" t="s">
        <v>13</v>
      </c>
      <c r="F6" s="76" t="s">
        <v>14</v>
      </c>
      <c r="G6" s="76" t="s">
        <v>15</v>
      </c>
      <c r="H6" s="76" t="s">
        <v>16</v>
      </c>
      <c r="I6" s="76" t="s">
        <v>17</v>
      </c>
      <c r="J6" s="76" t="s">
        <v>18</v>
      </c>
      <c r="K6" s="76" t="s">
        <v>19</v>
      </c>
      <c r="L6" s="76" t="s">
        <v>20</v>
      </c>
      <c r="M6" s="76" t="s">
        <v>21</v>
      </c>
      <c r="N6" s="76" t="s">
        <v>22</v>
      </c>
      <c r="O6" s="76" t="s">
        <v>23</v>
      </c>
      <c r="P6" s="76" t="s">
        <v>24</v>
      </c>
    </row>
    <row r="7" spans="1:16" x14ac:dyDescent="0.45">
      <c r="A7" s="72">
        <v>1</v>
      </c>
      <c r="B7" s="72" t="str">
        <f t="shared" ref="B7:B19" si="0">CONCATENATE($B$2, ".", A7)</f>
        <v>1.1</v>
      </c>
      <c r="C7" s="79" t="s">
        <v>40</v>
      </c>
      <c r="D7" s="72" t="s">
        <v>376</v>
      </c>
      <c r="E7" s="72" t="s">
        <v>86</v>
      </c>
      <c r="F7" s="72" t="s">
        <v>37</v>
      </c>
      <c r="G7" s="72" t="s">
        <v>37</v>
      </c>
      <c r="H7" s="72" t="s">
        <v>37</v>
      </c>
      <c r="I7" s="72" t="s">
        <v>10</v>
      </c>
      <c r="J7" s="72" t="s">
        <v>37</v>
      </c>
      <c r="K7" s="72" t="s">
        <v>37</v>
      </c>
      <c r="L7" s="72" t="s">
        <v>37</v>
      </c>
      <c r="M7" s="72" t="s">
        <v>37</v>
      </c>
      <c r="N7" s="72" t="s">
        <v>37</v>
      </c>
      <c r="O7" s="72" t="s">
        <v>37</v>
      </c>
    </row>
    <row r="8" spans="1:16" ht="28.5" x14ac:dyDescent="0.45">
      <c r="A8" s="72">
        <v>2</v>
      </c>
      <c r="B8" s="72" t="str">
        <f>CONCATENATE($B$2, ".", A8)</f>
        <v>1.2</v>
      </c>
      <c r="C8" s="79" t="s">
        <v>40</v>
      </c>
      <c r="D8" s="131" t="s">
        <v>745</v>
      </c>
      <c r="E8" s="72" t="s">
        <v>746</v>
      </c>
      <c r="F8" s="72" t="s">
        <v>747</v>
      </c>
      <c r="G8" s="72" t="s">
        <v>37</v>
      </c>
      <c r="H8" s="72" t="s">
        <v>37</v>
      </c>
      <c r="I8" s="72" t="s">
        <v>10</v>
      </c>
      <c r="J8" s="72" t="s">
        <v>37</v>
      </c>
      <c r="K8" s="72" t="s">
        <v>37</v>
      </c>
      <c r="L8" s="72" t="s">
        <v>37</v>
      </c>
      <c r="M8" s="72" t="s">
        <v>37</v>
      </c>
      <c r="N8" s="72" t="s">
        <v>37</v>
      </c>
      <c r="O8" s="72" t="s">
        <v>37</v>
      </c>
    </row>
    <row r="9" spans="1:16" ht="28.5" x14ac:dyDescent="0.45">
      <c r="A9" s="72">
        <v>3</v>
      </c>
      <c r="B9" s="72" t="str">
        <f t="shared" ref="B9:B10" si="1">CONCATENATE($B$2, ".", A9)</f>
        <v>1.3</v>
      </c>
      <c r="C9" s="79" t="s">
        <v>41</v>
      </c>
      <c r="D9" s="72" t="s">
        <v>37</v>
      </c>
      <c r="E9" s="72" t="s">
        <v>85</v>
      </c>
      <c r="F9" s="72" t="s">
        <v>37</v>
      </c>
      <c r="G9" s="72" t="s">
        <v>37</v>
      </c>
      <c r="H9" s="72" t="s">
        <v>37</v>
      </c>
      <c r="I9" s="72" t="s">
        <v>10</v>
      </c>
      <c r="J9" s="72" t="s">
        <v>37</v>
      </c>
      <c r="K9" s="72" t="s">
        <v>37</v>
      </c>
      <c r="L9" s="72" t="s">
        <v>37</v>
      </c>
      <c r="M9" s="72" t="s">
        <v>37</v>
      </c>
      <c r="N9" s="72" t="s">
        <v>37</v>
      </c>
      <c r="O9" s="72" t="s">
        <v>400</v>
      </c>
      <c r="P9" s="72" t="s">
        <v>447</v>
      </c>
    </row>
    <row r="10" spans="1:16" ht="71.25" x14ac:dyDescent="0.45">
      <c r="A10" s="72">
        <v>4</v>
      </c>
      <c r="B10" s="72" t="str">
        <f t="shared" si="1"/>
        <v>1.4</v>
      </c>
      <c r="C10" s="79" t="s">
        <v>40</v>
      </c>
      <c r="D10" s="131" t="s">
        <v>758</v>
      </c>
      <c r="E10" s="72" t="s">
        <v>29</v>
      </c>
      <c r="F10" s="72" t="s">
        <v>37</v>
      </c>
      <c r="G10" s="72" t="s">
        <v>37</v>
      </c>
      <c r="H10" s="72" t="s">
        <v>37</v>
      </c>
      <c r="I10" s="72" t="s">
        <v>10</v>
      </c>
      <c r="J10" s="72" t="s">
        <v>37</v>
      </c>
      <c r="K10" s="72" t="s">
        <v>37</v>
      </c>
      <c r="L10" s="72" t="s">
        <v>37</v>
      </c>
      <c r="M10" s="72" t="s">
        <v>37</v>
      </c>
      <c r="N10" s="72" t="s">
        <v>37</v>
      </c>
      <c r="O10" s="72" t="s">
        <v>37</v>
      </c>
    </row>
    <row r="11" spans="1:16" ht="228" x14ac:dyDescent="0.45">
      <c r="A11" s="72">
        <v>5</v>
      </c>
      <c r="B11" s="72" t="str">
        <f t="shared" si="0"/>
        <v>1.5</v>
      </c>
      <c r="C11" s="79" t="s">
        <v>40</v>
      </c>
      <c r="D11" s="131" t="s">
        <v>759</v>
      </c>
      <c r="E11" s="72" t="s">
        <v>118</v>
      </c>
      <c r="F11" s="72" t="s">
        <v>37</v>
      </c>
      <c r="G11" s="72" t="s">
        <v>37</v>
      </c>
      <c r="H11" s="72" t="s">
        <v>37</v>
      </c>
      <c r="I11" s="72" t="s">
        <v>10</v>
      </c>
      <c r="J11" s="72" t="s">
        <v>37</v>
      </c>
      <c r="K11" s="72" t="s">
        <v>37</v>
      </c>
      <c r="L11" s="72" t="s">
        <v>37</v>
      </c>
      <c r="M11" s="72" t="s">
        <v>37</v>
      </c>
      <c r="N11" s="72" t="s">
        <v>37</v>
      </c>
      <c r="O11" s="72" t="s">
        <v>760</v>
      </c>
      <c r="P11" s="72" t="s">
        <v>446</v>
      </c>
    </row>
    <row r="12" spans="1:16" ht="28.5" x14ac:dyDescent="0.45">
      <c r="A12" s="72">
        <v>6</v>
      </c>
      <c r="B12" s="72" t="str">
        <f t="shared" si="0"/>
        <v>1.6</v>
      </c>
      <c r="C12" s="79" t="s">
        <v>41</v>
      </c>
      <c r="D12" s="72" t="s">
        <v>37</v>
      </c>
      <c r="E12" s="72" t="s">
        <v>85</v>
      </c>
      <c r="F12" s="72" t="s">
        <v>37</v>
      </c>
      <c r="G12" s="72" t="s">
        <v>37</v>
      </c>
      <c r="H12" s="72" t="s">
        <v>37</v>
      </c>
      <c r="I12" s="72" t="s">
        <v>10</v>
      </c>
      <c r="J12" s="72" t="s">
        <v>37</v>
      </c>
      <c r="K12" s="72" t="s">
        <v>37</v>
      </c>
      <c r="L12" s="72" t="s">
        <v>37</v>
      </c>
      <c r="M12" s="72" t="s">
        <v>37</v>
      </c>
      <c r="N12" s="72" t="s">
        <v>37</v>
      </c>
      <c r="O12" s="72" t="s">
        <v>401</v>
      </c>
      <c r="P12" s="72" t="s">
        <v>447</v>
      </c>
    </row>
    <row r="13" spans="1:16" x14ac:dyDescent="0.45">
      <c r="A13" s="72">
        <v>7</v>
      </c>
      <c r="B13" s="72" t="str">
        <f t="shared" si="0"/>
        <v>1.7</v>
      </c>
      <c r="C13" s="79" t="s">
        <v>40</v>
      </c>
      <c r="D13" s="131" t="s">
        <v>378</v>
      </c>
      <c r="E13" s="72" t="s">
        <v>29</v>
      </c>
      <c r="F13" s="72" t="s">
        <v>37</v>
      </c>
      <c r="G13" s="72" t="s">
        <v>37</v>
      </c>
      <c r="H13" s="72" t="s">
        <v>37</v>
      </c>
      <c r="I13" s="131" t="s">
        <v>761</v>
      </c>
      <c r="J13" s="72" t="s">
        <v>37</v>
      </c>
      <c r="K13" s="72" t="s">
        <v>37</v>
      </c>
      <c r="L13" s="72" t="s">
        <v>37</v>
      </c>
      <c r="M13" s="72" t="s">
        <v>37</v>
      </c>
      <c r="N13" s="72" t="s">
        <v>37</v>
      </c>
      <c r="O13" s="131" t="s">
        <v>761</v>
      </c>
    </row>
    <row r="14" spans="1:16" ht="57" x14ac:dyDescent="0.45">
      <c r="A14" s="72">
        <v>8</v>
      </c>
      <c r="B14" s="72" t="str">
        <f t="shared" si="0"/>
        <v>1.8</v>
      </c>
      <c r="C14" s="79" t="s">
        <v>40</v>
      </c>
      <c r="D14" s="131" t="s">
        <v>379</v>
      </c>
      <c r="E14" s="72" t="s">
        <v>34</v>
      </c>
      <c r="F14" s="72" t="s">
        <v>37</v>
      </c>
      <c r="G14" s="72" t="s">
        <v>37</v>
      </c>
      <c r="H14" s="72" t="s">
        <v>37</v>
      </c>
      <c r="I14" s="131" t="s">
        <v>761</v>
      </c>
      <c r="J14" s="72" t="s">
        <v>37</v>
      </c>
      <c r="K14" s="72" t="s">
        <v>37</v>
      </c>
      <c r="L14" s="72" t="s">
        <v>37</v>
      </c>
      <c r="M14" s="72" t="s">
        <v>37</v>
      </c>
      <c r="N14" s="72" t="s">
        <v>37</v>
      </c>
      <c r="O14" s="131" t="s">
        <v>761</v>
      </c>
    </row>
    <row r="15" spans="1:16" ht="42" customHeight="1" x14ac:dyDescent="0.45">
      <c r="A15" s="72">
        <v>9</v>
      </c>
      <c r="B15" s="72" t="str">
        <f t="shared" si="0"/>
        <v>1.9</v>
      </c>
      <c r="C15" s="79" t="s">
        <v>41</v>
      </c>
      <c r="D15" s="72" t="s">
        <v>37</v>
      </c>
      <c r="E15" s="72" t="s">
        <v>85</v>
      </c>
      <c r="F15" s="72" t="s">
        <v>37</v>
      </c>
      <c r="G15" s="72" t="s">
        <v>37</v>
      </c>
      <c r="H15" s="72" t="s">
        <v>37</v>
      </c>
      <c r="I15" s="72" t="s">
        <v>10</v>
      </c>
      <c r="J15" s="72" t="s">
        <v>37</v>
      </c>
      <c r="K15" s="72" t="s">
        <v>37</v>
      </c>
      <c r="L15" s="72" t="s">
        <v>37</v>
      </c>
      <c r="M15" s="72" t="s">
        <v>37</v>
      </c>
      <c r="N15" s="72" t="s">
        <v>37</v>
      </c>
      <c r="O15" s="72" t="s">
        <v>402</v>
      </c>
      <c r="P15" s="72" t="s">
        <v>447</v>
      </c>
    </row>
    <row r="16" spans="1:16" x14ac:dyDescent="0.45">
      <c r="A16" s="72">
        <v>10</v>
      </c>
      <c r="B16" s="72" t="str">
        <f t="shared" si="0"/>
        <v>1.10</v>
      </c>
      <c r="C16" s="79" t="s">
        <v>40</v>
      </c>
      <c r="D16" s="72" t="s">
        <v>380</v>
      </c>
      <c r="E16" s="72" t="s">
        <v>29</v>
      </c>
      <c r="F16" s="72" t="s">
        <v>37</v>
      </c>
      <c r="G16" s="72" t="s">
        <v>37</v>
      </c>
      <c r="H16" s="72" t="s">
        <v>37</v>
      </c>
      <c r="I16" s="72" t="s">
        <v>10</v>
      </c>
      <c r="J16" s="72" t="s">
        <v>37</v>
      </c>
      <c r="K16" s="72" t="s">
        <v>37</v>
      </c>
      <c r="L16" s="72" t="s">
        <v>37</v>
      </c>
      <c r="M16" s="72" t="s">
        <v>37</v>
      </c>
      <c r="N16" s="72" t="s">
        <v>37</v>
      </c>
      <c r="O16" s="72" t="s">
        <v>37</v>
      </c>
    </row>
    <row r="17" spans="1:16" ht="57" x14ac:dyDescent="0.45">
      <c r="A17" s="72">
        <v>11</v>
      </c>
      <c r="B17" s="72" t="str">
        <f t="shared" si="0"/>
        <v>1.11</v>
      </c>
      <c r="C17" s="79" t="s">
        <v>40</v>
      </c>
      <c r="D17" s="94" t="s">
        <v>381</v>
      </c>
      <c r="E17" s="72" t="s">
        <v>35</v>
      </c>
      <c r="F17" s="103" t="s">
        <v>316</v>
      </c>
      <c r="G17" s="72" t="s">
        <v>37</v>
      </c>
      <c r="H17" s="72" t="s">
        <v>37</v>
      </c>
      <c r="I17" s="72" t="s">
        <v>10</v>
      </c>
      <c r="J17" s="72" t="s">
        <v>210</v>
      </c>
      <c r="K17" s="72" t="s">
        <v>52</v>
      </c>
      <c r="L17" s="72" t="s">
        <v>518</v>
      </c>
      <c r="M17" s="72" t="s">
        <v>37</v>
      </c>
      <c r="N17" s="72" t="s">
        <v>37</v>
      </c>
      <c r="O17" s="72" t="s">
        <v>211</v>
      </c>
      <c r="P17" s="94" t="s">
        <v>505</v>
      </c>
    </row>
    <row r="18" spans="1:16" ht="71.25" x14ac:dyDescent="0.45">
      <c r="A18" s="72">
        <v>12</v>
      </c>
      <c r="B18" s="72" t="str">
        <f t="shared" si="0"/>
        <v>1.12</v>
      </c>
      <c r="C18" s="79" t="s">
        <v>40</v>
      </c>
      <c r="D18" s="94" t="s">
        <v>382</v>
      </c>
      <c r="E18" s="72" t="s">
        <v>33</v>
      </c>
      <c r="F18" s="72" t="s">
        <v>74</v>
      </c>
      <c r="G18" s="72" t="s">
        <v>383</v>
      </c>
      <c r="H18" s="72" t="s">
        <v>212</v>
      </c>
      <c r="I18" s="72" t="s">
        <v>10</v>
      </c>
      <c r="J18" s="72" t="s">
        <v>213</v>
      </c>
      <c r="K18" s="72" t="s">
        <v>52</v>
      </c>
      <c r="L18" s="72" t="s">
        <v>519</v>
      </c>
      <c r="M18" s="72" t="s">
        <v>37</v>
      </c>
      <c r="N18" s="72" t="s">
        <v>37</v>
      </c>
      <c r="O18" s="72" t="s">
        <v>211</v>
      </c>
      <c r="P18" s="94" t="s">
        <v>507</v>
      </c>
    </row>
    <row r="19" spans="1:16" x14ac:dyDescent="0.45">
      <c r="A19" s="72">
        <v>13</v>
      </c>
      <c r="B19" s="72" t="str">
        <f t="shared" si="0"/>
        <v>1.13</v>
      </c>
      <c r="C19" s="79" t="s">
        <v>40</v>
      </c>
      <c r="D19" s="72" t="s">
        <v>56</v>
      </c>
      <c r="E19" s="72" t="s">
        <v>43</v>
      </c>
      <c r="F19" s="72" t="s">
        <v>37</v>
      </c>
      <c r="G19" s="72" t="s">
        <v>37</v>
      </c>
      <c r="H19" s="72" t="s">
        <v>37</v>
      </c>
      <c r="I19" s="72" t="s">
        <v>10</v>
      </c>
      <c r="J19" s="72" t="s">
        <v>37</v>
      </c>
      <c r="K19" s="72" t="s">
        <v>37</v>
      </c>
      <c r="L19" s="72" t="s">
        <v>37</v>
      </c>
      <c r="M19" s="72" t="s">
        <v>37</v>
      </c>
      <c r="N19" s="72" t="s">
        <v>37</v>
      </c>
      <c r="O19" s="72" t="s">
        <v>172</v>
      </c>
    </row>
  </sheetData>
  <dataConsolidate/>
  <conditionalFormatting sqref="C7:C9 C11:C1048576">
    <cfRule type="cellIs" dxfId="19" priority="13" operator="equal">
      <formula>"Future Change"</formula>
    </cfRule>
    <cfRule type="cellIs" dxfId="18" priority="17" operator="equal">
      <formula>"WIP (see comments)"</formula>
    </cfRule>
    <cfRule type="cellIs" dxfId="17" priority="18" operator="equal">
      <formula>"Removed"</formula>
    </cfRule>
    <cfRule type="cellIs" dxfId="16" priority="19" operator="equal">
      <formula>"Updated"</formula>
    </cfRule>
    <cfRule type="cellIs" dxfId="15" priority="20" operator="equal">
      <formula>"New"</formula>
    </cfRule>
  </conditionalFormatting>
  <conditionalFormatting sqref="A20:XFD1048576 F19:XFD19 A19:D19 A18:B18 D18:L18 O18:XFD18 M17:N18 H17 A1:XFD9 C11:C18 A10:B16 D10:XFD16">
    <cfRule type="cellIs" dxfId="14" priority="16" operator="equal">
      <formula>"n/a"</formula>
    </cfRule>
  </conditionalFormatting>
  <conditionalFormatting sqref="E19">
    <cfRule type="cellIs" dxfId="13" priority="15" operator="equal">
      <formula>"n/a"</formula>
    </cfRule>
  </conditionalFormatting>
  <conditionalFormatting sqref="A17:B17 D17:G17 O17:XFD17 I17:L17">
    <cfRule type="cellIs" dxfId="12" priority="14" operator="equal">
      <formula>"n/a"</formula>
    </cfRule>
  </conditionalFormatting>
  <conditionalFormatting sqref="C10">
    <cfRule type="cellIs" dxfId="11" priority="7" operator="equal">
      <formula>"Future Change"</formula>
    </cfRule>
    <cfRule type="cellIs" dxfId="10" priority="9" operator="equal">
      <formula>"WIP (see comments)"</formula>
    </cfRule>
    <cfRule type="cellIs" dxfId="9" priority="10" operator="equal">
      <formula>"Removed"</formula>
    </cfRule>
    <cfRule type="cellIs" dxfId="8" priority="11" operator="equal">
      <formula>"Updated"</formula>
    </cfRule>
    <cfRule type="cellIs" dxfId="7" priority="12" operator="equal">
      <formula>"New"</formula>
    </cfRule>
  </conditionalFormatting>
  <conditionalFormatting sqref="C10">
    <cfRule type="cellIs" dxfId="6" priority="8" operator="equal">
      <formula>"n/a"</formula>
    </cfRule>
  </conditionalFormatting>
  <conditionalFormatting sqref="C8">
    <cfRule type="cellIs" dxfId="5" priority="1" operator="equal">
      <formula>"Future Change"</formula>
    </cfRule>
    <cfRule type="cellIs" dxfId="4" priority="3" operator="equal">
      <formula>"WIP (see comments)"</formula>
    </cfRule>
    <cfRule type="cellIs" dxfId="3" priority="4" operator="equal">
      <formula>"Removed"</formula>
    </cfRule>
    <cfRule type="cellIs" dxfId="2" priority="5" operator="equal">
      <formula>"Updated"</formula>
    </cfRule>
    <cfRule type="cellIs" dxfId="1" priority="6" operator="equal">
      <formula>"New"</formula>
    </cfRule>
  </conditionalFormatting>
  <conditionalFormatting sqref="A8:XFD8">
    <cfRule type="cellIs" dxfId="0" priority="2" operator="equal">
      <formula>"n/a"</formula>
    </cfRule>
  </conditionalFormatting>
  <hyperlinks>
    <hyperlink ref="F17" location="'Branch ENUM'!A1" display="Enumerated list - see following tab" xr:uid="{C69B6772-1C88-4EE8-AE37-B3813781FDA1}"/>
  </hyperlink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D52"/>
  <sheetViews>
    <sheetView workbookViewId="0">
      <pane ySplit="3" topLeftCell="A40" activePane="bottomLeft" state="frozen"/>
      <selection pane="bottomLeft" activeCell="A53" sqref="A53"/>
    </sheetView>
  </sheetViews>
  <sheetFormatPr defaultColWidth="8.73046875" defaultRowHeight="14.25" x14ac:dyDescent="0.45"/>
  <cols>
    <col min="1" max="1" width="41" style="90" customWidth="1"/>
    <col min="2" max="2" width="31.19921875" style="90" customWidth="1"/>
    <col min="3" max="16384" width="8.73046875" style="90"/>
  </cols>
  <sheetData>
    <row r="1" spans="1:4" ht="18" x14ac:dyDescent="0.45">
      <c r="A1" s="73" t="s">
        <v>7</v>
      </c>
      <c r="B1" s="83" t="s">
        <v>160</v>
      </c>
      <c r="C1" s="77"/>
      <c r="D1" s="74"/>
    </row>
    <row r="2" spans="1:4" ht="18" x14ac:dyDescent="0.45">
      <c r="A2" s="73" t="s">
        <v>8</v>
      </c>
      <c r="B2" s="81">
        <v>1</v>
      </c>
      <c r="C2" s="80"/>
      <c r="D2" s="81"/>
    </row>
    <row r="3" spans="1:4" ht="18" x14ac:dyDescent="0.45">
      <c r="A3" s="73" t="s">
        <v>44</v>
      </c>
      <c r="B3" s="81"/>
      <c r="C3" s="80"/>
      <c r="D3" s="81" t="s">
        <v>62</v>
      </c>
    </row>
    <row r="4" spans="1:4" ht="18" x14ac:dyDescent="0.45">
      <c r="A4" s="73" t="s">
        <v>453</v>
      </c>
      <c r="B4" s="104" t="s">
        <v>469</v>
      </c>
      <c r="C4" s="80"/>
      <c r="D4" s="81"/>
    </row>
    <row r="5" spans="1:4" x14ac:dyDescent="0.45">
      <c r="A5" s="90" t="s">
        <v>328</v>
      </c>
      <c r="B5" s="90" t="s">
        <v>454</v>
      </c>
    </row>
    <row r="6" spans="1:4" x14ac:dyDescent="0.45">
      <c r="A6" s="90" t="s">
        <v>329</v>
      </c>
      <c r="B6" s="90" t="s">
        <v>455</v>
      </c>
    </row>
    <row r="7" spans="1:4" x14ac:dyDescent="0.45">
      <c r="A7" s="90" t="s">
        <v>330</v>
      </c>
      <c r="B7" s="90" t="s">
        <v>456</v>
      </c>
    </row>
    <row r="8" spans="1:4" x14ac:dyDescent="0.45">
      <c r="A8" s="90" t="s">
        <v>331</v>
      </c>
      <c r="B8" s="90" t="s">
        <v>457</v>
      </c>
    </row>
    <row r="9" spans="1:4" x14ac:dyDescent="0.45">
      <c r="A9" s="90" t="s">
        <v>332</v>
      </c>
      <c r="B9" s="90" t="s">
        <v>458</v>
      </c>
    </row>
    <row r="10" spans="1:4" x14ac:dyDescent="0.45">
      <c r="A10" s="90" t="s">
        <v>333</v>
      </c>
      <c r="B10" s="90" t="s">
        <v>459</v>
      </c>
    </row>
    <row r="11" spans="1:4" x14ac:dyDescent="0.45">
      <c r="A11" s="90" t="s">
        <v>334</v>
      </c>
      <c r="B11" s="90" t="s">
        <v>460</v>
      </c>
    </row>
    <row r="12" spans="1:4" x14ac:dyDescent="0.45">
      <c r="A12" s="90" t="s">
        <v>335</v>
      </c>
      <c r="B12" s="90" t="s">
        <v>461</v>
      </c>
    </row>
    <row r="13" spans="1:4" x14ac:dyDescent="0.45">
      <c r="A13" s="90" t="s">
        <v>336</v>
      </c>
      <c r="B13" s="90" t="s">
        <v>462</v>
      </c>
    </row>
    <row r="14" spans="1:4" x14ac:dyDescent="0.45">
      <c r="A14" s="90" t="s">
        <v>337</v>
      </c>
      <c r="B14" s="90" t="s">
        <v>463</v>
      </c>
    </row>
    <row r="15" spans="1:4" x14ac:dyDescent="0.45">
      <c r="A15" s="90" t="s">
        <v>338</v>
      </c>
      <c r="B15" s="90" t="s">
        <v>464</v>
      </c>
    </row>
    <row r="16" spans="1:4" x14ac:dyDescent="0.45">
      <c r="A16" s="90" t="s">
        <v>339</v>
      </c>
      <c r="B16" s="90" t="s">
        <v>465</v>
      </c>
    </row>
    <row r="17" spans="1:2" x14ac:dyDescent="0.45">
      <c r="A17" s="90" t="s">
        <v>340</v>
      </c>
      <c r="B17" s="90" t="s">
        <v>466</v>
      </c>
    </row>
    <row r="18" spans="1:2" x14ac:dyDescent="0.45">
      <c r="A18" s="90" t="s">
        <v>341</v>
      </c>
      <c r="B18" s="90" t="s">
        <v>467</v>
      </c>
    </row>
    <row r="19" spans="1:2" x14ac:dyDescent="0.45">
      <c r="A19" s="90" t="s">
        <v>342</v>
      </c>
      <c r="B19" s="90" t="s">
        <v>468</v>
      </c>
    </row>
    <row r="20" spans="1:2" x14ac:dyDescent="0.45">
      <c r="A20" s="90" t="s">
        <v>343</v>
      </c>
      <c r="B20" s="90" t="s">
        <v>470</v>
      </c>
    </row>
    <row r="21" spans="1:2" x14ac:dyDescent="0.45">
      <c r="A21" s="90" t="s">
        <v>344</v>
      </c>
      <c r="B21" s="90" t="s">
        <v>471</v>
      </c>
    </row>
    <row r="22" spans="1:2" x14ac:dyDescent="0.45">
      <c r="A22" s="90" t="s">
        <v>345</v>
      </c>
      <c r="B22" s="90" t="s">
        <v>472</v>
      </c>
    </row>
    <row r="23" spans="1:2" x14ac:dyDescent="0.45">
      <c r="A23" s="90" t="s">
        <v>346</v>
      </c>
      <c r="B23" s="90" t="s">
        <v>473</v>
      </c>
    </row>
    <row r="24" spans="1:2" x14ac:dyDescent="0.45">
      <c r="A24" s="90" t="s">
        <v>347</v>
      </c>
      <c r="B24" s="90" t="s">
        <v>474</v>
      </c>
    </row>
    <row r="25" spans="1:2" x14ac:dyDescent="0.45">
      <c r="A25" s="90" t="s">
        <v>348</v>
      </c>
      <c r="B25" s="90" t="s">
        <v>475</v>
      </c>
    </row>
    <row r="26" spans="1:2" x14ac:dyDescent="0.45">
      <c r="A26" s="90" t="s">
        <v>349</v>
      </c>
      <c r="B26" s="90" t="s">
        <v>476</v>
      </c>
    </row>
    <row r="27" spans="1:2" x14ac:dyDescent="0.45">
      <c r="A27" s="90" t="s">
        <v>350</v>
      </c>
      <c r="B27" s="90" t="s">
        <v>477</v>
      </c>
    </row>
    <row r="28" spans="1:2" x14ac:dyDescent="0.45">
      <c r="A28" s="90" t="s">
        <v>351</v>
      </c>
      <c r="B28" s="90" t="s">
        <v>478</v>
      </c>
    </row>
    <row r="29" spans="1:2" x14ac:dyDescent="0.45">
      <c r="A29" s="90" t="s">
        <v>352</v>
      </c>
      <c r="B29" s="90" t="s">
        <v>479</v>
      </c>
    </row>
    <row r="30" spans="1:2" x14ac:dyDescent="0.45">
      <c r="A30" s="90" t="s">
        <v>353</v>
      </c>
      <c r="B30" s="90" t="s">
        <v>480</v>
      </c>
    </row>
    <row r="31" spans="1:2" x14ac:dyDescent="0.45">
      <c r="A31" s="90" t="s">
        <v>354</v>
      </c>
      <c r="B31" s="90" t="s">
        <v>481</v>
      </c>
    </row>
    <row r="32" spans="1:2" x14ac:dyDescent="0.45">
      <c r="A32" s="90" t="s">
        <v>355</v>
      </c>
      <c r="B32" s="90" t="s">
        <v>482</v>
      </c>
    </row>
    <row r="33" spans="1:2" x14ac:dyDescent="0.45">
      <c r="A33" s="90" t="s">
        <v>356</v>
      </c>
      <c r="B33" s="90" t="s">
        <v>483</v>
      </c>
    </row>
    <row r="34" spans="1:2" x14ac:dyDescent="0.45">
      <c r="A34" s="90" t="s">
        <v>357</v>
      </c>
      <c r="B34" s="90" t="s">
        <v>484</v>
      </c>
    </row>
    <row r="35" spans="1:2" x14ac:dyDescent="0.45">
      <c r="A35" s="90" t="s">
        <v>358</v>
      </c>
      <c r="B35" s="90" t="s">
        <v>485</v>
      </c>
    </row>
    <row r="36" spans="1:2" x14ac:dyDescent="0.45">
      <c r="A36" s="90" t="s">
        <v>359</v>
      </c>
      <c r="B36" s="90" t="s">
        <v>486</v>
      </c>
    </row>
    <row r="37" spans="1:2" x14ac:dyDescent="0.45">
      <c r="A37" s="90" t="s">
        <v>360</v>
      </c>
      <c r="B37" s="90" t="s">
        <v>487</v>
      </c>
    </row>
    <row r="38" spans="1:2" x14ac:dyDescent="0.45">
      <c r="A38" s="90" t="s">
        <v>361</v>
      </c>
      <c r="B38" s="90" t="s">
        <v>488</v>
      </c>
    </row>
    <row r="39" spans="1:2" x14ac:dyDescent="0.45">
      <c r="A39" s="90" t="s">
        <v>362</v>
      </c>
      <c r="B39" s="90" t="s">
        <v>489</v>
      </c>
    </row>
    <row r="40" spans="1:2" x14ac:dyDescent="0.45">
      <c r="A40" s="90" t="s">
        <v>363</v>
      </c>
      <c r="B40" s="90" t="s">
        <v>490</v>
      </c>
    </row>
    <row r="41" spans="1:2" x14ac:dyDescent="0.45">
      <c r="A41" s="90" t="s">
        <v>364</v>
      </c>
      <c r="B41" s="90" t="s">
        <v>491</v>
      </c>
    </row>
    <row r="42" spans="1:2" x14ac:dyDescent="0.45">
      <c r="A42" s="90" t="s">
        <v>365</v>
      </c>
      <c r="B42" s="90" t="s">
        <v>492</v>
      </c>
    </row>
    <row r="43" spans="1:2" x14ac:dyDescent="0.45">
      <c r="A43" s="90" t="s">
        <v>366</v>
      </c>
      <c r="B43" s="90" t="s">
        <v>493</v>
      </c>
    </row>
    <row r="44" spans="1:2" x14ac:dyDescent="0.45">
      <c r="A44" s="90" t="s">
        <v>367</v>
      </c>
      <c r="B44" s="90" t="s">
        <v>494</v>
      </c>
    </row>
    <row r="45" spans="1:2" x14ac:dyDescent="0.45">
      <c r="A45" s="90" t="s">
        <v>368</v>
      </c>
      <c r="B45" s="90" t="s">
        <v>495</v>
      </c>
    </row>
    <row r="46" spans="1:2" x14ac:dyDescent="0.45">
      <c r="A46" s="90" t="s">
        <v>369</v>
      </c>
      <c r="B46" s="90" t="s">
        <v>496</v>
      </c>
    </row>
    <row r="47" spans="1:2" x14ac:dyDescent="0.45">
      <c r="A47" s="90" t="s">
        <v>370</v>
      </c>
      <c r="B47" s="90" t="s">
        <v>497</v>
      </c>
    </row>
    <row r="48" spans="1:2" x14ac:dyDescent="0.45">
      <c r="A48" s="90" t="s">
        <v>371</v>
      </c>
      <c r="B48" s="90" t="s">
        <v>498</v>
      </c>
    </row>
    <row r="49" spans="1:2" x14ac:dyDescent="0.45">
      <c r="A49" s="90" t="s">
        <v>372</v>
      </c>
      <c r="B49" s="90" t="s">
        <v>499</v>
      </c>
    </row>
    <row r="50" spans="1:2" x14ac:dyDescent="0.45">
      <c r="A50" s="90" t="s">
        <v>373</v>
      </c>
      <c r="B50" s="90" t="s">
        <v>500</v>
      </c>
    </row>
    <row r="51" spans="1:2" x14ac:dyDescent="0.45">
      <c r="A51" s="90" t="s">
        <v>452</v>
      </c>
      <c r="B51" s="90" t="s">
        <v>501</v>
      </c>
    </row>
    <row r="52" spans="1:2" x14ac:dyDescent="0.45">
      <c r="A52" s="90" t="s">
        <v>374</v>
      </c>
      <c r="B52" s="90" t="s">
        <v>502</v>
      </c>
    </row>
  </sheetData>
  <conditionalFormatting sqref="A1:D4">
    <cfRule type="cellIs" dxfId="921" priority="1" operator="equal">
      <formula>"n/a"</formula>
    </cfRule>
  </conditionalFormatting>
  <conditionalFormatting sqref="C1:C4">
    <cfRule type="cellIs" dxfId="920" priority="2" operator="equal">
      <formula>"WIP (see comments)"</formula>
    </cfRule>
    <cfRule type="cellIs" dxfId="919" priority="3" operator="equal">
      <formula>"Removed"</formula>
    </cfRule>
    <cfRule type="cellIs" dxfId="918" priority="4" operator="equal">
      <formula>"Updated"</formula>
    </cfRule>
    <cfRule type="cellIs" dxfId="917" priority="5" operator="equal">
      <formula>"New"</formula>
    </cfRule>
  </conditionalFormatting>
  <pageMargins left="0.7" right="0.7" top="0.75" bottom="0.75" header="0.3" footer="0.3"/>
  <pageSetup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FFC000"/>
  </sheetPr>
  <dimension ref="A1:U19"/>
  <sheetViews>
    <sheetView workbookViewId="0">
      <pane xSplit="4" ySplit="6" topLeftCell="E7" activePane="bottomRight" state="frozen"/>
      <selection pane="topRight" activeCell="E1" sqref="E1"/>
      <selection pane="bottomLeft" activeCell="A7" sqref="A7"/>
      <selection pane="bottomRight" activeCell="E14" sqref="E14"/>
    </sheetView>
  </sheetViews>
  <sheetFormatPr defaultColWidth="9.19921875" defaultRowHeight="14.25" x14ac:dyDescent="0.45"/>
  <cols>
    <col min="1" max="1" width="14.796875" style="72" customWidth="1"/>
    <col min="2" max="2" width="12.53125" style="72" customWidth="1"/>
    <col min="3" max="3" width="13" style="79" customWidth="1"/>
    <col min="4" max="4" width="45.19921875" style="72" customWidth="1"/>
    <col min="5" max="5" width="28.796875" style="72" customWidth="1"/>
    <col min="6" max="6" width="17" style="72" customWidth="1"/>
    <col min="7" max="7" width="29.19921875" style="72" customWidth="1"/>
    <col min="8" max="8" width="27.796875" style="72" customWidth="1"/>
    <col min="9" max="9" width="34.796875" style="72" customWidth="1"/>
    <col min="10" max="10" width="28.19921875" style="72" customWidth="1"/>
    <col min="11" max="11" width="10.796875" style="72" bestFit="1" customWidth="1"/>
    <col min="12" max="12" width="23" style="72" customWidth="1"/>
    <col min="13" max="13" width="29" style="72" customWidth="1"/>
    <col min="14" max="14" width="18.796875" style="72" bestFit="1" customWidth="1"/>
    <col min="15" max="15" width="48.46484375" style="72" customWidth="1"/>
    <col min="16" max="16" width="41.796875" style="72" customWidth="1"/>
    <col min="17" max="16384" width="9.19921875" style="72"/>
  </cols>
  <sheetData>
    <row r="1" spans="1:21" s="75" customFormat="1" ht="18" x14ac:dyDescent="0.45">
      <c r="A1" s="73" t="s">
        <v>7</v>
      </c>
      <c r="B1" s="83" t="s">
        <v>167</v>
      </c>
      <c r="C1" s="77"/>
      <c r="D1" s="74"/>
    </row>
    <row r="2" spans="1:21" s="75" customFormat="1" ht="18" x14ac:dyDescent="0.45">
      <c r="A2" s="73" t="s">
        <v>8</v>
      </c>
      <c r="B2" s="81">
        <v>2</v>
      </c>
      <c r="C2" s="80"/>
      <c r="D2" s="81"/>
    </row>
    <row r="3" spans="1:21" s="75" customFormat="1" ht="18" x14ac:dyDescent="0.45">
      <c r="A3" s="73" t="s">
        <v>44</v>
      </c>
      <c r="B3" s="81" t="s">
        <v>429</v>
      </c>
      <c r="C3" s="80"/>
      <c r="D3" s="75" t="s">
        <v>673</v>
      </c>
      <c r="E3" s="81"/>
    </row>
    <row r="4" spans="1:21" s="75" customFormat="1" ht="18" x14ac:dyDescent="0.45">
      <c r="A4" s="73" t="s">
        <v>9</v>
      </c>
      <c r="B4" s="75" t="s">
        <v>46</v>
      </c>
      <c r="C4" s="80"/>
    </row>
    <row r="5" spans="1:21" s="70" customFormat="1" x14ac:dyDescent="0.45">
      <c r="C5" s="82"/>
    </row>
    <row r="6" spans="1:21" s="76" customFormat="1" ht="14.65" thickBot="1" x14ac:dyDescent="0.5">
      <c r="A6" s="76" t="s">
        <v>11</v>
      </c>
      <c r="B6" s="76" t="s">
        <v>12</v>
      </c>
      <c r="C6" s="78" t="s">
        <v>26</v>
      </c>
      <c r="D6" s="76" t="s">
        <v>25</v>
      </c>
      <c r="E6" s="76" t="s">
        <v>13</v>
      </c>
      <c r="F6" s="76" t="s">
        <v>14</v>
      </c>
      <c r="G6" s="76" t="s">
        <v>15</v>
      </c>
      <c r="H6" s="76" t="s">
        <v>16</v>
      </c>
      <c r="I6" s="76" t="s">
        <v>17</v>
      </c>
      <c r="J6" s="76" t="s">
        <v>18</v>
      </c>
      <c r="K6" s="76" t="s">
        <v>19</v>
      </c>
      <c r="L6" s="76" t="s">
        <v>20</v>
      </c>
      <c r="M6" s="76" t="s">
        <v>21</v>
      </c>
      <c r="N6" s="76" t="s">
        <v>22</v>
      </c>
      <c r="O6" s="76" t="s">
        <v>23</v>
      </c>
      <c r="P6" s="76" t="s">
        <v>24</v>
      </c>
    </row>
    <row r="7" spans="1:21" s="84" customFormat="1" x14ac:dyDescent="0.45">
      <c r="A7" s="84">
        <v>1</v>
      </c>
      <c r="B7" s="84" t="str">
        <f t="shared" ref="B7:B8" si="0">CONCATENATE($B$2, ".", A7)</f>
        <v>2.1</v>
      </c>
      <c r="C7" s="101" t="s">
        <v>40</v>
      </c>
      <c r="D7" s="67" t="s">
        <v>224</v>
      </c>
      <c r="E7" s="84" t="s">
        <v>29</v>
      </c>
      <c r="F7" s="84" t="s">
        <v>37</v>
      </c>
      <c r="G7" s="84" t="s">
        <v>37</v>
      </c>
      <c r="H7" s="84" t="s">
        <v>37</v>
      </c>
      <c r="I7" s="84" t="s">
        <v>10</v>
      </c>
      <c r="J7" s="85" t="s">
        <v>37</v>
      </c>
      <c r="K7" s="85" t="s">
        <v>37</v>
      </c>
      <c r="L7" s="85" t="s">
        <v>37</v>
      </c>
      <c r="M7" s="85" t="s">
        <v>37</v>
      </c>
      <c r="N7" s="85" t="s">
        <v>37</v>
      </c>
      <c r="O7" s="85" t="s">
        <v>37</v>
      </c>
    </row>
    <row r="8" spans="1:21" s="84" customFormat="1" x14ac:dyDescent="0.45">
      <c r="A8" s="84">
        <v>2</v>
      </c>
      <c r="B8" s="84" t="str">
        <f t="shared" si="0"/>
        <v>2.2</v>
      </c>
      <c r="C8" s="86" t="s">
        <v>40</v>
      </c>
      <c r="D8" s="84" t="s">
        <v>37</v>
      </c>
      <c r="E8" s="84" t="s">
        <v>48</v>
      </c>
      <c r="F8" s="84" t="s">
        <v>37</v>
      </c>
      <c r="G8" s="84" t="s">
        <v>37</v>
      </c>
      <c r="H8" s="84" t="s">
        <v>37</v>
      </c>
      <c r="I8" s="84" t="s">
        <v>10</v>
      </c>
      <c r="J8" s="85" t="s">
        <v>37</v>
      </c>
      <c r="K8" s="85" t="s">
        <v>37</v>
      </c>
      <c r="L8" s="85" t="s">
        <v>37</v>
      </c>
      <c r="M8" s="85" t="s">
        <v>37</v>
      </c>
      <c r="N8" s="85" t="s">
        <v>37</v>
      </c>
      <c r="O8" s="85" t="s">
        <v>37</v>
      </c>
    </row>
    <row r="9" spans="1:21" ht="28.5" x14ac:dyDescent="0.45">
      <c r="A9" s="84">
        <v>3</v>
      </c>
      <c r="B9" s="84" t="str">
        <f>CONCATENATE($B$2, ".", A9)</f>
        <v>2.3</v>
      </c>
      <c r="C9" s="101" t="s">
        <v>38</v>
      </c>
      <c r="D9" s="84" t="s">
        <v>658</v>
      </c>
      <c r="E9" s="84" t="s">
        <v>33</v>
      </c>
      <c r="F9" s="84" t="s">
        <v>50</v>
      </c>
      <c r="G9" s="98" t="s">
        <v>37</v>
      </c>
      <c r="H9" s="84" t="s">
        <v>51</v>
      </c>
      <c r="I9" s="84" t="s">
        <v>10</v>
      </c>
      <c r="J9" s="85" t="s">
        <v>37</v>
      </c>
      <c r="K9" s="85" t="s">
        <v>52</v>
      </c>
      <c r="L9" s="108" t="s">
        <v>520</v>
      </c>
      <c r="M9" s="85" t="s">
        <v>77</v>
      </c>
      <c r="N9" s="85" t="s">
        <v>153</v>
      </c>
      <c r="O9" s="85" t="s">
        <v>37</v>
      </c>
      <c r="P9" s="72" t="s">
        <v>604</v>
      </c>
    </row>
    <row r="10" spans="1:21" ht="28.5" x14ac:dyDescent="0.45">
      <c r="A10" s="98">
        <v>4</v>
      </c>
      <c r="B10" s="98" t="str">
        <f>CONCATENATE($B$2, ".", A10)</f>
        <v>2.4</v>
      </c>
      <c r="C10" s="101" t="s">
        <v>42</v>
      </c>
      <c r="D10" s="98" t="s">
        <v>603</v>
      </c>
      <c r="E10" s="98" t="s">
        <v>34</v>
      </c>
      <c r="F10" s="98" t="s">
        <v>37</v>
      </c>
      <c r="G10" s="98" t="s">
        <v>37</v>
      </c>
      <c r="H10" s="98" t="s">
        <v>37</v>
      </c>
      <c r="I10" s="98" t="s">
        <v>37</v>
      </c>
      <c r="J10" s="98" t="s">
        <v>37</v>
      </c>
      <c r="K10" s="98" t="s">
        <v>37</v>
      </c>
      <c r="L10" s="108"/>
      <c r="M10" s="108"/>
      <c r="N10" s="108"/>
      <c r="O10" s="108"/>
    </row>
    <row r="11" spans="1:21" ht="71.25" x14ac:dyDescent="0.45">
      <c r="A11" s="91">
        <v>5</v>
      </c>
      <c r="B11" s="98" t="str">
        <f>CONCATENATE($B$2, ".", A11)</f>
        <v>2.5</v>
      </c>
      <c r="C11" s="101" t="s">
        <v>40</v>
      </c>
      <c r="D11" s="91" t="s">
        <v>277</v>
      </c>
      <c r="E11" s="98" t="s">
        <v>33</v>
      </c>
      <c r="F11" s="98" t="s">
        <v>49</v>
      </c>
      <c r="G11" s="98" t="s">
        <v>163</v>
      </c>
      <c r="H11" s="98" t="s">
        <v>53</v>
      </c>
      <c r="I11" s="91" t="s">
        <v>10</v>
      </c>
      <c r="J11" s="92" t="s">
        <v>37</v>
      </c>
      <c r="K11" s="91" t="s">
        <v>52</v>
      </c>
      <c r="L11" s="98" t="s">
        <v>521</v>
      </c>
      <c r="M11" s="91" t="s">
        <v>54</v>
      </c>
      <c r="N11" s="91" t="s">
        <v>154</v>
      </c>
      <c r="O11" s="92" t="s">
        <v>37</v>
      </c>
    </row>
    <row r="12" spans="1:21" x14ac:dyDescent="0.45">
      <c r="A12" s="65"/>
      <c r="B12" s="65"/>
      <c r="C12" s="65"/>
      <c r="D12" s="65"/>
      <c r="E12" s="65"/>
      <c r="F12" s="60"/>
      <c r="G12" s="60"/>
      <c r="H12" s="60"/>
      <c r="I12" s="60"/>
      <c r="J12" s="60"/>
      <c r="K12" s="60"/>
      <c r="L12" s="60"/>
      <c r="M12" s="60"/>
      <c r="N12" s="60"/>
      <c r="O12" s="60"/>
      <c r="P12" s="60"/>
      <c r="Q12" s="60"/>
      <c r="R12" s="60"/>
      <c r="S12" s="60"/>
      <c r="T12" s="60"/>
      <c r="U12" s="60"/>
    </row>
    <row r="13" spans="1:21" x14ac:dyDescent="0.45">
      <c r="A13" s="72">
        <v>6</v>
      </c>
      <c r="B13" s="84" t="str">
        <f t="shared" ref="B13:B14" si="1">CONCATENATE($B$2, ".", A13)</f>
        <v>2.6</v>
      </c>
      <c r="C13" s="101" t="s">
        <v>40</v>
      </c>
      <c r="D13" s="72" t="s">
        <v>56</v>
      </c>
      <c r="E13" s="72" t="s">
        <v>43</v>
      </c>
      <c r="F13" s="72" t="s">
        <v>37</v>
      </c>
      <c r="G13" s="72" t="s">
        <v>37</v>
      </c>
      <c r="H13" s="72" t="s">
        <v>37</v>
      </c>
      <c r="I13" s="72" t="s">
        <v>10</v>
      </c>
      <c r="J13" s="72" t="s">
        <v>37</v>
      </c>
      <c r="K13" s="72" t="s">
        <v>37</v>
      </c>
      <c r="L13" s="72" t="s">
        <v>37</v>
      </c>
      <c r="M13" s="72" t="s">
        <v>37</v>
      </c>
      <c r="N13" s="72" t="s">
        <v>37</v>
      </c>
      <c r="O13" s="72" t="s">
        <v>191</v>
      </c>
    </row>
    <row r="14" spans="1:21" x14ac:dyDescent="0.45">
      <c r="A14" s="72">
        <v>7</v>
      </c>
      <c r="B14" s="84" t="str">
        <f t="shared" si="1"/>
        <v>2.7</v>
      </c>
      <c r="C14" s="101" t="s">
        <v>40</v>
      </c>
      <c r="D14" s="72" t="s">
        <v>55</v>
      </c>
      <c r="E14" s="72" t="s">
        <v>43</v>
      </c>
      <c r="F14" s="72" t="s">
        <v>37</v>
      </c>
      <c r="G14" s="72" t="s">
        <v>37</v>
      </c>
      <c r="H14" s="72" t="s">
        <v>37</v>
      </c>
      <c r="I14" s="72" t="s">
        <v>10</v>
      </c>
      <c r="J14" s="72" t="s">
        <v>37</v>
      </c>
      <c r="K14" s="72" t="s">
        <v>37</v>
      </c>
      <c r="L14" s="72" t="s">
        <v>37</v>
      </c>
      <c r="M14" s="72" t="s">
        <v>37</v>
      </c>
      <c r="N14" s="72" t="s">
        <v>37</v>
      </c>
      <c r="O14" s="72" t="s">
        <v>171</v>
      </c>
    </row>
    <row r="15" spans="1:21" x14ac:dyDescent="0.45">
      <c r="I15" s="84"/>
      <c r="J15" s="71"/>
      <c r="K15" s="71"/>
      <c r="L15" s="85"/>
      <c r="M15" s="85"/>
      <c r="N15" s="85"/>
      <c r="O15" s="85"/>
    </row>
    <row r="16" spans="1:21" x14ac:dyDescent="0.45">
      <c r="I16" s="84"/>
      <c r="J16" s="71"/>
      <c r="K16" s="71"/>
      <c r="L16" s="85"/>
      <c r="M16" s="85"/>
      <c r="N16" s="85"/>
      <c r="O16" s="85"/>
    </row>
    <row r="17" spans="9:15" x14ac:dyDescent="0.45">
      <c r="I17" s="84"/>
      <c r="J17" s="71"/>
      <c r="K17" s="71"/>
      <c r="L17" s="85"/>
      <c r="M17" s="85"/>
      <c r="N17" s="85"/>
      <c r="O17" s="85"/>
    </row>
    <row r="18" spans="9:15" x14ac:dyDescent="0.45">
      <c r="I18" s="84"/>
      <c r="J18" s="71"/>
      <c r="K18" s="71"/>
      <c r="L18" s="85"/>
      <c r="M18" s="85"/>
      <c r="N18" s="85"/>
      <c r="O18" s="85"/>
    </row>
    <row r="19" spans="9:15" x14ac:dyDescent="0.45">
      <c r="I19" s="84"/>
      <c r="J19" s="71"/>
      <c r="K19" s="71"/>
      <c r="L19" s="85"/>
      <c r="M19" s="85"/>
      <c r="N19" s="85"/>
      <c r="O19" s="85"/>
    </row>
  </sheetData>
  <conditionalFormatting sqref="A20:XFD1048576 V12:XFD19 Q9:XFD10 A4:XFD8 A3:C3 C9:C11 D9:O10 A9:B10 B11 A1:XFD1 A2:D2 F2:XFD2 E3:XFD3">
    <cfRule type="cellIs" dxfId="916" priority="145" operator="equal">
      <formula>"n/a"</formula>
    </cfRule>
  </conditionalFormatting>
  <conditionalFormatting sqref="C20:C1048576 C1:C12">
    <cfRule type="cellIs" dxfId="915" priority="146" operator="equal">
      <formula>"WIP (see comments)"</formula>
    </cfRule>
    <cfRule type="cellIs" dxfId="914" priority="147" operator="equal">
      <formula>"Removed"</formula>
    </cfRule>
    <cfRule type="cellIs" dxfId="913" priority="148" operator="equal">
      <formula>"Updated"</formula>
    </cfRule>
    <cfRule type="cellIs" dxfId="912" priority="149" operator="equal">
      <formula>"New"</formula>
    </cfRule>
  </conditionalFormatting>
  <conditionalFormatting sqref="A15:U19 A13:A14 D13:U14 A12:U12">
    <cfRule type="cellIs" dxfId="911" priority="140" operator="equal">
      <formula>"n/a"</formula>
    </cfRule>
  </conditionalFormatting>
  <conditionalFormatting sqref="C15:C19">
    <cfRule type="cellIs" dxfId="910" priority="141" operator="equal">
      <formula>"WIP (see comments)"</formula>
    </cfRule>
    <cfRule type="cellIs" dxfId="909" priority="142" operator="equal">
      <formula>"Removed"</formula>
    </cfRule>
    <cfRule type="cellIs" dxfId="908" priority="143" operator="equal">
      <formula>"Updated"</formula>
    </cfRule>
    <cfRule type="cellIs" dxfId="907" priority="144" operator="equal">
      <formula>"New"</formula>
    </cfRule>
  </conditionalFormatting>
  <conditionalFormatting sqref="B13:B14">
    <cfRule type="cellIs" dxfId="906" priority="137" operator="equal">
      <formula>"n/a"</formula>
    </cfRule>
  </conditionalFormatting>
  <conditionalFormatting sqref="A11 D11 P9:P10 I11:XFD11">
    <cfRule type="cellIs" dxfId="905" priority="47" operator="equal">
      <formula>"n/a"</formula>
    </cfRule>
  </conditionalFormatting>
  <conditionalFormatting sqref="C13">
    <cfRule type="cellIs" dxfId="904" priority="28" operator="equal">
      <formula>"WIP (see comments)"</formula>
    </cfRule>
    <cfRule type="cellIs" dxfId="903" priority="29" operator="equal">
      <formula>"Removed"</formula>
    </cfRule>
    <cfRule type="cellIs" dxfId="902" priority="30" operator="equal">
      <formula>"Updated"</formula>
    </cfRule>
    <cfRule type="cellIs" dxfId="901" priority="31" operator="equal">
      <formula>"New"</formula>
    </cfRule>
  </conditionalFormatting>
  <conditionalFormatting sqref="C13">
    <cfRule type="cellIs" dxfId="900" priority="27" operator="equal">
      <formula>"n/a"</formula>
    </cfRule>
  </conditionalFormatting>
  <conditionalFormatting sqref="C14">
    <cfRule type="cellIs" dxfId="899" priority="32" operator="equal">
      <formula>"n/a"</formula>
    </cfRule>
  </conditionalFormatting>
  <conditionalFormatting sqref="C14">
    <cfRule type="cellIs" dxfId="898" priority="33" operator="equal">
      <formula>"WIP (see comments)"</formula>
    </cfRule>
    <cfRule type="cellIs" dxfId="897" priority="34" operator="equal">
      <formula>"Removed"</formula>
    </cfRule>
    <cfRule type="cellIs" dxfId="896" priority="35" operator="equal">
      <formula>"Updated"</formula>
    </cfRule>
    <cfRule type="cellIs" dxfId="895" priority="36" operator="equal">
      <formula>"New"</formula>
    </cfRule>
  </conditionalFormatting>
  <conditionalFormatting sqref="E3">
    <cfRule type="cellIs" dxfId="894" priority="2" operator="equal">
      <formula>"n/a"</formula>
    </cfRule>
  </conditionalFormatting>
  <conditionalFormatting sqref="E11:H11">
    <cfRule type="cellIs" dxfId="893" priority="1" operator="equal">
      <formula>"n/a"</formula>
    </cfRule>
  </conditionalFormatting>
  <dataValidations count="1">
    <dataValidation type="list" allowBlank="1" showInputMessage="1" showErrorMessage="1" sqref="C20:C1048576" xr:uid="{00000000-0002-0000-0400-000000000000}">
      <formula1>$B$5:$B$8</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400-000002000000}">
          <x14:formula1>
            <xm:f>'List Values'!$B$5:$B$11</xm:f>
          </x14:formula1>
          <xm:sqref>C15:C19</xm:sqref>
        </x14:dataValidation>
        <x14:dataValidation type="list" allowBlank="1" showInputMessage="1" showErrorMessage="1" xr:uid="{00000000-0002-0000-0400-000003000000}">
          <x14:formula1>
            <xm:f>'List Values'!$A$5:$A$28</xm:f>
          </x14:formula1>
          <xm:sqref>E7:E1048576</xm:sqref>
        </x14:dataValidation>
        <x14:dataValidation type="list" allowBlank="1" showInputMessage="1" showErrorMessage="1" xr:uid="{00000000-0002-0000-0400-000004000000}">
          <x14:formula1>
            <xm:f>'List Values'!$B$5:$B$9</xm:f>
          </x14:formula1>
          <xm:sqref>C13:C14 C7:C11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P20"/>
  <sheetViews>
    <sheetView workbookViewId="0">
      <pane xSplit="4" ySplit="6" topLeftCell="E7" activePane="bottomRight" state="frozen"/>
      <selection pane="topRight" activeCell="E1" sqref="E1"/>
      <selection pane="bottomLeft" activeCell="A7" sqref="A7"/>
      <selection pane="bottomRight" activeCell="D16" sqref="D16"/>
    </sheetView>
  </sheetViews>
  <sheetFormatPr defaultColWidth="9.19921875" defaultRowHeight="14.25" x14ac:dyDescent="0.45"/>
  <cols>
    <col min="1" max="1" width="14.796875" style="72" customWidth="1"/>
    <col min="2" max="2" width="12.53125" style="72" customWidth="1"/>
    <col min="3" max="3" width="13" style="79" customWidth="1"/>
    <col min="4" max="4" width="44.19921875" style="72" customWidth="1"/>
    <col min="5" max="5" width="28.796875" style="72" customWidth="1"/>
    <col min="6" max="6" width="17" style="72" customWidth="1"/>
    <col min="7" max="7" width="29.19921875" style="72" customWidth="1"/>
    <col min="8" max="8" width="27.796875" style="72" customWidth="1"/>
    <col min="9" max="9" width="34.796875" style="72" customWidth="1"/>
    <col min="10" max="10" width="28.19921875" style="72" customWidth="1"/>
    <col min="11" max="11" width="10.796875" style="72" bestFit="1" customWidth="1"/>
    <col min="12" max="12" width="23" style="72" customWidth="1"/>
    <col min="13" max="13" width="29" style="72" customWidth="1"/>
    <col min="14" max="14" width="18.796875" style="72" bestFit="1" customWidth="1"/>
    <col min="15" max="15" width="48.46484375" style="72" customWidth="1"/>
    <col min="16" max="16" width="41.796875" style="72" customWidth="1"/>
    <col min="17" max="16384" width="9.19921875" style="72"/>
  </cols>
  <sheetData>
    <row r="1" spans="1:16" s="75" customFormat="1" ht="18" x14ac:dyDescent="0.45">
      <c r="A1" s="73" t="s">
        <v>7</v>
      </c>
      <c r="B1" s="83" t="s">
        <v>189</v>
      </c>
      <c r="C1" s="77"/>
      <c r="D1" s="74"/>
    </row>
    <row r="2" spans="1:16" s="75" customFormat="1" ht="18" x14ac:dyDescent="0.45">
      <c r="A2" s="73" t="s">
        <v>8</v>
      </c>
      <c r="B2" s="81">
        <v>3</v>
      </c>
      <c r="C2" s="80"/>
      <c r="D2" s="81"/>
    </row>
    <row r="3" spans="1:16" s="75" customFormat="1" ht="18" x14ac:dyDescent="0.45">
      <c r="A3" s="73" t="s">
        <v>44</v>
      </c>
      <c r="B3" s="81" t="s">
        <v>430</v>
      </c>
      <c r="C3" s="80"/>
      <c r="D3" s="81"/>
    </row>
    <row r="4" spans="1:16" s="75" customFormat="1" ht="18" x14ac:dyDescent="0.45">
      <c r="A4" s="73" t="s">
        <v>9</v>
      </c>
      <c r="B4" s="75" t="s">
        <v>46</v>
      </c>
      <c r="C4" s="80"/>
    </row>
    <row r="5" spans="1:16" s="70" customFormat="1" x14ac:dyDescent="0.45">
      <c r="C5" s="82"/>
    </row>
    <row r="6" spans="1:16" s="76" customFormat="1" ht="14.65" thickBot="1" x14ac:dyDescent="0.5">
      <c r="A6" s="76" t="s">
        <v>11</v>
      </c>
      <c r="B6" s="76" t="s">
        <v>12</v>
      </c>
      <c r="C6" s="78" t="s">
        <v>26</v>
      </c>
      <c r="D6" s="76" t="s">
        <v>25</v>
      </c>
      <c r="E6" s="76" t="s">
        <v>13</v>
      </c>
      <c r="F6" s="76" t="s">
        <v>14</v>
      </c>
      <c r="G6" s="76" t="s">
        <v>15</v>
      </c>
      <c r="H6" s="76" t="s">
        <v>16</v>
      </c>
      <c r="I6" s="76" t="s">
        <v>17</v>
      </c>
      <c r="J6" s="76" t="s">
        <v>18</v>
      </c>
      <c r="K6" s="76" t="s">
        <v>19</v>
      </c>
      <c r="L6" s="76" t="s">
        <v>20</v>
      </c>
      <c r="M6" s="76" t="s">
        <v>21</v>
      </c>
      <c r="N6" s="76" t="s">
        <v>22</v>
      </c>
      <c r="O6" s="76" t="s">
        <v>23</v>
      </c>
      <c r="P6" s="76" t="s">
        <v>24</v>
      </c>
    </row>
    <row r="7" spans="1:16" s="84" customFormat="1" x14ac:dyDescent="0.45">
      <c r="A7" s="84">
        <v>1</v>
      </c>
      <c r="B7" s="84" t="str">
        <f t="shared" ref="B7:B12" si="0">CONCATENATE($B$2, ".", A7)</f>
        <v>3.1</v>
      </c>
      <c r="C7" s="101" t="s">
        <v>40</v>
      </c>
      <c r="D7" s="84" t="s">
        <v>200</v>
      </c>
      <c r="E7" s="84" t="s">
        <v>29</v>
      </c>
      <c r="F7" s="84" t="s">
        <v>37</v>
      </c>
      <c r="G7" s="84" t="s">
        <v>37</v>
      </c>
      <c r="H7" s="84" t="s">
        <v>37</v>
      </c>
      <c r="I7" s="84" t="s">
        <v>10</v>
      </c>
      <c r="J7" s="85" t="s">
        <v>37</v>
      </c>
      <c r="K7" s="85" t="s">
        <v>37</v>
      </c>
      <c r="L7" s="85" t="s">
        <v>37</v>
      </c>
      <c r="M7" s="85" t="s">
        <v>37</v>
      </c>
      <c r="N7" s="85" t="s">
        <v>37</v>
      </c>
      <c r="O7" s="85" t="s">
        <v>37</v>
      </c>
      <c r="P7" s="84" t="s">
        <v>234</v>
      </c>
    </row>
    <row r="8" spans="1:16" s="84" customFormat="1" x14ac:dyDescent="0.45">
      <c r="A8" s="84">
        <v>2</v>
      </c>
      <c r="B8" s="84" t="str">
        <f t="shared" si="0"/>
        <v>3.2</v>
      </c>
      <c r="C8" s="86" t="s">
        <v>40</v>
      </c>
      <c r="D8" s="84" t="s">
        <v>37</v>
      </c>
      <c r="E8" s="84" t="s">
        <v>48</v>
      </c>
      <c r="F8" s="84" t="s">
        <v>37</v>
      </c>
      <c r="G8" s="84" t="s">
        <v>37</v>
      </c>
      <c r="H8" s="84" t="s">
        <v>37</v>
      </c>
      <c r="I8" s="84" t="s">
        <v>10</v>
      </c>
      <c r="J8" s="85" t="s">
        <v>37</v>
      </c>
      <c r="K8" s="85" t="s">
        <v>37</v>
      </c>
      <c r="L8" s="85" t="s">
        <v>37</v>
      </c>
      <c r="M8" s="85" t="s">
        <v>37</v>
      </c>
      <c r="N8" s="85" t="s">
        <v>37</v>
      </c>
      <c r="O8" s="85" t="s">
        <v>37</v>
      </c>
    </row>
    <row r="9" spans="1:16" s="84" customFormat="1" ht="51" customHeight="1" x14ac:dyDescent="0.45">
      <c r="A9" s="84">
        <v>3</v>
      </c>
      <c r="B9" s="84" t="str">
        <f t="shared" si="0"/>
        <v>3.3</v>
      </c>
      <c r="C9" s="101" t="s">
        <v>40</v>
      </c>
      <c r="D9" s="84" t="s">
        <v>79</v>
      </c>
      <c r="E9" s="84" t="s">
        <v>33</v>
      </c>
      <c r="F9" s="84" t="s">
        <v>110</v>
      </c>
      <c r="G9" s="84" t="s">
        <v>270</v>
      </c>
      <c r="H9" s="69">
        <v>50</v>
      </c>
      <c r="I9" s="84" t="s">
        <v>10</v>
      </c>
      <c r="J9" s="92" t="s">
        <v>37</v>
      </c>
      <c r="K9" s="85" t="s">
        <v>52</v>
      </c>
      <c r="L9" s="107" t="s">
        <v>529</v>
      </c>
      <c r="M9" s="85" t="s">
        <v>111</v>
      </c>
      <c r="N9" s="85" t="s">
        <v>37</v>
      </c>
      <c r="O9" s="92" t="s">
        <v>37</v>
      </c>
      <c r="P9" s="84" t="s">
        <v>272</v>
      </c>
    </row>
    <row r="10" spans="1:16" s="84" customFormat="1" ht="53.25" customHeight="1" x14ac:dyDescent="0.45">
      <c r="A10" s="84">
        <v>4</v>
      </c>
      <c r="B10" s="84" t="str">
        <f t="shared" si="0"/>
        <v>3.4</v>
      </c>
      <c r="C10" s="101" t="s">
        <v>40</v>
      </c>
      <c r="D10" s="84" t="s">
        <v>80</v>
      </c>
      <c r="E10" s="84" t="s">
        <v>33</v>
      </c>
      <c r="F10" s="84" t="s">
        <v>110</v>
      </c>
      <c r="G10" s="84" t="s">
        <v>271</v>
      </c>
      <c r="H10" s="69">
        <v>50</v>
      </c>
      <c r="I10" s="84" t="s">
        <v>10</v>
      </c>
      <c r="J10" s="92" t="s">
        <v>37</v>
      </c>
      <c r="K10" s="85" t="s">
        <v>52</v>
      </c>
      <c r="L10" s="107" t="s">
        <v>528</v>
      </c>
      <c r="M10" s="85" t="s">
        <v>111</v>
      </c>
      <c r="N10" s="85" t="s">
        <v>37</v>
      </c>
      <c r="O10" s="92" t="s">
        <v>37</v>
      </c>
      <c r="P10" s="98" t="s">
        <v>272</v>
      </c>
    </row>
    <row r="11" spans="1:16" s="84" customFormat="1" x14ac:dyDescent="0.45">
      <c r="A11" s="84">
        <v>5</v>
      </c>
      <c r="B11" s="84" t="str">
        <f>CONCATENATE($B$2, ".", A11)</f>
        <v>3.5</v>
      </c>
      <c r="C11" s="86" t="s">
        <v>40</v>
      </c>
      <c r="D11" s="84" t="s">
        <v>56</v>
      </c>
      <c r="E11" s="84" t="s">
        <v>43</v>
      </c>
      <c r="F11" s="84" t="s">
        <v>37</v>
      </c>
      <c r="G11" s="84" t="s">
        <v>37</v>
      </c>
      <c r="H11" s="84" t="s">
        <v>37</v>
      </c>
      <c r="I11" s="84" t="s">
        <v>10</v>
      </c>
      <c r="J11" s="84" t="s">
        <v>37</v>
      </c>
      <c r="K11" s="84" t="s">
        <v>37</v>
      </c>
      <c r="L11" s="84" t="s">
        <v>37</v>
      </c>
      <c r="M11" s="84" t="s">
        <v>37</v>
      </c>
      <c r="N11" s="84" t="s">
        <v>37</v>
      </c>
      <c r="O11" s="84" t="s">
        <v>235</v>
      </c>
    </row>
    <row r="12" spans="1:16" s="84" customFormat="1" x14ac:dyDescent="0.45">
      <c r="A12" s="84">
        <v>6</v>
      </c>
      <c r="B12" s="84" t="str">
        <f t="shared" si="0"/>
        <v>3.6</v>
      </c>
      <c r="C12" s="101" t="s">
        <v>40</v>
      </c>
      <c r="D12" s="84" t="s">
        <v>55</v>
      </c>
      <c r="E12" s="84" t="s">
        <v>43</v>
      </c>
      <c r="F12" s="84" t="s">
        <v>37</v>
      </c>
      <c r="G12" s="84" t="s">
        <v>37</v>
      </c>
      <c r="H12" s="84" t="s">
        <v>37</v>
      </c>
      <c r="I12" s="84" t="s">
        <v>10</v>
      </c>
      <c r="J12" s="84" t="s">
        <v>37</v>
      </c>
      <c r="K12" s="84" t="s">
        <v>37</v>
      </c>
      <c r="L12" s="84" t="s">
        <v>37</v>
      </c>
      <c r="M12" s="84" t="s">
        <v>37</v>
      </c>
      <c r="N12" s="84" t="s">
        <v>37</v>
      </c>
      <c r="O12" s="84" t="s">
        <v>236</v>
      </c>
      <c r="P12" s="84" t="s">
        <v>233</v>
      </c>
    </row>
    <row r="13" spans="1:16" x14ac:dyDescent="0.45">
      <c r="I13" s="84"/>
      <c r="J13" s="71"/>
      <c r="K13" s="71"/>
      <c r="L13" s="85"/>
      <c r="M13" s="85"/>
      <c r="N13" s="85"/>
      <c r="O13" s="85"/>
    </row>
    <row r="14" spans="1:16" x14ac:dyDescent="0.45">
      <c r="D14" s="72" t="s">
        <v>62</v>
      </c>
      <c r="I14" s="84"/>
      <c r="J14" s="71"/>
      <c r="K14" s="71"/>
      <c r="L14" s="85"/>
      <c r="M14" s="85"/>
      <c r="N14" s="85"/>
      <c r="O14" s="85"/>
    </row>
    <row r="15" spans="1:16" x14ac:dyDescent="0.45">
      <c r="I15" s="84"/>
      <c r="J15" s="71"/>
      <c r="K15" s="71"/>
      <c r="L15" s="85"/>
      <c r="M15" s="85"/>
      <c r="N15" s="85"/>
      <c r="O15" s="85"/>
    </row>
    <row r="16" spans="1:16" x14ac:dyDescent="0.45">
      <c r="I16" s="84"/>
      <c r="J16" s="71"/>
      <c r="K16" s="71"/>
      <c r="L16" s="85"/>
      <c r="M16" s="85"/>
      <c r="N16" s="85"/>
      <c r="O16" s="85"/>
    </row>
    <row r="17" spans="9:15" x14ac:dyDescent="0.45">
      <c r="I17" s="84"/>
      <c r="J17" s="71"/>
      <c r="K17" s="71"/>
      <c r="L17" s="85"/>
      <c r="M17" s="85"/>
      <c r="N17" s="85"/>
      <c r="O17" s="85"/>
    </row>
    <row r="18" spans="9:15" x14ac:dyDescent="0.45">
      <c r="I18" s="84"/>
      <c r="J18" s="71"/>
      <c r="K18" s="71"/>
      <c r="L18" s="85"/>
      <c r="M18" s="85"/>
      <c r="N18" s="85"/>
      <c r="O18" s="85"/>
    </row>
    <row r="19" spans="9:15" x14ac:dyDescent="0.45">
      <c r="I19" s="84"/>
      <c r="J19" s="71"/>
      <c r="K19" s="71"/>
      <c r="L19" s="85"/>
      <c r="M19" s="85"/>
      <c r="N19" s="85"/>
      <c r="O19" s="85"/>
    </row>
    <row r="20" spans="9:15" x14ac:dyDescent="0.45">
      <c r="I20" s="84"/>
      <c r="J20" s="71"/>
      <c r="K20" s="71"/>
      <c r="L20" s="85"/>
      <c r="M20" s="85"/>
      <c r="N20" s="85"/>
      <c r="O20" s="85"/>
    </row>
  </sheetData>
  <conditionalFormatting sqref="C13:C1048576">
    <cfRule type="cellIs" dxfId="892" priority="117" operator="equal">
      <formula>"WIP (see comments)"</formula>
    </cfRule>
    <cfRule type="cellIs" dxfId="891" priority="118" operator="equal">
      <formula>"Removed"</formula>
    </cfRule>
    <cfRule type="cellIs" dxfId="890" priority="119" operator="equal">
      <formula>"Updated"</formula>
    </cfRule>
    <cfRule type="cellIs" dxfId="889" priority="120" operator="equal">
      <formula>"New"</formula>
    </cfRule>
  </conditionalFormatting>
  <conditionalFormatting sqref="A2:XFD2 A13:XFD1048576 A7:B12 A1:C1 E1:XFD1 D7:XFD12 A4:XFD6 A3:C3 E3:XFD3">
    <cfRule type="cellIs" dxfId="888" priority="112" operator="equal">
      <formula>"n/a"</formula>
    </cfRule>
  </conditionalFormatting>
  <conditionalFormatting sqref="C8 C11">
    <cfRule type="cellIs" dxfId="887" priority="78" operator="equal">
      <formula>"WIP (see comments)"</formula>
    </cfRule>
    <cfRule type="cellIs" dxfId="886" priority="79" operator="equal">
      <formula>"Removed"</formula>
    </cfRule>
    <cfRule type="cellIs" dxfId="885" priority="80" operator="equal">
      <formula>"Updated"</formula>
    </cfRule>
    <cfRule type="cellIs" dxfId="884" priority="81" operator="equal">
      <formula>"New"</formula>
    </cfRule>
  </conditionalFormatting>
  <conditionalFormatting sqref="C8 C11">
    <cfRule type="cellIs" dxfId="883" priority="77" operator="equal">
      <formula>"n/a"</formula>
    </cfRule>
  </conditionalFormatting>
  <conditionalFormatting sqref="D1">
    <cfRule type="cellIs" dxfId="882" priority="46" operator="equal">
      <formula>"n/a"</formula>
    </cfRule>
  </conditionalFormatting>
  <conditionalFormatting sqref="C12">
    <cfRule type="cellIs" dxfId="881" priority="41" operator="equal">
      <formula>"n/a"</formula>
    </cfRule>
  </conditionalFormatting>
  <conditionalFormatting sqref="C12">
    <cfRule type="cellIs" dxfId="880" priority="42" operator="equal">
      <formula>"WIP (see comments)"</formula>
    </cfRule>
    <cfRule type="cellIs" dxfId="879" priority="43" operator="equal">
      <formula>"Removed"</formula>
    </cfRule>
    <cfRule type="cellIs" dxfId="878" priority="44" operator="equal">
      <formula>"Updated"</formula>
    </cfRule>
    <cfRule type="cellIs" dxfId="877" priority="45" operator="equal">
      <formula>"New"</formula>
    </cfRule>
  </conditionalFormatting>
  <conditionalFormatting sqref="C7">
    <cfRule type="cellIs" dxfId="876" priority="26" operator="equal">
      <formula>"n/a"</formula>
    </cfRule>
  </conditionalFormatting>
  <conditionalFormatting sqref="C7">
    <cfRule type="cellIs" dxfId="875" priority="27" operator="equal">
      <formula>"WIP (see comments)"</formula>
    </cfRule>
    <cfRule type="cellIs" dxfId="874" priority="28" operator="equal">
      <formula>"Removed"</formula>
    </cfRule>
    <cfRule type="cellIs" dxfId="873" priority="29" operator="equal">
      <formula>"Updated"</formula>
    </cfRule>
    <cfRule type="cellIs" dxfId="872" priority="30" operator="equal">
      <formula>"New"</formula>
    </cfRule>
  </conditionalFormatting>
  <conditionalFormatting sqref="C10">
    <cfRule type="cellIs" dxfId="871" priority="8" operator="equal">
      <formula>"Future Change"</formula>
    </cfRule>
    <cfRule type="cellIs" dxfId="870" priority="10" operator="equal">
      <formula>"WIP (see comments)"</formula>
    </cfRule>
    <cfRule type="cellIs" dxfId="869" priority="11" operator="equal">
      <formula>"Removed"</formula>
    </cfRule>
    <cfRule type="cellIs" dxfId="868" priority="12" operator="equal">
      <formula>"Updated"</formula>
    </cfRule>
    <cfRule type="cellIs" dxfId="867" priority="13" operator="equal">
      <formula>"New"</formula>
    </cfRule>
  </conditionalFormatting>
  <conditionalFormatting sqref="C10">
    <cfRule type="cellIs" dxfId="866" priority="9" operator="equal">
      <formula>"n/a"</formula>
    </cfRule>
  </conditionalFormatting>
  <conditionalFormatting sqref="C9">
    <cfRule type="cellIs" dxfId="865" priority="2" operator="equal">
      <formula>"Future Change"</formula>
    </cfRule>
    <cfRule type="cellIs" dxfId="864" priority="4" operator="equal">
      <formula>"WIP (see comments)"</formula>
    </cfRule>
    <cfRule type="cellIs" dxfId="863" priority="5" operator="equal">
      <formula>"Removed"</formula>
    </cfRule>
    <cfRule type="cellIs" dxfId="862" priority="6" operator="equal">
      <formula>"Updated"</formula>
    </cfRule>
    <cfRule type="cellIs" dxfId="861" priority="7" operator="equal">
      <formula>"New"</formula>
    </cfRule>
  </conditionalFormatting>
  <conditionalFormatting sqref="C9">
    <cfRule type="cellIs" dxfId="860" priority="3" operator="equal">
      <formula>"n/a"</formula>
    </cfRule>
  </conditionalFormatting>
  <conditionalFormatting sqref="D3">
    <cfRule type="cellIs" dxfId="859" priority="1" operator="equal">
      <formula>"n/a"</formula>
    </cfRule>
  </conditionalFormatting>
  <dataValidations count="1">
    <dataValidation type="list" allowBlank="1" showInputMessage="1" showErrorMessage="1" sqref="C13:C1048576" xr:uid="{00000000-0002-0000-0500-000000000000}">
      <formula1>$B$5:$B$11</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500-000001000000}">
          <x14:formula1>
            <xm:f>'C:\Users\matsubar\Desktop\[In-Branch DCO Primary Applicant Field Spec Draft.xlsx]List Values'!#REF!</xm:f>
          </x14:formula1>
          <xm:sqref>E13:E1048576</xm:sqref>
        </x14:dataValidation>
        <x14:dataValidation type="list" allowBlank="1" showInputMessage="1" showErrorMessage="1" xr:uid="{00000000-0002-0000-0500-000002000000}">
          <x14:formula1>
            <xm:f>'List Values'!$B$5:$B$9</xm:f>
          </x14:formula1>
          <xm:sqref>C7:C8 C11:C12</xm:sqref>
        </x14:dataValidation>
        <x14:dataValidation type="list" allowBlank="1" showInputMessage="1" showErrorMessage="1" xr:uid="{00000000-0002-0000-0500-000003000000}">
          <x14:formula1>
            <xm:f>'List Values'!$A$5:$A$28</xm:f>
          </x14:formula1>
          <xm:sqref>E7:E12</xm:sqref>
        </x14:dataValidation>
        <x14:dataValidation type="list" allowBlank="1" showInputMessage="1" showErrorMessage="1" xr:uid="{00000000-0002-0000-0500-000004000000}">
          <x14:formula1>
            <xm:f>'List Values'!$B$5:$B$10</xm:f>
          </x14:formula1>
          <xm:sqref>C9:C10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P45"/>
  <sheetViews>
    <sheetView zoomScaleNormal="100" workbookViewId="0">
      <pane xSplit="4" ySplit="6" topLeftCell="E29" activePane="bottomRight" state="frozen"/>
      <selection pane="topRight" activeCell="E1" sqref="E1"/>
      <selection pane="bottomLeft" activeCell="A7" sqref="A7"/>
      <selection pane="bottomRight" activeCell="D3" sqref="D3"/>
    </sheetView>
  </sheetViews>
  <sheetFormatPr defaultColWidth="9.19921875" defaultRowHeight="14.25" x14ac:dyDescent="0.45"/>
  <cols>
    <col min="1" max="1" width="14.796875" style="72" customWidth="1"/>
    <col min="2" max="2" width="12.53125" style="72" customWidth="1"/>
    <col min="3" max="3" width="13" style="79" customWidth="1"/>
    <col min="4" max="4" width="45.19921875" style="72" customWidth="1"/>
    <col min="5" max="5" width="28.796875" style="72" customWidth="1"/>
    <col min="6" max="6" width="21.796875" style="72" customWidth="1"/>
    <col min="7" max="7" width="29.19921875" style="72" customWidth="1"/>
    <col min="8" max="8" width="27.796875" style="72" customWidth="1"/>
    <col min="9" max="9" width="34.796875" style="72" customWidth="1"/>
    <col min="10" max="10" width="28.19921875" style="72" customWidth="1"/>
    <col min="11" max="11" width="16.46484375" style="72" customWidth="1"/>
    <col min="12" max="12" width="23" style="72" customWidth="1"/>
    <col min="13" max="13" width="29" style="72" customWidth="1"/>
    <col min="14" max="14" width="25.53125" style="72" customWidth="1"/>
    <col min="15" max="15" width="48.46484375" style="72" customWidth="1"/>
    <col min="16" max="16" width="41.796875" style="72" customWidth="1"/>
    <col min="17" max="16384" width="9.19921875" style="72"/>
  </cols>
  <sheetData>
    <row r="1" spans="1:16" s="75" customFormat="1" ht="18" x14ac:dyDescent="0.45">
      <c r="A1" s="73" t="s">
        <v>7</v>
      </c>
      <c r="B1" s="83" t="s">
        <v>190</v>
      </c>
      <c r="C1" s="77"/>
      <c r="D1" s="74"/>
    </row>
    <row r="2" spans="1:16" s="75" customFormat="1" ht="18" x14ac:dyDescent="0.45">
      <c r="A2" s="73" t="s">
        <v>8</v>
      </c>
      <c r="B2" s="81">
        <v>4</v>
      </c>
      <c r="C2" s="80"/>
      <c r="D2" s="81"/>
    </row>
    <row r="3" spans="1:16" s="75" customFormat="1" ht="18" x14ac:dyDescent="0.45">
      <c r="A3" s="73" t="s">
        <v>44</v>
      </c>
      <c r="B3" s="81" t="s">
        <v>431</v>
      </c>
      <c r="C3" s="80"/>
      <c r="D3" s="81"/>
    </row>
    <row r="4" spans="1:16" s="75" customFormat="1" ht="18" x14ac:dyDescent="0.45">
      <c r="A4" s="73" t="s">
        <v>9</v>
      </c>
      <c r="B4" s="75" t="s">
        <v>46</v>
      </c>
      <c r="C4" s="80"/>
    </row>
    <row r="5" spans="1:16" s="70" customFormat="1" x14ac:dyDescent="0.45">
      <c r="A5" s="56"/>
      <c r="C5" s="82"/>
    </row>
    <row r="6" spans="1:16" s="76" customFormat="1" ht="14.65" thickBot="1" x14ac:dyDescent="0.5">
      <c r="A6" s="76" t="s">
        <v>11</v>
      </c>
      <c r="B6" s="76" t="s">
        <v>12</v>
      </c>
      <c r="C6" s="78" t="s">
        <v>26</v>
      </c>
      <c r="D6" s="76" t="s">
        <v>25</v>
      </c>
      <c r="E6" s="76" t="s">
        <v>13</v>
      </c>
      <c r="F6" s="76" t="s">
        <v>14</v>
      </c>
      <c r="G6" s="76" t="s">
        <v>15</v>
      </c>
      <c r="H6" s="76" t="s">
        <v>16</v>
      </c>
      <c r="I6" s="76" t="s">
        <v>17</v>
      </c>
      <c r="J6" s="76" t="s">
        <v>18</v>
      </c>
      <c r="K6" s="76" t="s">
        <v>19</v>
      </c>
      <c r="L6" s="76" t="s">
        <v>20</v>
      </c>
      <c r="M6" s="76" t="s">
        <v>21</v>
      </c>
      <c r="N6" s="76" t="s">
        <v>22</v>
      </c>
      <c r="O6" s="76" t="s">
        <v>23</v>
      </c>
      <c r="P6" s="76" t="s">
        <v>24</v>
      </c>
    </row>
    <row r="7" spans="1:16" x14ac:dyDescent="0.45">
      <c r="A7" s="72">
        <v>1</v>
      </c>
      <c r="B7" s="72" t="str">
        <f>CONCATENATE($B$2, ".", A7)</f>
        <v>4.1</v>
      </c>
      <c r="C7" s="101" t="s">
        <v>40</v>
      </c>
      <c r="D7" s="84" t="s">
        <v>201</v>
      </c>
      <c r="E7" s="72" t="s">
        <v>29</v>
      </c>
      <c r="F7" s="72" t="s">
        <v>37</v>
      </c>
      <c r="G7" s="72" t="s">
        <v>37</v>
      </c>
      <c r="H7" s="72" t="s">
        <v>37</v>
      </c>
      <c r="I7" s="84" t="s">
        <v>10</v>
      </c>
      <c r="J7" s="71" t="s">
        <v>37</v>
      </c>
      <c r="K7" s="71" t="s">
        <v>37</v>
      </c>
      <c r="L7" s="71" t="s">
        <v>37</v>
      </c>
      <c r="M7" s="71" t="s">
        <v>37</v>
      </c>
      <c r="N7" s="71" t="s">
        <v>37</v>
      </c>
      <c r="O7" s="71" t="s">
        <v>37</v>
      </c>
      <c r="P7" s="91" t="s">
        <v>234</v>
      </c>
    </row>
    <row r="8" spans="1:16" x14ac:dyDescent="0.45">
      <c r="A8" s="72">
        <v>2</v>
      </c>
      <c r="B8" s="72" t="str">
        <f>CONCATENATE($B$2, ".", A8)</f>
        <v>4.2</v>
      </c>
      <c r="C8" s="86" t="s">
        <v>40</v>
      </c>
      <c r="D8" s="84" t="s">
        <v>37</v>
      </c>
      <c r="E8" s="72" t="s">
        <v>47</v>
      </c>
      <c r="F8" s="72" t="s">
        <v>37</v>
      </c>
      <c r="G8" s="72" t="s">
        <v>37</v>
      </c>
      <c r="H8" s="72" t="s">
        <v>37</v>
      </c>
      <c r="I8" s="84" t="s">
        <v>10</v>
      </c>
      <c r="J8" s="71" t="s">
        <v>37</v>
      </c>
      <c r="K8" s="71" t="s">
        <v>37</v>
      </c>
      <c r="L8" s="71" t="s">
        <v>37</v>
      </c>
      <c r="M8" s="71" t="s">
        <v>37</v>
      </c>
      <c r="N8" s="71" t="s">
        <v>37</v>
      </c>
      <c r="O8" s="71" t="s">
        <v>37</v>
      </c>
    </row>
    <row r="9" spans="1:16" s="60" customFormat="1" x14ac:dyDescent="0.45">
      <c r="A9" s="125"/>
      <c r="B9" s="125"/>
      <c r="C9" s="125"/>
      <c r="D9" s="125"/>
      <c r="E9" s="125"/>
    </row>
    <row r="10" spans="1:16" s="84" customFormat="1" ht="128.25" customHeight="1" x14ac:dyDescent="0.45">
      <c r="A10" s="84">
        <v>3</v>
      </c>
      <c r="B10" s="84" t="str">
        <f t="shared" ref="B10:B15" si="0">CONCATENATE($B$2, ".", A10)</f>
        <v>4.3</v>
      </c>
      <c r="C10" s="106" t="s">
        <v>40</v>
      </c>
      <c r="D10" s="84" t="s">
        <v>274</v>
      </c>
      <c r="E10" s="84" t="s">
        <v>67</v>
      </c>
      <c r="F10" s="84" t="s">
        <v>50</v>
      </c>
      <c r="G10" s="84" t="s">
        <v>37</v>
      </c>
      <c r="H10" s="69">
        <v>35</v>
      </c>
      <c r="I10" s="84" t="s">
        <v>10</v>
      </c>
      <c r="J10" s="85" t="s">
        <v>37</v>
      </c>
      <c r="K10" s="85" t="s">
        <v>52</v>
      </c>
      <c r="L10" s="107" t="s">
        <v>530</v>
      </c>
      <c r="M10" s="85" t="s">
        <v>37</v>
      </c>
      <c r="N10" s="85" t="s">
        <v>138</v>
      </c>
      <c r="O10" s="85" t="s">
        <v>106</v>
      </c>
      <c r="P10" s="84" t="s">
        <v>234</v>
      </c>
    </row>
    <row r="11" spans="1:16" s="84" customFormat="1" ht="42.75" x14ac:dyDescent="0.45">
      <c r="A11" s="84">
        <v>4</v>
      </c>
      <c r="B11" s="84" t="str">
        <f t="shared" si="0"/>
        <v>4.4</v>
      </c>
      <c r="C11" s="106" t="s">
        <v>40</v>
      </c>
      <c r="D11" s="84" t="s">
        <v>68</v>
      </c>
      <c r="E11" s="84" t="s">
        <v>33</v>
      </c>
      <c r="F11" s="91" t="s">
        <v>110</v>
      </c>
      <c r="G11" s="84" t="s">
        <v>37</v>
      </c>
      <c r="H11" s="69">
        <v>10</v>
      </c>
      <c r="I11" s="84" t="s">
        <v>194</v>
      </c>
      <c r="J11" s="85" t="s">
        <v>82</v>
      </c>
      <c r="K11" s="85" t="s">
        <v>52</v>
      </c>
      <c r="L11" s="107" t="s">
        <v>531</v>
      </c>
      <c r="M11" s="92" t="s">
        <v>111</v>
      </c>
      <c r="N11" s="85" t="s">
        <v>37</v>
      </c>
      <c r="O11" s="85"/>
    </row>
    <row r="12" spans="1:16" s="84" customFormat="1" ht="42.75" x14ac:dyDescent="0.45">
      <c r="A12" s="84">
        <v>5</v>
      </c>
      <c r="B12" s="84" t="str">
        <f t="shared" si="0"/>
        <v>4.5</v>
      </c>
      <c r="C12" s="106" t="s">
        <v>40</v>
      </c>
      <c r="D12" s="84" t="s">
        <v>83</v>
      </c>
      <c r="E12" s="84" t="s">
        <v>33</v>
      </c>
      <c r="F12" s="91" t="s">
        <v>110</v>
      </c>
      <c r="G12" s="84" t="s">
        <v>37</v>
      </c>
      <c r="H12" s="69">
        <v>35</v>
      </c>
      <c r="I12" s="84" t="s">
        <v>194</v>
      </c>
      <c r="J12" s="85" t="s">
        <v>82</v>
      </c>
      <c r="K12" s="85" t="s">
        <v>52</v>
      </c>
      <c r="L12" s="107" t="s">
        <v>532</v>
      </c>
      <c r="M12" s="92" t="s">
        <v>111</v>
      </c>
      <c r="N12" s="85" t="s">
        <v>37</v>
      </c>
      <c r="O12" s="85"/>
    </row>
    <row r="13" spans="1:16" s="84" customFormat="1" ht="42.75" x14ac:dyDescent="0.45">
      <c r="A13" s="84">
        <v>6</v>
      </c>
      <c r="B13" s="84" t="str">
        <f t="shared" si="0"/>
        <v>4.6</v>
      </c>
      <c r="C13" s="86" t="s">
        <v>40</v>
      </c>
      <c r="D13" s="84" t="s">
        <v>63</v>
      </c>
      <c r="E13" s="84" t="s">
        <v>33</v>
      </c>
      <c r="F13" s="91" t="s">
        <v>110</v>
      </c>
      <c r="G13" s="84" t="s">
        <v>37</v>
      </c>
      <c r="H13" s="69">
        <v>10</v>
      </c>
      <c r="I13" s="84" t="s">
        <v>194</v>
      </c>
      <c r="J13" s="85" t="s">
        <v>82</v>
      </c>
      <c r="K13" s="85" t="s">
        <v>69</v>
      </c>
      <c r="L13" s="85" t="s">
        <v>37</v>
      </c>
      <c r="M13" s="92" t="s">
        <v>111</v>
      </c>
      <c r="N13" s="85" t="s">
        <v>37</v>
      </c>
      <c r="O13" s="85"/>
    </row>
    <row r="14" spans="1:16" s="84" customFormat="1" ht="42.75" x14ac:dyDescent="0.45">
      <c r="A14" s="84">
        <v>7</v>
      </c>
      <c r="B14" s="84" t="str">
        <f t="shared" si="0"/>
        <v>4.7</v>
      </c>
      <c r="C14" s="101" t="s">
        <v>40</v>
      </c>
      <c r="D14" s="84" t="s">
        <v>64</v>
      </c>
      <c r="E14" s="84" t="s">
        <v>33</v>
      </c>
      <c r="F14" s="91" t="s">
        <v>110</v>
      </c>
      <c r="G14" s="84" t="s">
        <v>37</v>
      </c>
      <c r="H14" s="69">
        <v>20</v>
      </c>
      <c r="I14" s="84" t="s">
        <v>194</v>
      </c>
      <c r="J14" s="85" t="s">
        <v>82</v>
      </c>
      <c r="K14" s="85" t="s">
        <v>52</v>
      </c>
      <c r="L14" s="107" t="s">
        <v>533</v>
      </c>
      <c r="M14" s="92" t="s">
        <v>111</v>
      </c>
      <c r="N14" s="85" t="s">
        <v>37</v>
      </c>
      <c r="O14" s="85"/>
    </row>
    <row r="15" spans="1:16" s="84" customFormat="1" ht="96.75" customHeight="1" x14ac:dyDescent="0.45">
      <c r="A15" s="84">
        <v>8</v>
      </c>
      <c r="B15" s="84" t="str">
        <f t="shared" si="0"/>
        <v>4.8</v>
      </c>
      <c r="C15" s="101" t="s">
        <v>40</v>
      </c>
      <c r="D15" s="84" t="s">
        <v>65</v>
      </c>
      <c r="E15" s="84" t="s">
        <v>35</v>
      </c>
      <c r="F15" s="84" t="s">
        <v>50</v>
      </c>
      <c r="G15" s="84" t="s">
        <v>37</v>
      </c>
      <c r="H15" s="69">
        <v>15</v>
      </c>
      <c r="I15" s="84" t="s">
        <v>194</v>
      </c>
      <c r="J15" s="85" t="s">
        <v>82</v>
      </c>
      <c r="K15" s="85" t="s">
        <v>52</v>
      </c>
      <c r="L15" s="107" t="s">
        <v>534</v>
      </c>
      <c r="M15" s="85" t="s">
        <v>70</v>
      </c>
      <c r="N15" s="85" t="s">
        <v>137</v>
      </c>
      <c r="O15" s="85"/>
    </row>
    <row r="16" spans="1:16" s="84" customFormat="1" ht="28.5" x14ac:dyDescent="0.45">
      <c r="A16" s="84">
        <v>9</v>
      </c>
      <c r="B16" s="84" t="str">
        <f>CONCATENATE($B$2, ".", A16)</f>
        <v>4.9</v>
      </c>
      <c r="C16" s="101" t="s">
        <v>40</v>
      </c>
      <c r="D16" s="84" t="s">
        <v>66</v>
      </c>
      <c r="E16" s="84" t="s">
        <v>33</v>
      </c>
      <c r="F16" s="84" t="s">
        <v>50</v>
      </c>
      <c r="G16" s="84" t="s">
        <v>37</v>
      </c>
      <c r="H16" s="69">
        <v>7</v>
      </c>
      <c r="I16" s="84" t="s">
        <v>194</v>
      </c>
      <c r="J16" s="85" t="s">
        <v>82</v>
      </c>
      <c r="K16" s="85" t="s">
        <v>52</v>
      </c>
      <c r="L16" s="107" t="s">
        <v>535</v>
      </c>
      <c r="M16" s="85" t="s">
        <v>37</v>
      </c>
      <c r="N16" s="85" t="s">
        <v>37</v>
      </c>
      <c r="O16" s="85"/>
    </row>
    <row r="17" spans="1:16" s="60" customFormat="1" x14ac:dyDescent="0.45"/>
    <row r="18" spans="1:16" s="84" customFormat="1" ht="66" customHeight="1" x14ac:dyDescent="0.45">
      <c r="A18" s="84">
        <v>10</v>
      </c>
      <c r="B18" s="84" t="str">
        <f t="shared" ref="B18:B24" si="1">CONCATENATE($B$2, ".", A18)</f>
        <v>4.10</v>
      </c>
      <c r="C18" s="101" t="s">
        <v>38</v>
      </c>
      <c r="D18" s="84" t="s">
        <v>205</v>
      </c>
      <c r="E18" s="84" t="s">
        <v>32</v>
      </c>
      <c r="F18" s="84" t="s">
        <v>57</v>
      </c>
      <c r="G18" s="84" t="s">
        <v>37</v>
      </c>
      <c r="H18" s="84" t="s">
        <v>37</v>
      </c>
      <c r="I18" s="84" t="s">
        <v>10</v>
      </c>
      <c r="J18" s="85" t="s">
        <v>61</v>
      </c>
      <c r="K18" s="85" t="s">
        <v>52</v>
      </c>
      <c r="L18" s="109" t="s">
        <v>573</v>
      </c>
      <c r="M18" s="85" t="s">
        <v>37</v>
      </c>
      <c r="N18" s="85" t="s">
        <v>37</v>
      </c>
      <c r="O18" s="85" t="s">
        <v>37</v>
      </c>
      <c r="P18" s="84" t="s">
        <v>237</v>
      </c>
    </row>
    <row r="19" spans="1:16" s="84" customFormat="1" ht="81.75" customHeight="1" x14ac:dyDescent="0.45">
      <c r="A19" s="84">
        <v>11</v>
      </c>
      <c r="B19" s="84" t="str">
        <f t="shared" si="1"/>
        <v>4.11</v>
      </c>
      <c r="C19" s="101" t="s">
        <v>40</v>
      </c>
      <c r="D19" s="84" t="s">
        <v>204</v>
      </c>
      <c r="E19" s="84" t="s">
        <v>67</v>
      </c>
      <c r="F19" s="84" t="s">
        <v>50</v>
      </c>
      <c r="G19" s="84" t="s">
        <v>37</v>
      </c>
      <c r="H19" s="69">
        <v>35</v>
      </c>
      <c r="I19" s="84" t="s">
        <v>195</v>
      </c>
      <c r="J19" s="85" t="s">
        <v>82</v>
      </c>
      <c r="K19" s="85" t="s">
        <v>52</v>
      </c>
      <c r="L19" s="107" t="s">
        <v>536</v>
      </c>
      <c r="M19" s="85" t="s">
        <v>37</v>
      </c>
      <c r="N19" s="85" t="s">
        <v>37</v>
      </c>
      <c r="O19" s="85" t="s">
        <v>106</v>
      </c>
      <c r="P19" s="91" t="s">
        <v>237</v>
      </c>
    </row>
    <row r="20" spans="1:16" s="84" customFormat="1" ht="49.5" customHeight="1" x14ac:dyDescent="0.45">
      <c r="A20" s="84">
        <v>12</v>
      </c>
      <c r="B20" s="84" t="str">
        <f t="shared" si="1"/>
        <v>4.12</v>
      </c>
      <c r="C20" s="101" t="s">
        <v>40</v>
      </c>
      <c r="D20" s="84" t="s">
        <v>68</v>
      </c>
      <c r="E20" s="84" t="s">
        <v>33</v>
      </c>
      <c r="F20" s="91" t="s">
        <v>110</v>
      </c>
      <c r="G20" s="84" t="s">
        <v>37</v>
      </c>
      <c r="H20" s="69">
        <v>10</v>
      </c>
      <c r="I20" s="84" t="s">
        <v>196</v>
      </c>
      <c r="J20" s="85" t="s">
        <v>82</v>
      </c>
      <c r="K20" s="85" t="s">
        <v>69</v>
      </c>
      <c r="L20" s="85" t="s">
        <v>37</v>
      </c>
      <c r="M20" s="92" t="s">
        <v>111</v>
      </c>
      <c r="N20" s="85" t="s">
        <v>37</v>
      </c>
      <c r="O20" s="85"/>
    </row>
    <row r="21" spans="1:16" s="84" customFormat="1" ht="54" customHeight="1" x14ac:dyDescent="0.45">
      <c r="A21" s="84">
        <v>13</v>
      </c>
      <c r="B21" s="84" t="str">
        <f t="shared" si="1"/>
        <v>4.13</v>
      </c>
      <c r="C21" s="101" t="s">
        <v>40</v>
      </c>
      <c r="D21" s="84" t="s">
        <v>83</v>
      </c>
      <c r="E21" s="84" t="s">
        <v>33</v>
      </c>
      <c r="F21" s="91" t="s">
        <v>110</v>
      </c>
      <c r="G21" s="84" t="s">
        <v>37</v>
      </c>
      <c r="H21" s="69">
        <v>35</v>
      </c>
      <c r="I21" s="84" t="s">
        <v>196</v>
      </c>
      <c r="J21" s="85" t="s">
        <v>82</v>
      </c>
      <c r="K21" s="85" t="s">
        <v>52</v>
      </c>
      <c r="L21" s="107" t="s">
        <v>532</v>
      </c>
      <c r="M21" s="92" t="s">
        <v>111</v>
      </c>
      <c r="N21" s="85" t="s">
        <v>37</v>
      </c>
      <c r="O21" s="85"/>
    </row>
    <row r="22" spans="1:16" s="84" customFormat="1" ht="54" customHeight="1" x14ac:dyDescent="0.45">
      <c r="A22" s="84">
        <v>14</v>
      </c>
      <c r="B22" s="84" t="str">
        <f t="shared" si="1"/>
        <v>4.14</v>
      </c>
      <c r="C22" s="101" t="s">
        <v>40</v>
      </c>
      <c r="D22" s="84" t="s">
        <v>63</v>
      </c>
      <c r="E22" s="84" t="s">
        <v>33</v>
      </c>
      <c r="F22" s="91" t="s">
        <v>110</v>
      </c>
      <c r="G22" s="84" t="s">
        <v>37</v>
      </c>
      <c r="H22" s="69">
        <v>10</v>
      </c>
      <c r="I22" s="84" t="s">
        <v>196</v>
      </c>
      <c r="J22" s="85" t="s">
        <v>82</v>
      </c>
      <c r="K22" s="85" t="s">
        <v>69</v>
      </c>
      <c r="L22" s="85" t="s">
        <v>37</v>
      </c>
      <c r="M22" s="92" t="s">
        <v>111</v>
      </c>
      <c r="N22" s="85" t="s">
        <v>37</v>
      </c>
      <c r="O22" s="85"/>
    </row>
    <row r="23" spans="1:16" s="84" customFormat="1" ht="50.25" customHeight="1" x14ac:dyDescent="0.45">
      <c r="A23" s="84">
        <v>15</v>
      </c>
      <c r="B23" s="84" t="str">
        <f t="shared" si="1"/>
        <v>4.15</v>
      </c>
      <c r="C23" s="101" t="s">
        <v>40</v>
      </c>
      <c r="D23" s="84" t="s">
        <v>64</v>
      </c>
      <c r="E23" s="84" t="s">
        <v>33</v>
      </c>
      <c r="F23" s="91" t="s">
        <v>110</v>
      </c>
      <c r="G23" s="84" t="s">
        <v>37</v>
      </c>
      <c r="H23" s="69">
        <v>20</v>
      </c>
      <c r="I23" s="84" t="s">
        <v>196</v>
      </c>
      <c r="J23" s="85" t="s">
        <v>82</v>
      </c>
      <c r="K23" s="85" t="s">
        <v>52</v>
      </c>
      <c r="L23" s="107" t="s">
        <v>533</v>
      </c>
      <c r="M23" s="92" t="s">
        <v>111</v>
      </c>
      <c r="N23" s="85" t="s">
        <v>37</v>
      </c>
      <c r="O23" s="85"/>
    </row>
    <row r="24" spans="1:16" s="84" customFormat="1" ht="57" x14ac:dyDescent="0.45">
      <c r="A24" s="84">
        <v>16</v>
      </c>
      <c r="B24" s="84" t="str">
        <f t="shared" si="1"/>
        <v>4.16</v>
      </c>
      <c r="C24" s="101" t="s">
        <v>40</v>
      </c>
      <c r="D24" s="84" t="s">
        <v>65</v>
      </c>
      <c r="E24" s="84" t="s">
        <v>35</v>
      </c>
      <c r="F24" s="84" t="s">
        <v>50</v>
      </c>
      <c r="G24" s="84" t="s">
        <v>37</v>
      </c>
      <c r="H24" s="69">
        <v>15</v>
      </c>
      <c r="I24" s="84" t="s">
        <v>196</v>
      </c>
      <c r="J24" s="85" t="s">
        <v>82</v>
      </c>
      <c r="K24" s="85" t="s">
        <v>52</v>
      </c>
      <c r="L24" s="107" t="s">
        <v>534</v>
      </c>
      <c r="M24" s="85" t="s">
        <v>93</v>
      </c>
      <c r="N24" s="85"/>
      <c r="O24" s="85"/>
    </row>
    <row r="25" spans="1:16" s="84" customFormat="1" ht="42.75" x14ac:dyDescent="0.45">
      <c r="A25" s="84">
        <v>17</v>
      </c>
      <c r="B25" s="84" t="str">
        <f>CONCATENATE($B$2, ".", A25)</f>
        <v>4.17</v>
      </c>
      <c r="C25" s="101" t="s">
        <v>40</v>
      </c>
      <c r="D25" s="84" t="s">
        <v>66</v>
      </c>
      <c r="E25" s="84" t="s">
        <v>33</v>
      </c>
      <c r="F25" s="84" t="s">
        <v>50</v>
      </c>
      <c r="G25" s="84" t="s">
        <v>37</v>
      </c>
      <c r="H25" s="69">
        <v>7</v>
      </c>
      <c r="I25" s="84" t="s">
        <v>196</v>
      </c>
      <c r="J25" s="85" t="s">
        <v>82</v>
      </c>
      <c r="K25" s="85" t="s">
        <v>52</v>
      </c>
      <c r="L25" s="107" t="s">
        <v>535</v>
      </c>
      <c r="M25" s="85" t="s">
        <v>37</v>
      </c>
      <c r="N25" s="85" t="s">
        <v>37</v>
      </c>
      <c r="O25" s="85"/>
    </row>
    <row r="26" spans="1:16" s="60" customFormat="1" x14ac:dyDescent="0.45"/>
    <row r="27" spans="1:16" s="84" customFormat="1" ht="42.75" x14ac:dyDescent="0.45">
      <c r="A27" s="84">
        <v>18</v>
      </c>
      <c r="B27" s="84" t="str">
        <f t="shared" ref="B27:B33" si="2">CONCATENATE($B$2, ".", A27)</f>
        <v>4.18</v>
      </c>
      <c r="C27" s="106" t="s">
        <v>38</v>
      </c>
      <c r="D27" s="109" t="s">
        <v>571</v>
      </c>
      <c r="E27" s="84" t="s">
        <v>32</v>
      </c>
      <c r="F27" s="84" t="s">
        <v>57</v>
      </c>
      <c r="G27" s="84" t="s">
        <v>37</v>
      </c>
      <c r="H27" s="84" t="s">
        <v>37</v>
      </c>
      <c r="I27" s="84" t="s">
        <v>10</v>
      </c>
      <c r="J27" s="85" t="s">
        <v>61</v>
      </c>
      <c r="K27" s="85" t="s">
        <v>52</v>
      </c>
      <c r="L27" s="85" t="s">
        <v>81</v>
      </c>
      <c r="M27" s="85" t="s">
        <v>37</v>
      </c>
      <c r="N27" s="85" t="s">
        <v>37</v>
      </c>
      <c r="O27" s="85" t="s">
        <v>37</v>
      </c>
    </row>
    <row r="28" spans="1:16" s="84" customFormat="1" ht="144.75" customHeight="1" x14ac:dyDescent="0.45">
      <c r="A28" s="84">
        <v>19</v>
      </c>
      <c r="B28" s="84" t="str">
        <f t="shared" si="2"/>
        <v>4.19</v>
      </c>
      <c r="C28" s="101" t="s">
        <v>40</v>
      </c>
      <c r="D28" s="84" t="s">
        <v>206</v>
      </c>
      <c r="E28" s="84" t="s">
        <v>67</v>
      </c>
      <c r="F28" s="84" t="s">
        <v>50</v>
      </c>
      <c r="G28" s="98" t="s">
        <v>37</v>
      </c>
      <c r="H28" s="69">
        <v>35</v>
      </c>
      <c r="I28" s="84" t="s">
        <v>198</v>
      </c>
      <c r="J28" s="85" t="s">
        <v>82</v>
      </c>
      <c r="K28" s="85" t="s">
        <v>197</v>
      </c>
      <c r="L28" s="107" t="s">
        <v>537</v>
      </c>
      <c r="M28" s="85" t="s">
        <v>37</v>
      </c>
      <c r="N28" s="85" t="s">
        <v>37</v>
      </c>
      <c r="O28" s="85" t="s">
        <v>107</v>
      </c>
    </row>
    <row r="29" spans="1:16" s="84" customFormat="1" ht="49.5" customHeight="1" x14ac:dyDescent="0.45">
      <c r="A29" s="84">
        <v>20</v>
      </c>
      <c r="B29" s="84" t="str">
        <f t="shared" si="2"/>
        <v>4.20</v>
      </c>
      <c r="C29" s="101" t="s">
        <v>40</v>
      </c>
      <c r="D29" s="84" t="s">
        <v>68</v>
      </c>
      <c r="E29" s="84" t="s">
        <v>33</v>
      </c>
      <c r="F29" s="98" t="s">
        <v>110</v>
      </c>
      <c r="G29" s="84" t="s">
        <v>37</v>
      </c>
      <c r="H29" s="69">
        <v>10</v>
      </c>
      <c r="I29" s="84" t="s">
        <v>199</v>
      </c>
      <c r="J29" s="85" t="s">
        <v>82</v>
      </c>
      <c r="K29" s="69" t="s">
        <v>71</v>
      </c>
      <c r="L29" s="69" t="s">
        <v>37</v>
      </c>
      <c r="M29" s="92" t="s">
        <v>111</v>
      </c>
      <c r="N29" s="85" t="s">
        <v>37</v>
      </c>
      <c r="O29" s="85"/>
    </row>
    <row r="30" spans="1:16" s="84" customFormat="1" ht="42.75" x14ac:dyDescent="0.45">
      <c r="A30" s="84">
        <v>21</v>
      </c>
      <c r="B30" s="84" t="str">
        <f t="shared" si="2"/>
        <v>4.21</v>
      </c>
      <c r="C30" s="101" t="s">
        <v>40</v>
      </c>
      <c r="D30" s="84" t="s">
        <v>84</v>
      </c>
      <c r="E30" s="84" t="s">
        <v>33</v>
      </c>
      <c r="F30" s="98" t="s">
        <v>110</v>
      </c>
      <c r="G30" s="84" t="s">
        <v>37</v>
      </c>
      <c r="H30" s="69">
        <v>35</v>
      </c>
      <c r="I30" s="84" t="s">
        <v>199</v>
      </c>
      <c r="J30" s="85" t="s">
        <v>82</v>
      </c>
      <c r="K30" s="85" t="s">
        <v>52</v>
      </c>
      <c r="L30" s="107" t="s">
        <v>538</v>
      </c>
      <c r="M30" s="92" t="s">
        <v>111</v>
      </c>
      <c r="N30" s="85" t="s">
        <v>37</v>
      </c>
      <c r="O30" s="85"/>
    </row>
    <row r="31" spans="1:16" s="84" customFormat="1" ht="54" customHeight="1" x14ac:dyDescent="0.45">
      <c r="A31" s="84">
        <v>22</v>
      </c>
      <c r="B31" s="84" t="str">
        <f t="shared" si="2"/>
        <v>4.22</v>
      </c>
      <c r="C31" s="101" t="s">
        <v>40</v>
      </c>
      <c r="D31" s="84" t="s">
        <v>63</v>
      </c>
      <c r="E31" s="84" t="s">
        <v>33</v>
      </c>
      <c r="F31" s="98" t="s">
        <v>110</v>
      </c>
      <c r="G31" s="84" t="s">
        <v>37</v>
      </c>
      <c r="H31" s="69">
        <v>10</v>
      </c>
      <c r="I31" s="84" t="s">
        <v>199</v>
      </c>
      <c r="J31" s="85" t="s">
        <v>82</v>
      </c>
      <c r="K31" s="85" t="s">
        <v>69</v>
      </c>
      <c r="L31" s="85" t="s">
        <v>37</v>
      </c>
      <c r="M31" s="92" t="s">
        <v>111</v>
      </c>
      <c r="N31" s="85" t="s">
        <v>37</v>
      </c>
      <c r="O31" s="85"/>
    </row>
    <row r="32" spans="1:16" s="84" customFormat="1" ht="50.25" customHeight="1" x14ac:dyDescent="0.45">
      <c r="A32" s="84">
        <v>23</v>
      </c>
      <c r="B32" s="84" t="str">
        <f t="shared" si="2"/>
        <v>4.23</v>
      </c>
      <c r="C32" s="101" t="s">
        <v>40</v>
      </c>
      <c r="D32" s="84" t="s">
        <v>64</v>
      </c>
      <c r="E32" s="84" t="s">
        <v>33</v>
      </c>
      <c r="F32" s="98" t="s">
        <v>110</v>
      </c>
      <c r="G32" s="84" t="s">
        <v>37</v>
      </c>
      <c r="H32" s="69">
        <v>20</v>
      </c>
      <c r="I32" s="84" t="s">
        <v>199</v>
      </c>
      <c r="J32" s="85" t="s">
        <v>82</v>
      </c>
      <c r="K32" s="85" t="s">
        <v>52</v>
      </c>
      <c r="L32" s="107" t="s">
        <v>533</v>
      </c>
      <c r="M32" s="92" t="s">
        <v>111</v>
      </c>
      <c r="N32" s="85" t="s">
        <v>37</v>
      </c>
      <c r="O32" s="85"/>
    </row>
    <row r="33" spans="1:15" s="84" customFormat="1" ht="57" x14ac:dyDescent="0.45">
      <c r="A33" s="84">
        <v>24</v>
      </c>
      <c r="B33" s="84" t="str">
        <f t="shared" si="2"/>
        <v>4.24</v>
      </c>
      <c r="C33" s="106" t="s">
        <v>38</v>
      </c>
      <c r="D33" s="84" t="s">
        <v>65</v>
      </c>
      <c r="E33" s="84" t="s">
        <v>35</v>
      </c>
      <c r="F33" s="84" t="s">
        <v>50</v>
      </c>
      <c r="G33" s="84" t="s">
        <v>37</v>
      </c>
      <c r="H33" s="69">
        <v>15</v>
      </c>
      <c r="I33" s="84" t="s">
        <v>199</v>
      </c>
      <c r="J33" s="85" t="s">
        <v>82</v>
      </c>
      <c r="K33" s="85" t="s">
        <v>52</v>
      </c>
      <c r="L33" s="109" t="s">
        <v>572</v>
      </c>
      <c r="M33" s="85" t="s">
        <v>94</v>
      </c>
      <c r="N33" s="85" t="s">
        <v>37</v>
      </c>
      <c r="O33" s="85"/>
    </row>
    <row r="34" spans="1:15" s="84" customFormat="1" ht="42.75" x14ac:dyDescent="0.45">
      <c r="A34" s="84">
        <v>25</v>
      </c>
      <c r="B34" s="84" t="str">
        <f>CONCATENATE($B$2, ".", A34)</f>
        <v>4.25</v>
      </c>
      <c r="C34" s="101" t="s">
        <v>40</v>
      </c>
      <c r="D34" s="84" t="s">
        <v>66</v>
      </c>
      <c r="E34" s="84" t="s">
        <v>33</v>
      </c>
      <c r="F34" s="84" t="s">
        <v>50</v>
      </c>
      <c r="G34" s="84" t="s">
        <v>37</v>
      </c>
      <c r="H34" s="69">
        <v>7</v>
      </c>
      <c r="I34" s="84" t="s">
        <v>199</v>
      </c>
      <c r="J34" s="85" t="s">
        <v>82</v>
      </c>
      <c r="K34" s="85" t="s">
        <v>52</v>
      </c>
      <c r="L34" s="107" t="s">
        <v>535</v>
      </c>
      <c r="M34" s="85"/>
      <c r="N34" s="85"/>
      <c r="O34" s="85"/>
    </row>
    <row r="35" spans="1:15" s="60" customFormat="1" x14ac:dyDescent="0.45"/>
    <row r="36" spans="1:15" x14ac:dyDescent="0.45">
      <c r="A36" s="72">
        <v>26</v>
      </c>
      <c r="B36" s="72" t="str">
        <f>CONCATENATE($B$2, ".", A36)</f>
        <v>4.26</v>
      </c>
      <c r="C36" s="86" t="s">
        <v>40</v>
      </c>
      <c r="D36" s="72" t="s">
        <v>56</v>
      </c>
      <c r="E36" s="72" t="s">
        <v>43</v>
      </c>
      <c r="F36" s="72" t="s">
        <v>37</v>
      </c>
      <c r="G36" s="72" t="s">
        <v>37</v>
      </c>
      <c r="H36" s="72" t="s">
        <v>37</v>
      </c>
      <c r="I36" s="72" t="s">
        <v>10</v>
      </c>
      <c r="J36" s="72" t="s">
        <v>37</v>
      </c>
      <c r="K36" s="72" t="s">
        <v>37</v>
      </c>
      <c r="L36" s="72" t="s">
        <v>37</v>
      </c>
      <c r="M36" s="72" t="s">
        <v>37</v>
      </c>
      <c r="N36" s="72" t="s">
        <v>37</v>
      </c>
      <c r="O36" s="72" t="s">
        <v>192</v>
      </c>
    </row>
    <row r="37" spans="1:15" x14ac:dyDescent="0.45">
      <c r="A37" s="72">
        <v>27</v>
      </c>
      <c r="B37" s="72" t="str">
        <f>CONCATENATE($B$2, ".", A37)</f>
        <v>4.27</v>
      </c>
      <c r="C37" s="86" t="s">
        <v>40</v>
      </c>
      <c r="D37" s="72" t="s">
        <v>55</v>
      </c>
      <c r="E37" s="72" t="s">
        <v>43</v>
      </c>
      <c r="F37" s="72" t="s">
        <v>37</v>
      </c>
      <c r="G37" s="72" t="s">
        <v>37</v>
      </c>
      <c r="H37" s="72" t="s">
        <v>37</v>
      </c>
      <c r="I37" s="72" t="s">
        <v>10</v>
      </c>
      <c r="J37" s="72" t="s">
        <v>37</v>
      </c>
      <c r="K37" s="72" t="s">
        <v>37</v>
      </c>
      <c r="L37" s="72" t="s">
        <v>37</v>
      </c>
      <c r="M37" s="72" t="s">
        <v>37</v>
      </c>
      <c r="N37" s="72" t="s">
        <v>37</v>
      </c>
      <c r="O37" s="72" t="s">
        <v>193</v>
      </c>
    </row>
    <row r="38" spans="1:15" x14ac:dyDescent="0.45">
      <c r="I38" s="84"/>
      <c r="J38" s="71"/>
      <c r="K38" s="71"/>
      <c r="L38" s="85"/>
      <c r="M38" s="85"/>
      <c r="N38" s="85"/>
      <c r="O38" s="85"/>
    </row>
    <row r="39" spans="1:15" x14ac:dyDescent="0.45">
      <c r="I39" s="84"/>
      <c r="J39" s="71"/>
      <c r="K39" s="71"/>
      <c r="L39" s="85"/>
      <c r="M39" s="85"/>
      <c r="N39" s="85"/>
      <c r="O39" s="85"/>
    </row>
    <row r="40" spans="1:15" x14ac:dyDescent="0.45">
      <c r="I40" s="84"/>
      <c r="J40" s="71"/>
      <c r="K40" s="71"/>
      <c r="L40" s="85"/>
      <c r="M40" s="85"/>
      <c r="N40" s="85"/>
      <c r="O40" s="85"/>
    </row>
    <row r="41" spans="1:15" x14ac:dyDescent="0.45">
      <c r="I41" s="84"/>
      <c r="J41" s="71"/>
      <c r="K41" s="71"/>
      <c r="L41" s="85"/>
      <c r="M41" s="85"/>
      <c r="N41" s="85"/>
      <c r="O41" s="85"/>
    </row>
    <row r="42" spans="1:15" x14ac:dyDescent="0.45">
      <c r="I42" s="84"/>
      <c r="J42" s="71"/>
      <c r="K42" s="71"/>
      <c r="L42" s="85"/>
      <c r="M42" s="85"/>
      <c r="N42" s="85"/>
      <c r="O42" s="85"/>
    </row>
    <row r="43" spans="1:15" x14ac:dyDescent="0.45">
      <c r="I43" s="84"/>
      <c r="J43" s="71"/>
      <c r="K43" s="71"/>
      <c r="L43" s="85"/>
      <c r="M43" s="85"/>
      <c r="N43" s="85"/>
      <c r="O43" s="85"/>
    </row>
    <row r="44" spans="1:15" x14ac:dyDescent="0.45">
      <c r="I44" s="84"/>
      <c r="J44" s="71"/>
      <c r="K44" s="71"/>
      <c r="L44" s="85"/>
      <c r="M44" s="85"/>
      <c r="N44" s="85"/>
      <c r="O44" s="85"/>
    </row>
    <row r="45" spans="1:15" x14ac:dyDescent="0.45">
      <c r="I45" s="84"/>
      <c r="J45" s="71"/>
      <c r="K45" s="71"/>
      <c r="L45" s="85"/>
      <c r="M45" s="85"/>
      <c r="N45" s="85"/>
      <c r="O45" s="85"/>
    </row>
  </sheetData>
  <mergeCells count="1">
    <mergeCell ref="A9:E9"/>
  </mergeCells>
  <conditionalFormatting sqref="C38:C1048576">
    <cfRule type="cellIs" dxfId="858" priority="455" operator="equal">
      <formula>"WIP (see comments)"</formula>
    </cfRule>
    <cfRule type="cellIs" dxfId="857" priority="456" operator="equal">
      <formula>"Removed"</formula>
    </cfRule>
    <cfRule type="cellIs" dxfId="856" priority="457" operator="equal">
      <formula>"Updated"</formula>
    </cfRule>
    <cfRule type="cellIs" dxfId="855" priority="458" operator="equal">
      <formula>"New"</formula>
    </cfRule>
  </conditionalFormatting>
  <conditionalFormatting sqref="A1:XFD2 N11:XFD14 N20:XFD23 N29:XFD32 A7:B8 A10:B16 D20:L20 A18:B25 D29:L29 A27:B34 A38:XFD1048576 A36:B37 D36:XFD37 D18:XFD18 D7:XFD8 E27:XFD27 A4:XFD6 A3:C3 E3:XFD3 D14:K16 M15:XFD16 D13:L13 D10:K12 D19:K19 M19:XFD19 D22:L22 D21:K21 D23:K25 D28:K28 M28:XFD28 D31:L31 D30:K30 D32:K34 M33:XFD34 M10:XFD10 M24:XFD25">
    <cfRule type="cellIs" dxfId="854" priority="442" operator="equal">
      <formula>"n/a"</formula>
    </cfRule>
  </conditionalFormatting>
  <conditionalFormatting sqref="F9:XFD9 A9">
    <cfRule type="cellIs" dxfId="853" priority="433" operator="equal">
      <formula>"n/a"</formula>
    </cfRule>
  </conditionalFormatting>
  <conditionalFormatting sqref="F17:XFD17 A17">
    <cfRule type="cellIs" dxfId="852" priority="432" operator="equal">
      <formula>"n/a"</formula>
    </cfRule>
  </conditionalFormatting>
  <conditionalFormatting sqref="F26:XFD26 A26">
    <cfRule type="cellIs" dxfId="851" priority="431" operator="equal">
      <formula>"n/a"</formula>
    </cfRule>
  </conditionalFormatting>
  <conditionalFormatting sqref="F35:XFD35 A35">
    <cfRule type="cellIs" dxfId="850" priority="430" operator="equal">
      <formula>"n/a"</formula>
    </cfRule>
  </conditionalFormatting>
  <conditionalFormatting sqref="C7:C8">
    <cfRule type="cellIs" dxfId="849" priority="256" operator="equal">
      <formula>"WIP (see comments)"</formula>
    </cfRule>
    <cfRule type="cellIs" dxfId="848" priority="257" operator="equal">
      <formula>"Removed"</formula>
    </cfRule>
    <cfRule type="cellIs" dxfId="847" priority="258" operator="equal">
      <formula>"Updated"</formula>
    </cfRule>
    <cfRule type="cellIs" dxfId="846" priority="259" operator="equal">
      <formula>"New"</formula>
    </cfRule>
  </conditionalFormatting>
  <conditionalFormatting sqref="C7:C8">
    <cfRule type="cellIs" dxfId="845" priority="255" operator="equal">
      <formula>"n/a"</formula>
    </cfRule>
  </conditionalFormatting>
  <conditionalFormatting sqref="C29 C31">
    <cfRule type="cellIs" dxfId="844" priority="236" operator="equal">
      <formula>"WIP (see comments)"</formula>
    </cfRule>
    <cfRule type="cellIs" dxfId="843" priority="237" operator="equal">
      <formula>"Removed"</formula>
    </cfRule>
    <cfRule type="cellIs" dxfId="842" priority="238" operator="equal">
      <formula>"Updated"</formula>
    </cfRule>
    <cfRule type="cellIs" dxfId="841" priority="239" operator="equal">
      <formula>"New"</formula>
    </cfRule>
  </conditionalFormatting>
  <conditionalFormatting sqref="C29 C31">
    <cfRule type="cellIs" dxfId="840" priority="235" operator="equal">
      <formula>"n/a"</formula>
    </cfRule>
  </conditionalFormatting>
  <conditionalFormatting sqref="C36:C37">
    <cfRule type="cellIs" dxfId="839" priority="231" operator="equal">
      <formula>"WIP (see comments)"</formula>
    </cfRule>
    <cfRule type="cellIs" dxfId="838" priority="232" operator="equal">
      <formula>"Removed"</formula>
    </cfRule>
    <cfRule type="cellIs" dxfId="837" priority="233" operator="equal">
      <formula>"Updated"</formula>
    </cfRule>
    <cfRule type="cellIs" dxfId="836" priority="234" operator="equal">
      <formula>"New"</formula>
    </cfRule>
  </conditionalFormatting>
  <conditionalFormatting sqref="C36:C37">
    <cfRule type="cellIs" dxfId="835" priority="230" operator="equal">
      <formula>"n/a"</formula>
    </cfRule>
  </conditionalFormatting>
  <conditionalFormatting sqref="C13">
    <cfRule type="cellIs" dxfId="834" priority="221" operator="equal">
      <formula>"WIP (see comments)"</formula>
    </cfRule>
    <cfRule type="cellIs" dxfId="833" priority="222" operator="equal">
      <formula>"Removed"</formula>
    </cfRule>
    <cfRule type="cellIs" dxfId="832" priority="223" operator="equal">
      <formula>"Updated"</formula>
    </cfRule>
    <cfRule type="cellIs" dxfId="831" priority="224" operator="equal">
      <formula>"New"</formula>
    </cfRule>
  </conditionalFormatting>
  <conditionalFormatting sqref="C13">
    <cfRule type="cellIs" dxfId="830" priority="220" operator="equal">
      <formula>"n/a"</formula>
    </cfRule>
  </conditionalFormatting>
  <conditionalFormatting sqref="C20 C22">
    <cfRule type="cellIs" dxfId="829" priority="216" operator="equal">
      <formula>"WIP (see comments)"</formula>
    </cfRule>
    <cfRule type="cellIs" dxfId="828" priority="217" operator="equal">
      <formula>"Removed"</formula>
    </cfRule>
    <cfRule type="cellIs" dxfId="827" priority="218" operator="equal">
      <formula>"Updated"</formula>
    </cfRule>
    <cfRule type="cellIs" dxfId="826" priority="219" operator="equal">
      <formula>"New"</formula>
    </cfRule>
  </conditionalFormatting>
  <conditionalFormatting sqref="C20 C22">
    <cfRule type="cellIs" dxfId="825" priority="215" operator="equal">
      <formula>"n/a"</formula>
    </cfRule>
  </conditionalFormatting>
  <conditionalFormatting sqref="C18">
    <cfRule type="cellIs" dxfId="824" priority="206" operator="equal">
      <formula>"WIP (see comments)"</formula>
    </cfRule>
    <cfRule type="cellIs" dxfId="823" priority="207" operator="equal">
      <formula>"Removed"</formula>
    </cfRule>
    <cfRule type="cellIs" dxfId="822" priority="208" operator="equal">
      <formula>"Updated"</formula>
    </cfRule>
    <cfRule type="cellIs" dxfId="821" priority="209" operator="equal">
      <formula>"New"</formula>
    </cfRule>
  </conditionalFormatting>
  <conditionalFormatting sqref="C18">
    <cfRule type="cellIs" dxfId="820" priority="205" operator="equal">
      <formula>"n/a"</formula>
    </cfRule>
  </conditionalFormatting>
  <conditionalFormatting sqref="C32:C34">
    <cfRule type="cellIs" dxfId="819" priority="68" operator="equal">
      <formula>"Future Change"</formula>
    </cfRule>
    <cfRule type="cellIs" dxfId="818" priority="70" operator="equal">
      <formula>"WIP (see comments)"</formula>
    </cfRule>
    <cfRule type="cellIs" dxfId="817" priority="71" operator="equal">
      <formula>"Removed"</formula>
    </cfRule>
    <cfRule type="cellIs" dxfId="816" priority="72" operator="equal">
      <formula>"Updated"</formula>
    </cfRule>
    <cfRule type="cellIs" dxfId="815" priority="73" operator="equal">
      <formula>"New"</formula>
    </cfRule>
  </conditionalFormatting>
  <conditionalFormatting sqref="C32:C34">
    <cfRule type="cellIs" dxfId="814" priority="69" operator="equal">
      <formula>"n/a"</formula>
    </cfRule>
  </conditionalFormatting>
  <conditionalFormatting sqref="C14:C16">
    <cfRule type="cellIs" dxfId="813" priority="62" operator="equal">
      <formula>"Future Change"</formula>
    </cfRule>
    <cfRule type="cellIs" dxfId="812" priority="64" operator="equal">
      <formula>"WIP (see comments)"</formula>
    </cfRule>
    <cfRule type="cellIs" dxfId="811" priority="65" operator="equal">
      <formula>"Removed"</formula>
    </cfRule>
    <cfRule type="cellIs" dxfId="810" priority="66" operator="equal">
      <formula>"Updated"</formula>
    </cfRule>
    <cfRule type="cellIs" dxfId="809" priority="67" operator="equal">
      <formula>"New"</formula>
    </cfRule>
  </conditionalFormatting>
  <conditionalFormatting sqref="C14:C16">
    <cfRule type="cellIs" dxfId="808" priority="63" operator="equal">
      <formula>"n/a"</formula>
    </cfRule>
  </conditionalFormatting>
  <conditionalFormatting sqref="C21">
    <cfRule type="cellIs" dxfId="807" priority="56" operator="equal">
      <formula>"Future Change"</formula>
    </cfRule>
    <cfRule type="cellIs" dxfId="806" priority="58" operator="equal">
      <formula>"WIP (see comments)"</formula>
    </cfRule>
    <cfRule type="cellIs" dxfId="805" priority="59" operator="equal">
      <formula>"Removed"</formula>
    </cfRule>
    <cfRule type="cellIs" dxfId="804" priority="60" operator="equal">
      <formula>"Updated"</formula>
    </cfRule>
    <cfRule type="cellIs" dxfId="803" priority="61" operator="equal">
      <formula>"New"</formula>
    </cfRule>
  </conditionalFormatting>
  <conditionalFormatting sqref="C21">
    <cfRule type="cellIs" dxfId="802" priority="57" operator="equal">
      <formula>"n/a"</formula>
    </cfRule>
  </conditionalFormatting>
  <conditionalFormatting sqref="C23:C25">
    <cfRule type="cellIs" dxfId="801" priority="50" operator="equal">
      <formula>"Future Change"</formula>
    </cfRule>
    <cfRule type="cellIs" dxfId="800" priority="52" operator="equal">
      <formula>"WIP (see comments)"</formula>
    </cfRule>
    <cfRule type="cellIs" dxfId="799" priority="53" operator="equal">
      <formula>"Removed"</formula>
    </cfRule>
    <cfRule type="cellIs" dxfId="798" priority="54" operator="equal">
      <formula>"Updated"</formula>
    </cfRule>
    <cfRule type="cellIs" dxfId="797" priority="55" operator="equal">
      <formula>"New"</formula>
    </cfRule>
  </conditionalFormatting>
  <conditionalFormatting sqref="C23:C25">
    <cfRule type="cellIs" dxfId="796" priority="51" operator="equal">
      <formula>"n/a"</formula>
    </cfRule>
  </conditionalFormatting>
  <conditionalFormatting sqref="C19">
    <cfRule type="cellIs" dxfId="795" priority="44" operator="equal">
      <formula>"Future Change"</formula>
    </cfRule>
    <cfRule type="cellIs" dxfId="794" priority="46" operator="equal">
      <formula>"WIP (see comments)"</formula>
    </cfRule>
    <cfRule type="cellIs" dxfId="793" priority="47" operator="equal">
      <formula>"Removed"</formula>
    </cfRule>
    <cfRule type="cellIs" dxfId="792" priority="48" operator="equal">
      <formula>"Updated"</formula>
    </cfRule>
    <cfRule type="cellIs" dxfId="791" priority="49" operator="equal">
      <formula>"New"</formula>
    </cfRule>
  </conditionalFormatting>
  <conditionalFormatting sqref="C19">
    <cfRule type="cellIs" dxfId="790" priority="45" operator="equal">
      <formula>"n/a"</formula>
    </cfRule>
  </conditionalFormatting>
  <conditionalFormatting sqref="C10:C12">
    <cfRule type="cellIs" dxfId="789" priority="38" operator="equal">
      <formula>"Future Change"</formula>
    </cfRule>
    <cfRule type="cellIs" dxfId="788" priority="40" operator="equal">
      <formula>"WIP (see comments)"</formula>
    </cfRule>
    <cfRule type="cellIs" dxfId="787" priority="41" operator="equal">
      <formula>"Removed"</formula>
    </cfRule>
    <cfRule type="cellIs" dxfId="786" priority="42" operator="equal">
      <formula>"Updated"</formula>
    </cfRule>
    <cfRule type="cellIs" dxfId="785" priority="43" operator="equal">
      <formula>"New"</formula>
    </cfRule>
  </conditionalFormatting>
  <conditionalFormatting sqref="C10:C12">
    <cfRule type="cellIs" dxfId="784" priority="39" operator="equal">
      <formula>"n/a"</formula>
    </cfRule>
  </conditionalFormatting>
  <conditionalFormatting sqref="C28">
    <cfRule type="cellIs" dxfId="783" priority="32" operator="equal">
      <formula>"Future Change"</formula>
    </cfRule>
    <cfRule type="cellIs" dxfId="782" priority="34" operator="equal">
      <formula>"WIP (see comments)"</formula>
    </cfRule>
    <cfRule type="cellIs" dxfId="781" priority="35" operator="equal">
      <formula>"Removed"</formula>
    </cfRule>
    <cfRule type="cellIs" dxfId="780" priority="36" operator="equal">
      <formula>"Updated"</formula>
    </cfRule>
    <cfRule type="cellIs" dxfId="779" priority="37" operator="equal">
      <formula>"New"</formula>
    </cfRule>
  </conditionalFormatting>
  <conditionalFormatting sqref="C28">
    <cfRule type="cellIs" dxfId="778" priority="33" operator="equal">
      <formula>"n/a"</formula>
    </cfRule>
  </conditionalFormatting>
  <conditionalFormatting sqref="C30">
    <cfRule type="cellIs" dxfId="777" priority="26" operator="equal">
      <formula>"Future Change"</formula>
    </cfRule>
    <cfRule type="cellIs" dxfId="776" priority="28" operator="equal">
      <formula>"WIP (see comments)"</formula>
    </cfRule>
    <cfRule type="cellIs" dxfId="775" priority="29" operator="equal">
      <formula>"Removed"</formula>
    </cfRule>
    <cfRule type="cellIs" dxfId="774" priority="30" operator="equal">
      <formula>"Updated"</formula>
    </cfRule>
    <cfRule type="cellIs" dxfId="773" priority="31" operator="equal">
      <formula>"New"</formula>
    </cfRule>
  </conditionalFormatting>
  <conditionalFormatting sqref="C30">
    <cfRule type="cellIs" dxfId="772" priority="27" operator="equal">
      <formula>"n/a"</formula>
    </cfRule>
  </conditionalFormatting>
  <conditionalFormatting sqref="D3">
    <cfRule type="cellIs" dxfId="771" priority="25" operator="equal">
      <formula>"n/a"</formula>
    </cfRule>
  </conditionalFormatting>
  <conditionalFormatting sqref="L15">
    <cfRule type="cellIs" dxfId="770" priority="24" operator="equal">
      <formula>"n/a"</formula>
    </cfRule>
  </conditionalFormatting>
  <conditionalFormatting sqref="L14">
    <cfRule type="cellIs" dxfId="769" priority="23" operator="equal">
      <formula>"n/a"</formula>
    </cfRule>
  </conditionalFormatting>
  <conditionalFormatting sqref="L16">
    <cfRule type="cellIs" dxfId="768" priority="22" operator="equal">
      <formula>"n/a"</formula>
    </cfRule>
  </conditionalFormatting>
  <conditionalFormatting sqref="L12">
    <cfRule type="cellIs" dxfId="767" priority="21" operator="equal">
      <formula>"n/a"</formula>
    </cfRule>
  </conditionalFormatting>
  <conditionalFormatting sqref="L11">
    <cfRule type="cellIs" dxfId="766" priority="20" operator="equal">
      <formula>"n/a"</formula>
    </cfRule>
  </conditionalFormatting>
  <conditionalFormatting sqref="L19">
    <cfRule type="cellIs" dxfId="765" priority="18" operator="equal">
      <formula>"n/a"</formula>
    </cfRule>
  </conditionalFormatting>
  <conditionalFormatting sqref="L21">
    <cfRule type="cellIs" dxfId="764" priority="17" operator="equal">
      <formula>"n/a"</formula>
    </cfRule>
  </conditionalFormatting>
  <conditionalFormatting sqref="L23">
    <cfRule type="cellIs" dxfId="763" priority="16" operator="equal">
      <formula>"n/a"</formula>
    </cfRule>
  </conditionalFormatting>
  <conditionalFormatting sqref="L24">
    <cfRule type="cellIs" dxfId="762" priority="15" operator="equal">
      <formula>"n/a"</formula>
    </cfRule>
  </conditionalFormatting>
  <conditionalFormatting sqref="L28">
    <cfRule type="cellIs" dxfId="761" priority="14" operator="equal">
      <formula>"n/a"</formula>
    </cfRule>
  </conditionalFormatting>
  <conditionalFormatting sqref="L30">
    <cfRule type="cellIs" dxfId="760" priority="13" operator="equal">
      <formula>"n/a"</formula>
    </cfRule>
  </conditionalFormatting>
  <conditionalFormatting sqref="L32">
    <cfRule type="cellIs" dxfId="759" priority="12" operator="equal">
      <formula>"n/a"</formula>
    </cfRule>
  </conditionalFormatting>
  <conditionalFormatting sqref="L33">
    <cfRule type="cellIs" dxfId="758" priority="11" operator="equal">
      <formula>"n/a"</formula>
    </cfRule>
  </conditionalFormatting>
  <conditionalFormatting sqref="L34">
    <cfRule type="cellIs" dxfId="757" priority="10" operator="equal">
      <formula>"n/a"</formula>
    </cfRule>
  </conditionalFormatting>
  <conditionalFormatting sqref="L10">
    <cfRule type="cellIs" dxfId="756" priority="9" operator="equal">
      <formula>"n/a"</formula>
    </cfRule>
  </conditionalFormatting>
  <conditionalFormatting sqref="L25">
    <cfRule type="cellIs" dxfId="755" priority="8" operator="equal">
      <formula>"n/a"</formula>
    </cfRule>
  </conditionalFormatting>
  <conditionalFormatting sqref="C27">
    <cfRule type="cellIs" dxfId="754" priority="2" operator="equal">
      <formula>"Future Change"</formula>
    </cfRule>
    <cfRule type="cellIs" dxfId="753" priority="4" operator="equal">
      <formula>"WIP (see comments)"</formula>
    </cfRule>
    <cfRule type="cellIs" dxfId="752" priority="5" operator="equal">
      <formula>"Removed"</formula>
    </cfRule>
    <cfRule type="cellIs" dxfId="751" priority="6" operator="equal">
      <formula>"Updated"</formula>
    </cfRule>
    <cfRule type="cellIs" dxfId="750" priority="7" operator="equal">
      <formula>"New"</formula>
    </cfRule>
  </conditionalFormatting>
  <conditionalFormatting sqref="C27">
    <cfRule type="cellIs" dxfId="749" priority="3" operator="equal">
      <formula>"n/a"</formula>
    </cfRule>
  </conditionalFormatting>
  <conditionalFormatting sqref="D27">
    <cfRule type="cellIs" dxfId="748"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600-000004000000}">
          <x14:formula1>
            <xm:f>'C:\Users\matsubar\Desktop\[In-Branch DCO Primary Applicant Field Spec Draft.xlsx]List Values'!#REF!</xm:f>
          </x14:formula1>
          <xm:sqref>C38:C1048576 E38:E1048576</xm:sqref>
        </x14:dataValidation>
        <x14:dataValidation type="list" allowBlank="1" showInputMessage="1" showErrorMessage="1" xr:uid="{00000000-0002-0000-0600-000006000000}">
          <x14:formula1>
            <xm:f>'C:\Users\matsubar\AppData\Local\Microsoft\Windows\INetCache\Content.Outlook\NQ5K8F7W\[CWB In-Branch Personal DCO Field Spec-IH 2020-10-02.xlsx]List Values'!#REF!</xm:f>
          </x14:formula1>
          <xm:sqref>C36:C37 C29 C31</xm:sqref>
        </x14:dataValidation>
        <x14:dataValidation type="list" allowBlank="1" showInputMessage="1" showErrorMessage="1" xr:uid="{00000000-0002-0000-0600-000007000000}">
          <x14:formula1>
            <xm:f>'List Values'!$B$5:$B$9</xm:f>
          </x14:formula1>
          <xm:sqref>C22 C7:C8 C13 C18 C20</xm:sqref>
        </x14:dataValidation>
        <x14:dataValidation type="list" allowBlank="1" showInputMessage="1" showErrorMessage="1" xr:uid="{00000000-0002-0000-0600-000008000000}">
          <x14:formula1>
            <xm:f>'List Values'!$A$5:$A$28</xm:f>
          </x14:formula1>
          <xm:sqref>E7:E8 E10:E37</xm:sqref>
        </x14:dataValidation>
        <x14:dataValidation type="list" allowBlank="1" showInputMessage="1" showErrorMessage="1" xr:uid="{00000000-0002-0000-0600-000009000000}">
          <x14:formula1>
            <xm:f>'List Values'!$B$5:$B$10</xm:f>
          </x14:formula1>
          <xm:sqref>C27:C28 C10:C12 C23:C25 C14:C16 C21 C19 C32:C34 C30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P22"/>
  <sheetViews>
    <sheetView workbookViewId="0">
      <pane xSplit="4" ySplit="6" topLeftCell="E7" activePane="bottomRight" state="frozen"/>
      <selection pane="topRight" activeCell="E1" sqref="E1"/>
      <selection pane="bottomLeft" activeCell="A7" sqref="A7"/>
      <selection pane="bottomRight" activeCell="D3" sqref="D3"/>
    </sheetView>
  </sheetViews>
  <sheetFormatPr defaultColWidth="9.19921875" defaultRowHeight="14.25" x14ac:dyDescent="0.45"/>
  <cols>
    <col min="1" max="1" width="14.796875" style="72" customWidth="1"/>
    <col min="2" max="2" width="12.53125" style="72" customWidth="1"/>
    <col min="3" max="3" width="13" style="79" customWidth="1"/>
    <col min="4" max="4" width="45.19921875" style="72" customWidth="1"/>
    <col min="5" max="5" width="28.796875" style="72" customWidth="1"/>
    <col min="6" max="6" width="17" style="72" customWidth="1"/>
    <col min="7" max="7" width="29.19921875" style="72" customWidth="1"/>
    <col min="8" max="8" width="27.796875" style="72" customWidth="1"/>
    <col min="9" max="9" width="34.796875" style="72" customWidth="1"/>
    <col min="10" max="10" width="28.19921875" style="72" customWidth="1"/>
    <col min="11" max="11" width="10.796875" style="72" bestFit="1" customWidth="1"/>
    <col min="12" max="12" width="23" style="72" customWidth="1"/>
    <col min="13" max="13" width="29" style="72" customWidth="1"/>
    <col min="14" max="14" width="18.796875" style="72" bestFit="1" customWidth="1"/>
    <col min="15" max="15" width="48.46484375" style="72" customWidth="1"/>
    <col min="16" max="16" width="41.796875" style="72" customWidth="1"/>
    <col min="17" max="16384" width="9.19921875" style="72"/>
  </cols>
  <sheetData>
    <row r="1" spans="1:16" s="75" customFormat="1" ht="18" x14ac:dyDescent="0.45">
      <c r="A1" s="73" t="s">
        <v>7</v>
      </c>
      <c r="B1" s="83" t="s">
        <v>225</v>
      </c>
      <c r="C1" s="77"/>
      <c r="D1" s="74"/>
    </row>
    <row r="2" spans="1:16" s="75" customFormat="1" ht="18" x14ac:dyDescent="0.45">
      <c r="A2" s="73" t="s">
        <v>8</v>
      </c>
      <c r="B2" s="81">
        <v>5</v>
      </c>
      <c r="C2" s="80"/>
      <c r="D2" s="81"/>
    </row>
    <row r="3" spans="1:16" s="75" customFormat="1" ht="18" x14ac:dyDescent="0.45">
      <c r="A3" s="73" t="s">
        <v>44</v>
      </c>
      <c r="B3" s="81" t="s">
        <v>432</v>
      </c>
      <c r="C3" s="80"/>
      <c r="D3" s="81"/>
      <c r="E3" s="75" t="s">
        <v>62</v>
      </c>
    </row>
    <row r="4" spans="1:16" s="75" customFormat="1" ht="18" x14ac:dyDescent="0.45">
      <c r="A4" s="73" t="s">
        <v>9</v>
      </c>
      <c r="B4" s="75" t="s">
        <v>46</v>
      </c>
      <c r="C4" s="80"/>
    </row>
    <row r="5" spans="1:16" s="70" customFormat="1" x14ac:dyDescent="0.45">
      <c r="C5" s="82"/>
    </row>
    <row r="6" spans="1:16" s="76" customFormat="1" ht="14.65" thickBot="1" x14ac:dyDescent="0.5">
      <c r="A6" s="76" t="s">
        <v>11</v>
      </c>
      <c r="B6" s="76" t="s">
        <v>12</v>
      </c>
      <c r="C6" s="78" t="s">
        <v>26</v>
      </c>
      <c r="D6" s="76" t="s">
        <v>25</v>
      </c>
      <c r="E6" s="76" t="s">
        <v>13</v>
      </c>
      <c r="F6" s="76" t="s">
        <v>14</v>
      </c>
      <c r="G6" s="76" t="s">
        <v>15</v>
      </c>
      <c r="H6" s="76" t="s">
        <v>16</v>
      </c>
      <c r="I6" s="76" t="s">
        <v>17</v>
      </c>
      <c r="J6" s="76" t="s">
        <v>18</v>
      </c>
      <c r="K6" s="76" t="s">
        <v>19</v>
      </c>
      <c r="L6" s="76" t="s">
        <v>20</v>
      </c>
      <c r="M6" s="76" t="s">
        <v>21</v>
      </c>
      <c r="N6" s="76" t="s">
        <v>22</v>
      </c>
      <c r="O6" s="76" t="s">
        <v>23</v>
      </c>
      <c r="P6" s="76" t="s">
        <v>24</v>
      </c>
    </row>
    <row r="7" spans="1:16" s="84" customFormat="1" x14ac:dyDescent="0.45">
      <c r="A7" s="84">
        <v>1</v>
      </c>
      <c r="B7" s="84" t="str">
        <f t="shared" ref="B7:B10" si="0">CONCATENATE($B$2, ".", A7)</f>
        <v>5.1</v>
      </c>
      <c r="C7" s="101" t="s">
        <v>40</v>
      </c>
      <c r="D7" s="84" t="s">
        <v>202</v>
      </c>
      <c r="E7" s="84" t="s">
        <v>29</v>
      </c>
      <c r="F7" s="72" t="s">
        <v>37</v>
      </c>
      <c r="G7" s="72" t="s">
        <v>37</v>
      </c>
      <c r="H7" s="72" t="s">
        <v>37</v>
      </c>
      <c r="I7" s="84" t="s">
        <v>10</v>
      </c>
      <c r="J7" s="72" t="s">
        <v>37</v>
      </c>
      <c r="K7" s="72" t="s">
        <v>37</v>
      </c>
      <c r="L7" s="72" t="s">
        <v>37</v>
      </c>
      <c r="M7" s="72" t="s">
        <v>37</v>
      </c>
      <c r="N7" s="72" t="s">
        <v>37</v>
      </c>
      <c r="O7" s="72" t="s">
        <v>37</v>
      </c>
      <c r="P7" s="84" t="s">
        <v>234</v>
      </c>
    </row>
    <row r="8" spans="1:16" s="84" customFormat="1" x14ac:dyDescent="0.45">
      <c r="A8" s="84">
        <v>2</v>
      </c>
      <c r="B8" s="84" t="str">
        <f t="shared" si="0"/>
        <v>5.2</v>
      </c>
      <c r="C8" s="86" t="s">
        <v>40</v>
      </c>
      <c r="D8" s="84" t="s">
        <v>37</v>
      </c>
      <c r="E8" s="84" t="s">
        <v>48</v>
      </c>
      <c r="F8" s="72" t="s">
        <v>37</v>
      </c>
      <c r="G8" s="72" t="s">
        <v>37</v>
      </c>
      <c r="H8" s="72" t="s">
        <v>37</v>
      </c>
      <c r="I8" s="84" t="s">
        <v>10</v>
      </c>
      <c r="J8" s="72" t="s">
        <v>37</v>
      </c>
      <c r="K8" s="72" t="s">
        <v>37</v>
      </c>
      <c r="L8" s="72" t="s">
        <v>37</v>
      </c>
      <c r="M8" s="72" t="s">
        <v>37</v>
      </c>
      <c r="N8" s="72" t="s">
        <v>37</v>
      </c>
      <c r="O8" s="72" t="s">
        <v>37</v>
      </c>
    </row>
    <row r="9" spans="1:16" s="84" customFormat="1" ht="80.25" customHeight="1" x14ac:dyDescent="0.45">
      <c r="A9" s="84">
        <v>3</v>
      </c>
      <c r="B9" s="84" t="str">
        <f>CONCATENATE($B$2, ".", A9)</f>
        <v>5.3</v>
      </c>
      <c r="C9" s="101" t="s">
        <v>40</v>
      </c>
      <c r="D9" s="84" t="s">
        <v>278</v>
      </c>
      <c r="E9" s="84" t="s">
        <v>72</v>
      </c>
      <c r="F9" s="84" t="s">
        <v>73</v>
      </c>
      <c r="G9" s="72" t="s">
        <v>37</v>
      </c>
      <c r="H9" s="72" t="s">
        <v>37</v>
      </c>
      <c r="I9" s="84" t="s">
        <v>10</v>
      </c>
      <c r="J9" s="72" t="s">
        <v>37</v>
      </c>
      <c r="K9" s="85" t="s">
        <v>52</v>
      </c>
      <c r="L9" s="107" t="s">
        <v>524</v>
      </c>
      <c r="M9" s="85" t="s">
        <v>239</v>
      </c>
      <c r="N9" s="85" t="s">
        <v>240</v>
      </c>
      <c r="O9" s="72" t="s">
        <v>37</v>
      </c>
      <c r="P9" s="84" t="s">
        <v>241</v>
      </c>
    </row>
    <row r="10" spans="1:16" s="84" customFormat="1" ht="102.75" customHeight="1" x14ac:dyDescent="0.45">
      <c r="A10" s="84">
        <v>4</v>
      </c>
      <c r="B10" s="84" t="str">
        <f t="shared" si="0"/>
        <v>5.4</v>
      </c>
      <c r="C10" s="101" t="s">
        <v>40</v>
      </c>
      <c r="D10" s="84" t="s">
        <v>275</v>
      </c>
      <c r="E10" s="84" t="s">
        <v>33</v>
      </c>
      <c r="F10" s="84" t="s">
        <v>74</v>
      </c>
      <c r="G10" s="72" t="s">
        <v>37</v>
      </c>
      <c r="H10" s="69">
        <v>9</v>
      </c>
      <c r="I10" s="84" t="s">
        <v>10</v>
      </c>
      <c r="J10" s="72" t="s">
        <v>37</v>
      </c>
      <c r="K10" s="85" t="s">
        <v>71</v>
      </c>
      <c r="L10" s="72" t="s">
        <v>37</v>
      </c>
      <c r="M10" s="85" t="s">
        <v>90</v>
      </c>
      <c r="N10" s="85" t="s">
        <v>238</v>
      </c>
      <c r="O10" s="72" t="s">
        <v>37</v>
      </c>
      <c r="P10" s="91" t="s">
        <v>242</v>
      </c>
    </row>
    <row r="11" spans="1:16" s="91" customFormat="1" ht="34.15" customHeight="1" x14ac:dyDescent="0.45">
      <c r="A11" s="91">
        <v>5</v>
      </c>
      <c r="B11" s="91" t="str">
        <f t="shared" ref="B11:B14" si="1">CONCATENATE($B$2, ".", A11)</f>
        <v>5.5</v>
      </c>
      <c r="C11" s="101" t="s">
        <v>40</v>
      </c>
      <c r="D11" s="98" t="s">
        <v>279</v>
      </c>
      <c r="E11" s="91" t="s">
        <v>34</v>
      </c>
      <c r="F11" s="72" t="s">
        <v>37</v>
      </c>
      <c r="G11" s="72" t="s">
        <v>37</v>
      </c>
      <c r="H11" s="72" t="s">
        <v>37</v>
      </c>
      <c r="I11" s="91" t="s">
        <v>10</v>
      </c>
      <c r="J11" s="72" t="s">
        <v>37</v>
      </c>
      <c r="K11" s="72" t="s">
        <v>37</v>
      </c>
      <c r="L11" s="72" t="s">
        <v>37</v>
      </c>
      <c r="M11" s="72" t="s">
        <v>37</v>
      </c>
      <c r="N11" s="72" t="s">
        <v>37</v>
      </c>
      <c r="O11" s="72" t="s">
        <v>37</v>
      </c>
    </row>
    <row r="12" spans="1:16" s="84" customFormat="1" ht="114" customHeight="1" x14ac:dyDescent="0.45">
      <c r="A12" s="91">
        <v>6</v>
      </c>
      <c r="B12" s="91" t="str">
        <f t="shared" si="1"/>
        <v>5.6</v>
      </c>
      <c r="C12" s="101" t="s">
        <v>40</v>
      </c>
      <c r="D12" s="84" t="s">
        <v>276</v>
      </c>
      <c r="E12" s="84" t="s">
        <v>67</v>
      </c>
      <c r="F12" s="84" t="s">
        <v>50</v>
      </c>
      <c r="G12" s="98" t="s">
        <v>273</v>
      </c>
      <c r="H12" s="69">
        <v>200</v>
      </c>
      <c r="I12" s="84" t="s">
        <v>10</v>
      </c>
      <c r="J12" s="85" t="s">
        <v>75</v>
      </c>
      <c r="K12" s="85" t="s">
        <v>52</v>
      </c>
      <c r="L12" s="107" t="s">
        <v>525</v>
      </c>
      <c r="M12" s="85" t="s">
        <v>256</v>
      </c>
      <c r="N12" s="85" t="s">
        <v>37</v>
      </c>
      <c r="O12" s="85" t="s">
        <v>174</v>
      </c>
      <c r="P12" s="84" t="s">
        <v>237</v>
      </c>
    </row>
    <row r="13" spans="1:16" s="84" customFormat="1" x14ac:dyDescent="0.45">
      <c r="A13" s="91">
        <v>7</v>
      </c>
      <c r="B13" s="91" t="str">
        <f t="shared" si="1"/>
        <v>5.7</v>
      </c>
      <c r="C13" s="101" t="s">
        <v>40</v>
      </c>
      <c r="D13" s="84" t="s">
        <v>56</v>
      </c>
      <c r="E13" s="84" t="s">
        <v>43</v>
      </c>
      <c r="F13" s="72" t="s">
        <v>37</v>
      </c>
      <c r="G13" s="72" t="s">
        <v>37</v>
      </c>
      <c r="H13" s="72" t="s">
        <v>37</v>
      </c>
      <c r="I13" s="84" t="s">
        <v>10</v>
      </c>
      <c r="J13" s="72" t="s">
        <v>37</v>
      </c>
      <c r="K13" s="72" t="s">
        <v>37</v>
      </c>
      <c r="L13" s="72" t="s">
        <v>37</v>
      </c>
      <c r="M13" s="72" t="s">
        <v>37</v>
      </c>
      <c r="N13" s="72" t="s">
        <v>37</v>
      </c>
      <c r="O13" s="84" t="s">
        <v>244</v>
      </c>
      <c r="P13" s="84" t="s">
        <v>243</v>
      </c>
    </row>
    <row r="14" spans="1:16" s="84" customFormat="1" x14ac:dyDescent="0.45">
      <c r="A14" s="91">
        <v>8</v>
      </c>
      <c r="B14" s="91" t="str">
        <f t="shared" si="1"/>
        <v>5.8</v>
      </c>
      <c r="C14" s="86" t="s">
        <v>40</v>
      </c>
      <c r="D14" s="84" t="s">
        <v>55</v>
      </c>
      <c r="E14" s="84" t="s">
        <v>43</v>
      </c>
      <c r="F14" s="72" t="s">
        <v>37</v>
      </c>
      <c r="G14" s="72" t="s">
        <v>37</v>
      </c>
      <c r="H14" s="72" t="s">
        <v>37</v>
      </c>
      <c r="I14" s="84" t="s">
        <v>10</v>
      </c>
      <c r="J14" s="72" t="s">
        <v>37</v>
      </c>
      <c r="K14" s="72" t="s">
        <v>37</v>
      </c>
      <c r="L14" s="72" t="s">
        <v>37</v>
      </c>
      <c r="M14" s="72" t="s">
        <v>37</v>
      </c>
      <c r="N14" s="72" t="s">
        <v>37</v>
      </c>
      <c r="O14" s="84" t="s">
        <v>235</v>
      </c>
    </row>
    <row r="15" spans="1:16" x14ac:dyDescent="0.45">
      <c r="I15" s="84"/>
      <c r="J15" s="71"/>
      <c r="K15" s="71"/>
      <c r="L15" s="85"/>
      <c r="M15" s="85"/>
      <c r="N15" s="85"/>
      <c r="O15" s="85"/>
    </row>
    <row r="16" spans="1:16" x14ac:dyDescent="0.45">
      <c r="D16" s="72" t="s">
        <v>62</v>
      </c>
      <c r="I16" s="84"/>
      <c r="J16" s="71"/>
      <c r="K16" s="71"/>
      <c r="L16" s="85"/>
      <c r="M16" s="85"/>
      <c r="N16" s="85"/>
      <c r="O16" s="85"/>
    </row>
    <row r="17" spans="9:15" x14ac:dyDescent="0.45">
      <c r="I17" s="84"/>
      <c r="J17" s="71"/>
      <c r="K17" s="71"/>
      <c r="L17" s="85"/>
      <c r="M17" s="85"/>
      <c r="N17" s="85"/>
      <c r="O17" s="85"/>
    </row>
    <row r="18" spans="9:15" x14ac:dyDescent="0.45">
      <c r="I18" s="84"/>
      <c r="J18" s="71"/>
      <c r="K18" s="71"/>
      <c r="L18" s="85"/>
      <c r="M18" s="85"/>
      <c r="N18" s="85"/>
      <c r="O18" s="85"/>
    </row>
    <row r="19" spans="9:15" x14ac:dyDescent="0.45">
      <c r="I19" s="84"/>
      <c r="J19" s="71"/>
      <c r="K19" s="71"/>
      <c r="L19" s="85"/>
      <c r="M19" s="85"/>
      <c r="N19" s="85"/>
      <c r="O19" s="85"/>
    </row>
    <row r="20" spans="9:15" x14ac:dyDescent="0.45">
      <c r="I20" s="84"/>
      <c r="J20" s="71"/>
      <c r="K20" s="71"/>
      <c r="L20" s="85"/>
      <c r="M20" s="85"/>
      <c r="N20" s="85"/>
      <c r="O20" s="85"/>
    </row>
    <row r="21" spans="9:15" x14ac:dyDescent="0.45">
      <c r="I21" s="84"/>
      <c r="J21" s="71"/>
      <c r="K21" s="71"/>
      <c r="L21" s="85"/>
      <c r="M21" s="85"/>
      <c r="N21" s="85"/>
      <c r="O21" s="85"/>
    </row>
    <row r="22" spans="9:15" x14ac:dyDescent="0.45">
      <c r="I22" s="84"/>
      <c r="J22" s="71"/>
      <c r="K22" s="71"/>
      <c r="L22" s="85"/>
      <c r="M22" s="85"/>
      <c r="N22" s="85"/>
      <c r="O22" s="85"/>
    </row>
  </sheetData>
  <autoFilter ref="A6:P14" xr:uid="{00000000-0009-0000-0000-000007000000}"/>
  <conditionalFormatting sqref="C15:C1048576">
    <cfRule type="cellIs" dxfId="747" priority="121" operator="equal">
      <formula>"WIP (see comments)"</formula>
    </cfRule>
    <cfRule type="cellIs" dxfId="746" priority="122" operator="equal">
      <formula>"Removed"</formula>
    </cfRule>
    <cfRule type="cellIs" dxfId="745" priority="123" operator="equal">
      <formula>"Updated"</formula>
    </cfRule>
    <cfRule type="cellIs" dxfId="744" priority="124" operator="equal">
      <formula>"New"</formula>
    </cfRule>
  </conditionalFormatting>
  <conditionalFormatting sqref="B4">
    <cfRule type="cellIs" dxfId="743" priority="116" operator="equal">
      <formula>"n/a"</formula>
    </cfRule>
  </conditionalFormatting>
  <conditionalFormatting sqref="D12:K12 M12:O12">
    <cfRule type="cellIs" dxfId="742" priority="115" operator="equal">
      <formula>"n/a"</formula>
    </cfRule>
  </conditionalFormatting>
  <conditionalFormatting sqref="C7:C8 C10:C11 C13:C14">
    <cfRule type="cellIs" dxfId="741" priority="52" operator="equal">
      <formula>"WIP (see comments)"</formula>
    </cfRule>
    <cfRule type="cellIs" dxfId="740" priority="53" operator="equal">
      <formula>"Removed"</formula>
    </cfRule>
    <cfRule type="cellIs" dxfId="739" priority="54" operator="equal">
      <formula>"Updated"</formula>
    </cfRule>
    <cfRule type="cellIs" dxfId="738" priority="55" operator="equal">
      <formula>"New"</formula>
    </cfRule>
  </conditionalFormatting>
  <conditionalFormatting sqref="C7:C8 C10:C11 C13:C14">
    <cfRule type="cellIs" dxfId="737" priority="51" operator="equal">
      <formula>"n/a"</formula>
    </cfRule>
  </conditionalFormatting>
  <conditionalFormatting sqref="D1">
    <cfRule type="cellIs" dxfId="736" priority="35" operator="equal">
      <formula>"n/a"</formula>
    </cfRule>
  </conditionalFormatting>
  <conditionalFormatting sqref="J7:O8 J9:J11 K11:O11 O9:O10 L10">
    <cfRule type="cellIs" dxfId="735" priority="30" operator="equal">
      <formula>"n/a"</formula>
    </cfRule>
  </conditionalFormatting>
  <conditionalFormatting sqref="F7:H8 H9">
    <cfRule type="cellIs" dxfId="734" priority="34" operator="equal">
      <formula>"n/a"</formula>
    </cfRule>
  </conditionalFormatting>
  <conditionalFormatting sqref="F11:H11">
    <cfRule type="cellIs" dxfId="733" priority="33" operator="equal">
      <formula>"n/a"</formula>
    </cfRule>
  </conditionalFormatting>
  <conditionalFormatting sqref="F13:H13">
    <cfRule type="cellIs" dxfId="732" priority="32" operator="equal">
      <formula>"n/a"</formula>
    </cfRule>
  </conditionalFormatting>
  <conditionalFormatting sqref="F14:H14">
    <cfRule type="cellIs" dxfId="731" priority="31" operator="equal">
      <formula>"n/a"</formula>
    </cfRule>
  </conditionalFormatting>
  <conditionalFormatting sqref="J13:N14">
    <cfRule type="cellIs" dxfId="730" priority="29" operator="equal">
      <formula>"n/a"</formula>
    </cfRule>
  </conditionalFormatting>
  <conditionalFormatting sqref="G9:G10">
    <cfRule type="cellIs" dxfId="729" priority="28" operator="equal">
      <formula>"n/a"</formula>
    </cfRule>
  </conditionalFormatting>
  <conditionalFormatting sqref="C9">
    <cfRule type="cellIs" dxfId="728" priority="10" operator="equal">
      <formula>"Future Change"</formula>
    </cfRule>
    <cfRule type="cellIs" dxfId="727" priority="12" operator="equal">
      <formula>"WIP (see comments)"</formula>
    </cfRule>
    <cfRule type="cellIs" dxfId="726" priority="13" operator="equal">
      <formula>"Removed"</formula>
    </cfRule>
    <cfRule type="cellIs" dxfId="725" priority="14" operator="equal">
      <formula>"Updated"</formula>
    </cfRule>
    <cfRule type="cellIs" dxfId="724" priority="15" operator="equal">
      <formula>"New"</formula>
    </cfRule>
  </conditionalFormatting>
  <conditionalFormatting sqref="C9">
    <cfRule type="cellIs" dxfId="723" priority="11" operator="equal">
      <formula>"n/a"</formula>
    </cfRule>
  </conditionalFormatting>
  <conditionalFormatting sqref="C12">
    <cfRule type="cellIs" dxfId="722" priority="4" operator="equal">
      <formula>"Future Change"</formula>
    </cfRule>
    <cfRule type="cellIs" dxfId="721" priority="6" operator="equal">
      <formula>"WIP (see comments)"</formula>
    </cfRule>
    <cfRule type="cellIs" dxfId="720" priority="7" operator="equal">
      <formula>"Removed"</formula>
    </cfRule>
    <cfRule type="cellIs" dxfId="719" priority="8" operator="equal">
      <formula>"Updated"</formula>
    </cfRule>
    <cfRule type="cellIs" dxfId="718" priority="9" operator="equal">
      <formula>"New"</formula>
    </cfRule>
  </conditionalFormatting>
  <conditionalFormatting sqref="C12">
    <cfRule type="cellIs" dxfId="717" priority="5" operator="equal">
      <formula>"n/a"</formula>
    </cfRule>
  </conditionalFormatting>
  <conditionalFormatting sqref="D3">
    <cfRule type="cellIs" dxfId="716" priority="3" operator="equal">
      <formula>"n/a"</formula>
    </cfRule>
  </conditionalFormatting>
  <conditionalFormatting sqref="L12">
    <cfRule type="cellIs" dxfId="715" priority="2" operator="equal">
      <formula>"n/a"</formula>
    </cfRule>
  </conditionalFormatting>
  <conditionalFormatting sqref="L9">
    <cfRule type="cellIs" dxfId="714" priority="1" operator="equal">
      <formula>"n/a"</formula>
    </cfRule>
  </conditionalFormatting>
  <dataValidations count="1">
    <dataValidation type="list" allowBlank="1" showInputMessage="1" showErrorMessage="1" sqref="C15:C1048576" xr:uid="{00000000-0002-0000-0700-000000000000}">
      <formula1>$B$5:$B$13</formula1>
    </dataValidation>
  </dataValidations>
  <pageMargins left="0.7" right="0.7" top="0.75" bottom="0.75" header="0.3" footer="0.3"/>
  <pageSetup orientation="portrait" horizontalDpi="300" verticalDpi="300" r:id="rId1"/>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700-000001000000}">
          <x14:formula1>
            <xm:f>'C:\Users\matsubar\Desktop\[In-Branch DCO Primary Applicant Field Spec Draft.xlsx]List Values'!#REF!</xm:f>
          </x14:formula1>
          <xm:sqref>E15:E1048576</xm:sqref>
        </x14:dataValidation>
        <x14:dataValidation type="list" allowBlank="1" showInputMessage="1" showErrorMessage="1" xr:uid="{00000000-0002-0000-0700-000002000000}">
          <x14:formula1>
            <xm:f>'List Values'!$B$5:$B$9</xm:f>
          </x14:formula1>
          <xm:sqref>C7:C8 C10:C11 C13:C14</xm:sqref>
        </x14:dataValidation>
        <x14:dataValidation type="list" allowBlank="1" showInputMessage="1" showErrorMessage="1" xr:uid="{00000000-0002-0000-0700-000003000000}">
          <x14:formula1>
            <xm:f>'List Values'!$A$5:$A$28</xm:f>
          </x14:formula1>
          <xm:sqref>E7:E14</xm:sqref>
        </x14:dataValidation>
        <x14:dataValidation type="list" allowBlank="1" showInputMessage="1" showErrorMessage="1" xr:uid="{00000000-0002-0000-0700-000004000000}">
          <x14:formula1>
            <xm:f>'List Values'!$B$5:$B$10</xm:f>
          </x14:formula1>
          <xm:sqref>C9 C12</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S41"/>
  <sheetViews>
    <sheetView zoomScaleNormal="100" workbookViewId="0">
      <pane xSplit="4" ySplit="6" topLeftCell="E21" activePane="bottomRight" state="frozen"/>
      <selection pane="topRight" activeCell="E1" sqref="E1"/>
      <selection pane="bottomLeft" activeCell="A7" sqref="A7"/>
      <selection pane="bottomRight" activeCell="B36" sqref="B36"/>
    </sheetView>
  </sheetViews>
  <sheetFormatPr defaultColWidth="9.19921875" defaultRowHeight="14.25" x14ac:dyDescent="0.45"/>
  <cols>
    <col min="1" max="1" width="14.796875" style="72" customWidth="1"/>
    <col min="2" max="2" width="12.53125" style="72" customWidth="1"/>
    <col min="3" max="3" width="13" style="79" customWidth="1"/>
    <col min="4" max="4" width="45.19921875" style="72" customWidth="1"/>
    <col min="5" max="5" width="28.796875" style="72" customWidth="1"/>
    <col min="6" max="6" width="17" style="72" customWidth="1"/>
    <col min="7" max="7" width="29.19921875" style="72" customWidth="1"/>
    <col min="8" max="8" width="27.796875" style="72" customWidth="1"/>
    <col min="9" max="9" width="34.796875" style="72" customWidth="1"/>
    <col min="10" max="10" width="28.19921875" style="72" customWidth="1"/>
    <col min="11" max="11" width="10.796875" style="72" bestFit="1" customWidth="1"/>
    <col min="12" max="12" width="23" style="72" customWidth="1"/>
    <col min="13" max="13" width="29" style="72" customWidth="1"/>
    <col min="14" max="14" width="28.46484375" style="72" customWidth="1"/>
    <col min="15" max="15" width="42.19921875" style="72" customWidth="1"/>
    <col min="16" max="16" width="41.796875" style="72" customWidth="1"/>
    <col min="17" max="16384" width="9.19921875" style="72"/>
  </cols>
  <sheetData>
    <row r="1" spans="1:16" s="75" customFormat="1" ht="18" x14ac:dyDescent="0.45">
      <c r="A1" s="73" t="s">
        <v>7</v>
      </c>
      <c r="B1" s="83" t="s">
        <v>207</v>
      </c>
      <c r="C1" s="77"/>
      <c r="D1" s="74"/>
    </row>
    <row r="2" spans="1:16" s="75" customFormat="1" ht="18" x14ac:dyDescent="0.45">
      <c r="A2" s="73" t="s">
        <v>8</v>
      </c>
      <c r="B2" s="81">
        <v>6</v>
      </c>
      <c r="C2" s="80"/>
      <c r="D2" s="81"/>
    </row>
    <row r="3" spans="1:16" s="75" customFormat="1" ht="18" x14ac:dyDescent="0.45">
      <c r="A3" s="73" t="s">
        <v>44</v>
      </c>
      <c r="B3" s="81" t="s">
        <v>433</v>
      </c>
      <c r="C3" s="80"/>
      <c r="D3" s="81"/>
      <c r="E3" s="75" t="s">
        <v>62</v>
      </c>
    </row>
    <row r="4" spans="1:16" s="75" customFormat="1" ht="18" x14ac:dyDescent="0.45">
      <c r="A4" s="73" t="s">
        <v>9</v>
      </c>
      <c r="B4" s="75" t="s">
        <v>46</v>
      </c>
      <c r="C4" s="80"/>
    </row>
    <row r="5" spans="1:16" s="70" customFormat="1" x14ac:dyDescent="0.45">
      <c r="C5" s="82"/>
    </row>
    <row r="6" spans="1:16" s="76" customFormat="1" ht="14.65" thickBot="1" x14ac:dyDescent="0.5">
      <c r="A6" s="76" t="s">
        <v>11</v>
      </c>
      <c r="B6" s="76" t="s">
        <v>12</v>
      </c>
      <c r="C6" s="78" t="s">
        <v>26</v>
      </c>
      <c r="D6" s="76" t="s">
        <v>25</v>
      </c>
      <c r="E6" s="76" t="s">
        <v>13</v>
      </c>
      <c r="F6" s="76" t="s">
        <v>14</v>
      </c>
      <c r="G6" s="76" t="s">
        <v>15</v>
      </c>
      <c r="H6" s="76" t="s">
        <v>16</v>
      </c>
      <c r="I6" s="76" t="s">
        <v>17</v>
      </c>
      <c r="J6" s="76" t="s">
        <v>18</v>
      </c>
      <c r="K6" s="76" t="s">
        <v>19</v>
      </c>
      <c r="L6" s="76" t="s">
        <v>20</v>
      </c>
      <c r="M6" s="76" t="s">
        <v>21</v>
      </c>
      <c r="N6" s="76" t="s">
        <v>22</v>
      </c>
      <c r="O6" s="76" t="s">
        <v>23</v>
      </c>
      <c r="P6" s="76" t="s">
        <v>24</v>
      </c>
    </row>
    <row r="7" spans="1:16" s="98" customFormat="1" x14ac:dyDescent="0.45">
      <c r="A7" s="98">
        <v>1</v>
      </c>
      <c r="B7" s="98" t="str">
        <f t="shared" ref="B7:B34" si="0">CONCATENATE($B$2, ".", A7)</f>
        <v>6.1</v>
      </c>
      <c r="C7" s="101" t="s">
        <v>40</v>
      </c>
      <c r="D7" s="98" t="s">
        <v>214</v>
      </c>
      <c r="E7" s="98" t="s">
        <v>86</v>
      </c>
      <c r="F7" s="98" t="s">
        <v>37</v>
      </c>
      <c r="G7" s="98" t="s">
        <v>37</v>
      </c>
      <c r="H7" s="98" t="s">
        <v>37</v>
      </c>
      <c r="I7" s="98" t="s">
        <v>10</v>
      </c>
      <c r="J7" s="99" t="s">
        <v>37</v>
      </c>
      <c r="K7" s="99" t="s">
        <v>37</v>
      </c>
      <c r="L7" s="99" t="s">
        <v>37</v>
      </c>
      <c r="M7" s="99" t="s">
        <v>37</v>
      </c>
      <c r="N7" s="99" t="s">
        <v>37</v>
      </c>
      <c r="O7" s="99" t="s">
        <v>37</v>
      </c>
    </row>
    <row r="8" spans="1:16" s="98" customFormat="1" x14ac:dyDescent="0.45">
      <c r="A8" s="98">
        <v>2</v>
      </c>
      <c r="B8" s="98" t="str">
        <f t="shared" si="0"/>
        <v>6.2</v>
      </c>
      <c r="C8" s="101" t="s">
        <v>40</v>
      </c>
      <c r="D8" s="98" t="s">
        <v>37</v>
      </c>
      <c r="E8" s="98" t="s">
        <v>48</v>
      </c>
      <c r="F8" s="98" t="s">
        <v>37</v>
      </c>
      <c r="G8" s="98" t="s">
        <v>37</v>
      </c>
      <c r="H8" s="98" t="s">
        <v>37</v>
      </c>
      <c r="I8" s="98" t="s">
        <v>10</v>
      </c>
      <c r="J8" s="99" t="s">
        <v>37</v>
      </c>
      <c r="K8" s="99" t="s">
        <v>37</v>
      </c>
      <c r="L8" s="99" t="s">
        <v>37</v>
      </c>
      <c r="M8" s="99" t="s">
        <v>37</v>
      </c>
      <c r="N8" s="99" t="s">
        <v>37</v>
      </c>
      <c r="O8" s="99" t="s">
        <v>37</v>
      </c>
    </row>
    <row r="9" spans="1:16" s="98" customFormat="1" ht="42.75" x14ac:dyDescent="0.45">
      <c r="A9" s="98">
        <v>3</v>
      </c>
      <c r="B9" s="98" t="str">
        <f t="shared" si="0"/>
        <v>6.3</v>
      </c>
      <c r="C9" s="101" t="s">
        <v>41</v>
      </c>
      <c r="E9" s="98" t="s">
        <v>85</v>
      </c>
      <c r="F9" s="98" t="s">
        <v>37</v>
      </c>
      <c r="G9" s="98" t="s">
        <v>37</v>
      </c>
      <c r="H9" s="100" t="s">
        <v>37</v>
      </c>
      <c r="I9" s="98" t="s">
        <v>10</v>
      </c>
      <c r="J9" s="99" t="s">
        <v>37</v>
      </c>
      <c r="K9" s="99" t="s">
        <v>37</v>
      </c>
      <c r="L9" s="98" t="s">
        <v>37</v>
      </c>
      <c r="M9" s="99" t="s">
        <v>37</v>
      </c>
      <c r="N9" s="99" t="s">
        <v>37</v>
      </c>
      <c r="O9" s="99" t="s">
        <v>37</v>
      </c>
      <c r="P9" s="98" t="s">
        <v>443</v>
      </c>
    </row>
    <row r="10" spans="1:16" s="98" customFormat="1" ht="120.7" customHeight="1" x14ac:dyDescent="0.45">
      <c r="A10" s="98">
        <v>4</v>
      </c>
      <c r="B10" s="98" t="str">
        <f>CONCATENATE($B$2, ".", A10)</f>
        <v>6.4</v>
      </c>
      <c r="C10" s="101" t="s">
        <v>40</v>
      </c>
      <c r="D10" s="98" t="s">
        <v>398</v>
      </c>
      <c r="E10" s="98" t="s">
        <v>32</v>
      </c>
      <c r="F10" s="98" t="s">
        <v>57</v>
      </c>
      <c r="G10" s="98" t="s">
        <v>424</v>
      </c>
      <c r="H10" s="98" t="s">
        <v>37</v>
      </c>
      <c r="I10" s="98" t="s">
        <v>10</v>
      </c>
      <c r="J10" s="99" t="s">
        <v>543</v>
      </c>
      <c r="K10" s="108" t="s">
        <v>52</v>
      </c>
      <c r="L10" s="98" t="s">
        <v>37</v>
      </c>
      <c r="M10" s="99" t="s">
        <v>37</v>
      </c>
      <c r="N10" s="99" t="s">
        <v>37</v>
      </c>
      <c r="O10" s="99" t="s">
        <v>37</v>
      </c>
    </row>
    <row r="11" spans="1:16" s="98" customFormat="1" ht="53.2" customHeight="1" x14ac:dyDescent="0.45">
      <c r="A11" s="98">
        <v>5</v>
      </c>
      <c r="B11" s="98" t="str">
        <f t="shared" si="0"/>
        <v>6.5</v>
      </c>
      <c r="C11" s="101" t="s">
        <v>40</v>
      </c>
      <c r="D11" s="98" t="s">
        <v>388</v>
      </c>
      <c r="E11" s="98" t="s">
        <v>29</v>
      </c>
      <c r="F11" s="98" t="s">
        <v>37</v>
      </c>
      <c r="G11" s="98" t="s">
        <v>37</v>
      </c>
      <c r="H11" s="100" t="s">
        <v>37</v>
      </c>
      <c r="I11" s="98" t="s">
        <v>10</v>
      </c>
      <c r="J11" s="99" t="s">
        <v>37</v>
      </c>
      <c r="K11" s="99" t="s">
        <v>37</v>
      </c>
      <c r="L11" s="98" t="s">
        <v>37</v>
      </c>
      <c r="M11" s="99" t="s">
        <v>37</v>
      </c>
      <c r="N11" s="99" t="s">
        <v>37</v>
      </c>
      <c r="O11" s="99" t="s">
        <v>37</v>
      </c>
    </row>
    <row r="12" spans="1:16" s="98" customFormat="1" ht="59.65" customHeight="1" x14ac:dyDescent="0.45">
      <c r="A12" s="98">
        <v>6</v>
      </c>
      <c r="B12" s="98" t="str">
        <f t="shared" si="0"/>
        <v>6.6</v>
      </c>
      <c r="C12" s="101" t="s">
        <v>40</v>
      </c>
      <c r="D12" s="98" t="s">
        <v>389</v>
      </c>
      <c r="E12" s="98" t="s">
        <v>35</v>
      </c>
      <c r="F12" s="103" t="s">
        <v>316</v>
      </c>
      <c r="G12" s="98" t="s">
        <v>37</v>
      </c>
      <c r="H12" s="100" t="s">
        <v>37</v>
      </c>
      <c r="I12" s="98" t="s">
        <v>10</v>
      </c>
      <c r="J12" s="99" t="s">
        <v>75</v>
      </c>
      <c r="K12" s="99" t="s">
        <v>52</v>
      </c>
      <c r="L12" s="108" t="s">
        <v>544</v>
      </c>
      <c r="M12" s="99" t="s">
        <v>37</v>
      </c>
      <c r="N12" s="99" t="s">
        <v>37</v>
      </c>
      <c r="O12" s="99" t="s">
        <v>37</v>
      </c>
      <c r="P12" s="89" t="s">
        <v>317</v>
      </c>
    </row>
    <row r="13" spans="1:16" s="98" customFormat="1" ht="43.5" customHeight="1" x14ac:dyDescent="0.45">
      <c r="A13" s="98">
        <v>7</v>
      </c>
      <c r="B13" s="98" t="str">
        <f t="shared" si="0"/>
        <v>6.7</v>
      </c>
      <c r="C13" s="101" t="s">
        <v>40</v>
      </c>
      <c r="D13" s="98" t="s">
        <v>390</v>
      </c>
      <c r="E13" s="98" t="s">
        <v>33</v>
      </c>
      <c r="F13" s="98" t="s">
        <v>50</v>
      </c>
      <c r="G13" s="98" t="s">
        <v>37</v>
      </c>
      <c r="H13" s="100">
        <v>35</v>
      </c>
      <c r="I13" s="98" t="s">
        <v>10</v>
      </c>
      <c r="J13" s="99" t="s">
        <v>75</v>
      </c>
      <c r="K13" s="99" t="s">
        <v>52</v>
      </c>
      <c r="L13" s="108" t="s">
        <v>545</v>
      </c>
      <c r="M13" s="99" t="s">
        <v>37</v>
      </c>
      <c r="N13" s="99" t="s">
        <v>37</v>
      </c>
      <c r="O13" s="99" t="s">
        <v>37</v>
      </c>
    </row>
    <row r="14" spans="1:16" s="98" customFormat="1" ht="53.65" customHeight="1" x14ac:dyDescent="0.45">
      <c r="A14" s="98">
        <v>8</v>
      </c>
      <c r="B14" s="98" t="str">
        <f t="shared" si="0"/>
        <v>6.8</v>
      </c>
      <c r="C14" s="101" t="s">
        <v>40</v>
      </c>
      <c r="D14" s="98" t="s">
        <v>391</v>
      </c>
      <c r="E14" s="98" t="s">
        <v>35</v>
      </c>
      <c r="F14" s="98" t="s">
        <v>229</v>
      </c>
      <c r="G14" s="98" t="s">
        <v>37</v>
      </c>
      <c r="H14" s="100" t="s">
        <v>37</v>
      </c>
      <c r="I14" s="98" t="s">
        <v>10</v>
      </c>
      <c r="J14" s="99" t="s">
        <v>230</v>
      </c>
      <c r="K14" s="99" t="s">
        <v>52</v>
      </c>
      <c r="L14" s="98" t="s">
        <v>37</v>
      </c>
      <c r="M14" s="99" t="s">
        <v>37</v>
      </c>
      <c r="N14" s="99" t="s">
        <v>37</v>
      </c>
      <c r="O14" s="99" t="s">
        <v>37</v>
      </c>
      <c r="P14" s="98" t="s">
        <v>231</v>
      </c>
    </row>
    <row r="15" spans="1:16" s="98" customFormat="1" ht="123" customHeight="1" x14ac:dyDescent="0.45">
      <c r="A15" s="98">
        <v>9</v>
      </c>
      <c r="B15" s="98" t="str">
        <f t="shared" si="0"/>
        <v>6.9</v>
      </c>
      <c r="C15" s="101" t="s">
        <v>40</v>
      </c>
      <c r="D15" s="98" t="s">
        <v>392</v>
      </c>
      <c r="E15" s="98" t="s">
        <v>33</v>
      </c>
      <c r="F15" s="98" t="s">
        <v>50</v>
      </c>
      <c r="G15" s="98" t="s">
        <v>257</v>
      </c>
      <c r="H15" s="100">
        <v>35</v>
      </c>
      <c r="I15" s="98" t="s">
        <v>10</v>
      </c>
      <c r="J15" s="99" t="s">
        <v>75</v>
      </c>
      <c r="K15" s="99" t="s">
        <v>52</v>
      </c>
      <c r="L15" s="108" t="s">
        <v>546</v>
      </c>
      <c r="M15" s="99" t="s">
        <v>37</v>
      </c>
      <c r="N15" s="99" t="s">
        <v>37</v>
      </c>
      <c r="O15" s="99" t="s">
        <v>37</v>
      </c>
    </row>
    <row r="16" spans="1:16" s="98" customFormat="1" ht="53.2" customHeight="1" x14ac:dyDescent="0.45">
      <c r="A16" s="98">
        <v>10</v>
      </c>
      <c r="B16" s="98" t="str">
        <f t="shared" si="0"/>
        <v>6.10</v>
      </c>
      <c r="C16" s="101" t="s">
        <v>40</v>
      </c>
      <c r="D16" s="98" t="s">
        <v>393</v>
      </c>
      <c r="E16" s="98" t="s">
        <v>72</v>
      </c>
      <c r="F16" s="98" t="s">
        <v>73</v>
      </c>
      <c r="G16" s="98" t="s">
        <v>37</v>
      </c>
      <c r="H16" s="100" t="s">
        <v>37</v>
      </c>
      <c r="I16" s="98" t="s">
        <v>10</v>
      </c>
      <c r="J16" s="99" t="s">
        <v>75</v>
      </c>
      <c r="K16" s="99" t="s">
        <v>52</v>
      </c>
      <c r="L16" s="108" t="s">
        <v>547</v>
      </c>
      <c r="M16" s="108" t="s">
        <v>579</v>
      </c>
      <c r="N16" s="99" t="s">
        <v>551</v>
      </c>
      <c r="O16" s="99" t="s">
        <v>37</v>
      </c>
    </row>
    <row r="17" spans="1:16" s="98" customFormat="1" ht="114" x14ac:dyDescent="0.45">
      <c r="A17" s="98">
        <v>11</v>
      </c>
      <c r="B17" s="98" t="str">
        <f t="shared" si="0"/>
        <v>6.11</v>
      </c>
      <c r="C17" s="101" t="s">
        <v>40</v>
      </c>
      <c r="D17" s="98" t="s">
        <v>394</v>
      </c>
      <c r="E17" s="98" t="s">
        <v>35</v>
      </c>
      <c r="F17" s="108" t="s">
        <v>570</v>
      </c>
      <c r="G17" s="98" t="s">
        <v>324</v>
      </c>
      <c r="H17" s="100" t="s">
        <v>37</v>
      </c>
      <c r="I17" s="98" t="s">
        <v>327</v>
      </c>
      <c r="J17" s="99" t="s">
        <v>75</v>
      </c>
      <c r="K17" s="99" t="s">
        <v>71</v>
      </c>
      <c r="L17" s="108" t="s">
        <v>548</v>
      </c>
      <c r="M17" s="99" t="s">
        <v>37</v>
      </c>
      <c r="N17" s="99" t="s">
        <v>37</v>
      </c>
      <c r="O17" s="99" t="s">
        <v>725</v>
      </c>
    </row>
    <row r="18" spans="1:16" s="98" customFormat="1" ht="42.75" x14ac:dyDescent="0.45">
      <c r="A18" s="98">
        <v>12</v>
      </c>
      <c r="B18" s="98" t="str">
        <f t="shared" si="0"/>
        <v>6.12</v>
      </c>
      <c r="C18" s="101" t="s">
        <v>41</v>
      </c>
      <c r="E18" s="98" t="s">
        <v>85</v>
      </c>
      <c r="F18" s="98" t="s">
        <v>37</v>
      </c>
      <c r="G18" s="98" t="s">
        <v>37</v>
      </c>
      <c r="H18" s="100" t="s">
        <v>37</v>
      </c>
      <c r="I18" s="98" t="s">
        <v>10</v>
      </c>
      <c r="J18" s="99" t="s">
        <v>37</v>
      </c>
      <c r="K18" s="99" t="s">
        <v>37</v>
      </c>
      <c r="L18" s="98" t="s">
        <v>37</v>
      </c>
      <c r="M18" s="99" t="s">
        <v>37</v>
      </c>
      <c r="N18" s="99" t="s">
        <v>37</v>
      </c>
      <c r="O18" s="99" t="s">
        <v>37</v>
      </c>
      <c r="P18" s="98" t="s">
        <v>444</v>
      </c>
    </row>
    <row r="19" spans="1:16" s="98" customFormat="1" x14ac:dyDescent="0.45">
      <c r="A19" s="98">
        <v>13</v>
      </c>
      <c r="B19" s="98" t="str">
        <f t="shared" si="0"/>
        <v>6.13</v>
      </c>
      <c r="C19" s="101" t="s">
        <v>40</v>
      </c>
      <c r="D19" s="98" t="s">
        <v>395</v>
      </c>
      <c r="E19" s="98" t="s">
        <v>29</v>
      </c>
      <c r="F19" s="98" t="s">
        <v>37</v>
      </c>
      <c r="G19" s="98" t="s">
        <v>37</v>
      </c>
      <c r="H19" s="100" t="s">
        <v>37</v>
      </c>
      <c r="I19" s="98" t="s">
        <v>10</v>
      </c>
      <c r="J19" s="99" t="s">
        <v>37</v>
      </c>
      <c r="K19" s="99" t="s">
        <v>37</v>
      </c>
      <c r="L19" s="98" t="s">
        <v>37</v>
      </c>
      <c r="M19" s="99" t="s">
        <v>37</v>
      </c>
      <c r="N19" s="99" t="s">
        <v>37</v>
      </c>
      <c r="O19" s="99" t="s">
        <v>37</v>
      </c>
    </row>
    <row r="20" spans="1:16" s="98" customFormat="1" ht="41.2" customHeight="1" x14ac:dyDescent="0.45">
      <c r="A20" s="98">
        <v>14</v>
      </c>
      <c r="B20" s="98" t="str">
        <f>CONCATENATE($B$2, ".", A20)</f>
        <v>6.14</v>
      </c>
      <c r="C20" s="101" t="s">
        <v>40</v>
      </c>
      <c r="D20" s="98" t="s">
        <v>389</v>
      </c>
      <c r="E20" s="98" t="s">
        <v>35</v>
      </c>
      <c r="F20" s="103" t="s">
        <v>316</v>
      </c>
      <c r="G20" s="98" t="s">
        <v>37</v>
      </c>
      <c r="H20" s="100" t="s">
        <v>37</v>
      </c>
      <c r="I20" s="98" t="s">
        <v>10</v>
      </c>
      <c r="J20" s="99" t="s">
        <v>75</v>
      </c>
      <c r="K20" s="99" t="s">
        <v>52</v>
      </c>
      <c r="L20" s="108" t="s">
        <v>544</v>
      </c>
      <c r="M20" s="99" t="s">
        <v>37</v>
      </c>
      <c r="N20" s="99" t="s">
        <v>37</v>
      </c>
      <c r="O20" s="99" t="s">
        <v>37</v>
      </c>
      <c r="P20" s="89" t="s">
        <v>317</v>
      </c>
    </row>
    <row r="21" spans="1:16" s="98" customFormat="1" ht="30.7" customHeight="1" x14ac:dyDescent="0.45">
      <c r="A21" s="98">
        <v>15</v>
      </c>
      <c r="B21" s="98" t="str">
        <f t="shared" si="0"/>
        <v>6.15</v>
      </c>
      <c r="C21" s="101" t="s">
        <v>40</v>
      </c>
      <c r="D21" s="98" t="s">
        <v>390</v>
      </c>
      <c r="E21" s="98" t="s">
        <v>33</v>
      </c>
      <c r="F21" s="98" t="s">
        <v>50</v>
      </c>
      <c r="G21" s="98" t="s">
        <v>37</v>
      </c>
      <c r="H21" s="100">
        <v>35</v>
      </c>
      <c r="I21" s="98" t="s">
        <v>10</v>
      </c>
      <c r="J21" s="99" t="s">
        <v>75</v>
      </c>
      <c r="K21" s="99" t="s">
        <v>52</v>
      </c>
      <c r="L21" s="108" t="s">
        <v>545</v>
      </c>
      <c r="M21" s="99" t="s">
        <v>37</v>
      </c>
      <c r="N21" s="99" t="s">
        <v>37</v>
      </c>
      <c r="O21" s="99" t="s">
        <v>37</v>
      </c>
    </row>
    <row r="22" spans="1:16" s="98" customFormat="1" ht="39" customHeight="1" x14ac:dyDescent="0.45">
      <c r="A22" s="98">
        <v>16</v>
      </c>
      <c r="B22" s="98" t="str">
        <f t="shared" si="0"/>
        <v>6.16</v>
      </c>
      <c r="C22" s="101" t="s">
        <v>40</v>
      </c>
      <c r="D22" s="98" t="s">
        <v>391</v>
      </c>
      <c r="E22" s="98" t="s">
        <v>35</v>
      </c>
      <c r="F22" s="98" t="s">
        <v>229</v>
      </c>
      <c r="G22" s="98" t="s">
        <v>37</v>
      </c>
      <c r="H22" s="100" t="s">
        <v>37</v>
      </c>
      <c r="I22" s="98" t="s">
        <v>10</v>
      </c>
      <c r="J22" s="99" t="s">
        <v>230</v>
      </c>
      <c r="K22" s="99" t="s">
        <v>52</v>
      </c>
      <c r="L22" s="98" t="s">
        <v>37</v>
      </c>
      <c r="M22" s="99" t="s">
        <v>37</v>
      </c>
      <c r="N22" s="99" t="s">
        <v>37</v>
      </c>
      <c r="O22" s="99" t="s">
        <v>37</v>
      </c>
      <c r="P22" s="98" t="s">
        <v>231</v>
      </c>
    </row>
    <row r="23" spans="1:16" s="98" customFormat="1" ht="121.15" customHeight="1" x14ac:dyDescent="0.45">
      <c r="A23" s="98">
        <v>17</v>
      </c>
      <c r="B23" s="98" t="str">
        <f t="shared" si="0"/>
        <v>6.17</v>
      </c>
      <c r="C23" s="101" t="s">
        <v>40</v>
      </c>
      <c r="D23" s="98" t="s">
        <v>392</v>
      </c>
      <c r="E23" s="98" t="s">
        <v>33</v>
      </c>
      <c r="F23" s="98" t="s">
        <v>50</v>
      </c>
      <c r="G23" s="98" t="s">
        <v>257</v>
      </c>
      <c r="H23" s="100">
        <v>35</v>
      </c>
      <c r="I23" s="98" t="s">
        <v>10</v>
      </c>
      <c r="J23" s="99" t="s">
        <v>75</v>
      </c>
      <c r="K23" s="99" t="s">
        <v>52</v>
      </c>
      <c r="L23" s="108" t="s">
        <v>549</v>
      </c>
      <c r="M23" s="99" t="s">
        <v>37</v>
      </c>
      <c r="N23" s="99" t="s">
        <v>37</v>
      </c>
      <c r="O23" s="99" t="s">
        <v>37</v>
      </c>
    </row>
    <row r="24" spans="1:16" s="98" customFormat="1" ht="30.7" customHeight="1" x14ac:dyDescent="0.45">
      <c r="A24" s="98">
        <v>18</v>
      </c>
      <c r="B24" s="98" t="str">
        <f t="shared" si="0"/>
        <v>6.18</v>
      </c>
      <c r="C24" s="101" t="s">
        <v>40</v>
      </c>
      <c r="D24" s="98" t="s">
        <v>393</v>
      </c>
      <c r="E24" s="98" t="s">
        <v>72</v>
      </c>
      <c r="F24" s="98" t="s">
        <v>73</v>
      </c>
      <c r="G24" s="98" t="s">
        <v>37</v>
      </c>
      <c r="H24" s="100" t="s">
        <v>37</v>
      </c>
      <c r="I24" s="98" t="s">
        <v>10</v>
      </c>
      <c r="J24" s="99" t="s">
        <v>75</v>
      </c>
      <c r="K24" s="99" t="s">
        <v>52</v>
      </c>
      <c r="L24" s="108" t="s">
        <v>547</v>
      </c>
      <c r="M24" s="108" t="s">
        <v>579</v>
      </c>
      <c r="N24" s="99" t="s">
        <v>551</v>
      </c>
      <c r="O24" s="99" t="s">
        <v>37</v>
      </c>
    </row>
    <row r="25" spans="1:16" s="98" customFormat="1" ht="114" x14ac:dyDescent="0.45">
      <c r="A25" s="98">
        <v>19</v>
      </c>
      <c r="B25" s="98" t="str">
        <f t="shared" si="0"/>
        <v>6.19</v>
      </c>
      <c r="C25" s="101" t="s">
        <v>40</v>
      </c>
      <c r="D25" s="98" t="s">
        <v>550</v>
      </c>
      <c r="E25" s="98" t="s">
        <v>35</v>
      </c>
      <c r="F25" s="108" t="s">
        <v>570</v>
      </c>
      <c r="G25" s="98" t="s">
        <v>324</v>
      </c>
      <c r="H25" s="100" t="s">
        <v>37</v>
      </c>
      <c r="I25" s="98" t="s">
        <v>326</v>
      </c>
      <c r="J25" s="99" t="s">
        <v>75</v>
      </c>
      <c r="K25" s="99" t="s">
        <v>71</v>
      </c>
      <c r="L25" s="108" t="s">
        <v>548</v>
      </c>
      <c r="M25" s="99" t="s">
        <v>37</v>
      </c>
      <c r="N25" s="99" t="s">
        <v>37</v>
      </c>
      <c r="O25" s="99" t="s">
        <v>325</v>
      </c>
    </row>
    <row r="26" spans="1:16" s="98" customFormat="1" ht="42.75" x14ac:dyDescent="0.45">
      <c r="A26" s="98">
        <v>20</v>
      </c>
      <c r="B26" s="98" t="str">
        <f t="shared" ref="B26" si="1">CONCATENATE($B$2, ".", A26)</f>
        <v>6.20</v>
      </c>
      <c r="C26" s="101" t="s">
        <v>41</v>
      </c>
      <c r="E26" s="98" t="s">
        <v>85</v>
      </c>
      <c r="F26" s="98" t="s">
        <v>37</v>
      </c>
      <c r="G26" s="98" t="s">
        <v>37</v>
      </c>
      <c r="H26" s="100" t="s">
        <v>37</v>
      </c>
      <c r="I26" s="98" t="s">
        <v>10</v>
      </c>
      <c r="J26" s="99" t="s">
        <v>37</v>
      </c>
      <c r="K26" s="99" t="s">
        <v>37</v>
      </c>
      <c r="L26" s="98" t="s">
        <v>37</v>
      </c>
      <c r="M26" s="99" t="s">
        <v>37</v>
      </c>
      <c r="N26" s="99" t="s">
        <v>37</v>
      </c>
      <c r="O26" s="99" t="s">
        <v>37</v>
      </c>
      <c r="P26" s="98" t="s">
        <v>448</v>
      </c>
    </row>
    <row r="27" spans="1:16" s="98" customFormat="1" x14ac:dyDescent="0.45">
      <c r="A27" s="98">
        <v>21</v>
      </c>
      <c r="B27" s="98" t="str">
        <f t="shared" si="0"/>
        <v>6.21</v>
      </c>
      <c r="C27" s="101" t="s">
        <v>40</v>
      </c>
      <c r="D27" s="98" t="s">
        <v>399</v>
      </c>
      <c r="E27" s="98" t="s">
        <v>29</v>
      </c>
      <c r="F27" s="98" t="s">
        <v>37</v>
      </c>
      <c r="G27" s="98" t="s">
        <v>37</v>
      </c>
      <c r="H27" s="100" t="s">
        <v>37</v>
      </c>
      <c r="I27" s="98" t="s">
        <v>10</v>
      </c>
      <c r="J27" s="99" t="s">
        <v>37</v>
      </c>
      <c r="K27" s="99" t="s">
        <v>37</v>
      </c>
      <c r="L27" s="98" t="s">
        <v>37</v>
      </c>
      <c r="M27" s="99" t="s">
        <v>37</v>
      </c>
      <c r="N27" s="99" t="s">
        <v>37</v>
      </c>
      <c r="O27" s="99" t="s">
        <v>37</v>
      </c>
    </row>
    <row r="28" spans="1:16" s="97" customFormat="1" ht="99.75" x14ac:dyDescent="0.45">
      <c r="A28" s="98">
        <v>22</v>
      </c>
      <c r="B28" s="98" t="str">
        <f t="shared" si="0"/>
        <v>6.22</v>
      </c>
      <c r="C28" s="101" t="s">
        <v>40</v>
      </c>
      <c r="D28" s="98" t="s">
        <v>280</v>
      </c>
      <c r="E28" s="98" t="s">
        <v>35</v>
      </c>
      <c r="F28" s="98" t="s">
        <v>232</v>
      </c>
      <c r="G28" s="98" t="s">
        <v>319</v>
      </c>
      <c r="H28" s="100" t="s">
        <v>37</v>
      </c>
      <c r="I28" s="98" t="s">
        <v>10</v>
      </c>
      <c r="J28" s="99" t="s">
        <v>75</v>
      </c>
      <c r="K28" s="108" t="s">
        <v>554</v>
      </c>
      <c r="L28" s="99" t="s">
        <v>37</v>
      </c>
      <c r="M28" s="99" t="s">
        <v>37</v>
      </c>
      <c r="N28" s="99" t="s">
        <v>37</v>
      </c>
      <c r="O28" s="99" t="s">
        <v>37</v>
      </c>
      <c r="P28" s="98"/>
    </row>
    <row r="29" spans="1:16" s="97" customFormat="1" ht="85.5" x14ac:dyDescent="0.45">
      <c r="A29" s="98">
        <v>23</v>
      </c>
      <c r="B29" s="98" t="str">
        <f t="shared" si="0"/>
        <v>6.23</v>
      </c>
      <c r="C29" s="101" t="s">
        <v>40</v>
      </c>
      <c r="D29" s="98" t="s">
        <v>281</v>
      </c>
      <c r="E29" s="98" t="s">
        <v>33</v>
      </c>
      <c r="F29" s="98" t="s">
        <v>74</v>
      </c>
      <c r="G29" s="98" t="s">
        <v>320</v>
      </c>
      <c r="H29" s="100">
        <v>15</v>
      </c>
      <c r="I29" s="98" t="s">
        <v>10</v>
      </c>
      <c r="J29" s="99" t="s">
        <v>75</v>
      </c>
      <c r="K29" s="108" t="s">
        <v>557</v>
      </c>
      <c r="L29" s="99" t="s">
        <v>37</v>
      </c>
      <c r="M29" s="99" t="s">
        <v>37</v>
      </c>
      <c r="N29" s="99" t="s">
        <v>37</v>
      </c>
      <c r="O29" s="99" t="s">
        <v>426</v>
      </c>
      <c r="P29" s="68"/>
    </row>
    <row r="30" spans="1:16" s="97" customFormat="1" ht="49.15" customHeight="1" x14ac:dyDescent="0.45">
      <c r="A30" s="98">
        <v>24</v>
      </c>
      <c r="B30" s="98" t="str">
        <f t="shared" ref="B30" si="2">CONCATENATE($B$2, ".", A30)</f>
        <v>6.24</v>
      </c>
      <c r="C30" s="106" t="s">
        <v>38</v>
      </c>
      <c r="D30" s="97" t="s">
        <v>282</v>
      </c>
      <c r="E30" s="98" t="s">
        <v>29</v>
      </c>
      <c r="F30" s="98" t="s">
        <v>37</v>
      </c>
      <c r="G30" s="98" t="s">
        <v>37</v>
      </c>
      <c r="H30" s="100" t="s">
        <v>37</v>
      </c>
      <c r="I30" s="98" t="s">
        <v>10</v>
      </c>
      <c r="J30" s="99" t="s">
        <v>37</v>
      </c>
      <c r="K30" s="109" t="s">
        <v>52</v>
      </c>
      <c r="L30" s="98" t="s">
        <v>37</v>
      </c>
      <c r="M30" s="99" t="s">
        <v>37</v>
      </c>
      <c r="N30" s="99" t="s">
        <v>37</v>
      </c>
      <c r="O30" s="99" t="s">
        <v>37</v>
      </c>
      <c r="P30" s="98"/>
    </row>
    <row r="31" spans="1:16" s="97" customFormat="1" ht="85.5" x14ac:dyDescent="0.45">
      <c r="A31" s="98">
        <v>25</v>
      </c>
      <c r="B31" s="98" t="str">
        <f t="shared" si="0"/>
        <v>6.25</v>
      </c>
      <c r="C31" s="101" t="s">
        <v>40</v>
      </c>
      <c r="D31" s="97" t="s">
        <v>37</v>
      </c>
      <c r="E31" s="98" t="s">
        <v>32</v>
      </c>
      <c r="F31" s="98" t="s">
        <v>57</v>
      </c>
      <c r="G31" s="98" t="s">
        <v>37</v>
      </c>
      <c r="H31" s="98" t="s">
        <v>37</v>
      </c>
      <c r="I31" s="99" t="s">
        <v>10</v>
      </c>
      <c r="J31" s="99" t="s">
        <v>216</v>
      </c>
      <c r="K31" s="97" t="s">
        <v>215</v>
      </c>
      <c r="L31" s="97" t="s">
        <v>37</v>
      </c>
      <c r="M31" s="97" t="s">
        <v>37</v>
      </c>
      <c r="N31" s="97" t="s">
        <v>37</v>
      </c>
      <c r="O31" s="97" t="s">
        <v>427</v>
      </c>
    </row>
    <row r="32" spans="1:16" s="97" customFormat="1" ht="99.75" x14ac:dyDescent="0.45">
      <c r="A32" s="98">
        <v>26</v>
      </c>
      <c r="B32" s="98" t="str">
        <f t="shared" si="0"/>
        <v>6.26</v>
      </c>
      <c r="C32" s="101" t="s">
        <v>40</v>
      </c>
      <c r="D32" s="97" t="s">
        <v>217</v>
      </c>
      <c r="E32" s="99" t="s">
        <v>76</v>
      </c>
      <c r="F32" s="97" t="s">
        <v>37</v>
      </c>
      <c r="G32" s="98" t="s">
        <v>321</v>
      </c>
      <c r="H32" s="95" t="s">
        <v>37</v>
      </c>
      <c r="I32" s="99" t="s">
        <v>10</v>
      </c>
      <c r="J32" s="97" t="s">
        <v>37</v>
      </c>
      <c r="K32" s="97" t="s">
        <v>37</v>
      </c>
      <c r="L32" s="97" t="s">
        <v>37</v>
      </c>
      <c r="M32" s="97" t="s">
        <v>37</v>
      </c>
      <c r="N32" s="97" t="s">
        <v>37</v>
      </c>
      <c r="O32" s="99" t="s">
        <v>218</v>
      </c>
    </row>
    <row r="33" spans="1:19" s="98" customFormat="1" ht="99.75" x14ac:dyDescent="0.45">
      <c r="A33" s="98">
        <v>27</v>
      </c>
      <c r="B33" s="98" t="str">
        <f t="shared" si="0"/>
        <v>6.27</v>
      </c>
      <c r="C33" s="101" t="s">
        <v>40</v>
      </c>
      <c r="D33" s="98" t="s">
        <v>56</v>
      </c>
      <c r="E33" s="98" t="s">
        <v>43</v>
      </c>
      <c r="F33" s="98" t="s">
        <v>37</v>
      </c>
      <c r="G33" s="98" t="s">
        <v>37</v>
      </c>
      <c r="H33" s="98" t="s">
        <v>37</v>
      </c>
      <c r="I33" s="98" t="s">
        <v>10</v>
      </c>
      <c r="J33" s="98" t="s">
        <v>37</v>
      </c>
      <c r="K33" s="98" t="s">
        <v>37</v>
      </c>
      <c r="L33" s="98" t="s">
        <v>37</v>
      </c>
      <c r="M33" s="98" t="s">
        <v>37</v>
      </c>
      <c r="N33" s="98" t="s">
        <v>37</v>
      </c>
      <c r="O33" s="89" t="s">
        <v>403</v>
      </c>
    </row>
    <row r="34" spans="1:19" x14ac:dyDescent="0.45">
      <c r="A34" s="98">
        <v>28</v>
      </c>
      <c r="B34" s="98" t="str">
        <f t="shared" si="0"/>
        <v>6.28</v>
      </c>
      <c r="C34" s="101" t="s">
        <v>40</v>
      </c>
      <c r="D34" s="98" t="s">
        <v>55</v>
      </c>
      <c r="E34" s="98" t="s">
        <v>43</v>
      </c>
      <c r="F34" s="98" t="s">
        <v>37</v>
      </c>
      <c r="G34" s="98" t="s">
        <v>37</v>
      </c>
      <c r="H34" s="98" t="s">
        <v>37</v>
      </c>
      <c r="I34" s="98" t="s">
        <v>10</v>
      </c>
      <c r="J34" s="98" t="s">
        <v>37</v>
      </c>
      <c r="K34" s="98" t="s">
        <v>37</v>
      </c>
      <c r="L34" s="98" t="s">
        <v>37</v>
      </c>
      <c r="M34" s="98" t="s">
        <v>37</v>
      </c>
      <c r="N34" s="98" t="s">
        <v>37</v>
      </c>
      <c r="O34" s="89" t="s">
        <v>203</v>
      </c>
      <c r="P34" s="98"/>
      <c r="Q34" s="98"/>
      <c r="R34" s="98"/>
      <c r="S34" s="98"/>
    </row>
    <row r="35" spans="1:19" x14ac:dyDescent="0.45">
      <c r="C35" s="101"/>
      <c r="D35" s="98" t="s">
        <v>62</v>
      </c>
      <c r="E35" s="98"/>
      <c r="F35" s="98"/>
      <c r="G35" s="98"/>
      <c r="H35" s="98"/>
      <c r="I35" s="98"/>
      <c r="J35" s="99"/>
      <c r="K35" s="99"/>
      <c r="L35" s="99"/>
      <c r="M35" s="99"/>
      <c r="N35" s="99"/>
      <c r="O35" s="99"/>
      <c r="P35" s="98"/>
      <c r="Q35" s="98"/>
      <c r="R35" s="98"/>
      <c r="S35" s="98"/>
    </row>
    <row r="36" spans="1:19" x14ac:dyDescent="0.45">
      <c r="I36" s="98"/>
      <c r="J36" s="97"/>
      <c r="K36" s="97"/>
      <c r="L36" s="99"/>
      <c r="M36" s="99"/>
      <c r="N36" s="99"/>
      <c r="O36" s="99"/>
    </row>
    <row r="37" spans="1:19" x14ac:dyDescent="0.45">
      <c r="I37" s="98"/>
      <c r="J37" s="97"/>
      <c r="K37" s="97"/>
      <c r="L37" s="99"/>
      <c r="M37" s="99"/>
      <c r="N37" s="99"/>
      <c r="O37" s="99"/>
    </row>
    <row r="38" spans="1:19" x14ac:dyDescent="0.45">
      <c r="I38" s="98"/>
      <c r="J38" s="97"/>
      <c r="K38" s="97"/>
      <c r="L38" s="99"/>
      <c r="M38" s="99"/>
      <c r="N38" s="99"/>
      <c r="O38" s="99"/>
    </row>
    <row r="39" spans="1:19" x14ac:dyDescent="0.45">
      <c r="I39" s="98"/>
      <c r="J39" s="97"/>
      <c r="K39" s="97"/>
      <c r="L39" s="99"/>
      <c r="M39" s="99"/>
      <c r="N39" s="99"/>
      <c r="O39" s="99"/>
    </row>
    <row r="40" spans="1:19" x14ac:dyDescent="0.45">
      <c r="I40" s="98"/>
      <c r="J40" s="97"/>
      <c r="K40" s="97"/>
      <c r="L40" s="99"/>
      <c r="M40" s="99"/>
      <c r="N40" s="99"/>
      <c r="O40" s="99"/>
    </row>
    <row r="41" spans="1:19" x14ac:dyDescent="0.45">
      <c r="I41" s="98"/>
      <c r="J41" s="97"/>
      <c r="K41" s="97"/>
      <c r="L41" s="99"/>
      <c r="M41" s="99"/>
      <c r="N41" s="99"/>
      <c r="O41" s="99"/>
    </row>
  </sheetData>
  <autoFilter ref="A6:P33" xr:uid="{00000000-0009-0000-0000-000008000000}"/>
  <conditionalFormatting sqref="G13:H13 D15:H16 D13:D14 D12:F12 N16 M12:XFD12 L10 G14 O10:XFD10 P13:XFD16 A1:XFD2 Q9:XFD10 A35:XFD1048576 D20:D25 F7:XFD8 F11:XFD11 A7:B8 D7:D8 D33:XFD34 B31:B34 Q26:XFD27 D27 A4:XFD6 A3:C3 E3:XFD3 A11:B16 D11 C12:C13 A10:D10 P20:XFD25 A20:B27 B28:B29 A28:A34">
    <cfRule type="cellIs" dxfId="713" priority="535" operator="equal">
      <formula>"n/a"</formula>
    </cfRule>
  </conditionalFormatting>
  <conditionalFormatting sqref="C1:C6 C35:C1048576">
    <cfRule type="cellIs" dxfId="712" priority="536" operator="equal">
      <formula>"WIP (see comments)"</formula>
    </cfRule>
    <cfRule type="cellIs" dxfId="711" priority="537" operator="equal">
      <formula>"Removed"</formula>
    </cfRule>
    <cfRule type="cellIs" dxfId="710" priority="538" operator="equal">
      <formula>"Updated"</formula>
    </cfRule>
    <cfRule type="cellIs" dxfId="709" priority="539" operator="equal">
      <formula>"New"</formula>
    </cfRule>
  </conditionalFormatting>
  <conditionalFormatting sqref="J10 M10:N10">
    <cfRule type="cellIs" dxfId="708" priority="534" operator="equal">
      <formula>"n/a"</formula>
    </cfRule>
  </conditionalFormatting>
  <conditionalFormatting sqref="F10:H10">
    <cfRule type="cellIs" dxfId="707" priority="533" operator="equal">
      <formula>"n/a"</formula>
    </cfRule>
  </conditionalFormatting>
  <conditionalFormatting sqref="E10">
    <cfRule type="cellIs" dxfId="706" priority="532" operator="equal">
      <formula>"n/a"</formula>
    </cfRule>
  </conditionalFormatting>
  <conditionalFormatting sqref="E13">
    <cfRule type="cellIs" dxfId="705" priority="531" operator="equal">
      <formula>"n/a"</formula>
    </cfRule>
  </conditionalFormatting>
  <conditionalFormatting sqref="F13">
    <cfRule type="cellIs" dxfId="704" priority="530" operator="equal">
      <formula>"n/a"</formula>
    </cfRule>
  </conditionalFormatting>
  <conditionalFormatting sqref="I10">
    <cfRule type="cellIs" dxfId="703" priority="529" operator="equal">
      <formula>"n/a"</formula>
    </cfRule>
  </conditionalFormatting>
  <conditionalFormatting sqref="E14:F14">
    <cfRule type="cellIs" dxfId="702" priority="526" operator="equal">
      <formula>"n/a"</formula>
    </cfRule>
  </conditionalFormatting>
  <conditionalFormatting sqref="J14 L14:N14">
    <cfRule type="cellIs" dxfId="701" priority="528" operator="equal">
      <formula>"n/a"</formula>
    </cfRule>
  </conditionalFormatting>
  <conditionalFormatting sqref="H14">
    <cfRule type="cellIs" dxfId="700" priority="527" operator="equal">
      <formula>"n/a"</formula>
    </cfRule>
  </conditionalFormatting>
  <conditionalFormatting sqref="G12:H12">
    <cfRule type="cellIs" dxfId="699" priority="525" operator="equal">
      <formula>"n/a"</formula>
    </cfRule>
  </conditionalFormatting>
  <conditionalFormatting sqref="O20:O24">
    <cfRule type="cellIs" dxfId="698" priority="523" operator="equal">
      <formula>"n/a"</formula>
    </cfRule>
  </conditionalFormatting>
  <conditionalFormatting sqref="J13">
    <cfRule type="cellIs" dxfId="697" priority="518" operator="equal">
      <formula>"n/a"</formula>
    </cfRule>
  </conditionalFormatting>
  <conditionalFormatting sqref="J16">
    <cfRule type="cellIs" dxfId="696" priority="520" operator="equal">
      <formula>"n/a"</formula>
    </cfRule>
  </conditionalFormatting>
  <conditionalFormatting sqref="J15">
    <cfRule type="cellIs" dxfId="695" priority="519" operator="equal">
      <formula>"n/a"</formula>
    </cfRule>
  </conditionalFormatting>
  <conditionalFormatting sqref="J12">
    <cfRule type="cellIs" dxfId="694" priority="517" operator="equal">
      <formula>"n/a"</formula>
    </cfRule>
  </conditionalFormatting>
  <conditionalFormatting sqref="I12">
    <cfRule type="cellIs" dxfId="693" priority="516" operator="equal">
      <formula>"n/a"</formula>
    </cfRule>
  </conditionalFormatting>
  <conditionalFormatting sqref="I13">
    <cfRule type="cellIs" dxfId="692" priority="515" operator="equal">
      <formula>"n/a"</formula>
    </cfRule>
  </conditionalFormatting>
  <conditionalFormatting sqref="I15">
    <cfRule type="cellIs" dxfId="691" priority="514" operator="equal">
      <formula>"n/a"</formula>
    </cfRule>
  </conditionalFormatting>
  <conditionalFormatting sqref="I14">
    <cfRule type="cellIs" dxfId="690" priority="513" operator="equal">
      <formula>"n/a"</formula>
    </cfRule>
  </conditionalFormatting>
  <conditionalFormatting sqref="I16">
    <cfRule type="cellIs" dxfId="689" priority="512" operator="equal">
      <formula>"n/a"</formula>
    </cfRule>
  </conditionalFormatting>
  <conditionalFormatting sqref="F32 H32 L31:XFD32 D31:D32 Q28:XFD30">
    <cfRule type="cellIs" dxfId="688" priority="506" operator="equal">
      <formula>"n/a"</formula>
    </cfRule>
  </conditionalFormatting>
  <conditionalFormatting sqref="J31">
    <cfRule type="cellIs" dxfId="687" priority="505" operator="equal">
      <formula>"n/a"</formula>
    </cfRule>
  </conditionalFormatting>
  <conditionalFormatting sqref="F31:H31">
    <cfRule type="cellIs" dxfId="686" priority="504" operator="equal">
      <formula>"n/a"</formula>
    </cfRule>
  </conditionalFormatting>
  <conditionalFormatting sqref="E31">
    <cfRule type="cellIs" dxfId="685" priority="503" operator="equal">
      <formula>"n/a"</formula>
    </cfRule>
  </conditionalFormatting>
  <conditionalFormatting sqref="I31:I32">
    <cfRule type="cellIs" dxfId="684" priority="502" operator="equal">
      <formula>"n/a"</formula>
    </cfRule>
  </conditionalFormatting>
  <conditionalFormatting sqref="K12">
    <cfRule type="cellIs" dxfId="683" priority="511" operator="equal">
      <formula>"n/a"</formula>
    </cfRule>
  </conditionalFormatting>
  <conditionalFormatting sqref="K13">
    <cfRule type="cellIs" dxfId="682" priority="510" operator="equal">
      <formula>"n/a"</formula>
    </cfRule>
  </conditionalFormatting>
  <conditionalFormatting sqref="K14">
    <cfRule type="cellIs" dxfId="681" priority="509" operator="equal">
      <formula>"n/a"</formula>
    </cfRule>
  </conditionalFormatting>
  <conditionalFormatting sqref="K15">
    <cfRule type="cellIs" dxfId="680" priority="508" operator="equal">
      <formula>"n/a"</formula>
    </cfRule>
  </conditionalFormatting>
  <conditionalFormatting sqref="K16">
    <cfRule type="cellIs" dxfId="679" priority="507" operator="equal">
      <formula>"n/a"</formula>
    </cfRule>
  </conditionalFormatting>
  <conditionalFormatting sqref="D28 D29:E29 G29:J29 F28:J28 L28:P29">
    <cfRule type="cellIs" dxfId="678" priority="496" operator="equal">
      <formula>"n/a"</formula>
    </cfRule>
  </conditionalFormatting>
  <conditionalFormatting sqref="F29">
    <cfRule type="cellIs" dxfId="677" priority="495" operator="equal">
      <formula>"n/a"</formula>
    </cfRule>
  </conditionalFormatting>
  <conditionalFormatting sqref="M15:O15 O16">
    <cfRule type="cellIs" dxfId="676" priority="494" operator="equal">
      <formula>"n/a"</formula>
    </cfRule>
  </conditionalFormatting>
  <conditionalFormatting sqref="M13:O13 O14">
    <cfRule type="cellIs" dxfId="675" priority="493" operator="equal">
      <formula>"n/a"</formula>
    </cfRule>
  </conditionalFormatting>
  <conditionalFormatting sqref="E32">
    <cfRule type="cellIs" dxfId="674" priority="501" operator="equal">
      <formula>"n/a"</formula>
    </cfRule>
  </conditionalFormatting>
  <conditionalFormatting sqref="K32">
    <cfRule type="cellIs" dxfId="673" priority="500" operator="equal">
      <formula>"n/a"</formula>
    </cfRule>
  </conditionalFormatting>
  <conditionalFormatting sqref="J32">
    <cfRule type="cellIs" dxfId="672" priority="499" operator="equal">
      <formula>"n/a"</formula>
    </cfRule>
  </conditionalFormatting>
  <conditionalFormatting sqref="G32">
    <cfRule type="cellIs" dxfId="671" priority="498" operator="equal">
      <formula>"n/a"</formula>
    </cfRule>
  </conditionalFormatting>
  <conditionalFormatting sqref="K31">
    <cfRule type="cellIs" dxfId="670" priority="497" operator="equal">
      <formula>"n/a"</formula>
    </cfRule>
  </conditionalFormatting>
  <conditionalFormatting sqref="M21:N21">
    <cfRule type="cellIs" dxfId="669" priority="465" operator="equal">
      <formula>"n/a"</formula>
    </cfRule>
  </conditionalFormatting>
  <conditionalFormatting sqref="G21:H21 E20 M20:N20 G22 E23:F23 H23 E24:H24 E25 G25:H25">
    <cfRule type="cellIs" dxfId="668" priority="487" operator="equal">
      <formula>"n/a"</formula>
    </cfRule>
  </conditionalFormatting>
  <conditionalFormatting sqref="E21">
    <cfRule type="cellIs" dxfId="667" priority="486" operator="equal">
      <formula>"n/a"</formula>
    </cfRule>
  </conditionalFormatting>
  <conditionalFormatting sqref="F21">
    <cfRule type="cellIs" dxfId="666" priority="485" operator="equal">
      <formula>"n/a"</formula>
    </cfRule>
  </conditionalFormatting>
  <conditionalFormatting sqref="E22:F22">
    <cfRule type="cellIs" dxfId="665" priority="482" operator="equal">
      <formula>"n/a"</formula>
    </cfRule>
  </conditionalFormatting>
  <conditionalFormatting sqref="J22 L22:N22">
    <cfRule type="cellIs" dxfId="664" priority="484" operator="equal">
      <formula>"n/a"</formula>
    </cfRule>
  </conditionalFormatting>
  <conditionalFormatting sqref="H22">
    <cfRule type="cellIs" dxfId="663" priority="483" operator="equal">
      <formula>"n/a"</formula>
    </cfRule>
  </conditionalFormatting>
  <conditionalFormatting sqref="G20:H20">
    <cfRule type="cellIs" dxfId="662" priority="481" operator="equal">
      <formula>"n/a"</formula>
    </cfRule>
  </conditionalFormatting>
  <conditionalFormatting sqref="J24">
    <cfRule type="cellIs" dxfId="661" priority="480" operator="equal">
      <formula>"n/a"</formula>
    </cfRule>
  </conditionalFormatting>
  <conditionalFormatting sqref="J23">
    <cfRule type="cellIs" dxfId="660" priority="479" operator="equal">
      <formula>"n/a"</formula>
    </cfRule>
  </conditionalFormatting>
  <conditionalFormatting sqref="J21">
    <cfRule type="cellIs" dxfId="659" priority="478" operator="equal">
      <formula>"n/a"</formula>
    </cfRule>
  </conditionalFormatting>
  <conditionalFormatting sqref="J20">
    <cfRule type="cellIs" dxfId="658" priority="477" operator="equal">
      <formula>"n/a"</formula>
    </cfRule>
  </conditionalFormatting>
  <conditionalFormatting sqref="I20">
    <cfRule type="cellIs" dxfId="657" priority="476" operator="equal">
      <formula>"n/a"</formula>
    </cfRule>
  </conditionalFormatting>
  <conditionalFormatting sqref="I21">
    <cfRule type="cellIs" dxfId="656" priority="475" operator="equal">
      <formula>"n/a"</formula>
    </cfRule>
  </conditionalFormatting>
  <conditionalFormatting sqref="I23">
    <cfRule type="cellIs" dxfId="655" priority="474" operator="equal">
      <formula>"n/a"</formula>
    </cfRule>
  </conditionalFormatting>
  <conditionalFormatting sqref="I22">
    <cfRule type="cellIs" dxfId="654" priority="473" operator="equal">
      <formula>"n/a"</formula>
    </cfRule>
  </conditionalFormatting>
  <conditionalFormatting sqref="I24:I25">
    <cfRule type="cellIs" dxfId="653" priority="472" operator="equal">
      <formula>"n/a"</formula>
    </cfRule>
  </conditionalFormatting>
  <conditionalFormatting sqref="K20">
    <cfRule type="cellIs" dxfId="652" priority="471" operator="equal">
      <formula>"n/a"</formula>
    </cfRule>
  </conditionalFormatting>
  <conditionalFormatting sqref="K21">
    <cfRule type="cellIs" dxfId="651" priority="470" operator="equal">
      <formula>"n/a"</formula>
    </cfRule>
  </conditionalFormatting>
  <conditionalFormatting sqref="K22">
    <cfRule type="cellIs" dxfId="650" priority="469" operator="equal">
      <formula>"n/a"</formula>
    </cfRule>
  </conditionalFormatting>
  <conditionalFormatting sqref="K23">
    <cfRule type="cellIs" dxfId="649" priority="468" operator="equal">
      <formula>"n/a"</formula>
    </cfRule>
  </conditionalFormatting>
  <conditionalFormatting sqref="K24">
    <cfRule type="cellIs" dxfId="648" priority="467" operator="equal">
      <formula>"n/a"</formula>
    </cfRule>
  </conditionalFormatting>
  <conditionalFormatting sqref="M23:N23">
    <cfRule type="cellIs" dxfId="647" priority="466" operator="equal">
      <formula>"n/a"</formula>
    </cfRule>
  </conditionalFormatting>
  <conditionalFormatting sqref="G23">
    <cfRule type="cellIs" dxfId="646" priority="463" operator="equal">
      <formula>"n/a"</formula>
    </cfRule>
  </conditionalFormatting>
  <conditionalFormatting sqref="F20">
    <cfRule type="cellIs" dxfId="645" priority="462" operator="equal">
      <formula>"n/a"</formula>
    </cfRule>
  </conditionalFormatting>
  <conditionalFormatting sqref="N24">
    <cfRule type="cellIs" dxfId="644" priority="461" operator="equal">
      <formula>"n/a"</formula>
    </cfRule>
  </conditionalFormatting>
  <conditionalFormatting sqref="J25:K25">
    <cfRule type="cellIs" dxfId="643" priority="460" operator="equal">
      <formula>"n/a"</formula>
    </cfRule>
  </conditionalFormatting>
  <conditionalFormatting sqref="M25:O25">
    <cfRule type="cellIs" dxfId="642" priority="459" operator="equal">
      <formula>"n/a"</formula>
    </cfRule>
  </conditionalFormatting>
  <conditionalFormatting sqref="P17:XFD17 A17:B18 D17:D18 Q18:XFD19">
    <cfRule type="cellIs" dxfId="641" priority="454" operator="equal">
      <formula>"n/a"</formula>
    </cfRule>
  </conditionalFormatting>
  <conditionalFormatting sqref="E18:H18 L18 E17 G17:H17">
    <cfRule type="cellIs" dxfId="640" priority="453" operator="equal">
      <formula>"n/a"</formula>
    </cfRule>
  </conditionalFormatting>
  <conditionalFormatting sqref="I17:I18">
    <cfRule type="cellIs" dxfId="639" priority="452" operator="equal">
      <formula>"n/a"</formula>
    </cfRule>
  </conditionalFormatting>
  <conditionalFormatting sqref="J17:K18">
    <cfRule type="cellIs" dxfId="638" priority="451" operator="equal">
      <formula>"n/a"</formula>
    </cfRule>
  </conditionalFormatting>
  <conditionalFormatting sqref="M17:O18">
    <cfRule type="cellIs" dxfId="637" priority="450" operator="equal">
      <formula>"n/a"</formula>
    </cfRule>
  </conditionalFormatting>
  <conditionalFormatting sqref="A19:B19 D19:P19">
    <cfRule type="cellIs" dxfId="636" priority="445" operator="equal">
      <formula>"n/a"</formula>
    </cfRule>
  </conditionalFormatting>
  <conditionalFormatting sqref="A9:A10 P9:P10 D9:D10">
    <cfRule type="cellIs" dxfId="635" priority="410" operator="equal">
      <formula>"n/a"</formula>
    </cfRule>
  </conditionalFormatting>
  <conditionalFormatting sqref="F9:H10 L9:L10">
    <cfRule type="cellIs" dxfId="634" priority="409" operator="equal">
      <formula>"n/a"</formula>
    </cfRule>
  </conditionalFormatting>
  <conditionalFormatting sqref="I9:I10">
    <cfRule type="cellIs" dxfId="633" priority="408" operator="equal">
      <formula>"n/a"</formula>
    </cfRule>
  </conditionalFormatting>
  <conditionalFormatting sqref="J9:K10">
    <cfRule type="cellIs" dxfId="632" priority="407" operator="equal">
      <formula>"n/a"</formula>
    </cfRule>
  </conditionalFormatting>
  <conditionalFormatting sqref="M9:O10">
    <cfRule type="cellIs" dxfId="631" priority="406" operator="equal">
      <formula>"n/a"</formula>
    </cfRule>
  </conditionalFormatting>
  <conditionalFormatting sqref="E7:E8">
    <cfRule type="cellIs" dxfId="630" priority="390" operator="equal">
      <formula>"n/a"</formula>
    </cfRule>
  </conditionalFormatting>
  <conditionalFormatting sqref="E9:E10">
    <cfRule type="cellIs" dxfId="629" priority="389" operator="equal">
      <formula>"n/a"</formula>
    </cfRule>
  </conditionalFormatting>
  <conditionalFormatting sqref="E11">
    <cfRule type="cellIs" dxfId="628" priority="388" operator="equal">
      <formula>"n/a"</formula>
    </cfRule>
  </conditionalFormatting>
  <conditionalFormatting sqref="E28">
    <cfRule type="cellIs" dxfId="627" priority="387" operator="equal">
      <formula>"n/a"</formula>
    </cfRule>
  </conditionalFormatting>
  <conditionalFormatting sqref="E27:P27">
    <cfRule type="cellIs" dxfId="626" priority="206" operator="equal">
      <formula>"n/a"</formula>
    </cfRule>
  </conditionalFormatting>
  <conditionalFormatting sqref="F26:H26 L26">
    <cfRule type="cellIs" dxfId="625" priority="175" operator="equal">
      <formula>"n/a"</formula>
    </cfRule>
  </conditionalFormatting>
  <conditionalFormatting sqref="I26">
    <cfRule type="cellIs" dxfId="624" priority="174" operator="equal">
      <formula>"n/a"</formula>
    </cfRule>
  </conditionalFormatting>
  <conditionalFormatting sqref="B9:B10">
    <cfRule type="cellIs" dxfId="623" priority="183" operator="equal">
      <formula>"n/a"</formula>
    </cfRule>
  </conditionalFormatting>
  <conditionalFormatting sqref="E26">
    <cfRule type="cellIs" dxfId="622" priority="171" operator="equal">
      <formula>"n/a"</formula>
    </cfRule>
  </conditionalFormatting>
  <conditionalFormatting sqref="P18">
    <cfRule type="cellIs" dxfId="621" priority="177" operator="equal">
      <formula>"n/a"</formula>
    </cfRule>
  </conditionalFormatting>
  <conditionalFormatting sqref="C7:C11 C18:C19 C14 C26:C27 C22 C31:C34">
    <cfRule type="cellIs" dxfId="620" priority="162" operator="equal">
      <formula>"WIP (see comments)"</formula>
    </cfRule>
    <cfRule type="cellIs" dxfId="619" priority="163" operator="equal">
      <formula>"Removed"</formula>
    </cfRule>
    <cfRule type="cellIs" dxfId="618" priority="164" operator="equal">
      <formula>"Updated"</formula>
    </cfRule>
    <cfRule type="cellIs" dxfId="617" priority="165" operator="equal">
      <formula>"New"</formula>
    </cfRule>
  </conditionalFormatting>
  <conditionalFormatting sqref="B30 E30:J30 L30:P30">
    <cfRule type="cellIs" dxfId="616" priority="195" operator="equal">
      <formula>"n/a"</formula>
    </cfRule>
  </conditionalFormatting>
  <conditionalFormatting sqref="D30">
    <cfRule type="cellIs" dxfId="615" priority="189" operator="equal">
      <formula>"n/a"</formula>
    </cfRule>
  </conditionalFormatting>
  <conditionalFormatting sqref="J26:K26">
    <cfRule type="cellIs" dxfId="614" priority="173" operator="equal">
      <formula>"n/a"</formula>
    </cfRule>
  </conditionalFormatting>
  <conditionalFormatting sqref="M26:O26">
    <cfRule type="cellIs" dxfId="613" priority="172" operator="equal">
      <formula>"n/a"</formula>
    </cfRule>
  </conditionalFormatting>
  <conditionalFormatting sqref="C7:C11 C18:C19 C14 C26:C27 C22 C31:C34">
    <cfRule type="cellIs" dxfId="612" priority="161" operator="equal">
      <formula>"n/a"</formula>
    </cfRule>
  </conditionalFormatting>
  <conditionalFormatting sqref="P26 D26">
    <cfRule type="cellIs" dxfId="611" priority="176" operator="equal">
      <formula>"n/a"</formula>
    </cfRule>
  </conditionalFormatting>
  <conditionalFormatting sqref="C12:C13 C10">
    <cfRule type="cellIs" dxfId="610" priority="89" operator="equal">
      <formula>"Future Change"</formula>
    </cfRule>
    <cfRule type="cellIs" dxfId="609" priority="91" operator="equal">
      <formula>"WIP (see comments)"</formula>
    </cfRule>
    <cfRule type="cellIs" dxfId="608" priority="92" operator="equal">
      <formula>"Removed"</formula>
    </cfRule>
    <cfRule type="cellIs" dxfId="607" priority="93" operator="equal">
      <formula>"Updated"</formula>
    </cfRule>
    <cfRule type="cellIs" dxfId="606" priority="94" operator="equal">
      <formula>"New"</formula>
    </cfRule>
  </conditionalFormatting>
  <conditionalFormatting sqref="C17">
    <cfRule type="cellIs" dxfId="605" priority="83" operator="equal">
      <formula>"Future Change"</formula>
    </cfRule>
    <cfRule type="cellIs" dxfId="604" priority="85" operator="equal">
      <formula>"WIP (see comments)"</formula>
    </cfRule>
    <cfRule type="cellIs" dxfId="603" priority="86" operator="equal">
      <formula>"Removed"</formula>
    </cfRule>
    <cfRule type="cellIs" dxfId="602" priority="87" operator="equal">
      <formula>"Updated"</formula>
    </cfRule>
    <cfRule type="cellIs" dxfId="601" priority="88" operator="equal">
      <formula>"New"</formula>
    </cfRule>
  </conditionalFormatting>
  <conditionalFormatting sqref="C17">
    <cfRule type="cellIs" dxfId="600" priority="84" operator="equal">
      <formula>"n/a"</formula>
    </cfRule>
  </conditionalFormatting>
  <conditionalFormatting sqref="C16">
    <cfRule type="cellIs" dxfId="599" priority="77" operator="equal">
      <formula>"Future Change"</formula>
    </cfRule>
    <cfRule type="cellIs" dxfId="598" priority="79" operator="equal">
      <formula>"WIP (see comments)"</formula>
    </cfRule>
    <cfRule type="cellIs" dxfId="597" priority="80" operator="equal">
      <formula>"Removed"</formula>
    </cfRule>
    <cfRule type="cellIs" dxfId="596" priority="81" operator="equal">
      <formula>"Updated"</formula>
    </cfRule>
    <cfRule type="cellIs" dxfId="595" priority="82" operator="equal">
      <formula>"New"</formula>
    </cfRule>
  </conditionalFormatting>
  <conditionalFormatting sqref="C16">
    <cfRule type="cellIs" dxfId="594" priority="78" operator="equal">
      <formula>"n/a"</formula>
    </cfRule>
  </conditionalFormatting>
  <conditionalFormatting sqref="C15">
    <cfRule type="cellIs" dxfId="593" priority="71" operator="equal">
      <formula>"Future Change"</formula>
    </cfRule>
    <cfRule type="cellIs" dxfId="592" priority="73" operator="equal">
      <formula>"WIP (see comments)"</formula>
    </cfRule>
    <cfRule type="cellIs" dxfId="591" priority="74" operator="equal">
      <formula>"Removed"</formula>
    </cfRule>
    <cfRule type="cellIs" dxfId="590" priority="75" operator="equal">
      <formula>"Updated"</formula>
    </cfRule>
    <cfRule type="cellIs" dxfId="589" priority="76" operator="equal">
      <formula>"New"</formula>
    </cfRule>
  </conditionalFormatting>
  <conditionalFormatting sqref="C15">
    <cfRule type="cellIs" dxfId="588" priority="72" operator="equal">
      <formula>"n/a"</formula>
    </cfRule>
  </conditionalFormatting>
  <conditionalFormatting sqref="C20">
    <cfRule type="cellIs" dxfId="587" priority="65" operator="equal">
      <formula>"Future Change"</formula>
    </cfRule>
    <cfRule type="cellIs" dxfId="586" priority="67" operator="equal">
      <formula>"WIP (see comments)"</formula>
    </cfRule>
    <cfRule type="cellIs" dxfId="585" priority="68" operator="equal">
      <formula>"Removed"</formula>
    </cfRule>
    <cfRule type="cellIs" dxfId="584" priority="69" operator="equal">
      <formula>"Updated"</formula>
    </cfRule>
    <cfRule type="cellIs" dxfId="583" priority="70" operator="equal">
      <formula>"New"</formula>
    </cfRule>
  </conditionalFormatting>
  <conditionalFormatting sqref="C20">
    <cfRule type="cellIs" dxfId="582" priority="66" operator="equal">
      <formula>"n/a"</formula>
    </cfRule>
  </conditionalFormatting>
  <conditionalFormatting sqref="C21">
    <cfRule type="cellIs" dxfId="581" priority="59" operator="equal">
      <formula>"Future Change"</formula>
    </cfRule>
    <cfRule type="cellIs" dxfId="580" priority="61" operator="equal">
      <formula>"WIP (see comments)"</formula>
    </cfRule>
    <cfRule type="cellIs" dxfId="579" priority="62" operator="equal">
      <formula>"Removed"</formula>
    </cfRule>
    <cfRule type="cellIs" dxfId="578" priority="63" operator="equal">
      <formula>"Updated"</formula>
    </cfRule>
    <cfRule type="cellIs" dxfId="577" priority="64" operator="equal">
      <formula>"New"</formula>
    </cfRule>
  </conditionalFormatting>
  <conditionalFormatting sqref="C21">
    <cfRule type="cellIs" dxfId="576" priority="60" operator="equal">
      <formula>"n/a"</formula>
    </cfRule>
  </conditionalFormatting>
  <conditionalFormatting sqref="C23:C25">
    <cfRule type="cellIs" dxfId="575" priority="53" operator="equal">
      <formula>"Future Change"</formula>
    </cfRule>
    <cfRule type="cellIs" dxfId="574" priority="55" operator="equal">
      <formula>"WIP (see comments)"</formula>
    </cfRule>
    <cfRule type="cellIs" dxfId="573" priority="56" operator="equal">
      <formula>"Removed"</formula>
    </cfRule>
    <cfRule type="cellIs" dxfId="572" priority="57" operator="equal">
      <formula>"Updated"</formula>
    </cfRule>
    <cfRule type="cellIs" dxfId="571" priority="58" operator="equal">
      <formula>"New"</formula>
    </cfRule>
  </conditionalFormatting>
  <conditionalFormatting sqref="C23:C25">
    <cfRule type="cellIs" dxfId="570" priority="54" operator="equal">
      <formula>"n/a"</formula>
    </cfRule>
  </conditionalFormatting>
  <conditionalFormatting sqref="D3">
    <cfRule type="cellIs" dxfId="569" priority="52" operator="equal">
      <formula>"n/a"</formula>
    </cfRule>
  </conditionalFormatting>
  <conditionalFormatting sqref="L20">
    <cfRule type="cellIs" dxfId="568" priority="51" operator="equal">
      <formula>"n/a"</formula>
    </cfRule>
  </conditionalFormatting>
  <conditionalFormatting sqref="L21">
    <cfRule type="cellIs" dxfId="567" priority="50" operator="equal">
      <formula>"n/a"</formula>
    </cfRule>
  </conditionalFormatting>
  <conditionalFormatting sqref="L23">
    <cfRule type="cellIs" dxfId="566" priority="49" operator="equal">
      <formula>"n/a"</formula>
    </cfRule>
  </conditionalFormatting>
  <conditionalFormatting sqref="L24">
    <cfRule type="cellIs" dxfId="565" priority="48" operator="equal">
      <formula>"n/a"</formula>
    </cfRule>
  </conditionalFormatting>
  <conditionalFormatting sqref="L25">
    <cfRule type="cellIs" dxfId="564" priority="47" operator="equal">
      <formula>"n/a"</formula>
    </cfRule>
  </conditionalFormatting>
  <conditionalFormatting sqref="C29">
    <cfRule type="cellIs" dxfId="563" priority="41" operator="equal">
      <formula>"Future Change"</formula>
    </cfRule>
    <cfRule type="cellIs" dxfId="562" priority="43" operator="equal">
      <formula>"WIP (see comments)"</formula>
    </cfRule>
    <cfRule type="cellIs" dxfId="561" priority="44" operator="equal">
      <formula>"Removed"</formula>
    </cfRule>
    <cfRule type="cellIs" dxfId="560" priority="45" operator="equal">
      <formula>"Updated"</formula>
    </cfRule>
    <cfRule type="cellIs" dxfId="559" priority="46" operator="equal">
      <formula>"New"</formula>
    </cfRule>
  </conditionalFormatting>
  <conditionalFormatting sqref="C29">
    <cfRule type="cellIs" dxfId="558" priority="42" operator="equal">
      <formula>"n/a"</formula>
    </cfRule>
  </conditionalFormatting>
  <conditionalFormatting sqref="C28">
    <cfRule type="cellIs" dxfId="557" priority="35" operator="equal">
      <formula>"Future Change"</formula>
    </cfRule>
    <cfRule type="cellIs" dxfId="556" priority="37" operator="equal">
      <formula>"WIP (see comments)"</formula>
    </cfRule>
    <cfRule type="cellIs" dxfId="555" priority="38" operator="equal">
      <formula>"Removed"</formula>
    </cfRule>
    <cfRule type="cellIs" dxfId="554" priority="39" operator="equal">
      <formula>"Updated"</formula>
    </cfRule>
    <cfRule type="cellIs" dxfId="553" priority="40" operator="equal">
      <formula>"New"</formula>
    </cfRule>
  </conditionalFormatting>
  <conditionalFormatting sqref="C28">
    <cfRule type="cellIs" dxfId="552" priority="36" operator="equal">
      <formula>"n/a"</formula>
    </cfRule>
  </conditionalFormatting>
  <conditionalFormatting sqref="K28:K29">
    <cfRule type="cellIs" dxfId="551" priority="34" operator="equal">
      <formula>"n/a"</formula>
    </cfRule>
  </conditionalFormatting>
  <conditionalFormatting sqref="L15:L17">
    <cfRule type="cellIs" dxfId="550" priority="32" operator="equal">
      <formula>"n/a"</formula>
    </cfRule>
  </conditionalFormatting>
  <conditionalFormatting sqref="L12:L13">
    <cfRule type="cellIs" dxfId="549" priority="31" operator="equal">
      <formula>"n/a"</formula>
    </cfRule>
  </conditionalFormatting>
  <conditionalFormatting sqref="K10">
    <cfRule type="cellIs" dxfId="548" priority="30" operator="equal">
      <formula>"n/a"</formula>
    </cfRule>
  </conditionalFormatting>
  <conditionalFormatting sqref="F25">
    <cfRule type="cellIs" dxfId="547" priority="29" operator="equal">
      <formula>"n/a"</formula>
    </cfRule>
  </conditionalFormatting>
  <conditionalFormatting sqref="F17">
    <cfRule type="cellIs" dxfId="546" priority="28" operator="equal">
      <formula>"n/a"</formula>
    </cfRule>
  </conditionalFormatting>
  <conditionalFormatting sqref="K30">
    <cfRule type="cellIs" dxfId="545" priority="20" operator="equal">
      <formula>"n/a"</formula>
    </cfRule>
  </conditionalFormatting>
  <conditionalFormatting sqref="C30">
    <cfRule type="cellIs" dxfId="544" priority="8" operator="equal">
      <formula>"Future Change"</formula>
    </cfRule>
    <cfRule type="cellIs" dxfId="543" priority="10" operator="equal">
      <formula>"WIP (see comments)"</formula>
    </cfRule>
    <cfRule type="cellIs" dxfId="542" priority="11" operator="equal">
      <formula>"Removed"</formula>
    </cfRule>
    <cfRule type="cellIs" dxfId="541" priority="12" operator="equal">
      <formula>"Updated"</formula>
    </cfRule>
    <cfRule type="cellIs" dxfId="540" priority="13" operator="equal">
      <formula>"New"</formula>
    </cfRule>
  </conditionalFormatting>
  <conditionalFormatting sqref="C30">
    <cfRule type="cellIs" dxfId="539" priority="9" operator="equal">
      <formula>"n/a"</formula>
    </cfRule>
  </conditionalFormatting>
  <conditionalFormatting sqref="M24">
    <cfRule type="cellIs" dxfId="538" priority="3" operator="equal">
      <formula>"n/a"</formula>
    </cfRule>
  </conditionalFormatting>
  <conditionalFormatting sqref="M16">
    <cfRule type="cellIs" dxfId="537" priority="2" operator="equal">
      <formula>"n/a"</formula>
    </cfRule>
  </conditionalFormatting>
  <dataValidations count="1">
    <dataValidation type="list" allowBlank="1" showInputMessage="1" showErrorMessage="1" sqref="C35:C1048576" xr:uid="{00000000-0002-0000-0800-000000000000}">
      <formula1>$B$5:$B$33</formula1>
    </dataValidation>
  </dataValidations>
  <hyperlinks>
    <hyperlink ref="F12" location="'ID Type ENUM'!A1" display="Enumerated list - see following tab" xr:uid="{00000000-0004-0000-0800-000000000000}"/>
    <hyperlink ref="F20" location="'ID Type ENUM'!A1" display="Enumerated list - see following tab" xr:uid="{00000000-0004-0000-0800-000001000000}"/>
  </hyperlink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800-000001000000}">
          <x14:formula1>
            <xm:f>'C:\Users\matsubar\AppData\Local\Microsoft\Windows\INetCache\Content.Outlook\NQ5K8F7W\[CWB In-Branch Personal DCO Field Spec-IH 2020-10-01.xlsx]List Values'!#REF!</xm:f>
          </x14:formula1>
          <xm:sqref>E35:E1048576</xm:sqref>
        </x14:dataValidation>
        <x14:dataValidation type="list" allowBlank="1" showInputMessage="1" showErrorMessage="1" xr:uid="{00000000-0002-0000-0800-000003000000}">
          <x14:formula1>
            <xm:f>'List Values'!$B$5:$B$9</xm:f>
          </x14:formula1>
          <xm:sqref>C7:C11 C14 C22 C18:C19 C26:C27 C31:C34</xm:sqref>
        </x14:dataValidation>
        <x14:dataValidation type="list" allowBlank="1" showInputMessage="1" showErrorMessage="1" xr:uid="{00000000-0002-0000-0800-000004000000}">
          <x14:formula1>
            <xm:f>'List Values'!$B$5:$B$10</xm:f>
          </x14:formula1>
          <xm:sqref>C20:C21 C15:C17 C23:C25 C28:C30 C10 C12:C13</xm:sqref>
        </x14:dataValidation>
        <x14:dataValidation type="list" allowBlank="1" showInputMessage="1" showErrorMessage="1" xr:uid="{00000000-0002-0000-0800-000002000000}">
          <x14:formula1>
            <xm:f>'List Values'!$A$5:$A$28</xm:f>
          </x14:formula1>
          <xm:sqref>E7:E34</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D30"/>
  <sheetViews>
    <sheetView workbookViewId="0"/>
  </sheetViews>
  <sheetFormatPr defaultRowHeight="14.25" x14ac:dyDescent="0.45"/>
  <cols>
    <col min="1" max="1" width="33.19921875" customWidth="1"/>
    <col min="2" max="2" width="31.19921875" customWidth="1"/>
  </cols>
  <sheetData>
    <row r="1" spans="1:4" ht="18" x14ac:dyDescent="0.45">
      <c r="A1" s="73" t="s">
        <v>7</v>
      </c>
      <c r="B1" s="83" t="s">
        <v>288</v>
      </c>
      <c r="C1" s="77"/>
      <c r="D1" s="74"/>
    </row>
    <row r="2" spans="1:4" ht="18" x14ac:dyDescent="0.45">
      <c r="A2" s="73" t="s">
        <v>8</v>
      </c>
      <c r="B2" s="81">
        <v>6</v>
      </c>
      <c r="C2" s="80"/>
      <c r="D2" s="81"/>
    </row>
    <row r="3" spans="1:4" ht="18" x14ac:dyDescent="0.45">
      <c r="A3" s="73" t="s">
        <v>44</v>
      </c>
      <c r="B3" s="81"/>
      <c r="C3" s="80"/>
      <c r="D3" s="81" t="s">
        <v>62</v>
      </c>
    </row>
    <row r="4" spans="1:4" x14ac:dyDescent="0.45">
      <c r="A4" s="90" t="s">
        <v>289</v>
      </c>
    </row>
    <row r="5" spans="1:4" x14ac:dyDescent="0.45">
      <c r="A5" s="90" t="s">
        <v>290</v>
      </c>
    </row>
    <row r="6" spans="1:4" x14ac:dyDescent="0.45">
      <c r="A6" s="90" t="s">
        <v>291</v>
      </c>
    </row>
    <row r="7" spans="1:4" x14ac:dyDescent="0.45">
      <c r="A7" s="90" t="s">
        <v>292</v>
      </c>
    </row>
    <row r="8" spans="1:4" x14ac:dyDescent="0.45">
      <c r="A8" s="90" t="s">
        <v>293</v>
      </c>
    </row>
    <row r="9" spans="1:4" x14ac:dyDescent="0.45">
      <c r="A9" s="90" t="s">
        <v>294</v>
      </c>
    </row>
    <row r="10" spans="1:4" x14ac:dyDescent="0.45">
      <c r="A10" s="90" t="s">
        <v>295</v>
      </c>
    </row>
    <row r="11" spans="1:4" x14ac:dyDescent="0.45">
      <c r="A11" s="90" t="s">
        <v>296</v>
      </c>
    </row>
    <row r="12" spans="1:4" x14ac:dyDescent="0.45">
      <c r="A12" s="90" t="s">
        <v>297</v>
      </c>
    </row>
    <row r="13" spans="1:4" x14ac:dyDescent="0.45">
      <c r="A13" s="90" t="s">
        <v>298</v>
      </c>
    </row>
    <row r="14" spans="1:4" x14ac:dyDescent="0.45">
      <c r="A14" s="90" t="s">
        <v>299</v>
      </c>
    </row>
    <row r="15" spans="1:4" x14ac:dyDescent="0.45">
      <c r="A15" s="90" t="s">
        <v>300</v>
      </c>
    </row>
    <row r="16" spans="1:4" x14ac:dyDescent="0.45">
      <c r="A16" s="90" t="s">
        <v>302</v>
      </c>
    </row>
    <row r="17" spans="1:1" x14ac:dyDescent="0.45">
      <c r="A17" s="90" t="s">
        <v>303</v>
      </c>
    </row>
    <row r="18" spans="1:1" x14ac:dyDescent="0.45">
      <c r="A18" s="90" t="s">
        <v>304</v>
      </c>
    </row>
    <row r="19" spans="1:1" x14ac:dyDescent="0.45">
      <c r="A19" s="90" t="s">
        <v>305</v>
      </c>
    </row>
    <row r="20" spans="1:1" x14ac:dyDescent="0.45">
      <c r="A20" s="90" t="s">
        <v>306</v>
      </c>
    </row>
    <row r="21" spans="1:1" x14ac:dyDescent="0.45">
      <c r="A21" s="90" t="s">
        <v>307</v>
      </c>
    </row>
    <row r="22" spans="1:1" x14ac:dyDescent="0.45">
      <c r="A22" s="90" t="s">
        <v>308</v>
      </c>
    </row>
    <row r="23" spans="1:1" x14ac:dyDescent="0.45">
      <c r="A23" s="90" t="s">
        <v>309</v>
      </c>
    </row>
    <row r="24" spans="1:1" x14ac:dyDescent="0.45">
      <c r="A24" s="90" t="s">
        <v>301</v>
      </c>
    </row>
    <row r="25" spans="1:1" x14ac:dyDescent="0.45">
      <c r="A25" s="90" t="s">
        <v>310</v>
      </c>
    </row>
    <row r="26" spans="1:1" x14ac:dyDescent="0.45">
      <c r="A26" s="90" t="s">
        <v>311</v>
      </c>
    </row>
    <row r="27" spans="1:1" x14ac:dyDescent="0.45">
      <c r="A27" s="90" t="s">
        <v>312</v>
      </c>
    </row>
    <row r="28" spans="1:1" x14ac:dyDescent="0.45">
      <c r="A28" s="90" t="s">
        <v>313</v>
      </c>
    </row>
    <row r="29" spans="1:1" x14ac:dyDescent="0.45">
      <c r="A29" s="90" t="s">
        <v>315</v>
      </c>
    </row>
    <row r="30" spans="1:1" x14ac:dyDescent="0.45">
      <c r="A30" s="90" t="s">
        <v>314</v>
      </c>
    </row>
  </sheetData>
  <conditionalFormatting sqref="A1:D3">
    <cfRule type="cellIs" dxfId="536" priority="1" operator="equal">
      <formula>"n/a"</formula>
    </cfRule>
  </conditionalFormatting>
  <conditionalFormatting sqref="C1:C3">
    <cfRule type="cellIs" dxfId="535" priority="2" operator="equal">
      <formula>"WIP (see comments)"</formula>
    </cfRule>
    <cfRule type="cellIs" dxfId="534" priority="3" operator="equal">
      <formula>"Removed"</formula>
    </cfRule>
    <cfRule type="cellIs" dxfId="533" priority="4" operator="equal">
      <formula>"Updated"</formula>
    </cfRule>
    <cfRule type="cellIs" dxfId="532" priority="5" operator="equal">
      <formula>"New"</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B4C6E7"/>
  </sheetPr>
  <dimension ref="A1:P24"/>
  <sheetViews>
    <sheetView workbookViewId="0">
      <pane xSplit="4" ySplit="6" topLeftCell="O13" activePane="bottomRight" state="frozen"/>
      <selection pane="topRight" activeCell="E1" sqref="E1"/>
      <selection pane="bottomLeft" activeCell="A7" sqref="A7"/>
      <selection pane="bottomRight" activeCell="O16" sqref="O16"/>
    </sheetView>
  </sheetViews>
  <sheetFormatPr defaultColWidth="9.19921875" defaultRowHeight="14.25" x14ac:dyDescent="0.45"/>
  <cols>
    <col min="1" max="1" width="14.796875" style="72" customWidth="1"/>
    <col min="2" max="2" width="12.53125" style="72" customWidth="1"/>
    <col min="3" max="3" width="13" style="79" customWidth="1"/>
    <col min="4" max="4" width="45.19921875" style="72" customWidth="1"/>
    <col min="5" max="5" width="28.796875" style="72" customWidth="1"/>
    <col min="6" max="6" width="17" style="72" customWidth="1"/>
    <col min="7" max="7" width="29.19921875" style="72" customWidth="1"/>
    <col min="8" max="8" width="27.796875" style="72" customWidth="1"/>
    <col min="9" max="9" width="34.796875" style="72" customWidth="1"/>
    <col min="10" max="10" width="28.19921875" style="72" customWidth="1"/>
    <col min="11" max="11" width="10.796875" style="72" bestFit="1" customWidth="1"/>
    <col min="12" max="12" width="23" style="72" customWidth="1"/>
    <col min="13" max="13" width="29" style="72" customWidth="1"/>
    <col min="14" max="14" width="18.796875" style="72" bestFit="1" customWidth="1"/>
    <col min="15" max="15" width="48.46484375" style="72" customWidth="1"/>
    <col min="16" max="16" width="41.796875" style="72" customWidth="1"/>
    <col min="17" max="16384" width="9.19921875" style="72"/>
  </cols>
  <sheetData>
    <row r="1" spans="1:16" s="75" customFormat="1" ht="18" x14ac:dyDescent="0.45">
      <c r="A1" s="73" t="s">
        <v>7</v>
      </c>
      <c r="B1" s="83" t="s">
        <v>159</v>
      </c>
      <c r="C1" s="77"/>
      <c r="D1" s="74"/>
    </row>
    <row r="2" spans="1:16" s="75" customFormat="1" ht="18" x14ac:dyDescent="0.45">
      <c r="A2" s="73" t="s">
        <v>8</v>
      </c>
      <c r="B2" s="81">
        <v>7</v>
      </c>
      <c r="C2" s="80"/>
      <c r="D2" s="81"/>
    </row>
    <row r="3" spans="1:16" s="75" customFormat="1" ht="18" x14ac:dyDescent="0.45">
      <c r="A3" s="73" t="s">
        <v>44</v>
      </c>
      <c r="B3" s="81" t="s">
        <v>434</v>
      </c>
      <c r="C3" s="80"/>
      <c r="D3" s="81" t="s">
        <v>555</v>
      </c>
    </row>
    <row r="4" spans="1:16" s="75" customFormat="1" ht="18" x14ac:dyDescent="0.45">
      <c r="A4" s="73" t="s">
        <v>9</v>
      </c>
      <c r="B4" s="75" t="s">
        <v>46</v>
      </c>
      <c r="C4" s="80"/>
    </row>
    <row r="5" spans="1:16" s="70" customFormat="1" x14ac:dyDescent="0.45">
      <c r="C5" s="82"/>
    </row>
    <row r="6" spans="1:16" s="76" customFormat="1" ht="14.65" thickBot="1" x14ac:dyDescent="0.5">
      <c r="A6" s="76" t="s">
        <v>11</v>
      </c>
      <c r="B6" s="76" t="s">
        <v>12</v>
      </c>
      <c r="C6" s="78" t="s">
        <v>26</v>
      </c>
      <c r="D6" s="76" t="s">
        <v>25</v>
      </c>
      <c r="E6" s="76" t="s">
        <v>13</v>
      </c>
      <c r="F6" s="76" t="s">
        <v>14</v>
      </c>
      <c r="G6" s="76" t="s">
        <v>15</v>
      </c>
      <c r="H6" s="76" t="s">
        <v>16</v>
      </c>
      <c r="I6" s="76" t="s">
        <v>17</v>
      </c>
      <c r="J6" s="76" t="s">
        <v>18</v>
      </c>
      <c r="K6" s="76" t="s">
        <v>19</v>
      </c>
      <c r="L6" s="76" t="s">
        <v>20</v>
      </c>
      <c r="M6" s="76" t="s">
        <v>21</v>
      </c>
      <c r="N6" s="76" t="s">
        <v>22</v>
      </c>
      <c r="O6" s="76" t="s">
        <v>23</v>
      </c>
      <c r="P6" s="76" t="s">
        <v>24</v>
      </c>
    </row>
    <row r="7" spans="1:16" s="98" customFormat="1" x14ac:dyDescent="0.45">
      <c r="A7" s="98">
        <v>1</v>
      </c>
      <c r="B7" s="98" t="str">
        <f t="shared" ref="B7:B14" si="0">CONCATENATE($B$2, ".", A7)</f>
        <v>7.1</v>
      </c>
      <c r="C7" s="101" t="s">
        <v>40</v>
      </c>
      <c r="D7" s="98" t="s">
        <v>219</v>
      </c>
      <c r="E7" s="98" t="s">
        <v>86</v>
      </c>
      <c r="F7" s="98" t="s">
        <v>37</v>
      </c>
      <c r="G7" s="98" t="s">
        <v>37</v>
      </c>
      <c r="H7" s="98" t="s">
        <v>37</v>
      </c>
      <c r="I7" s="98" t="s">
        <v>10</v>
      </c>
      <c r="J7" s="99" t="s">
        <v>37</v>
      </c>
      <c r="K7" s="99" t="s">
        <v>37</v>
      </c>
      <c r="L7" s="99" t="s">
        <v>37</v>
      </c>
      <c r="M7" s="99" t="s">
        <v>37</v>
      </c>
      <c r="N7" s="99" t="s">
        <v>37</v>
      </c>
      <c r="O7" s="99" t="s">
        <v>37</v>
      </c>
    </row>
    <row r="8" spans="1:16" s="98" customFormat="1" x14ac:dyDescent="0.45">
      <c r="A8" s="98">
        <v>2</v>
      </c>
      <c r="B8" s="98" t="str">
        <f t="shared" si="0"/>
        <v>7.2</v>
      </c>
      <c r="C8" s="101" t="s">
        <v>40</v>
      </c>
      <c r="D8" s="98" t="s">
        <v>37</v>
      </c>
      <c r="E8" s="98" t="s">
        <v>48</v>
      </c>
      <c r="F8" s="98" t="s">
        <v>37</v>
      </c>
      <c r="G8" s="98" t="s">
        <v>37</v>
      </c>
      <c r="H8" s="98" t="s">
        <v>37</v>
      </c>
      <c r="I8" s="98" t="s">
        <v>10</v>
      </c>
      <c r="J8" s="99" t="s">
        <v>37</v>
      </c>
      <c r="K8" s="99" t="s">
        <v>37</v>
      </c>
      <c r="L8" s="99" t="s">
        <v>37</v>
      </c>
      <c r="M8" s="99" t="s">
        <v>37</v>
      </c>
      <c r="N8" s="99" t="s">
        <v>37</v>
      </c>
      <c r="O8" s="99" t="s">
        <v>37</v>
      </c>
    </row>
    <row r="9" spans="1:16" s="98" customFormat="1" x14ac:dyDescent="0.45">
      <c r="A9" s="98">
        <v>3</v>
      </c>
      <c r="B9" s="98" t="str">
        <f>CONCATENATE($B$2, ".", A9)</f>
        <v>7.3</v>
      </c>
      <c r="C9" s="101" t="s">
        <v>40</v>
      </c>
      <c r="D9" s="98" t="s">
        <v>159</v>
      </c>
      <c r="E9" s="99" t="s">
        <v>29</v>
      </c>
      <c r="F9" s="97" t="s">
        <v>37</v>
      </c>
      <c r="G9" s="97" t="s">
        <v>37</v>
      </c>
      <c r="H9" s="93" t="s">
        <v>37</v>
      </c>
      <c r="I9" s="99" t="s">
        <v>10</v>
      </c>
      <c r="J9" s="97" t="s">
        <v>37</v>
      </c>
      <c r="K9" s="97" t="s">
        <v>37</v>
      </c>
      <c r="L9" s="97" t="s">
        <v>37</v>
      </c>
      <c r="M9" s="97" t="s">
        <v>37</v>
      </c>
      <c r="N9" s="97" t="s">
        <v>37</v>
      </c>
      <c r="O9" s="97"/>
      <c r="P9" s="97"/>
    </row>
    <row r="10" spans="1:16" s="98" customFormat="1" ht="28.5" x14ac:dyDescent="0.45">
      <c r="A10" s="98">
        <v>4</v>
      </c>
      <c r="B10" s="98" t="str">
        <f>CONCATENATE($B$2, ".", A10)</f>
        <v>7.4</v>
      </c>
      <c r="C10" s="101" t="s">
        <v>42</v>
      </c>
      <c r="D10" s="111" t="s">
        <v>726</v>
      </c>
      <c r="E10" s="112" t="s">
        <v>118</v>
      </c>
      <c r="F10" s="112" t="s">
        <v>37</v>
      </c>
      <c r="G10" s="112" t="s">
        <v>37</v>
      </c>
      <c r="H10" s="112" t="s">
        <v>37</v>
      </c>
      <c r="I10" s="111" t="s">
        <v>220</v>
      </c>
      <c r="J10" s="111" t="s">
        <v>37</v>
      </c>
      <c r="K10" s="111" t="s">
        <v>37</v>
      </c>
      <c r="L10" s="111" t="s">
        <v>37</v>
      </c>
      <c r="M10" s="111" t="s">
        <v>37</v>
      </c>
      <c r="N10" s="111" t="s">
        <v>37</v>
      </c>
      <c r="O10" s="112"/>
      <c r="P10" s="112" t="s">
        <v>588</v>
      </c>
    </row>
    <row r="11" spans="1:16" s="98" customFormat="1" ht="71.25" x14ac:dyDescent="0.45">
      <c r="A11" s="98">
        <v>5</v>
      </c>
      <c r="B11" s="98" t="str">
        <f>CONCATENATE($B$2, ".", A11)</f>
        <v>7.5</v>
      </c>
      <c r="C11" s="101" t="s">
        <v>38</v>
      </c>
      <c r="D11" s="87" t="s">
        <v>587</v>
      </c>
      <c r="E11" s="99" t="s">
        <v>43</v>
      </c>
      <c r="F11" s="72" t="s">
        <v>37</v>
      </c>
      <c r="G11" s="72" t="s">
        <v>37</v>
      </c>
      <c r="H11" s="96" t="s">
        <v>37</v>
      </c>
      <c r="I11" s="98" t="s">
        <v>220</v>
      </c>
      <c r="J11" s="72" t="s">
        <v>37</v>
      </c>
      <c r="K11" s="72" t="s">
        <v>37</v>
      </c>
      <c r="L11" s="72" t="s">
        <v>37</v>
      </c>
      <c r="M11" s="72" t="s">
        <v>37</v>
      </c>
      <c r="N11" s="72" t="s">
        <v>37</v>
      </c>
      <c r="O11" s="109" t="s">
        <v>595</v>
      </c>
      <c r="P11" s="109" t="s">
        <v>597</v>
      </c>
    </row>
    <row r="12" spans="1:16" s="98" customFormat="1" ht="409.5" x14ac:dyDescent="0.45">
      <c r="A12" s="98">
        <v>6</v>
      </c>
      <c r="B12" s="98" t="str">
        <f t="shared" si="0"/>
        <v>7.6</v>
      </c>
      <c r="C12" s="101" t="s">
        <v>38</v>
      </c>
      <c r="D12" s="98" t="s">
        <v>208</v>
      </c>
      <c r="E12" s="98" t="s">
        <v>118</v>
      </c>
      <c r="F12" s="98" t="s">
        <v>37</v>
      </c>
      <c r="G12" s="98" t="s">
        <v>37</v>
      </c>
      <c r="H12" s="98" t="s">
        <v>37</v>
      </c>
      <c r="I12" s="98" t="s">
        <v>220</v>
      </c>
      <c r="J12" s="99" t="s">
        <v>37</v>
      </c>
      <c r="K12" s="99" t="s">
        <v>37</v>
      </c>
      <c r="L12" s="98" t="s">
        <v>37</v>
      </c>
      <c r="M12" s="99" t="s">
        <v>37</v>
      </c>
      <c r="N12" s="99" t="s">
        <v>37</v>
      </c>
      <c r="O12" s="99"/>
      <c r="P12" s="110" t="s">
        <v>596</v>
      </c>
    </row>
    <row r="13" spans="1:16" s="98" customFormat="1" x14ac:dyDescent="0.45">
      <c r="A13" s="98">
        <v>7</v>
      </c>
      <c r="B13" s="98" t="str">
        <f t="shared" si="0"/>
        <v>7.7</v>
      </c>
      <c r="C13" s="101" t="s">
        <v>40</v>
      </c>
      <c r="D13" s="98" t="s">
        <v>396</v>
      </c>
      <c r="E13" s="98" t="s">
        <v>34</v>
      </c>
      <c r="F13" s="98" t="s">
        <v>37</v>
      </c>
      <c r="G13" s="98" t="s">
        <v>37</v>
      </c>
      <c r="H13" s="98" t="s">
        <v>37</v>
      </c>
      <c r="I13" s="98" t="s">
        <v>221</v>
      </c>
      <c r="J13" s="99" t="s">
        <v>37</v>
      </c>
      <c r="K13" s="99" t="s">
        <v>37</v>
      </c>
      <c r="L13" s="98" t="s">
        <v>37</v>
      </c>
      <c r="M13" s="99" t="s">
        <v>37</v>
      </c>
      <c r="N13" s="99" t="s">
        <v>37</v>
      </c>
      <c r="O13" s="99"/>
      <c r="P13" s="89"/>
    </row>
    <row r="14" spans="1:16" s="98" customFormat="1" x14ac:dyDescent="0.45">
      <c r="A14" s="98">
        <v>8</v>
      </c>
      <c r="B14" s="98" t="str">
        <f t="shared" si="0"/>
        <v>7.8</v>
      </c>
      <c r="C14" s="101" t="s">
        <v>40</v>
      </c>
      <c r="D14" s="98" t="s">
        <v>404</v>
      </c>
      <c r="E14" s="98" t="s">
        <v>29</v>
      </c>
      <c r="F14" s="98" t="s">
        <v>50</v>
      </c>
      <c r="G14" s="98" t="s">
        <v>37</v>
      </c>
      <c r="H14" s="98" t="s">
        <v>37</v>
      </c>
      <c r="I14" s="98" t="s">
        <v>10</v>
      </c>
      <c r="J14" s="99" t="s">
        <v>37</v>
      </c>
      <c r="K14" s="99" t="s">
        <v>37</v>
      </c>
      <c r="L14" s="98" t="s">
        <v>37</v>
      </c>
      <c r="M14" s="99" t="s">
        <v>37</v>
      </c>
      <c r="N14" s="99" t="s">
        <v>37</v>
      </c>
      <c r="O14" s="97" t="s">
        <v>37</v>
      </c>
    </row>
    <row r="15" spans="1:16" s="98" customFormat="1" ht="105.7" customHeight="1" x14ac:dyDescent="0.45">
      <c r="A15" s="98">
        <v>9</v>
      </c>
      <c r="B15" s="98" t="str">
        <f>CONCATENATE($B$2, ".", A15)</f>
        <v>7.9</v>
      </c>
      <c r="C15" s="101" t="s">
        <v>40</v>
      </c>
      <c r="D15" s="98" t="s">
        <v>522</v>
      </c>
      <c r="E15" s="98" t="s">
        <v>32</v>
      </c>
      <c r="F15" s="131" t="s">
        <v>756</v>
      </c>
      <c r="G15" s="98" t="s">
        <v>37</v>
      </c>
      <c r="H15" s="98" t="s">
        <v>37</v>
      </c>
      <c r="I15" s="98" t="s">
        <v>10</v>
      </c>
      <c r="J15" s="99" t="s">
        <v>75</v>
      </c>
      <c r="K15" s="98" t="s">
        <v>52</v>
      </c>
      <c r="L15" s="108" t="s">
        <v>523</v>
      </c>
      <c r="M15" s="108" t="s">
        <v>577</v>
      </c>
      <c r="N15" s="108" t="s">
        <v>578</v>
      </c>
      <c r="O15" s="131" t="s">
        <v>757</v>
      </c>
      <c r="P15" s="98" t="s">
        <v>222</v>
      </c>
    </row>
    <row r="16" spans="1:16" s="98" customFormat="1" ht="213.75" x14ac:dyDescent="0.45">
      <c r="A16" s="72">
        <v>10</v>
      </c>
      <c r="B16" s="72" t="str">
        <f>CONCATENATE($B$2, ".", A16)</f>
        <v>7.10</v>
      </c>
      <c r="C16" s="101" t="s">
        <v>40</v>
      </c>
      <c r="D16" s="72" t="s">
        <v>56</v>
      </c>
      <c r="E16" s="72" t="s">
        <v>43</v>
      </c>
      <c r="F16" s="72" t="s">
        <v>37</v>
      </c>
      <c r="G16" s="72" t="s">
        <v>37</v>
      </c>
      <c r="H16" s="96" t="s">
        <v>37</v>
      </c>
      <c r="I16" s="72" t="s">
        <v>10</v>
      </c>
      <c r="J16" s="72" t="s">
        <v>37</v>
      </c>
      <c r="K16" s="72" t="s">
        <v>37</v>
      </c>
      <c r="L16" s="72" t="s">
        <v>37</v>
      </c>
      <c r="M16" s="72" t="s">
        <v>37</v>
      </c>
      <c r="N16" s="72" t="s">
        <v>37</v>
      </c>
      <c r="O16" s="131" t="s">
        <v>755</v>
      </c>
    </row>
    <row r="17" spans="1:15" ht="28.5" x14ac:dyDescent="0.45">
      <c r="A17" s="72">
        <v>11</v>
      </c>
      <c r="B17" s="72" t="str">
        <f>CONCATENATE($B$2, ".", A17)</f>
        <v>7.11</v>
      </c>
      <c r="C17" s="101" t="s">
        <v>40</v>
      </c>
      <c r="D17" s="72" t="s">
        <v>55</v>
      </c>
      <c r="E17" s="72" t="s">
        <v>43</v>
      </c>
      <c r="F17" s="72" t="s">
        <v>37</v>
      </c>
      <c r="G17" s="72" t="s">
        <v>37</v>
      </c>
      <c r="H17" s="96" t="s">
        <v>37</v>
      </c>
      <c r="I17" s="72" t="s">
        <v>10</v>
      </c>
      <c r="J17" s="72" t="s">
        <v>37</v>
      </c>
      <c r="K17" s="72" t="s">
        <v>37</v>
      </c>
      <c r="L17" s="72" t="s">
        <v>37</v>
      </c>
      <c r="M17" s="72" t="s">
        <v>37</v>
      </c>
      <c r="N17" s="72" t="s">
        <v>37</v>
      </c>
      <c r="O17" s="98" t="s">
        <v>223</v>
      </c>
    </row>
    <row r="18" spans="1:15" x14ac:dyDescent="0.45">
      <c r="D18" s="72" t="s">
        <v>62</v>
      </c>
      <c r="I18" s="98"/>
      <c r="J18" s="97"/>
      <c r="K18" s="97"/>
      <c r="L18" s="99"/>
      <c r="M18" s="99"/>
      <c r="N18" s="99"/>
      <c r="O18" s="98"/>
    </row>
    <row r="19" spans="1:15" x14ac:dyDescent="0.45">
      <c r="I19" s="98"/>
      <c r="J19" s="97"/>
      <c r="K19" s="97"/>
      <c r="L19" s="99"/>
      <c r="M19" s="99"/>
      <c r="N19" s="99"/>
      <c r="O19" s="99"/>
    </row>
    <row r="20" spans="1:15" x14ac:dyDescent="0.45">
      <c r="I20" s="98"/>
      <c r="J20" s="97"/>
      <c r="K20" s="97"/>
      <c r="L20" s="99"/>
      <c r="M20" s="99"/>
      <c r="N20" s="99"/>
      <c r="O20" s="99"/>
    </row>
    <row r="21" spans="1:15" x14ac:dyDescent="0.45">
      <c r="I21" s="98"/>
      <c r="J21" s="97"/>
      <c r="K21" s="97"/>
      <c r="L21" s="99"/>
      <c r="M21" s="99"/>
      <c r="N21" s="99"/>
      <c r="O21" s="99"/>
    </row>
    <row r="22" spans="1:15" x14ac:dyDescent="0.45">
      <c r="I22" s="98"/>
      <c r="J22" s="97"/>
      <c r="K22" s="97"/>
      <c r="L22" s="99"/>
      <c r="M22" s="99"/>
      <c r="N22" s="99"/>
      <c r="O22" s="99"/>
    </row>
    <row r="23" spans="1:15" x14ac:dyDescent="0.45">
      <c r="I23" s="98"/>
      <c r="J23" s="97"/>
      <c r="K23" s="97"/>
      <c r="L23" s="99"/>
      <c r="M23" s="99"/>
      <c r="N23" s="99"/>
      <c r="O23" s="99"/>
    </row>
    <row r="24" spans="1:15" x14ac:dyDescent="0.45">
      <c r="I24" s="98"/>
      <c r="J24" s="97"/>
      <c r="K24" s="97"/>
      <c r="L24" s="99"/>
      <c r="M24" s="99"/>
      <c r="N24" s="99"/>
      <c r="O24" s="99"/>
    </row>
  </sheetData>
  <dataConsolidate/>
  <conditionalFormatting sqref="A2:XFD2 A5:XFD6 A4 C4:XFD4 A1:C1 E1:XFD1 A18:XFD1048576 P12:XFD12 D14 P16:XFD17 K15 Q13:XFD14 D12:E13 P13 O15:XFD15 D15:E15 D9 A3:C3 E3:XFD3 A9:B15 Q7:XFD11">
    <cfRule type="cellIs" dxfId="531" priority="154" operator="equal">
      <formula>"n/a"</formula>
    </cfRule>
  </conditionalFormatting>
  <conditionalFormatting sqref="C1:C6 C18:C1048576">
    <cfRule type="cellIs" dxfId="530" priority="155" operator="equal">
      <formula>"WIP (see comments)"</formula>
    </cfRule>
    <cfRule type="cellIs" dxfId="529" priority="156" operator="equal">
      <formula>"Removed"</formula>
    </cfRule>
    <cfRule type="cellIs" dxfId="528" priority="157" operator="equal">
      <formula>"Updated"</formula>
    </cfRule>
    <cfRule type="cellIs" dxfId="527" priority="158" operator="equal">
      <formula>"New"</formula>
    </cfRule>
  </conditionalFormatting>
  <conditionalFormatting sqref="B4">
    <cfRule type="cellIs" dxfId="526" priority="153" operator="equal">
      <formula>"n/a"</formula>
    </cfRule>
  </conditionalFormatting>
  <conditionalFormatting sqref="D1">
    <cfRule type="cellIs" dxfId="525" priority="152" operator="equal">
      <formula>"n/a"</formula>
    </cfRule>
  </conditionalFormatting>
  <conditionalFormatting sqref="A7:B8 D7:P8">
    <cfRule type="cellIs" dxfId="524" priority="151" operator="equal">
      <formula>"n/a"</formula>
    </cfRule>
  </conditionalFormatting>
  <conditionalFormatting sqref="E9:P9 E11">
    <cfRule type="cellIs" dxfId="523" priority="145" operator="equal">
      <formula>"n/a"</formula>
    </cfRule>
  </conditionalFormatting>
  <conditionalFormatting sqref="F12:O13">
    <cfRule type="cellIs" dxfId="522" priority="139" operator="equal">
      <formula>"n/a"</formula>
    </cfRule>
  </conditionalFormatting>
  <conditionalFormatting sqref="E14:G14 I14:J14 M14:P14">
    <cfRule type="cellIs" dxfId="521" priority="138" operator="equal">
      <formula>"n/a"</formula>
    </cfRule>
  </conditionalFormatting>
  <conditionalFormatting sqref="H14">
    <cfRule type="cellIs" dxfId="520" priority="132" operator="equal">
      <formula>"n/a"</formula>
    </cfRule>
  </conditionalFormatting>
  <conditionalFormatting sqref="K14:L14">
    <cfRule type="cellIs" dxfId="519" priority="131" operator="equal">
      <formula>"n/a"</formula>
    </cfRule>
  </conditionalFormatting>
  <conditionalFormatting sqref="J15">
    <cfRule type="cellIs" dxfId="518" priority="130" operator="equal">
      <formula>"n/a"</formula>
    </cfRule>
  </conditionalFormatting>
  <conditionalFormatting sqref="D17:O17 A16:B17 D16:N16">
    <cfRule type="cellIs" dxfId="517" priority="129" operator="equal">
      <formula>"n/a"</formula>
    </cfRule>
  </conditionalFormatting>
  <conditionalFormatting sqref="F15:I15">
    <cfRule type="cellIs" dxfId="516" priority="123" operator="equal">
      <formula>"n/a"</formula>
    </cfRule>
  </conditionalFormatting>
  <conditionalFormatting sqref="C12">
    <cfRule type="cellIs" dxfId="515" priority="103" operator="equal">
      <formula>"n/a"</formula>
    </cfRule>
  </conditionalFormatting>
  <conditionalFormatting sqref="C12">
    <cfRule type="cellIs" dxfId="514" priority="104" operator="equal">
      <formula>"WIP (see comments)"</formula>
    </cfRule>
    <cfRule type="cellIs" dxfId="513" priority="105" operator="equal">
      <formula>"Removed"</formula>
    </cfRule>
    <cfRule type="cellIs" dxfId="512" priority="106" operator="equal">
      <formula>"Updated"</formula>
    </cfRule>
    <cfRule type="cellIs" dxfId="511" priority="107" operator="equal">
      <formula>"New"</formula>
    </cfRule>
  </conditionalFormatting>
  <conditionalFormatting sqref="C16">
    <cfRule type="cellIs" dxfId="510" priority="88" operator="equal">
      <formula>"n/a"</formula>
    </cfRule>
  </conditionalFormatting>
  <conditionalFormatting sqref="C16">
    <cfRule type="cellIs" dxfId="509" priority="89" operator="equal">
      <formula>"WIP (see comments)"</formula>
    </cfRule>
    <cfRule type="cellIs" dxfId="508" priority="90" operator="equal">
      <formula>"Removed"</formula>
    </cfRule>
    <cfRule type="cellIs" dxfId="507" priority="91" operator="equal">
      <formula>"Updated"</formula>
    </cfRule>
    <cfRule type="cellIs" dxfId="506" priority="92" operator="equal">
      <formula>"New"</formula>
    </cfRule>
  </conditionalFormatting>
  <conditionalFormatting sqref="C7">
    <cfRule type="cellIs" dxfId="505" priority="58" operator="equal">
      <formula>"n/a"</formula>
    </cfRule>
  </conditionalFormatting>
  <conditionalFormatting sqref="C7">
    <cfRule type="cellIs" dxfId="504" priority="59" operator="equal">
      <formula>"WIP (see comments)"</formula>
    </cfRule>
    <cfRule type="cellIs" dxfId="503" priority="60" operator="equal">
      <formula>"Removed"</formula>
    </cfRule>
    <cfRule type="cellIs" dxfId="502" priority="61" operator="equal">
      <formula>"Updated"</formula>
    </cfRule>
    <cfRule type="cellIs" dxfId="501" priority="62" operator="equal">
      <formula>"New"</formula>
    </cfRule>
  </conditionalFormatting>
  <conditionalFormatting sqref="C8">
    <cfRule type="cellIs" dxfId="500" priority="53" operator="equal">
      <formula>"n/a"</formula>
    </cfRule>
  </conditionalFormatting>
  <conditionalFormatting sqref="C8">
    <cfRule type="cellIs" dxfId="499" priority="54" operator="equal">
      <formula>"WIP (see comments)"</formula>
    </cfRule>
    <cfRule type="cellIs" dxfId="498" priority="55" operator="equal">
      <formula>"Removed"</formula>
    </cfRule>
    <cfRule type="cellIs" dxfId="497" priority="56" operator="equal">
      <formula>"Updated"</formula>
    </cfRule>
    <cfRule type="cellIs" dxfId="496" priority="57" operator="equal">
      <formula>"New"</formula>
    </cfRule>
  </conditionalFormatting>
  <conditionalFormatting sqref="C9">
    <cfRule type="cellIs" dxfId="495" priority="49" operator="equal">
      <formula>"WIP (see comments)"</formula>
    </cfRule>
    <cfRule type="cellIs" dxfId="494" priority="50" operator="equal">
      <formula>"Removed"</formula>
    </cfRule>
    <cfRule type="cellIs" dxfId="493" priority="51" operator="equal">
      <formula>"Updated"</formula>
    </cfRule>
    <cfRule type="cellIs" dxfId="492" priority="52" operator="equal">
      <formula>"New"</formula>
    </cfRule>
  </conditionalFormatting>
  <conditionalFormatting sqref="C9">
    <cfRule type="cellIs" dxfId="491" priority="48" operator="equal">
      <formula>"n/a"</formula>
    </cfRule>
  </conditionalFormatting>
  <conditionalFormatting sqref="C13:C14">
    <cfRule type="cellIs" dxfId="490" priority="44" operator="equal">
      <formula>"WIP (see comments)"</formula>
    </cfRule>
    <cfRule type="cellIs" dxfId="489" priority="45" operator="equal">
      <formula>"Removed"</formula>
    </cfRule>
    <cfRule type="cellIs" dxfId="488" priority="46" operator="equal">
      <formula>"Updated"</formula>
    </cfRule>
    <cfRule type="cellIs" dxfId="487" priority="47" operator="equal">
      <formula>"New"</formula>
    </cfRule>
  </conditionalFormatting>
  <conditionalFormatting sqref="C13:C14">
    <cfRule type="cellIs" dxfId="486" priority="43" operator="equal">
      <formula>"n/a"</formula>
    </cfRule>
  </conditionalFormatting>
  <conditionalFormatting sqref="C17">
    <cfRule type="cellIs" dxfId="485" priority="39" operator="equal">
      <formula>"WIP (see comments)"</formula>
    </cfRule>
    <cfRule type="cellIs" dxfId="484" priority="40" operator="equal">
      <formula>"Removed"</formula>
    </cfRule>
    <cfRule type="cellIs" dxfId="483" priority="41" operator="equal">
      <formula>"Updated"</formula>
    </cfRule>
    <cfRule type="cellIs" dxfId="482" priority="42" operator="equal">
      <formula>"New"</formula>
    </cfRule>
  </conditionalFormatting>
  <conditionalFormatting sqref="C17">
    <cfRule type="cellIs" dxfId="481" priority="38" operator="equal">
      <formula>"n/a"</formula>
    </cfRule>
  </conditionalFormatting>
  <conditionalFormatting sqref="C11">
    <cfRule type="cellIs" dxfId="480" priority="33" operator="equal">
      <formula>"n/a"</formula>
    </cfRule>
  </conditionalFormatting>
  <conditionalFormatting sqref="C11">
    <cfRule type="cellIs" dxfId="479" priority="34" operator="equal">
      <formula>"WIP (see comments)"</formula>
    </cfRule>
    <cfRule type="cellIs" dxfId="478" priority="35" operator="equal">
      <formula>"Removed"</formula>
    </cfRule>
    <cfRule type="cellIs" dxfId="477" priority="36" operator="equal">
      <formula>"Updated"</formula>
    </cfRule>
    <cfRule type="cellIs" dxfId="476" priority="37" operator="equal">
      <formula>"New"</formula>
    </cfRule>
  </conditionalFormatting>
  <conditionalFormatting sqref="F11:H11">
    <cfRule type="cellIs" dxfId="475" priority="32" operator="equal">
      <formula>"n/a"</formula>
    </cfRule>
  </conditionalFormatting>
  <conditionalFormatting sqref="I11">
    <cfRule type="cellIs" dxfId="474" priority="31" operator="equal">
      <formula>"n/a"</formula>
    </cfRule>
  </conditionalFormatting>
  <conditionalFormatting sqref="J11:N11">
    <cfRule type="cellIs" dxfId="473" priority="30" operator="equal">
      <formula>"n/a"</formula>
    </cfRule>
  </conditionalFormatting>
  <conditionalFormatting sqref="C15">
    <cfRule type="cellIs" dxfId="472" priority="18" operator="equal">
      <formula>"Future Change"</formula>
    </cfRule>
    <cfRule type="cellIs" dxfId="471" priority="20" operator="equal">
      <formula>"WIP (see comments)"</formula>
    </cfRule>
    <cfRule type="cellIs" dxfId="470" priority="21" operator="equal">
      <formula>"Removed"</formula>
    </cfRule>
    <cfRule type="cellIs" dxfId="469" priority="22" operator="equal">
      <formula>"Updated"</formula>
    </cfRule>
    <cfRule type="cellIs" dxfId="468" priority="23" operator="equal">
      <formula>"New"</formula>
    </cfRule>
  </conditionalFormatting>
  <conditionalFormatting sqref="C15">
    <cfRule type="cellIs" dxfId="467" priority="19" operator="equal">
      <formula>"n/a"</formula>
    </cfRule>
  </conditionalFormatting>
  <conditionalFormatting sqref="D3">
    <cfRule type="cellIs" dxfId="466" priority="17" operator="equal">
      <formula>"n/a"</formula>
    </cfRule>
  </conditionalFormatting>
  <conditionalFormatting sqref="L15">
    <cfRule type="cellIs" dxfId="465" priority="16" operator="equal">
      <formula>"n/a"</formula>
    </cfRule>
  </conditionalFormatting>
  <conditionalFormatting sqref="M15:N15">
    <cfRule type="cellIs" dxfId="464" priority="15" operator="equal">
      <formula>"n/a"</formula>
    </cfRule>
  </conditionalFormatting>
  <conditionalFormatting sqref="O16">
    <cfRule type="cellIs" dxfId="463" priority="14" operator="equal">
      <formula>"n/a"</formula>
    </cfRule>
  </conditionalFormatting>
  <conditionalFormatting sqref="D11">
    <cfRule type="cellIs" dxfId="462" priority="13" operator="equal">
      <formula>"n/a"</formula>
    </cfRule>
  </conditionalFormatting>
  <conditionalFormatting sqref="D10">
    <cfRule type="cellIs" dxfId="461" priority="12" operator="equal">
      <formula>"n/a"</formula>
    </cfRule>
  </conditionalFormatting>
  <conditionalFormatting sqref="E10 O10:P10">
    <cfRule type="cellIs" dxfId="460" priority="11" operator="equal">
      <formula>"n/a"</formula>
    </cfRule>
  </conditionalFormatting>
  <conditionalFormatting sqref="C10">
    <cfRule type="cellIs" dxfId="459" priority="6" operator="equal">
      <formula>"n/a"</formula>
    </cfRule>
  </conditionalFormatting>
  <conditionalFormatting sqref="C10">
    <cfRule type="cellIs" dxfId="458" priority="7" operator="equal">
      <formula>"WIP (see comments)"</formula>
    </cfRule>
    <cfRule type="cellIs" dxfId="457" priority="8" operator="equal">
      <formula>"Removed"</formula>
    </cfRule>
    <cfRule type="cellIs" dxfId="456" priority="9" operator="equal">
      <formula>"Updated"</formula>
    </cfRule>
    <cfRule type="cellIs" dxfId="455" priority="10" operator="equal">
      <formula>"New"</formula>
    </cfRule>
  </conditionalFormatting>
  <conditionalFormatting sqref="I10">
    <cfRule type="cellIs" dxfId="454" priority="5" operator="equal">
      <formula>"n/a"</formula>
    </cfRule>
  </conditionalFormatting>
  <conditionalFormatting sqref="J10:N10">
    <cfRule type="cellIs" dxfId="453" priority="4" operator="equal">
      <formula>"n/a"</formula>
    </cfRule>
  </conditionalFormatting>
  <conditionalFormatting sqref="F10:H10">
    <cfRule type="cellIs" dxfId="452" priority="3" operator="equal">
      <formula>"n/a"</formula>
    </cfRule>
  </conditionalFormatting>
  <conditionalFormatting sqref="P11">
    <cfRule type="cellIs" dxfId="451" priority="2" operator="equal">
      <formula>"n/a"</formula>
    </cfRule>
  </conditionalFormatting>
  <conditionalFormatting sqref="O11">
    <cfRule type="cellIs" dxfId="450" priority="1" operator="equal">
      <formula>"n/a"</formula>
    </cfRule>
  </conditionalFormatting>
  <dataValidations count="1">
    <dataValidation type="list" allowBlank="1" showInputMessage="1" showErrorMessage="1" sqref="C18:C1048576" xr:uid="{00000000-0002-0000-0A00-000000000000}">
      <formula1>$B$5:$B$14</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A00-000001000000}">
          <x14:formula1>
            <xm:f>'C:\Users\matsubar\AppData\Local\Microsoft\Windows\INetCache\Content.Outlook\NQ5K8F7W\[CWB In-Branch Personal DCO Field Spec-IH 2020-10-01.xlsx]List Values'!#REF!</xm:f>
          </x14:formula1>
          <xm:sqref>E18:E1048576</xm:sqref>
        </x14:dataValidation>
        <x14:dataValidation type="list" allowBlank="1" showInputMessage="1" showErrorMessage="1" xr:uid="{00000000-0002-0000-0A00-000002000000}">
          <x14:formula1>
            <xm:f>'List Values'!$A$5:$A$28</xm:f>
          </x14:formula1>
          <xm:sqref>E11:E17 E7:E9</xm:sqref>
        </x14:dataValidation>
        <x14:dataValidation type="list" allowBlank="1" showInputMessage="1" showErrorMessage="1" xr:uid="{00000000-0002-0000-0A00-000003000000}">
          <x14:formula1>
            <xm:f>'List Values'!$B$5:$B$9</xm:f>
          </x14:formula1>
          <xm:sqref>C16:C17 C12:C14 C7:C9 C11</xm:sqref>
        </x14:dataValidation>
        <x14:dataValidation type="list" allowBlank="1" showInputMessage="1" showErrorMessage="1" xr:uid="{00000000-0002-0000-0A00-000004000000}">
          <x14:formula1>
            <xm:f>'List Values'!$B$5:$B$10</xm:f>
          </x14:formula1>
          <xm:sqref>C15</xm:sqref>
        </x14:dataValidation>
        <x14:dataValidation type="list" allowBlank="1" showInputMessage="1" showErrorMessage="1" xr:uid="{00000000-0002-0000-0A00-000005000000}">
          <x14:formula1>
            <xm:f>'https://sp.cwb.local/projects/pmo2/Digital Program/Digital Program SharePoint/2 Digital Client Onboarding/5 In-Branch DCO/2 Design/Field Specification/[CWB In-Branch Personal DCO Field Spec WIP.xlsx]List Values'!#REF!</xm:f>
          </x14:formula1>
          <xm:sqref>C10 E10</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tabColor rgb="FFB4C6E7"/>
  </sheetPr>
  <dimension ref="A1:P26"/>
  <sheetViews>
    <sheetView zoomScaleNormal="100" workbookViewId="0">
      <pane xSplit="4" ySplit="6" topLeftCell="O22" activePane="bottomRight" state="frozen"/>
      <selection pane="topRight" activeCell="E1" sqref="E1"/>
      <selection pane="bottomLeft" activeCell="A7" sqref="A7"/>
      <selection pane="bottomRight" activeCell="O25" sqref="O25"/>
    </sheetView>
  </sheetViews>
  <sheetFormatPr defaultColWidth="9.19921875" defaultRowHeight="14.25" x14ac:dyDescent="0.45"/>
  <cols>
    <col min="1" max="1" width="14.796875" style="36" customWidth="1"/>
    <col min="2" max="2" width="12.53125" style="36" customWidth="1"/>
    <col min="3" max="3" width="13" style="43" customWidth="1"/>
    <col min="4" max="4" width="45.19921875" style="36" customWidth="1"/>
    <col min="5" max="5" width="28.796875" style="36" customWidth="1"/>
    <col min="6" max="6" width="34.796875" style="36" bestFit="1" customWidth="1"/>
    <col min="7" max="7" width="27.796875" style="36" customWidth="1"/>
    <col min="8" max="8" width="14.19921875" style="36" customWidth="1"/>
    <col min="9" max="9" width="34.796875" style="36" customWidth="1"/>
    <col min="10" max="10" width="28.19921875" style="36" customWidth="1"/>
    <col min="11" max="11" width="14.796875" style="36" customWidth="1"/>
    <col min="12" max="12" width="19.19921875" style="36" bestFit="1" customWidth="1"/>
    <col min="13" max="13" width="29" style="36" customWidth="1"/>
    <col min="14" max="14" width="18.796875" style="36" bestFit="1" customWidth="1"/>
    <col min="15" max="15" width="61" style="36" customWidth="1"/>
    <col min="16" max="16" width="41.796875" style="36" customWidth="1"/>
    <col min="17" max="16384" width="9.19921875" style="36"/>
  </cols>
  <sheetData>
    <row r="1" spans="1:16" s="53" customFormat="1" ht="18" x14ac:dyDescent="0.45">
      <c r="A1" s="50" t="s">
        <v>7</v>
      </c>
      <c r="B1" s="51" t="s">
        <v>58</v>
      </c>
      <c r="C1" s="52"/>
      <c r="D1" s="26"/>
    </row>
    <row r="2" spans="1:16" s="53" customFormat="1" ht="18" x14ac:dyDescent="0.45">
      <c r="A2" s="50" t="s">
        <v>8</v>
      </c>
      <c r="B2" s="54">
        <v>8</v>
      </c>
      <c r="C2" s="55"/>
      <c r="D2" s="54"/>
    </row>
    <row r="3" spans="1:16" s="53" customFormat="1" ht="18" x14ac:dyDescent="0.45">
      <c r="A3" s="50" t="s">
        <v>44</v>
      </c>
      <c r="B3" s="54" t="s">
        <v>435</v>
      </c>
      <c r="C3" s="55"/>
      <c r="D3" s="81" t="s">
        <v>674</v>
      </c>
    </row>
    <row r="4" spans="1:16" s="53" customFormat="1" ht="18" x14ac:dyDescent="0.45">
      <c r="A4" s="50" t="s">
        <v>9</v>
      </c>
      <c r="B4" s="53" t="s">
        <v>46</v>
      </c>
      <c r="C4" s="55"/>
    </row>
    <row r="5" spans="1:16" s="56" customFormat="1" x14ac:dyDescent="0.45">
      <c r="C5" s="57"/>
    </row>
    <row r="6" spans="1:16" s="58" customFormat="1" ht="14.65" thickBot="1" x14ac:dyDescent="0.5">
      <c r="A6" s="58" t="s">
        <v>11</v>
      </c>
      <c r="B6" s="58" t="s">
        <v>12</v>
      </c>
      <c r="C6" s="59" t="s">
        <v>26</v>
      </c>
      <c r="D6" s="58" t="s">
        <v>25</v>
      </c>
      <c r="E6" s="58" t="s">
        <v>13</v>
      </c>
      <c r="F6" s="58" t="s">
        <v>14</v>
      </c>
      <c r="G6" s="58" t="s">
        <v>15</v>
      </c>
      <c r="H6" s="58" t="s">
        <v>16</v>
      </c>
      <c r="I6" s="58" t="s">
        <v>17</v>
      </c>
      <c r="J6" s="58" t="s">
        <v>18</v>
      </c>
      <c r="K6" s="58" t="s">
        <v>19</v>
      </c>
      <c r="L6" s="58" t="s">
        <v>20</v>
      </c>
      <c r="M6" s="58" t="s">
        <v>21</v>
      </c>
      <c r="N6" s="58" t="s">
        <v>22</v>
      </c>
      <c r="O6" s="58" t="s">
        <v>23</v>
      </c>
      <c r="P6" s="58" t="s">
        <v>24</v>
      </c>
    </row>
    <row r="7" spans="1:16" x14ac:dyDescent="0.45">
      <c r="A7" s="36">
        <v>1</v>
      </c>
      <c r="B7" s="36" t="str">
        <f t="shared" ref="B7:B26" si="0">CONCATENATE($B$2, ".", A7)</f>
        <v>8.1</v>
      </c>
      <c r="C7" s="101" t="s">
        <v>40</v>
      </c>
      <c r="D7" s="98" t="s">
        <v>318</v>
      </c>
      <c r="E7" s="36" t="s">
        <v>29</v>
      </c>
      <c r="F7" s="36" t="s">
        <v>37</v>
      </c>
      <c r="G7" s="36" t="s">
        <v>37</v>
      </c>
      <c r="H7" s="36" t="s">
        <v>37</v>
      </c>
      <c r="I7" s="36" t="s">
        <v>10</v>
      </c>
      <c r="J7" s="37" t="s">
        <v>37</v>
      </c>
      <c r="K7" s="37" t="s">
        <v>37</v>
      </c>
      <c r="L7" s="37" t="s">
        <v>37</v>
      </c>
      <c r="M7" s="37" t="s">
        <v>37</v>
      </c>
      <c r="N7" s="37" t="s">
        <v>37</v>
      </c>
      <c r="O7" s="37" t="s">
        <v>37</v>
      </c>
    </row>
    <row r="8" spans="1:16" x14ac:dyDescent="0.45">
      <c r="A8" s="36">
        <v>2</v>
      </c>
      <c r="B8" s="36" t="str">
        <f t="shared" si="0"/>
        <v>8.2</v>
      </c>
      <c r="C8" s="86" t="s">
        <v>40</v>
      </c>
      <c r="D8" s="98" t="s">
        <v>37</v>
      </c>
      <c r="E8" s="36" t="s">
        <v>48</v>
      </c>
      <c r="F8" s="36" t="s">
        <v>37</v>
      </c>
      <c r="G8" s="36" t="s">
        <v>37</v>
      </c>
      <c r="H8" s="36" t="s">
        <v>37</v>
      </c>
      <c r="I8" s="36" t="s">
        <v>10</v>
      </c>
      <c r="J8" s="37" t="s">
        <v>37</v>
      </c>
      <c r="K8" s="37" t="s">
        <v>37</v>
      </c>
      <c r="L8" s="37" t="s">
        <v>37</v>
      </c>
      <c r="M8" s="37" t="s">
        <v>37</v>
      </c>
      <c r="N8" s="37" t="s">
        <v>37</v>
      </c>
      <c r="O8" s="37" t="s">
        <v>37</v>
      </c>
    </row>
    <row r="9" spans="1:16" x14ac:dyDescent="0.45">
      <c r="A9" s="36">
        <v>3</v>
      </c>
      <c r="B9" s="36" t="str">
        <f t="shared" si="0"/>
        <v>8.3</v>
      </c>
      <c r="C9" s="101" t="s">
        <v>41</v>
      </c>
      <c r="D9" s="98" t="s">
        <v>113</v>
      </c>
      <c r="E9" s="36" t="s">
        <v>34</v>
      </c>
      <c r="F9" s="36" t="s">
        <v>37</v>
      </c>
      <c r="G9" s="36" t="s">
        <v>37</v>
      </c>
      <c r="H9" s="36" t="s">
        <v>37</v>
      </c>
      <c r="I9" s="98" t="s">
        <v>37</v>
      </c>
      <c r="J9" s="37" t="s">
        <v>37</v>
      </c>
      <c r="K9" s="37" t="s">
        <v>37</v>
      </c>
      <c r="L9" s="37" t="s">
        <v>37</v>
      </c>
      <c r="M9" s="37" t="s">
        <v>37</v>
      </c>
      <c r="N9" s="37" t="s">
        <v>37</v>
      </c>
      <c r="O9" s="37" t="s">
        <v>37</v>
      </c>
      <c r="P9" s="98" t="s">
        <v>693</v>
      </c>
    </row>
    <row r="10" spans="1:16" ht="116.65" customHeight="1" x14ac:dyDescent="0.45">
      <c r="A10" s="36">
        <v>4</v>
      </c>
      <c r="B10" s="36" t="str">
        <f t="shared" ref="B10" si="1">CONCATENATE($B$2, ".", A10)</f>
        <v>8.4</v>
      </c>
      <c r="C10" s="86" t="s">
        <v>42</v>
      </c>
      <c r="D10" s="72" t="s">
        <v>682</v>
      </c>
      <c r="E10" s="72" t="s">
        <v>685</v>
      </c>
      <c r="F10" s="72" t="s">
        <v>683</v>
      </c>
      <c r="G10" s="72" t="s">
        <v>37</v>
      </c>
      <c r="H10" s="72" t="s">
        <v>37</v>
      </c>
      <c r="I10" s="72" t="s">
        <v>10</v>
      </c>
      <c r="J10" s="72" t="s">
        <v>684</v>
      </c>
      <c r="K10" s="72" t="s">
        <v>37</v>
      </c>
      <c r="L10" s="72" t="s">
        <v>37</v>
      </c>
      <c r="M10" s="72" t="s">
        <v>37</v>
      </c>
      <c r="N10" s="72" t="s">
        <v>37</v>
      </c>
      <c r="O10" s="72" t="s">
        <v>699</v>
      </c>
    </row>
    <row r="11" spans="1:16" s="98" customFormat="1" ht="120" customHeight="1" x14ac:dyDescent="0.45">
      <c r="A11" s="98">
        <v>5</v>
      </c>
      <c r="B11" s="98" t="str">
        <f t="shared" ref="B11:B12" si="2">CONCATENATE($B$2, ".", A11)</f>
        <v>8.5</v>
      </c>
      <c r="C11" s="101" t="s">
        <v>42</v>
      </c>
      <c r="D11" s="72" t="s">
        <v>141</v>
      </c>
      <c r="E11" s="72" t="s">
        <v>35</v>
      </c>
      <c r="F11" s="72" t="s">
        <v>688</v>
      </c>
      <c r="G11" s="72" t="s">
        <v>37</v>
      </c>
      <c r="H11" s="72" t="s">
        <v>37</v>
      </c>
      <c r="I11" s="72" t="s">
        <v>686</v>
      </c>
      <c r="J11" s="72" t="s">
        <v>687</v>
      </c>
      <c r="K11" s="72" t="s">
        <v>37</v>
      </c>
      <c r="L11" s="72" t="s">
        <v>37</v>
      </c>
      <c r="M11" s="72" t="s">
        <v>37</v>
      </c>
      <c r="N11" s="72" t="s">
        <v>37</v>
      </c>
      <c r="O11" s="72" t="s">
        <v>140</v>
      </c>
    </row>
    <row r="12" spans="1:16" ht="28.5" x14ac:dyDescent="0.45">
      <c r="A12" s="98">
        <v>6</v>
      </c>
      <c r="B12" s="98" t="str">
        <f t="shared" si="2"/>
        <v>8.6</v>
      </c>
      <c r="C12" s="86" t="s">
        <v>40</v>
      </c>
      <c r="D12" s="36" t="s">
        <v>142</v>
      </c>
      <c r="E12" s="36" t="s">
        <v>118</v>
      </c>
      <c r="F12" s="36" t="s">
        <v>37</v>
      </c>
      <c r="G12" s="36" t="s">
        <v>37</v>
      </c>
      <c r="H12" s="36" t="s">
        <v>37</v>
      </c>
      <c r="I12" s="36" t="s">
        <v>10</v>
      </c>
      <c r="J12" s="36" t="s">
        <v>37</v>
      </c>
      <c r="K12" s="36" t="s">
        <v>37</v>
      </c>
      <c r="L12" s="36" t="s">
        <v>37</v>
      </c>
      <c r="M12" s="36" t="s">
        <v>37</v>
      </c>
      <c r="N12" s="36" t="s">
        <v>37</v>
      </c>
      <c r="O12" s="36" t="s">
        <v>698</v>
      </c>
    </row>
    <row r="13" spans="1:16" s="60" customFormat="1" ht="15" customHeight="1" x14ac:dyDescent="0.45">
      <c r="A13" s="65" t="s">
        <v>133</v>
      </c>
      <c r="B13" s="65"/>
      <c r="C13" s="65"/>
      <c r="D13" s="65"/>
      <c r="E13" s="65"/>
    </row>
    <row r="14" spans="1:16" ht="81.75" customHeight="1" x14ac:dyDescent="0.45">
      <c r="A14" s="36">
        <v>7</v>
      </c>
      <c r="B14" s="36" t="str">
        <f t="shared" si="0"/>
        <v>8.7</v>
      </c>
      <c r="C14" s="86" t="s">
        <v>40</v>
      </c>
      <c r="D14" s="36" t="s">
        <v>117</v>
      </c>
      <c r="E14" s="36" t="s">
        <v>30</v>
      </c>
      <c r="F14" s="36" t="s">
        <v>695</v>
      </c>
      <c r="G14" s="36" t="s">
        <v>37</v>
      </c>
      <c r="H14" s="36" t="s">
        <v>37</v>
      </c>
      <c r="I14" s="36" t="s">
        <v>10</v>
      </c>
      <c r="J14" s="37" t="s">
        <v>134</v>
      </c>
      <c r="K14" s="37" t="s">
        <v>78</v>
      </c>
      <c r="L14" s="98" t="s">
        <v>114</v>
      </c>
      <c r="M14" s="99" t="s">
        <v>37</v>
      </c>
      <c r="N14" s="99" t="s">
        <v>37</v>
      </c>
      <c r="O14" s="99" t="s">
        <v>115</v>
      </c>
    </row>
    <row r="15" spans="1:16" x14ac:dyDescent="0.45">
      <c r="A15" s="98">
        <v>8</v>
      </c>
      <c r="B15" s="98" t="str">
        <f t="shared" ref="B15:B23" si="3">CONCATENATE($B$2, ".", A15)</f>
        <v>8.8</v>
      </c>
      <c r="C15" s="86" t="s">
        <v>40</v>
      </c>
      <c r="D15" s="114" t="s">
        <v>245</v>
      </c>
      <c r="E15" s="36" t="s">
        <v>118</v>
      </c>
      <c r="F15" s="36" t="s">
        <v>37</v>
      </c>
      <c r="G15" s="36" t="s">
        <v>37</v>
      </c>
      <c r="H15" s="36" t="s">
        <v>37</v>
      </c>
      <c r="I15" s="36" t="s">
        <v>10</v>
      </c>
      <c r="J15" s="37" t="s">
        <v>37</v>
      </c>
      <c r="K15" s="37" t="s">
        <v>37</v>
      </c>
      <c r="L15" s="36" t="s">
        <v>37</v>
      </c>
      <c r="M15" s="37" t="s">
        <v>37</v>
      </c>
      <c r="N15" s="37" t="s">
        <v>37</v>
      </c>
      <c r="O15" s="37" t="s">
        <v>689</v>
      </c>
    </row>
    <row r="16" spans="1:16" ht="42.75" x14ac:dyDescent="0.45">
      <c r="A16" s="98">
        <v>9</v>
      </c>
      <c r="B16" s="98" t="str">
        <f t="shared" si="3"/>
        <v>8.9</v>
      </c>
      <c r="C16" s="86" t="s">
        <v>40</v>
      </c>
      <c r="D16" s="114" t="s">
        <v>120</v>
      </c>
      <c r="E16" s="36" t="s">
        <v>118</v>
      </c>
      <c r="F16" s="36" t="s">
        <v>37</v>
      </c>
      <c r="G16" s="36" t="s">
        <v>37</v>
      </c>
      <c r="H16" s="36" t="s">
        <v>37</v>
      </c>
      <c r="I16" s="36" t="s">
        <v>121</v>
      </c>
      <c r="J16" s="37" t="s">
        <v>37</v>
      </c>
      <c r="K16" s="37" t="s">
        <v>37</v>
      </c>
      <c r="L16" s="36" t="s">
        <v>37</v>
      </c>
      <c r="M16" s="37" t="s">
        <v>37</v>
      </c>
      <c r="N16" s="37" t="s">
        <v>37</v>
      </c>
      <c r="O16" s="108" t="s">
        <v>689</v>
      </c>
    </row>
    <row r="17" spans="1:16" ht="42.75" x14ac:dyDescent="0.45">
      <c r="A17" s="98">
        <v>10</v>
      </c>
      <c r="B17" s="98" t="str">
        <f t="shared" si="3"/>
        <v>8.10</v>
      </c>
      <c r="C17" s="101" t="s">
        <v>40</v>
      </c>
      <c r="D17" s="119" t="s">
        <v>574</v>
      </c>
      <c r="E17" s="36" t="s">
        <v>118</v>
      </c>
      <c r="F17" s="36" t="s">
        <v>37</v>
      </c>
      <c r="G17" s="36" t="s">
        <v>37</v>
      </c>
      <c r="H17" s="36" t="s">
        <v>37</v>
      </c>
      <c r="I17" s="36" t="s">
        <v>122</v>
      </c>
      <c r="J17" s="37" t="s">
        <v>37</v>
      </c>
      <c r="K17" s="37" t="s">
        <v>37</v>
      </c>
      <c r="L17" s="36" t="s">
        <v>37</v>
      </c>
      <c r="M17" s="37" t="s">
        <v>37</v>
      </c>
      <c r="N17" s="37" t="s">
        <v>37</v>
      </c>
      <c r="O17" s="108" t="s">
        <v>689</v>
      </c>
    </row>
    <row r="18" spans="1:16" ht="28.5" x14ac:dyDescent="0.45">
      <c r="A18" s="98">
        <v>11</v>
      </c>
      <c r="B18" s="98" t="str">
        <f t="shared" si="3"/>
        <v>8.11</v>
      </c>
      <c r="C18" s="101" t="s">
        <v>40</v>
      </c>
      <c r="D18" s="119" t="s">
        <v>526</v>
      </c>
      <c r="E18" s="36" t="s">
        <v>118</v>
      </c>
      <c r="F18" s="36" t="s">
        <v>37</v>
      </c>
      <c r="G18" s="36" t="s">
        <v>37</v>
      </c>
      <c r="H18" s="36" t="s">
        <v>37</v>
      </c>
      <c r="I18" s="36" t="s">
        <v>10</v>
      </c>
      <c r="J18" s="37" t="s">
        <v>37</v>
      </c>
      <c r="K18" s="37" t="s">
        <v>37</v>
      </c>
      <c r="L18" s="36" t="s">
        <v>37</v>
      </c>
      <c r="M18" s="37" t="s">
        <v>37</v>
      </c>
      <c r="N18" s="37" t="s">
        <v>37</v>
      </c>
      <c r="O18" s="108" t="s">
        <v>689</v>
      </c>
    </row>
    <row r="19" spans="1:16" ht="42.75" x14ac:dyDescent="0.45">
      <c r="A19" s="98">
        <v>12</v>
      </c>
      <c r="B19" s="98" t="str">
        <f t="shared" si="3"/>
        <v>8.12</v>
      </c>
      <c r="C19" s="101" t="s">
        <v>40</v>
      </c>
      <c r="D19" s="114" t="s">
        <v>123</v>
      </c>
      <c r="E19" s="36" t="s">
        <v>118</v>
      </c>
      <c r="F19" s="36" t="s">
        <v>37</v>
      </c>
      <c r="G19" s="36" t="s">
        <v>37</v>
      </c>
      <c r="H19" s="36" t="s">
        <v>37</v>
      </c>
      <c r="I19" s="36" t="s">
        <v>121</v>
      </c>
      <c r="J19" s="37" t="s">
        <v>37</v>
      </c>
      <c r="K19" s="37" t="s">
        <v>37</v>
      </c>
      <c r="L19" s="36" t="s">
        <v>37</v>
      </c>
      <c r="M19" s="37" t="s">
        <v>37</v>
      </c>
      <c r="N19" s="37" t="s">
        <v>37</v>
      </c>
      <c r="O19" s="108" t="s">
        <v>689</v>
      </c>
    </row>
    <row r="20" spans="1:16" ht="28.5" x14ac:dyDescent="0.45">
      <c r="A20" s="98">
        <v>13</v>
      </c>
      <c r="B20" s="98" t="str">
        <f t="shared" si="3"/>
        <v>8.13</v>
      </c>
      <c r="C20" s="101" t="s">
        <v>40</v>
      </c>
      <c r="D20" s="119" t="s">
        <v>527</v>
      </c>
      <c r="E20" s="36" t="s">
        <v>118</v>
      </c>
      <c r="F20" s="36" t="s">
        <v>37</v>
      </c>
      <c r="G20" s="36" t="s">
        <v>37</v>
      </c>
      <c r="H20" s="36" t="s">
        <v>37</v>
      </c>
      <c r="I20" s="36" t="s">
        <v>122</v>
      </c>
      <c r="J20" s="37" t="s">
        <v>37</v>
      </c>
      <c r="K20" s="37" t="s">
        <v>37</v>
      </c>
      <c r="L20" s="36" t="s">
        <v>37</v>
      </c>
      <c r="M20" s="37" t="s">
        <v>37</v>
      </c>
      <c r="N20" s="37" t="s">
        <v>37</v>
      </c>
      <c r="O20" s="108" t="s">
        <v>689</v>
      </c>
    </row>
    <row r="21" spans="1:16" s="84" customFormat="1" ht="42.75" x14ac:dyDescent="0.45">
      <c r="A21" s="98">
        <v>14</v>
      </c>
      <c r="B21" s="98" t="str">
        <f t="shared" ref="B21" si="4">CONCATENATE($B$2, ".", A21)</f>
        <v>8.14</v>
      </c>
      <c r="C21" s="101" t="s">
        <v>40</v>
      </c>
      <c r="D21" s="98" t="s">
        <v>283</v>
      </c>
      <c r="E21" s="84" t="s">
        <v>32</v>
      </c>
      <c r="F21" s="84" t="s">
        <v>696</v>
      </c>
      <c r="G21" s="84" t="s">
        <v>258</v>
      </c>
      <c r="H21" s="84" t="s">
        <v>37</v>
      </c>
      <c r="I21" s="84" t="s">
        <v>168</v>
      </c>
      <c r="J21" s="85" t="s">
        <v>71</v>
      </c>
      <c r="K21" s="85" t="s">
        <v>37</v>
      </c>
      <c r="L21" s="99" t="s">
        <v>37</v>
      </c>
      <c r="M21" s="85" t="s">
        <v>37</v>
      </c>
      <c r="N21" s="85" t="s">
        <v>37</v>
      </c>
      <c r="O21" s="84" t="s">
        <v>259</v>
      </c>
      <c r="P21" s="98" t="s">
        <v>556</v>
      </c>
    </row>
    <row r="22" spans="1:16" ht="28.5" x14ac:dyDescent="0.45">
      <c r="A22" s="98">
        <v>15</v>
      </c>
      <c r="B22" s="98" t="str">
        <f>CONCATENATE($B$2, ".", A22)</f>
        <v>8.15</v>
      </c>
      <c r="C22" s="86" t="s">
        <v>38</v>
      </c>
      <c r="D22" s="37" t="s">
        <v>124</v>
      </c>
      <c r="E22" s="36" t="s">
        <v>76</v>
      </c>
      <c r="F22" s="36" t="s">
        <v>37</v>
      </c>
      <c r="G22" s="36" t="s">
        <v>37</v>
      </c>
      <c r="H22" s="36" t="s">
        <v>37</v>
      </c>
      <c r="I22" s="36" t="s">
        <v>10</v>
      </c>
      <c r="J22" s="37" t="s">
        <v>37</v>
      </c>
      <c r="K22" s="37" t="s">
        <v>37</v>
      </c>
      <c r="L22" s="36" t="s">
        <v>37</v>
      </c>
      <c r="M22" s="37" t="s">
        <v>37</v>
      </c>
      <c r="N22" s="37"/>
      <c r="O22" s="37" t="s">
        <v>690</v>
      </c>
      <c r="P22" s="36" t="s">
        <v>691</v>
      </c>
    </row>
    <row r="23" spans="1:16" ht="156.75" x14ac:dyDescent="0.45">
      <c r="A23" s="98">
        <v>16</v>
      </c>
      <c r="B23" s="98" t="str">
        <f t="shared" si="3"/>
        <v>8.16</v>
      </c>
      <c r="C23" s="106" t="s">
        <v>38</v>
      </c>
      <c r="D23" s="98" t="s">
        <v>580</v>
      </c>
      <c r="E23" s="36" t="s">
        <v>35</v>
      </c>
      <c r="F23" s="98" t="s">
        <v>700</v>
      </c>
      <c r="G23" s="36" t="s">
        <v>37</v>
      </c>
      <c r="H23" s="36" t="s">
        <v>37</v>
      </c>
      <c r="I23" s="36" t="s">
        <v>694</v>
      </c>
      <c r="J23" s="37" t="s">
        <v>95</v>
      </c>
      <c r="K23" s="37" t="s">
        <v>52</v>
      </c>
      <c r="L23" s="99" t="s">
        <v>166</v>
      </c>
      <c r="M23" s="37" t="s">
        <v>37</v>
      </c>
      <c r="N23" s="37" t="s">
        <v>37</v>
      </c>
      <c r="O23" s="36" t="s">
        <v>702</v>
      </c>
    </row>
    <row r="24" spans="1:16" s="60" customFormat="1" x14ac:dyDescent="0.45">
      <c r="A24" s="65" t="s">
        <v>692</v>
      </c>
      <c r="B24" s="65"/>
      <c r="C24" s="65"/>
      <c r="D24" s="65"/>
      <c r="E24" s="65"/>
    </row>
    <row r="25" spans="1:16" ht="147.75" customHeight="1" x14ac:dyDescent="0.45">
      <c r="A25" s="36">
        <v>17</v>
      </c>
      <c r="B25" s="36" t="str">
        <f>CONCATENATE($B$2, ".", A25)</f>
        <v>8.17</v>
      </c>
      <c r="C25" s="101" t="s">
        <v>38</v>
      </c>
      <c r="D25" s="36" t="s">
        <v>56</v>
      </c>
      <c r="E25" s="36" t="s">
        <v>43</v>
      </c>
      <c r="F25" s="36" t="s">
        <v>37</v>
      </c>
      <c r="G25" s="36" t="s">
        <v>37</v>
      </c>
      <c r="H25" s="36" t="s">
        <v>37</v>
      </c>
      <c r="I25" s="36" t="s">
        <v>10</v>
      </c>
      <c r="J25" s="36" t="s">
        <v>37</v>
      </c>
      <c r="K25" s="36" t="s">
        <v>37</v>
      </c>
      <c r="L25" s="98" t="s">
        <v>135</v>
      </c>
      <c r="M25" s="98" t="s">
        <v>37</v>
      </c>
      <c r="N25" s="98" t="s">
        <v>37</v>
      </c>
      <c r="O25" s="98" t="s">
        <v>748</v>
      </c>
      <c r="P25" s="36" t="s">
        <v>697</v>
      </c>
    </row>
    <row r="26" spans="1:16" x14ac:dyDescent="0.45">
      <c r="A26" s="36">
        <v>18</v>
      </c>
      <c r="B26" s="36" t="str">
        <f t="shared" si="0"/>
        <v>8.18</v>
      </c>
      <c r="C26" s="101" t="s">
        <v>40</v>
      </c>
      <c r="D26" s="36" t="s">
        <v>55</v>
      </c>
      <c r="E26" s="36" t="s">
        <v>43</v>
      </c>
      <c r="F26" s="36" t="s">
        <v>37</v>
      </c>
      <c r="G26" s="36" t="s">
        <v>37</v>
      </c>
      <c r="H26" s="36" t="s">
        <v>37</v>
      </c>
      <c r="I26" s="36" t="s">
        <v>10</v>
      </c>
      <c r="J26" s="36" t="s">
        <v>37</v>
      </c>
      <c r="K26" s="36" t="s">
        <v>37</v>
      </c>
      <c r="L26" s="36" t="s">
        <v>37</v>
      </c>
      <c r="M26" s="36" t="s">
        <v>37</v>
      </c>
      <c r="N26" s="36" t="s">
        <v>37</v>
      </c>
      <c r="O26" s="36" t="s">
        <v>170</v>
      </c>
      <c r="P26" s="98"/>
    </row>
  </sheetData>
  <conditionalFormatting sqref="C13 C27:C1048576 C24 C15:C22">
    <cfRule type="cellIs" dxfId="449" priority="183" operator="equal">
      <formula>"WIP (see comments)"</formula>
    </cfRule>
    <cfRule type="cellIs" dxfId="448" priority="184" operator="equal">
      <formula>"Removed"</formula>
    </cfRule>
    <cfRule type="cellIs" dxfId="447" priority="185" operator="equal">
      <formula>"Updated"</formula>
    </cfRule>
    <cfRule type="cellIs" dxfId="446" priority="186" operator="equal">
      <formula>"New"</formula>
    </cfRule>
  </conditionalFormatting>
  <conditionalFormatting sqref="A1:XFD2 A27:XFD1048576 A25:B26 A13:XFD13 A24:XFD24 D25:XFD26 D14:XFD15 A4:XFD6 A3:C3 E3:XFD3 D19:N19 E20:N20 E17:N18 D12:XFD12 P10:XFD11 A7:B12 D16:N16 O16:XFD20 D7:XFD9 D21:XFD23 A14:B23 C15:C22">
    <cfRule type="cellIs" dxfId="445" priority="157" operator="equal">
      <formula>"n/a"</formula>
    </cfRule>
  </conditionalFormatting>
  <conditionalFormatting sqref="C1:C6">
    <cfRule type="cellIs" dxfId="444" priority="175" operator="equal">
      <formula>"WIP (see comments)"</formula>
    </cfRule>
    <cfRule type="cellIs" dxfId="443" priority="176" operator="equal">
      <formula>"Removed"</formula>
    </cfRule>
    <cfRule type="cellIs" dxfId="442" priority="177" operator="equal">
      <formula>"Updated"</formula>
    </cfRule>
    <cfRule type="cellIs" dxfId="441" priority="178" operator="equal">
      <formula>"New"</formula>
    </cfRule>
  </conditionalFormatting>
  <conditionalFormatting sqref="C8">
    <cfRule type="cellIs" dxfId="440" priority="114" operator="equal">
      <formula>"WIP (see comments)"</formula>
    </cfRule>
    <cfRule type="cellIs" dxfId="439" priority="115" operator="equal">
      <formula>"Removed"</formula>
    </cfRule>
    <cfRule type="cellIs" dxfId="438" priority="116" operator="equal">
      <formula>"Updated"</formula>
    </cfRule>
    <cfRule type="cellIs" dxfId="437" priority="117" operator="equal">
      <formula>"New"</formula>
    </cfRule>
  </conditionalFormatting>
  <conditionalFormatting sqref="C8">
    <cfRule type="cellIs" dxfId="436" priority="113" operator="equal">
      <formula>"n/a"</formula>
    </cfRule>
  </conditionalFormatting>
  <conditionalFormatting sqref="C10:C11">
    <cfRule type="cellIs" dxfId="435" priority="94" operator="equal">
      <formula>"WIP (see comments)"</formula>
    </cfRule>
    <cfRule type="cellIs" dxfId="434" priority="95" operator="equal">
      <formula>"Removed"</formula>
    </cfRule>
    <cfRule type="cellIs" dxfId="433" priority="96" operator="equal">
      <formula>"Updated"</formula>
    </cfRule>
    <cfRule type="cellIs" dxfId="432" priority="97" operator="equal">
      <formula>"New"</formula>
    </cfRule>
  </conditionalFormatting>
  <conditionalFormatting sqref="C10:C11">
    <cfRule type="cellIs" dxfId="431" priority="93" operator="equal">
      <formula>"n/a"</formula>
    </cfRule>
  </conditionalFormatting>
  <conditionalFormatting sqref="C12">
    <cfRule type="cellIs" dxfId="430" priority="89" operator="equal">
      <formula>"WIP (see comments)"</formula>
    </cfRule>
    <cfRule type="cellIs" dxfId="429" priority="90" operator="equal">
      <formula>"Removed"</formula>
    </cfRule>
    <cfRule type="cellIs" dxfId="428" priority="91" operator="equal">
      <formula>"Updated"</formula>
    </cfRule>
    <cfRule type="cellIs" dxfId="427" priority="92" operator="equal">
      <formula>"New"</formula>
    </cfRule>
  </conditionalFormatting>
  <conditionalFormatting sqref="C12">
    <cfRule type="cellIs" dxfId="426" priority="88" operator="equal">
      <formula>"n/a"</formula>
    </cfRule>
  </conditionalFormatting>
  <conditionalFormatting sqref="C14">
    <cfRule type="cellIs" dxfId="425" priority="84" operator="equal">
      <formula>"WIP (see comments)"</formula>
    </cfRule>
    <cfRule type="cellIs" dxfId="424" priority="85" operator="equal">
      <formula>"Removed"</formula>
    </cfRule>
    <cfRule type="cellIs" dxfId="423" priority="86" operator="equal">
      <formula>"Updated"</formula>
    </cfRule>
    <cfRule type="cellIs" dxfId="422" priority="87" operator="equal">
      <formula>"New"</formula>
    </cfRule>
  </conditionalFormatting>
  <conditionalFormatting sqref="C14">
    <cfRule type="cellIs" dxfId="421" priority="83" operator="equal">
      <formula>"n/a"</formula>
    </cfRule>
  </conditionalFormatting>
  <conditionalFormatting sqref="C7">
    <cfRule type="cellIs" dxfId="420" priority="49" operator="equal">
      <formula>"WIP (see comments)"</formula>
    </cfRule>
    <cfRule type="cellIs" dxfId="419" priority="50" operator="equal">
      <formula>"Removed"</formula>
    </cfRule>
    <cfRule type="cellIs" dxfId="418" priority="51" operator="equal">
      <formula>"Updated"</formula>
    </cfRule>
    <cfRule type="cellIs" dxfId="417" priority="52" operator="equal">
      <formula>"New"</formula>
    </cfRule>
  </conditionalFormatting>
  <conditionalFormatting sqref="C7">
    <cfRule type="cellIs" dxfId="416" priority="48" operator="equal">
      <formula>"n/a"</formula>
    </cfRule>
  </conditionalFormatting>
  <conditionalFormatting sqref="C25:C26">
    <cfRule type="cellIs" dxfId="415" priority="64" operator="equal">
      <formula>"WIP (see comments)"</formula>
    </cfRule>
    <cfRule type="cellIs" dxfId="414" priority="65" operator="equal">
      <formula>"Removed"</formula>
    </cfRule>
    <cfRule type="cellIs" dxfId="413" priority="66" operator="equal">
      <formula>"Updated"</formula>
    </cfRule>
    <cfRule type="cellIs" dxfId="412" priority="67" operator="equal">
      <formula>"New"</formula>
    </cfRule>
  </conditionalFormatting>
  <conditionalFormatting sqref="C25:C26">
    <cfRule type="cellIs" dxfId="411" priority="63" operator="equal">
      <formula>"n/a"</formula>
    </cfRule>
  </conditionalFormatting>
  <conditionalFormatting sqref="C9">
    <cfRule type="cellIs" dxfId="410" priority="54" operator="equal">
      <formula>"WIP (see comments)"</formula>
    </cfRule>
    <cfRule type="cellIs" dxfId="409" priority="55" operator="equal">
      <formula>"Removed"</formula>
    </cfRule>
    <cfRule type="cellIs" dxfId="408" priority="56" operator="equal">
      <formula>"Updated"</formula>
    </cfRule>
    <cfRule type="cellIs" dxfId="407" priority="57" operator="equal">
      <formula>"New"</formula>
    </cfRule>
  </conditionalFormatting>
  <conditionalFormatting sqref="C9">
    <cfRule type="cellIs" dxfId="406" priority="53" operator="equal">
      <formula>"n/a"</formula>
    </cfRule>
  </conditionalFormatting>
  <conditionalFormatting sqref="D3">
    <cfRule type="cellIs" dxfId="405" priority="23" operator="equal">
      <formula>"n/a"</formula>
    </cfRule>
  </conditionalFormatting>
  <conditionalFormatting sqref="D18">
    <cfRule type="cellIs" dxfId="404" priority="22" operator="equal">
      <formula>"n/a"</formula>
    </cfRule>
  </conditionalFormatting>
  <conditionalFormatting sqref="D20">
    <cfRule type="cellIs" dxfId="403" priority="21" operator="equal">
      <formula>"n/a"</formula>
    </cfRule>
  </conditionalFormatting>
  <conditionalFormatting sqref="C23">
    <cfRule type="cellIs" dxfId="402" priority="15" operator="equal">
      <formula>"Future Change"</formula>
    </cfRule>
    <cfRule type="cellIs" dxfId="401" priority="17" operator="equal">
      <formula>"WIP (see comments)"</formula>
    </cfRule>
    <cfRule type="cellIs" dxfId="400" priority="18" operator="equal">
      <formula>"Removed"</formula>
    </cfRule>
    <cfRule type="cellIs" dxfId="399" priority="19" operator="equal">
      <formula>"Updated"</formula>
    </cfRule>
    <cfRule type="cellIs" dxfId="398" priority="20" operator="equal">
      <formula>"New"</formula>
    </cfRule>
  </conditionalFormatting>
  <conditionalFormatting sqref="C23">
    <cfRule type="cellIs" dxfId="397" priority="16" operator="equal">
      <formula>"n/a"</formula>
    </cfRule>
  </conditionalFormatting>
  <conditionalFormatting sqref="C21:C22">
    <cfRule type="cellIs" dxfId="396" priority="11" operator="equal">
      <formula>"WIP (see comments)"</formula>
    </cfRule>
    <cfRule type="cellIs" dxfId="395" priority="12" operator="equal">
      <formula>"Removed"</formula>
    </cfRule>
    <cfRule type="cellIs" dxfId="394" priority="13" operator="equal">
      <formula>"Updated"</formula>
    </cfRule>
    <cfRule type="cellIs" dxfId="393" priority="14" operator="equal">
      <formula>"New"</formula>
    </cfRule>
  </conditionalFormatting>
  <conditionalFormatting sqref="C21:C22">
    <cfRule type="cellIs" dxfId="392" priority="10" operator="equal">
      <formula>"n/a"</formula>
    </cfRule>
  </conditionalFormatting>
  <conditionalFormatting sqref="D17">
    <cfRule type="cellIs" dxfId="391" priority="3" operator="equal">
      <formula>"n/a"</formula>
    </cfRule>
  </conditionalFormatting>
  <conditionalFormatting sqref="D10:O10 K11">
    <cfRule type="cellIs" dxfId="390" priority="2" operator="equal">
      <formula>"n/a"</formula>
    </cfRule>
  </conditionalFormatting>
  <conditionalFormatting sqref="D11:J11 L11:O11">
    <cfRule type="cellIs" dxfId="389"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B00-000002000000}">
          <x14:formula1>
            <xm:f>'List Values'!$A$5:$A$28</xm:f>
          </x14:formula1>
          <xm:sqref>E25:E1048576 E7:E12 E14:E20 E21:E23</xm:sqref>
        </x14:dataValidation>
        <x14:dataValidation type="list" allowBlank="1" showInputMessage="1" showErrorMessage="1" xr:uid="{00000000-0002-0000-0B00-000003000000}">
          <x14:formula1>
            <xm:f>'List Values'!$B$5:$B$12</xm:f>
          </x14:formula1>
          <xm:sqref>C27:C1048576</xm:sqref>
        </x14:dataValidation>
        <x14:dataValidation type="list" allowBlank="1" showInputMessage="1" showErrorMessage="1" xr:uid="{00000000-0002-0000-0B00-000004000000}">
          <x14:formula1>
            <xm:f>'List Values'!$B$5:$B$9</xm:f>
          </x14:formula1>
          <xm:sqref>C25:C26 C7:C12 C14:C20 C21:C22</xm:sqref>
        </x14:dataValidation>
        <x14:dataValidation type="list" allowBlank="1" showInputMessage="1" showErrorMessage="1" xr:uid="{00000000-0002-0000-0B00-000005000000}">
          <x14:formula1>
            <xm:f>'List Values'!$B$5:$B$10</xm:f>
          </x14:formula1>
          <xm:sqref>C23</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tabColor theme="0" tint="-0.499984740745262"/>
  </sheetPr>
  <dimension ref="A1:P27"/>
  <sheetViews>
    <sheetView zoomScaleNormal="100" workbookViewId="0">
      <pane ySplit="6" topLeftCell="A7" activePane="bottomLeft" state="frozen"/>
      <selection pane="bottomLeft" activeCell="A7" sqref="A7"/>
    </sheetView>
  </sheetViews>
  <sheetFormatPr defaultColWidth="9.19921875" defaultRowHeight="14.25" x14ac:dyDescent="0.45"/>
  <cols>
    <col min="1" max="1" width="14.796875" style="6" customWidth="1"/>
    <col min="2" max="2" width="12.53125" style="6" customWidth="1"/>
    <col min="3" max="3" width="17.796875" style="31" customWidth="1"/>
    <col min="4" max="4" width="52.19921875" style="6" customWidth="1"/>
    <col min="5" max="5" width="28.796875" style="6" customWidth="1"/>
    <col min="6" max="6" width="17" style="6" customWidth="1"/>
    <col min="7" max="7" width="29.19921875" style="6" customWidth="1"/>
    <col min="8" max="8" width="27.796875" style="6" customWidth="1"/>
    <col min="9" max="9" width="34.796875" style="6" customWidth="1"/>
    <col min="10" max="10" width="28.19921875" style="6" customWidth="1"/>
    <col min="11" max="11" width="10.796875" style="6" bestFit="1" customWidth="1"/>
    <col min="12" max="12" width="23" style="6" customWidth="1"/>
    <col min="13" max="13" width="29" style="6" customWidth="1"/>
    <col min="14" max="14" width="18.796875" style="6" bestFit="1" customWidth="1"/>
    <col min="15" max="15" width="48.46484375" style="6" customWidth="1"/>
    <col min="16" max="16" width="41.796875" style="6" customWidth="1"/>
    <col min="17" max="16384" width="9.19921875" style="6"/>
  </cols>
  <sheetData>
    <row r="1" spans="1:16" s="27" customFormat="1" ht="18" x14ac:dyDescent="0.45">
      <c r="A1" s="25" t="s">
        <v>7</v>
      </c>
      <c r="B1" s="35" t="s">
        <v>125</v>
      </c>
      <c r="C1" s="29"/>
      <c r="D1" s="26"/>
    </row>
    <row r="2" spans="1:16" s="27" customFormat="1" ht="18" x14ac:dyDescent="0.45">
      <c r="A2" s="25" t="s">
        <v>8</v>
      </c>
      <c r="B2" s="33" t="s">
        <v>169</v>
      </c>
      <c r="C2" s="32"/>
      <c r="D2" s="33"/>
    </row>
    <row r="3" spans="1:16" s="27" customFormat="1" ht="18" x14ac:dyDescent="0.45">
      <c r="A3" s="25" t="s">
        <v>44</v>
      </c>
      <c r="B3" s="33"/>
      <c r="C3" s="32"/>
      <c r="D3" s="33"/>
    </row>
    <row r="4" spans="1:16" s="27" customFormat="1" ht="18" x14ac:dyDescent="0.45">
      <c r="A4" s="25" t="s">
        <v>9</v>
      </c>
      <c r="B4" s="27" t="s">
        <v>675</v>
      </c>
      <c r="C4" s="32"/>
    </row>
    <row r="5" spans="1:16" s="4" customFormat="1" x14ac:dyDescent="0.45">
      <c r="C5" s="34"/>
    </row>
    <row r="6" spans="1:16" s="28" customFormat="1" ht="14.65" thickBot="1" x14ac:dyDescent="0.5">
      <c r="A6" s="28" t="s">
        <v>11</v>
      </c>
      <c r="B6" s="28" t="s">
        <v>12</v>
      </c>
      <c r="C6" s="30" t="s">
        <v>26</v>
      </c>
      <c r="D6" s="28" t="s">
        <v>25</v>
      </c>
      <c r="E6" s="28" t="s">
        <v>13</v>
      </c>
      <c r="F6" s="28" t="s">
        <v>14</v>
      </c>
      <c r="G6" s="28" t="s">
        <v>15</v>
      </c>
      <c r="H6" s="28" t="s">
        <v>16</v>
      </c>
      <c r="I6" s="28" t="s">
        <v>17</v>
      </c>
      <c r="J6" s="28" t="s">
        <v>18</v>
      </c>
      <c r="K6" s="28" t="s">
        <v>19</v>
      </c>
      <c r="L6" s="28" t="s">
        <v>20</v>
      </c>
      <c r="M6" s="28" t="s">
        <v>21</v>
      </c>
      <c r="N6" s="28" t="s">
        <v>22</v>
      </c>
      <c r="O6" s="28" t="s">
        <v>23</v>
      </c>
      <c r="P6" s="28" t="s">
        <v>24</v>
      </c>
    </row>
    <row r="7" spans="1:16" s="36" customFormat="1" ht="76.5" customHeight="1" x14ac:dyDescent="0.45">
      <c r="A7" s="36">
        <v>1</v>
      </c>
      <c r="B7" s="36" t="str">
        <f t="shared" ref="B7:B19" si="0">CONCATENATE($B$2, ".", A7)</f>
        <v>8a.1</v>
      </c>
      <c r="C7" s="101" t="s">
        <v>41</v>
      </c>
      <c r="D7" s="36" t="s">
        <v>117</v>
      </c>
      <c r="E7" s="36" t="s">
        <v>86</v>
      </c>
      <c r="F7" s="36" t="s">
        <v>37</v>
      </c>
      <c r="G7" s="36" t="s">
        <v>37</v>
      </c>
      <c r="H7" s="36" t="s">
        <v>37</v>
      </c>
      <c r="I7" s="36" t="s">
        <v>10</v>
      </c>
      <c r="J7" s="37" t="s">
        <v>37</v>
      </c>
      <c r="K7" s="37" t="s">
        <v>37</v>
      </c>
      <c r="L7" s="37" t="s">
        <v>37</v>
      </c>
      <c r="M7" s="37" t="s">
        <v>37</v>
      </c>
      <c r="N7" s="37" t="s">
        <v>37</v>
      </c>
      <c r="O7" s="37" t="s">
        <v>37</v>
      </c>
    </row>
    <row r="8" spans="1:16" s="36" customFormat="1" x14ac:dyDescent="0.45">
      <c r="A8" s="36">
        <v>2</v>
      </c>
      <c r="B8" s="36" t="str">
        <f t="shared" ref="B8" si="1">CONCATENATE($B$2, ".", A8)</f>
        <v>8a.2</v>
      </c>
      <c r="C8" s="101" t="s">
        <v>41</v>
      </c>
      <c r="D8" s="36" t="s">
        <v>136</v>
      </c>
      <c r="E8" s="36" t="s">
        <v>118</v>
      </c>
      <c r="J8" s="37"/>
      <c r="K8" s="37"/>
      <c r="L8" s="37"/>
      <c r="M8" s="37"/>
      <c r="N8" s="37"/>
      <c r="O8" s="37"/>
    </row>
    <row r="9" spans="1:16" s="36" customFormat="1" x14ac:dyDescent="0.45">
      <c r="A9" s="36">
        <v>3</v>
      </c>
      <c r="B9" s="36" t="str">
        <f t="shared" si="0"/>
        <v>8a.3</v>
      </c>
      <c r="C9" s="101" t="s">
        <v>41</v>
      </c>
      <c r="D9" s="36" t="s">
        <v>116</v>
      </c>
      <c r="E9" s="36" t="s">
        <v>34</v>
      </c>
      <c r="F9" s="36" t="s">
        <v>37</v>
      </c>
      <c r="G9" s="36" t="s">
        <v>37</v>
      </c>
      <c r="H9" s="36" t="s">
        <v>37</v>
      </c>
      <c r="I9" s="36" t="s">
        <v>10</v>
      </c>
      <c r="J9" s="37" t="s">
        <v>37</v>
      </c>
      <c r="K9" s="37" t="s">
        <v>37</v>
      </c>
      <c r="L9" s="37" t="s">
        <v>37</v>
      </c>
      <c r="M9" s="37" t="s">
        <v>37</v>
      </c>
      <c r="N9" s="37" t="s">
        <v>37</v>
      </c>
      <c r="O9" s="37" t="s">
        <v>37</v>
      </c>
    </row>
    <row r="10" spans="1:16" s="36" customFormat="1" x14ac:dyDescent="0.45">
      <c r="A10" s="36">
        <v>4</v>
      </c>
      <c r="B10" s="36" t="str">
        <f t="shared" si="0"/>
        <v>8a.4</v>
      </c>
      <c r="C10" s="101" t="s">
        <v>41</v>
      </c>
      <c r="D10" s="36" t="s">
        <v>132</v>
      </c>
      <c r="E10" s="36" t="s">
        <v>118</v>
      </c>
      <c r="F10" s="36" t="s">
        <v>37</v>
      </c>
      <c r="G10" s="36" t="s">
        <v>37</v>
      </c>
      <c r="H10" s="36" t="s">
        <v>37</v>
      </c>
      <c r="I10" s="36" t="s">
        <v>122</v>
      </c>
      <c r="J10" s="37" t="s">
        <v>37</v>
      </c>
      <c r="K10" s="37" t="s">
        <v>37</v>
      </c>
      <c r="L10" s="37" t="s">
        <v>37</v>
      </c>
      <c r="M10" s="37" t="s">
        <v>37</v>
      </c>
      <c r="N10" s="37" t="s">
        <v>37</v>
      </c>
      <c r="O10" s="37" t="s">
        <v>37</v>
      </c>
    </row>
    <row r="11" spans="1:16" s="36" customFormat="1" x14ac:dyDescent="0.45">
      <c r="A11" s="36">
        <v>5</v>
      </c>
      <c r="B11" s="36" t="str">
        <f t="shared" si="0"/>
        <v>8a.5</v>
      </c>
      <c r="C11" s="101" t="s">
        <v>41</v>
      </c>
      <c r="D11" s="36" t="s">
        <v>126</v>
      </c>
      <c r="E11" s="36" t="s">
        <v>118</v>
      </c>
      <c r="F11" s="36" t="s">
        <v>37</v>
      </c>
      <c r="G11" s="36" t="s">
        <v>37</v>
      </c>
      <c r="H11" s="36" t="s">
        <v>37</v>
      </c>
      <c r="I11" s="36" t="s">
        <v>10</v>
      </c>
      <c r="J11" s="37" t="s">
        <v>37</v>
      </c>
      <c r="K11" s="37" t="s">
        <v>37</v>
      </c>
      <c r="L11" s="37" t="s">
        <v>37</v>
      </c>
      <c r="M11" s="37" t="s">
        <v>37</v>
      </c>
      <c r="N11" s="37" t="s">
        <v>37</v>
      </c>
      <c r="O11" s="37" t="s">
        <v>37</v>
      </c>
    </row>
    <row r="12" spans="1:16" s="36" customFormat="1" x14ac:dyDescent="0.45">
      <c r="A12" s="36">
        <v>6</v>
      </c>
      <c r="B12" s="36" t="str">
        <f t="shared" si="0"/>
        <v>8a.6</v>
      </c>
      <c r="C12" s="101" t="s">
        <v>41</v>
      </c>
      <c r="D12" s="36" t="s">
        <v>119</v>
      </c>
      <c r="E12" s="36" t="s">
        <v>118</v>
      </c>
      <c r="F12" s="36" t="s">
        <v>37</v>
      </c>
      <c r="G12" s="36" t="s">
        <v>37</v>
      </c>
      <c r="H12" s="36" t="s">
        <v>37</v>
      </c>
      <c r="I12" s="36" t="s">
        <v>121</v>
      </c>
      <c r="J12" s="37" t="s">
        <v>37</v>
      </c>
      <c r="K12" s="37" t="s">
        <v>37</v>
      </c>
      <c r="L12" s="37" t="s">
        <v>37</v>
      </c>
      <c r="M12" s="37" t="s">
        <v>37</v>
      </c>
      <c r="N12" s="37" t="s">
        <v>37</v>
      </c>
      <c r="O12" s="37" t="s">
        <v>37</v>
      </c>
    </row>
    <row r="13" spans="1:16" s="36" customFormat="1" ht="28.5" x14ac:dyDescent="0.45">
      <c r="A13" s="36">
        <v>7</v>
      </c>
      <c r="B13" s="36" t="str">
        <f t="shared" si="0"/>
        <v>8a.7</v>
      </c>
      <c r="C13" s="101" t="s">
        <v>41</v>
      </c>
      <c r="D13" s="36" t="s">
        <v>127</v>
      </c>
      <c r="E13" s="36" t="s">
        <v>118</v>
      </c>
      <c r="F13" s="36" t="s">
        <v>37</v>
      </c>
      <c r="G13" s="36" t="s">
        <v>37</v>
      </c>
      <c r="H13" s="36" t="s">
        <v>37</v>
      </c>
      <c r="I13" s="36" t="s">
        <v>121</v>
      </c>
      <c r="J13" s="37" t="s">
        <v>37</v>
      </c>
      <c r="K13" s="37" t="s">
        <v>37</v>
      </c>
      <c r="L13" s="37" t="s">
        <v>37</v>
      </c>
      <c r="M13" s="37" t="s">
        <v>37</v>
      </c>
      <c r="N13" s="37" t="s">
        <v>37</v>
      </c>
      <c r="O13" s="37" t="s">
        <v>37</v>
      </c>
    </row>
    <row r="14" spans="1:16" s="36" customFormat="1" x14ac:dyDescent="0.45">
      <c r="A14" s="36">
        <v>8</v>
      </c>
      <c r="B14" s="36" t="str">
        <f t="shared" si="0"/>
        <v>8a.8</v>
      </c>
      <c r="C14" s="101" t="s">
        <v>41</v>
      </c>
      <c r="D14" s="36" t="s">
        <v>128</v>
      </c>
      <c r="E14" s="36" t="s">
        <v>118</v>
      </c>
      <c r="F14" s="36" t="s">
        <v>37</v>
      </c>
      <c r="G14" s="36" t="s">
        <v>37</v>
      </c>
      <c r="H14" s="36" t="s">
        <v>37</v>
      </c>
      <c r="I14" s="36" t="s">
        <v>121</v>
      </c>
      <c r="J14" s="37" t="s">
        <v>37</v>
      </c>
      <c r="K14" s="37" t="s">
        <v>37</v>
      </c>
      <c r="L14" s="37" t="s">
        <v>37</v>
      </c>
      <c r="M14" s="37" t="s">
        <v>37</v>
      </c>
      <c r="N14" s="37" t="s">
        <v>37</v>
      </c>
      <c r="O14" s="37" t="s">
        <v>37</v>
      </c>
    </row>
    <row r="15" spans="1:16" s="36" customFormat="1" x14ac:dyDescent="0.45">
      <c r="A15" s="36">
        <v>9</v>
      </c>
      <c r="B15" s="36" t="str">
        <f t="shared" si="0"/>
        <v>8a.9</v>
      </c>
      <c r="C15" s="101" t="s">
        <v>41</v>
      </c>
      <c r="D15" s="36" t="s">
        <v>129</v>
      </c>
      <c r="E15" s="36" t="s">
        <v>118</v>
      </c>
      <c r="F15" s="36" t="s">
        <v>37</v>
      </c>
      <c r="G15" s="36" t="s">
        <v>37</v>
      </c>
      <c r="H15" s="36" t="s">
        <v>37</v>
      </c>
      <c r="I15" s="36" t="s">
        <v>10</v>
      </c>
      <c r="J15" s="37" t="s">
        <v>37</v>
      </c>
      <c r="K15" s="37" t="s">
        <v>37</v>
      </c>
      <c r="L15" s="37" t="s">
        <v>37</v>
      </c>
      <c r="M15" s="37" t="s">
        <v>37</v>
      </c>
      <c r="N15" s="37" t="s">
        <v>37</v>
      </c>
      <c r="O15" s="37" t="s">
        <v>37</v>
      </c>
    </row>
    <row r="16" spans="1:16" s="36" customFormat="1" ht="28.5" x14ac:dyDescent="0.45">
      <c r="A16" s="36">
        <v>10</v>
      </c>
      <c r="B16" s="36" t="str">
        <f t="shared" si="0"/>
        <v>8a.10</v>
      </c>
      <c r="C16" s="101" t="s">
        <v>41</v>
      </c>
      <c r="D16" s="36" t="s">
        <v>139</v>
      </c>
      <c r="E16" s="36" t="s">
        <v>118</v>
      </c>
      <c r="F16" s="36" t="s">
        <v>37</v>
      </c>
      <c r="G16" s="36" t="s">
        <v>37</v>
      </c>
      <c r="H16" s="36" t="s">
        <v>37</v>
      </c>
      <c r="I16" s="36" t="s">
        <v>10</v>
      </c>
      <c r="J16" s="37" t="s">
        <v>37</v>
      </c>
      <c r="K16" s="37" t="s">
        <v>37</v>
      </c>
      <c r="L16" s="37" t="s">
        <v>37</v>
      </c>
      <c r="M16" s="37" t="s">
        <v>37</v>
      </c>
      <c r="N16" s="37" t="s">
        <v>37</v>
      </c>
      <c r="O16" s="37" t="s">
        <v>37</v>
      </c>
    </row>
    <row r="17" spans="1:15" s="36" customFormat="1" ht="117" customHeight="1" x14ac:dyDescent="0.45">
      <c r="A17" s="36">
        <v>11</v>
      </c>
      <c r="B17" s="36" t="str">
        <f t="shared" si="0"/>
        <v>8a.11</v>
      </c>
      <c r="C17" s="101" t="s">
        <v>41</v>
      </c>
      <c r="D17" s="36" t="s">
        <v>130</v>
      </c>
      <c r="E17" s="36" t="s">
        <v>76</v>
      </c>
      <c r="F17" s="36" t="s">
        <v>37</v>
      </c>
      <c r="G17" s="36" t="s">
        <v>37</v>
      </c>
      <c r="H17" s="36" t="s">
        <v>37</v>
      </c>
      <c r="I17" s="36" t="s">
        <v>10</v>
      </c>
      <c r="J17" s="37" t="s">
        <v>37</v>
      </c>
      <c r="K17" s="37" t="s">
        <v>37</v>
      </c>
      <c r="L17" s="37" t="s">
        <v>37</v>
      </c>
      <c r="M17" s="37" t="s">
        <v>37</v>
      </c>
      <c r="N17" s="37" t="s">
        <v>37</v>
      </c>
      <c r="O17" s="37" t="s">
        <v>131</v>
      </c>
    </row>
    <row r="18" spans="1:15" s="36" customFormat="1" ht="114" x14ac:dyDescent="0.45">
      <c r="A18" s="36">
        <v>12</v>
      </c>
      <c r="B18" s="36" t="str">
        <f t="shared" si="0"/>
        <v>8a.12</v>
      </c>
      <c r="C18" s="101" t="s">
        <v>41</v>
      </c>
      <c r="D18" s="36" t="s">
        <v>148</v>
      </c>
      <c r="E18" s="36" t="s">
        <v>118</v>
      </c>
      <c r="F18" s="36" t="s">
        <v>37</v>
      </c>
      <c r="G18" s="36" t="s">
        <v>37</v>
      </c>
      <c r="H18" s="36" t="s">
        <v>37</v>
      </c>
      <c r="I18" s="36" t="s">
        <v>122</v>
      </c>
      <c r="J18" s="37" t="s">
        <v>37</v>
      </c>
      <c r="K18" s="37" t="s">
        <v>37</v>
      </c>
      <c r="L18" s="37" t="s">
        <v>37</v>
      </c>
      <c r="M18" s="37" t="s">
        <v>37</v>
      </c>
      <c r="N18" s="37" t="s">
        <v>37</v>
      </c>
      <c r="O18" s="37" t="s">
        <v>37</v>
      </c>
    </row>
    <row r="19" spans="1:15" s="36" customFormat="1" ht="85.5" customHeight="1" x14ac:dyDescent="0.45">
      <c r="A19" s="36">
        <v>13</v>
      </c>
      <c r="B19" s="36" t="str">
        <f t="shared" si="0"/>
        <v>8a.13</v>
      </c>
      <c r="C19" s="101" t="s">
        <v>41</v>
      </c>
      <c r="D19" s="36" t="s">
        <v>143</v>
      </c>
      <c r="E19" s="36" t="s">
        <v>43</v>
      </c>
      <c r="F19" s="36" t="s">
        <v>37</v>
      </c>
      <c r="G19" s="36" t="s">
        <v>37</v>
      </c>
      <c r="H19" s="36" t="s">
        <v>37</v>
      </c>
      <c r="I19" s="36" t="s">
        <v>10</v>
      </c>
      <c r="J19" s="36" t="s">
        <v>37</v>
      </c>
      <c r="K19" s="36" t="s">
        <v>37</v>
      </c>
      <c r="L19" s="36" t="s">
        <v>37</v>
      </c>
      <c r="M19" s="36" t="s">
        <v>37</v>
      </c>
      <c r="N19" s="36" t="s">
        <v>37</v>
      </c>
      <c r="O19" s="36" t="s">
        <v>144</v>
      </c>
    </row>
    <row r="20" spans="1:15" x14ac:dyDescent="0.45">
      <c r="I20" s="36"/>
      <c r="J20" s="5"/>
      <c r="K20" s="5"/>
      <c r="L20" s="37"/>
      <c r="M20" s="37"/>
      <c r="N20" s="37"/>
      <c r="O20" s="37"/>
    </row>
    <row r="21" spans="1:15" x14ac:dyDescent="0.45">
      <c r="D21" s="6" t="s">
        <v>62</v>
      </c>
      <c r="I21" s="36"/>
      <c r="J21" s="5"/>
      <c r="K21" s="5"/>
      <c r="L21" s="37"/>
      <c r="M21" s="37"/>
      <c r="N21" s="37"/>
      <c r="O21" s="37"/>
    </row>
    <row r="22" spans="1:15" x14ac:dyDescent="0.45">
      <c r="I22" s="36"/>
      <c r="J22" s="5"/>
      <c r="K22" s="5"/>
      <c r="L22" s="37"/>
      <c r="M22" s="37"/>
      <c r="N22" s="37"/>
      <c r="O22" s="37"/>
    </row>
    <row r="23" spans="1:15" x14ac:dyDescent="0.45">
      <c r="I23" s="36"/>
      <c r="J23" s="5"/>
      <c r="K23" s="5"/>
      <c r="L23" s="37"/>
      <c r="M23" s="37"/>
      <c r="N23" s="37"/>
      <c r="O23" s="37"/>
    </row>
    <row r="24" spans="1:15" x14ac:dyDescent="0.45">
      <c r="I24" s="36"/>
      <c r="J24" s="5"/>
      <c r="K24" s="5"/>
      <c r="L24" s="37"/>
      <c r="M24" s="37"/>
      <c r="N24" s="37"/>
      <c r="O24" s="37"/>
    </row>
    <row r="25" spans="1:15" x14ac:dyDescent="0.45">
      <c r="I25" s="36"/>
      <c r="J25" s="5"/>
      <c r="K25" s="5"/>
      <c r="L25" s="37"/>
      <c r="M25" s="37"/>
      <c r="N25" s="37"/>
      <c r="O25" s="37"/>
    </row>
    <row r="26" spans="1:15" x14ac:dyDescent="0.45">
      <c r="I26" s="36"/>
      <c r="J26" s="5"/>
      <c r="K26" s="5"/>
      <c r="L26" s="37"/>
      <c r="M26" s="37"/>
      <c r="N26" s="37"/>
      <c r="O26" s="37"/>
    </row>
    <row r="27" spans="1:15" x14ac:dyDescent="0.45">
      <c r="I27" s="36"/>
      <c r="J27" s="5"/>
      <c r="K27" s="5"/>
      <c r="L27" s="37"/>
      <c r="M27" s="37"/>
      <c r="N27" s="37"/>
      <c r="O27" s="37"/>
    </row>
  </sheetData>
  <conditionalFormatting sqref="A1:XFD6 A20:XFD1048576 A7:B19 D7:XFD19">
    <cfRule type="cellIs" dxfId="388" priority="16" operator="equal">
      <formula>"n/a"</formula>
    </cfRule>
  </conditionalFormatting>
  <conditionalFormatting sqref="C1:C6 C20:C1048576">
    <cfRule type="cellIs" dxfId="387" priority="27" operator="equal">
      <formula>"WIP (see comments)"</formula>
    </cfRule>
    <cfRule type="cellIs" dxfId="386" priority="28" operator="equal">
      <formula>"Removed"</formula>
    </cfRule>
    <cfRule type="cellIs" dxfId="385" priority="29" operator="equal">
      <formula>"Updated"</formula>
    </cfRule>
    <cfRule type="cellIs" dxfId="384" priority="30" operator="equal">
      <formula>"New"</formula>
    </cfRule>
  </conditionalFormatting>
  <conditionalFormatting sqref="C7:C19">
    <cfRule type="cellIs" dxfId="383" priority="2" operator="equal">
      <formula>"WIP (see comments)"</formula>
    </cfRule>
    <cfRule type="cellIs" dxfId="382" priority="3" operator="equal">
      <formula>"Removed"</formula>
    </cfRule>
    <cfRule type="cellIs" dxfId="381" priority="4" operator="equal">
      <formula>"Updated"</formula>
    </cfRule>
    <cfRule type="cellIs" dxfId="380" priority="5" operator="equal">
      <formula>"New"</formula>
    </cfRule>
  </conditionalFormatting>
  <conditionalFormatting sqref="C7:C19">
    <cfRule type="cellIs" dxfId="379" priority="1" operator="equal">
      <formula>"n/a"</formula>
    </cfRule>
  </conditionalFormatting>
  <dataValidations count="1">
    <dataValidation type="list" allowBlank="1" showInputMessage="1" showErrorMessage="1" sqref="C20:C1048576" xr:uid="{00000000-0002-0000-0C00-000000000000}">
      <formula1>$B$5:$B$9</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C00-000001000000}">
          <x14:formula1>
            <xm:f>'List Values'!$A$5:$A$28</xm:f>
          </x14:formula1>
          <xm:sqref>E7:E1048576</xm:sqref>
        </x14:dataValidation>
        <x14:dataValidation type="list" allowBlank="1" showInputMessage="1" showErrorMessage="1" xr:uid="{00000000-0002-0000-0C00-000002000000}">
          <x14:formula1>
            <xm:f>'List Values'!$B$5:$B$9</xm:f>
          </x14:formula1>
          <xm:sqref>C7:C19</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2D56B-1873-4DC8-A242-C0F45669DFC5}">
  <sheetPr>
    <tabColor rgb="FFFFC000"/>
  </sheetPr>
  <dimension ref="A1:P26"/>
  <sheetViews>
    <sheetView workbookViewId="0">
      <pane xSplit="4" ySplit="6" topLeftCell="O22" activePane="bottomRight" state="frozen"/>
      <selection pane="topRight" activeCell="E1" sqref="E1"/>
      <selection pane="bottomLeft" activeCell="A7" sqref="A7"/>
      <selection pane="bottomRight" activeCell="O25" sqref="O25"/>
    </sheetView>
  </sheetViews>
  <sheetFormatPr defaultColWidth="9.19921875" defaultRowHeight="14.25" x14ac:dyDescent="0.45"/>
  <cols>
    <col min="1" max="1" width="14.73046875" style="72" customWidth="1"/>
    <col min="2" max="2" width="12.53125" style="72" customWidth="1"/>
    <col min="3" max="3" width="13" style="79" customWidth="1"/>
    <col min="4" max="4" width="45.19921875" style="72" customWidth="1"/>
    <col min="5" max="5" width="23.53125" style="72" customWidth="1"/>
    <col min="6" max="6" width="24.796875" style="72" customWidth="1"/>
    <col min="7" max="7" width="29.265625" style="72" customWidth="1"/>
    <col min="8" max="8" width="17" style="72" customWidth="1"/>
    <col min="9" max="9" width="34.796875" style="72" customWidth="1"/>
    <col min="10" max="10" width="28.19921875" style="72" customWidth="1"/>
    <col min="11" max="11" width="10.73046875" style="72" bestFit="1" customWidth="1"/>
    <col min="12" max="12" width="23" style="72" customWidth="1"/>
    <col min="13" max="13" width="29" style="72" customWidth="1"/>
    <col min="14" max="14" width="18.73046875" style="72" bestFit="1" customWidth="1"/>
    <col min="15" max="15" width="48.46484375" style="72" customWidth="1"/>
    <col min="16" max="16" width="41.796875" style="72" customWidth="1"/>
    <col min="17" max="16384" width="9.19921875" style="72"/>
  </cols>
  <sheetData>
    <row r="1" spans="1:16" s="75" customFormat="1" ht="18" x14ac:dyDescent="0.45">
      <c r="A1" s="73" t="s">
        <v>7</v>
      </c>
      <c r="B1" s="83" t="s">
        <v>632</v>
      </c>
      <c r="C1" s="77"/>
      <c r="D1" s="74"/>
    </row>
    <row r="2" spans="1:16" s="75" customFormat="1" ht="18" x14ac:dyDescent="0.45">
      <c r="A2" s="73" t="s">
        <v>8</v>
      </c>
      <c r="B2" s="81" t="s">
        <v>226</v>
      </c>
      <c r="C2" s="80"/>
      <c r="D2" s="81"/>
    </row>
    <row r="3" spans="1:16" s="75" customFormat="1" ht="18" x14ac:dyDescent="0.45">
      <c r="A3" s="73" t="s">
        <v>44</v>
      </c>
      <c r="B3" s="81" t="s">
        <v>669</v>
      </c>
      <c r="C3" s="80"/>
      <c r="D3" s="81"/>
    </row>
    <row r="4" spans="1:16" s="75" customFormat="1" ht="39" customHeight="1" x14ac:dyDescent="0.45">
      <c r="A4" s="73" t="s">
        <v>9</v>
      </c>
      <c r="B4" s="126" t="s">
        <v>671</v>
      </c>
      <c r="C4" s="126"/>
      <c r="D4" s="126"/>
    </row>
    <row r="5" spans="1:16" s="70" customFormat="1" x14ac:dyDescent="0.45">
      <c r="C5" s="82"/>
    </row>
    <row r="6" spans="1:16" s="58" customFormat="1" ht="14.65" thickBot="1" x14ac:dyDescent="0.5">
      <c r="A6" s="58" t="s">
        <v>11</v>
      </c>
      <c r="B6" s="58" t="s">
        <v>12</v>
      </c>
      <c r="C6" s="59" t="s">
        <v>26</v>
      </c>
      <c r="D6" s="58" t="s">
        <v>25</v>
      </c>
      <c r="E6" s="58" t="s">
        <v>13</v>
      </c>
      <c r="F6" s="58" t="s">
        <v>14</v>
      </c>
      <c r="G6" s="58" t="s">
        <v>15</v>
      </c>
      <c r="H6" s="58" t="s">
        <v>16</v>
      </c>
      <c r="I6" s="58" t="s">
        <v>17</v>
      </c>
      <c r="J6" s="58" t="s">
        <v>18</v>
      </c>
      <c r="K6" s="58" t="s">
        <v>19</v>
      </c>
      <c r="L6" s="58" t="s">
        <v>20</v>
      </c>
      <c r="M6" s="58" t="s">
        <v>21</v>
      </c>
      <c r="N6" s="58" t="s">
        <v>22</v>
      </c>
      <c r="O6" s="58" t="s">
        <v>23</v>
      </c>
      <c r="P6" s="58" t="s">
        <v>24</v>
      </c>
    </row>
    <row r="7" spans="1:16" ht="28.5" x14ac:dyDescent="0.45">
      <c r="A7" s="72">
        <v>1</v>
      </c>
      <c r="B7" s="72" t="str">
        <f>CONCATENATE($B$2, ".", A7)</f>
        <v>8b.1</v>
      </c>
      <c r="C7" s="79" t="s">
        <v>42</v>
      </c>
      <c r="D7" s="72" t="s">
        <v>633</v>
      </c>
      <c r="E7" s="72" t="s">
        <v>29</v>
      </c>
      <c r="F7" s="72" t="s">
        <v>37</v>
      </c>
      <c r="G7" s="72" t="s">
        <v>37</v>
      </c>
      <c r="H7" s="72" t="s">
        <v>37</v>
      </c>
      <c r="I7" s="72" t="s">
        <v>10</v>
      </c>
      <c r="J7" s="72" t="s">
        <v>37</v>
      </c>
      <c r="K7" s="72" t="s">
        <v>37</v>
      </c>
      <c r="L7" s="72" t="s">
        <v>37</v>
      </c>
      <c r="M7" s="72" t="s">
        <v>37</v>
      </c>
      <c r="N7" s="72" t="s">
        <v>37</v>
      </c>
      <c r="O7" s="72" t="s">
        <v>607</v>
      </c>
      <c r="P7" s="72" t="s">
        <v>608</v>
      </c>
    </row>
    <row r="8" spans="1:16" x14ac:dyDescent="0.45">
      <c r="A8" s="72">
        <v>2</v>
      </c>
      <c r="B8" s="72" t="str">
        <f t="shared" ref="B8:B11" si="0">CONCATENATE($B$2, ".", A8)</f>
        <v>8b.2</v>
      </c>
      <c r="C8" s="79" t="s">
        <v>42</v>
      </c>
      <c r="D8" s="72" t="s">
        <v>37</v>
      </c>
      <c r="E8" s="72" t="s">
        <v>48</v>
      </c>
      <c r="F8" s="72" t="s">
        <v>37</v>
      </c>
      <c r="G8" s="72" t="s">
        <v>37</v>
      </c>
      <c r="H8" s="72" t="s">
        <v>37</v>
      </c>
      <c r="I8" s="72" t="s">
        <v>10</v>
      </c>
      <c r="J8" s="72" t="s">
        <v>37</v>
      </c>
      <c r="K8" s="72" t="s">
        <v>37</v>
      </c>
      <c r="L8" s="72" t="s">
        <v>37</v>
      </c>
      <c r="M8" s="72" t="s">
        <v>37</v>
      </c>
      <c r="N8" s="72" t="s">
        <v>37</v>
      </c>
      <c r="O8" s="72" t="s">
        <v>37</v>
      </c>
    </row>
    <row r="9" spans="1:16" x14ac:dyDescent="0.45">
      <c r="A9" s="117" t="s">
        <v>651</v>
      </c>
      <c r="B9" s="115"/>
      <c r="C9" s="116"/>
      <c r="D9" s="115"/>
      <c r="E9" s="115"/>
      <c r="F9" s="115"/>
      <c r="G9" s="115"/>
      <c r="H9" s="115"/>
      <c r="I9" s="115"/>
      <c r="J9" s="115"/>
      <c r="K9" s="115"/>
      <c r="L9" s="115"/>
      <c r="M9" s="115"/>
      <c r="N9" s="115"/>
      <c r="O9" s="115"/>
      <c r="P9" s="115"/>
    </row>
    <row r="10" spans="1:16" ht="84.75" customHeight="1" x14ac:dyDescent="0.45">
      <c r="A10" s="72">
        <v>3</v>
      </c>
      <c r="B10" s="72" t="str">
        <f t="shared" si="0"/>
        <v>8b.3</v>
      </c>
      <c r="C10" s="79" t="s">
        <v>42</v>
      </c>
      <c r="D10" s="72" t="s">
        <v>609</v>
      </c>
      <c r="E10" s="72" t="s">
        <v>118</v>
      </c>
      <c r="F10" s="72" t="s">
        <v>610</v>
      </c>
      <c r="G10" s="72" t="s">
        <v>37</v>
      </c>
      <c r="H10" s="72" t="s">
        <v>37</v>
      </c>
      <c r="I10" s="72" t="s">
        <v>10</v>
      </c>
      <c r="J10" s="72" t="s">
        <v>37</v>
      </c>
      <c r="K10" s="72" t="s">
        <v>37</v>
      </c>
      <c r="L10" s="72" t="s">
        <v>37</v>
      </c>
      <c r="M10" s="72" t="s">
        <v>37</v>
      </c>
      <c r="N10" s="72" t="s">
        <v>37</v>
      </c>
      <c r="O10" s="72" t="s">
        <v>652</v>
      </c>
    </row>
    <row r="11" spans="1:16" ht="43.05" customHeight="1" x14ac:dyDescent="0.45">
      <c r="A11" s="72">
        <v>4</v>
      </c>
      <c r="B11" s="72" t="str">
        <f t="shared" si="0"/>
        <v>8b.4</v>
      </c>
      <c r="C11" s="79" t="s">
        <v>41</v>
      </c>
      <c r="D11" s="72" t="s">
        <v>631</v>
      </c>
      <c r="E11" s="72" t="s">
        <v>32</v>
      </c>
      <c r="F11" s="72" t="s">
        <v>635</v>
      </c>
      <c r="G11" s="72" t="s">
        <v>37</v>
      </c>
      <c r="H11" s="72" t="s">
        <v>37</v>
      </c>
      <c r="I11" s="72" t="s">
        <v>37</v>
      </c>
      <c r="J11" s="72" t="s">
        <v>37</v>
      </c>
      <c r="K11" s="72" t="s">
        <v>37</v>
      </c>
      <c r="L11" s="72" t="s">
        <v>37</v>
      </c>
      <c r="M11" s="72" t="s">
        <v>37</v>
      </c>
      <c r="N11" s="72" t="s">
        <v>37</v>
      </c>
      <c r="O11" s="72" t="s">
        <v>37</v>
      </c>
      <c r="P11" s="72" t="s">
        <v>659</v>
      </c>
    </row>
    <row r="12" spans="1:16" ht="256.5" x14ac:dyDescent="0.45">
      <c r="A12" s="72">
        <v>5</v>
      </c>
      <c r="B12" s="72" t="str">
        <f t="shared" ref="B12" si="1">CONCATENATE($B$2, ".", A12)</f>
        <v>8b.5</v>
      </c>
      <c r="C12" s="79" t="s">
        <v>42</v>
      </c>
      <c r="D12" s="72" t="s">
        <v>634</v>
      </c>
      <c r="E12" s="72" t="s">
        <v>35</v>
      </c>
      <c r="F12" s="72" t="s">
        <v>636</v>
      </c>
      <c r="G12" s="72" t="s">
        <v>37</v>
      </c>
      <c r="H12" s="72" t="s">
        <v>37</v>
      </c>
      <c r="I12" s="72" t="s">
        <v>660</v>
      </c>
      <c r="J12" s="72" t="s">
        <v>385</v>
      </c>
      <c r="K12" s="72" t="s">
        <v>661</v>
      </c>
      <c r="L12" s="72" t="s">
        <v>637</v>
      </c>
      <c r="M12" s="72" t="s">
        <v>37</v>
      </c>
      <c r="N12" s="72" t="s">
        <v>37</v>
      </c>
      <c r="O12" s="72" t="s">
        <v>662</v>
      </c>
      <c r="P12" s="72" t="s">
        <v>663</v>
      </c>
    </row>
    <row r="13" spans="1:16" ht="111" customHeight="1" x14ac:dyDescent="0.45">
      <c r="A13" s="72">
        <v>6</v>
      </c>
      <c r="B13" s="72" t="str">
        <f t="shared" ref="B13:B26" si="2">CONCATENATE($B$2, ".", A13)</f>
        <v>8b.6</v>
      </c>
      <c r="C13" s="79" t="s">
        <v>42</v>
      </c>
      <c r="D13" s="113" t="s">
        <v>611</v>
      </c>
      <c r="E13" s="72" t="s">
        <v>612</v>
      </c>
      <c r="F13" s="72" t="s">
        <v>613</v>
      </c>
      <c r="G13" s="72" t="s">
        <v>37</v>
      </c>
      <c r="H13" s="72" t="s">
        <v>37</v>
      </c>
      <c r="I13" s="72" t="s">
        <v>640</v>
      </c>
      <c r="J13" s="72" t="s">
        <v>37</v>
      </c>
      <c r="K13" s="72" t="s">
        <v>52</v>
      </c>
      <c r="L13" s="72" t="s">
        <v>614</v>
      </c>
      <c r="M13" s="72" t="s">
        <v>615</v>
      </c>
      <c r="N13" s="72" t="s">
        <v>616</v>
      </c>
      <c r="O13" s="72" t="s">
        <v>664</v>
      </c>
    </row>
    <row r="14" spans="1:16" ht="53.25" customHeight="1" x14ac:dyDescent="0.45">
      <c r="A14" s="72">
        <v>7</v>
      </c>
      <c r="B14" s="72" t="str">
        <f t="shared" si="2"/>
        <v>8b.7</v>
      </c>
      <c r="C14" s="79" t="s">
        <v>41</v>
      </c>
      <c r="D14" s="113" t="s">
        <v>617</v>
      </c>
      <c r="E14" s="72" t="s">
        <v>34</v>
      </c>
      <c r="F14" s="72" t="s">
        <v>37</v>
      </c>
      <c r="G14" s="72" t="s">
        <v>37</v>
      </c>
      <c r="H14" s="72" t="s">
        <v>37</v>
      </c>
      <c r="I14" s="72" t="s">
        <v>37</v>
      </c>
      <c r="J14" s="72" t="s">
        <v>37</v>
      </c>
      <c r="K14" s="72" t="s">
        <v>37</v>
      </c>
      <c r="L14" s="72" t="s">
        <v>37</v>
      </c>
      <c r="M14" s="72" t="s">
        <v>37</v>
      </c>
      <c r="N14" s="72" t="s">
        <v>37</v>
      </c>
      <c r="O14" s="72" t="s">
        <v>37</v>
      </c>
    </row>
    <row r="15" spans="1:16" ht="42.75" x14ac:dyDescent="0.45">
      <c r="A15" s="72">
        <v>8</v>
      </c>
      <c r="B15" s="72" t="str">
        <f t="shared" si="2"/>
        <v>8b.8</v>
      </c>
      <c r="C15" s="79" t="s">
        <v>42</v>
      </c>
      <c r="D15" s="113" t="s">
        <v>628</v>
      </c>
      <c r="E15" s="72" t="s">
        <v>30</v>
      </c>
      <c r="F15" s="72" t="s">
        <v>618</v>
      </c>
      <c r="G15" s="72" t="s">
        <v>37</v>
      </c>
      <c r="H15" s="72" t="s">
        <v>37</v>
      </c>
      <c r="I15" s="72" t="s">
        <v>640</v>
      </c>
      <c r="J15" s="72" t="s">
        <v>627</v>
      </c>
      <c r="K15" s="72" t="s">
        <v>71</v>
      </c>
      <c r="L15" s="72" t="s">
        <v>37</v>
      </c>
      <c r="M15" s="72" t="s">
        <v>37</v>
      </c>
      <c r="N15" s="72" t="s">
        <v>37</v>
      </c>
      <c r="O15" s="72" t="s">
        <v>665</v>
      </c>
    </row>
    <row r="16" spans="1:16" ht="171" x14ac:dyDescent="0.45">
      <c r="A16" s="72">
        <v>9</v>
      </c>
      <c r="B16" s="72" t="str">
        <f t="shared" si="2"/>
        <v>8b.9</v>
      </c>
      <c r="C16" s="79" t="s">
        <v>42</v>
      </c>
      <c r="D16" s="113" t="s">
        <v>619</v>
      </c>
      <c r="E16" s="72" t="s">
        <v>35</v>
      </c>
      <c r="F16" s="72" t="s">
        <v>618</v>
      </c>
      <c r="G16" s="72" t="s">
        <v>37</v>
      </c>
      <c r="H16" s="72" t="s">
        <v>37</v>
      </c>
      <c r="I16" s="72" t="s">
        <v>640</v>
      </c>
      <c r="J16" s="72" t="s">
        <v>620</v>
      </c>
      <c r="K16" s="72" t="s">
        <v>52</v>
      </c>
      <c r="L16" s="72" t="s">
        <v>621</v>
      </c>
      <c r="M16" s="72" t="s">
        <v>37</v>
      </c>
      <c r="N16" s="72" t="s">
        <v>37</v>
      </c>
      <c r="O16" s="72" t="s">
        <v>666</v>
      </c>
    </row>
    <row r="17" spans="1:16" ht="28.5" x14ac:dyDescent="0.45">
      <c r="A17" s="72">
        <v>10</v>
      </c>
      <c r="B17" s="72" t="str">
        <f t="shared" si="2"/>
        <v>8b.10</v>
      </c>
      <c r="C17" s="79" t="s">
        <v>42</v>
      </c>
      <c r="D17" s="113" t="s">
        <v>638</v>
      </c>
      <c r="E17" s="72" t="s">
        <v>30</v>
      </c>
      <c r="F17" s="72" t="s">
        <v>37</v>
      </c>
      <c r="G17" s="72" t="s">
        <v>639</v>
      </c>
      <c r="H17" s="72" t="s">
        <v>37</v>
      </c>
      <c r="I17" s="72" t="s">
        <v>640</v>
      </c>
      <c r="J17" s="72" t="s">
        <v>627</v>
      </c>
      <c r="K17" s="72" t="s">
        <v>71</v>
      </c>
      <c r="L17" s="72" t="s">
        <v>37</v>
      </c>
      <c r="M17" s="72" t="s">
        <v>37</v>
      </c>
      <c r="O17" s="72" t="s">
        <v>667</v>
      </c>
    </row>
    <row r="18" spans="1:16" ht="71.25" x14ac:dyDescent="0.45">
      <c r="A18" s="72">
        <v>11</v>
      </c>
      <c r="B18" s="72" t="str">
        <f t="shared" si="2"/>
        <v>8b.11</v>
      </c>
      <c r="C18" s="79" t="s">
        <v>42</v>
      </c>
      <c r="D18" s="113" t="s">
        <v>629</v>
      </c>
      <c r="E18" s="72" t="s">
        <v>33</v>
      </c>
      <c r="F18" s="72" t="s">
        <v>630</v>
      </c>
      <c r="G18" s="72" t="s">
        <v>37</v>
      </c>
      <c r="H18" s="72" t="s">
        <v>641</v>
      </c>
      <c r="I18" s="72" t="s">
        <v>643</v>
      </c>
      <c r="J18" s="72" t="s">
        <v>82</v>
      </c>
      <c r="K18" s="72" t="s">
        <v>644</v>
      </c>
      <c r="L18" s="72" t="s">
        <v>645</v>
      </c>
      <c r="M18" s="72" t="s">
        <v>642</v>
      </c>
      <c r="N18" s="72" t="s">
        <v>646</v>
      </c>
      <c r="O18" s="72" t="s">
        <v>667</v>
      </c>
    </row>
    <row r="19" spans="1:16" ht="217.15" customHeight="1" x14ac:dyDescent="0.45">
      <c r="A19" s="72">
        <v>12</v>
      </c>
      <c r="B19" s="72" t="str">
        <f t="shared" si="2"/>
        <v>8b.12</v>
      </c>
      <c r="C19" s="79" t="s">
        <v>42</v>
      </c>
      <c r="D19" s="113" t="s">
        <v>622</v>
      </c>
      <c r="E19" s="72" t="s">
        <v>118</v>
      </c>
      <c r="F19" s="72" t="s">
        <v>618</v>
      </c>
      <c r="G19" s="72" t="s">
        <v>37</v>
      </c>
      <c r="H19" s="72" t="s">
        <v>37</v>
      </c>
      <c r="I19" s="72" t="s">
        <v>640</v>
      </c>
      <c r="J19" s="72" t="s">
        <v>37</v>
      </c>
      <c r="K19" s="72" t="s">
        <v>37</v>
      </c>
      <c r="L19" s="72" t="s">
        <v>37</v>
      </c>
      <c r="M19" s="72" t="s">
        <v>37</v>
      </c>
      <c r="N19" s="72" t="s">
        <v>37</v>
      </c>
      <c r="O19" s="72" t="s">
        <v>705</v>
      </c>
    </row>
    <row r="20" spans="1:16" ht="142.5" customHeight="1" x14ac:dyDescent="0.45">
      <c r="A20" s="72">
        <v>13</v>
      </c>
      <c r="B20" s="72" t="str">
        <f t="shared" si="2"/>
        <v>8b.13</v>
      </c>
      <c r="C20" s="79" t="s">
        <v>42</v>
      </c>
      <c r="D20" s="72" t="s">
        <v>623</v>
      </c>
      <c r="E20" s="72" t="s">
        <v>35</v>
      </c>
      <c r="F20" s="72" t="s">
        <v>703</v>
      </c>
      <c r="G20" s="72" t="s">
        <v>37</v>
      </c>
      <c r="H20" s="72" t="s">
        <v>37</v>
      </c>
      <c r="I20" s="72" t="s">
        <v>647</v>
      </c>
      <c r="J20" s="72" t="s">
        <v>624</v>
      </c>
      <c r="K20" s="72" t="s">
        <v>52</v>
      </c>
      <c r="L20" s="72" t="s">
        <v>625</v>
      </c>
      <c r="M20" s="72" t="s">
        <v>37</v>
      </c>
      <c r="N20" s="72" t="s">
        <v>37</v>
      </c>
      <c r="O20" s="72" t="s">
        <v>701</v>
      </c>
    </row>
    <row r="21" spans="1:16" ht="57" customHeight="1" x14ac:dyDescent="0.45">
      <c r="A21" s="72">
        <v>14</v>
      </c>
      <c r="B21" s="72" t="str">
        <f t="shared" si="2"/>
        <v>8b.14</v>
      </c>
      <c r="C21" s="79" t="s">
        <v>42</v>
      </c>
      <c r="D21" s="72" t="s">
        <v>626</v>
      </c>
      <c r="E21" s="72" t="s">
        <v>30</v>
      </c>
      <c r="F21" s="72" t="s">
        <v>37</v>
      </c>
      <c r="G21" s="72" t="s">
        <v>37</v>
      </c>
      <c r="H21" s="72" t="s">
        <v>37</v>
      </c>
      <c r="I21" s="72" t="s">
        <v>647</v>
      </c>
      <c r="J21" s="72" t="s">
        <v>627</v>
      </c>
      <c r="K21" s="72" t="s">
        <v>71</v>
      </c>
      <c r="L21" s="72" t="s">
        <v>37</v>
      </c>
      <c r="M21" s="72" t="s">
        <v>37</v>
      </c>
      <c r="N21" s="72" t="s">
        <v>37</v>
      </c>
      <c r="O21" s="72" t="s">
        <v>668</v>
      </c>
    </row>
    <row r="22" spans="1:16" ht="57" customHeight="1" x14ac:dyDescent="0.45">
      <c r="A22" s="72">
        <v>15</v>
      </c>
      <c r="B22" s="72" t="str">
        <f t="shared" ref="B22:B23" si="3">CONCATENATE($B$2, ".", A22)</f>
        <v>8b.15</v>
      </c>
      <c r="C22" s="79" t="s">
        <v>42</v>
      </c>
      <c r="D22" s="98" t="s">
        <v>283</v>
      </c>
      <c r="E22" s="98" t="s">
        <v>32</v>
      </c>
      <c r="F22" s="98" t="s">
        <v>696</v>
      </c>
      <c r="G22" s="98" t="s">
        <v>258</v>
      </c>
      <c r="H22" s="98" t="s">
        <v>37</v>
      </c>
      <c r="I22" s="72" t="s">
        <v>647</v>
      </c>
      <c r="J22" s="108" t="s">
        <v>71</v>
      </c>
      <c r="K22" s="108" t="s">
        <v>37</v>
      </c>
      <c r="L22" s="108" t="s">
        <v>37</v>
      </c>
      <c r="M22" s="108" t="s">
        <v>37</v>
      </c>
      <c r="N22" s="108" t="s">
        <v>37</v>
      </c>
      <c r="O22" s="98" t="s">
        <v>259</v>
      </c>
      <c r="P22" s="98" t="s">
        <v>704</v>
      </c>
    </row>
    <row r="23" spans="1:16" ht="95.25" customHeight="1" x14ac:dyDescent="0.45">
      <c r="A23" s="72">
        <v>16</v>
      </c>
      <c r="B23" s="72" t="str">
        <f t="shared" si="3"/>
        <v>8b.16</v>
      </c>
      <c r="C23" s="79" t="s">
        <v>42</v>
      </c>
      <c r="D23" s="113" t="s">
        <v>649</v>
      </c>
      <c r="E23" s="72" t="s">
        <v>35</v>
      </c>
      <c r="F23" s="98" t="s">
        <v>648</v>
      </c>
      <c r="G23" s="72" t="s">
        <v>37</v>
      </c>
      <c r="H23" s="72" t="s">
        <v>37</v>
      </c>
      <c r="I23" s="72" t="s">
        <v>640</v>
      </c>
      <c r="J23" s="72" t="s">
        <v>385</v>
      </c>
      <c r="K23" s="72" t="s">
        <v>52</v>
      </c>
      <c r="L23" s="72" t="s">
        <v>650</v>
      </c>
      <c r="M23" s="72" t="s">
        <v>37</v>
      </c>
      <c r="N23" s="72" t="s">
        <v>37</v>
      </c>
      <c r="O23" s="72" t="s">
        <v>676</v>
      </c>
    </row>
    <row r="24" spans="1:16" x14ac:dyDescent="0.45">
      <c r="A24" s="117" t="s">
        <v>653</v>
      </c>
      <c r="B24" s="115"/>
      <c r="C24" s="116"/>
      <c r="D24" s="115"/>
      <c r="E24" s="115"/>
      <c r="F24" s="115"/>
      <c r="G24" s="115"/>
      <c r="H24" s="115"/>
      <c r="I24" s="115"/>
      <c r="J24" s="115"/>
      <c r="K24" s="115"/>
      <c r="L24" s="115"/>
      <c r="M24" s="115"/>
      <c r="N24" s="115"/>
      <c r="O24" s="115"/>
      <c r="P24" s="115"/>
    </row>
    <row r="25" spans="1:16" ht="28.5" x14ac:dyDescent="0.45">
      <c r="A25" s="72">
        <v>17</v>
      </c>
      <c r="B25" s="72" t="str">
        <f t="shared" si="2"/>
        <v>8b.17</v>
      </c>
      <c r="C25" s="79" t="s">
        <v>42</v>
      </c>
      <c r="D25" s="72" t="s">
        <v>56</v>
      </c>
      <c r="E25" s="72" t="s">
        <v>43</v>
      </c>
      <c r="F25" s="72" t="s">
        <v>37</v>
      </c>
      <c r="G25" s="72" t="s">
        <v>37</v>
      </c>
      <c r="H25" s="72" t="s">
        <v>37</v>
      </c>
      <c r="I25" s="72" t="s">
        <v>10</v>
      </c>
      <c r="J25" s="72" t="s">
        <v>37</v>
      </c>
      <c r="K25" s="72" t="s">
        <v>37</v>
      </c>
      <c r="L25" s="72" t="s">
        <v>37</v>
      </c>
      <c r="M25" s="72" t="s">
        <v>37</v>
      </c>
      <c r="N25" s="72" t="s">
        <v>37</v>
      </c>
      <c r="O25" s="72" t="s">
        <v>749</v>
      </c>
    </row>
    <row r="26" spans="1:16" x14ac:dyDescent="0.45">
      <c r="A26" s="72">
        <v>18</v>
      </c>
      <c r="B26" s="72" t="str">
        <f t="shared" si="2"/>
        <v>8b.18</v>
      </c>
      <c r="C26" s="79" t="s">
        <v>42</v>
      </c>
      <c r="D26" s="72" t="s">
        <v>55</v>
      </c>
      <c r="E26" s="72" t="s">
        <v>43</v>
      </c>
      <c r="F26" s="72" t="s">
        <v>37</v>
      </c>
      <c r="G26" s="72" t="s">
        <v>37</v>
      </c>
      <c r="H26" s="72" t="s">
        <v>37</v>
      </c>
      <c r="I26" s="72" t="s">
        <v>10</v>
      </c>
      <c r="J26" s="72" t="s">
        <v>37</v>
      </c>
      <c r="K26" s="72" t="s">
        <v>37</v>
      </c>
      <c r="L26" s="72" t="s">
        <v>37</v>
      </c>
      <c r="M26" s="72" t="s">
        <v>37</v>
      </c>
      <c r="N26" s="72" t="s">
        <v>37</v>
      </c>
      <c r="O26" s="72" t="s">
        <v>672</v>
      </c>
    </row>
  </sheetData>
  <mergeCells count="1">
    <mergeCell ref="B4:D4"/>
  </mergeCells>
  <phoneticPr fontId="18" type="noConversion"/>
  <conditionalFormatting sqref="A1:XFD3 A4:B4 E4:XFD4 A5:XFD6 A7:N7 Q7:XFD7 A8:XFD21 A24:XFD1048576 Q22:XFD22 C22 C23:XFD23 A22:B23 I22">
    <cfRule type="cellIs" dxfId="378" priority="3" operator="equal">
      <formula>"n/a"</formula>
    </cfRule>
  </conditionalFormatting>
  <conditionalFormatting sqref="C1:C3 C5:C1048576">
    <cfRule type="cellIs" dxfId="377" priority="4" operator="equal">
      <formula>"WIP (see comments)"</formula>
    </cfRule>
    <cfRule type="cellIs" dxfId="376" priority="5" operator="equal">
      <formula>"Removed"</formula>
    </cfRule>
    <cfRule type="cellIs" dxfId="375" priority="6" operator="equal">
      <formula>"Updated"</formula>
    </cfRule>
    <cfRule type="cellIs" dxfId="374" priority="7" operator="equal">
      <formula>"New"</formula>
    </cfRule>
  </conditionalFormatting>
  <conditionalFormatting sqref="O7:P7">
    <cfRule type="cellIs" dxfId="373" priority="2" operator="equal">
      <formula>"n/a"</formula>
    </cfRule>
  </conditionalFormatting>
  <conditionalFormatting sqref="D22:H22 J22:P22">
    <cfRule type="cellIs" dxfId="372"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99D590FB-4BE9-40C4-AF4B-3AF7FD9A1D18}">
          <x14:formula1>
            <xm:f>'List Values'!$B$5:$B$10</xm:f>
          </x14:formula1>
          <xm:sqref>C7:C26</xm:sqref>
        </x14:dataValidation>
        <x14:dataValidation type="list" allowBlank="1" showInputMessage="1" showErrorMessage="1" xr:uid="{B2A24813-A9C8-4532-A295-8A91449921A8}">
          <x14:formula1>
            <xm:f>'List Values'!$A$5:$A$28</xm:f>
          </x14:formula1>
          <xm:sqref>E7:E26</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1"/>
  <sheetViews>
    <sheetView workbookViewId="0">
      <pane xSplit="4" ySplit="6" topLeftCell="N19" activePane="bottomRight" state="frozen"/>
      <selection pane="topRight" activeCell="E1" sqref="E1"/>
      <selection pane="bottomLeft" activeCell="A7" sqref="A7"/>
      <selection pane="bottomRight" activeCell="O34" sqref="O34"/>
    </sheetView>
  </sheetViews>
  <sheetFormatPr defaultColWidth="9.19921875" defaultRowHeight="14.25" x14ac:dyDescent="0.45"/>
  <cols>
    <col min="1" max="1" width="14.796875" style="72" customWidth="1"/>
    <col min="2" max="2" width="12.53125" style="72" customWidth="1"/>
    <col min="3" max="3" width="13" style="79" customWidth="1"/>
    <col min="4" max="4" width="45.19921875" style="72" customWidth="1"/>
    <col min="5" max="5" width="28.796875" style="72" customWidth="1"/>
    <col min="6" max="6" width="17" style="72" customWidth="1"/>
    <col min="7" max="7" width="29.19921875" style="72" customWidth="1"/>
    <col min="8" max="8" width="27.796875" style="72" customWidth="1"/>
    <col min="9" max="9" width="34.796875" style="72" customWidth="1"/>
    <col min="10" max="10" width="28.19921875" style="72" customWidth="1"/>
    <col min="11" max="11" width="10.796875" style="72" bestFit="1" customWidth="1"/>
    <col min="12" max="12" width="23" style="72" customWidth="1"/>
    <col min="13" max="13" width="29" style="72" customWidth="1"/>
    <col min="14" max="14" width="18.796875" style="72" bestFit="1" customWidth="1"/>
    <col min="15" max="15" width="48.46484375" style="72" customWidth="1"/>
    <col min="16" max="16" width="41.796875" style="72" customWidth="1"/>
    <col min="17" max="16384" width="9.19921875" style="72"/>
  </cols>
  <sheetData>
    <row r="1" spans="1:16" s="75" customFormat="1" ht="18" x14ac:dyDescent="0.45">
      <c r="A1" s="73" t="s">
        <v>7</v>
      </c>
      <c r="B1" s="83" t="s">
        <v>209</v>
      </c>
      <c r="C1" s="77"/>
      <c r="D1" s="74"/>
    </row>
    <row r="2" spans="1:16" s="75" customFormat="1" ht="18" x14ac:dyDescent="0.45">
      <c r="A2" s="73" t="s">
        <v>8</v>
      </c>
      <c r="B2" s="81" t="s">
        <v>670</v>
      </c>
      <c r="C2" s="80"/>
      <c r="D2" s="81"/>
    </row>
    <row r="3" spans="1:16" s="75" customFormat="1" ht="18" x14ac:dyDescent="0.45">
      <c r="A3" s="73" t="s">
        <v>44</v>
      </c>
      <c r="B3" s="81" t="s">
        <v>436</v>
      </c>
      <c r="C3" s="80"/>
      <c r="D3" s="81"/>
    </row>
    <row r="4" spans="1:16" s="75" customFormat="1" ht="18" x14ac:dyDescent="0.45">
      <c r="A4" s="73" t="s">
        <v>9</v>
      </c>
      <c r="B4" s="75" t="s">
        <v>227</v>
      </c>
      <c r="C4" s="80"/>
    </row>
    <row r="5" spans="1:16" s="70" customFormat="1" x14ac:dyDescent="0.45">
      <c r="C5" s="82"/>
    </row>
    <row r="6" spans="1:16" s="76" customFormat="1" ht="14.65" thickBot="1" x14ac:dyDescent="0.5">
      <c r="A6" s="76" t="s">
        <v>11</v>
      </c>
      <c r="B6" s="76" t="s">
        <v>12</v>
      </c>
      <c r="C6" s="78" t="s">
        <v>26</v>
      </c>
      <c r="D6" s="76" t="s">
        <v>25</v>
      </c>
      <c r="E6" s="76" t="s">
        <v>13</v>
      </c>
      <c r="F6" s="76" t="s">
        <v>14</v>
      </c>
      <c r="G6" s="76" t="s">
        <v>15</v>
      </c>
      <c r="H6" s="76" t="s">
        <v>16</v>
      </c>
      <c r="I6" s="76" t="s">
        <v>17</v>
      </c>
      <c r="J6" s="76" t="s">
        <v>18</v>
      </c>
      <c r="K6" s="76" t="s">
        <v>19</v>
      </c>
      <c r="L6" s="76" t="s">
        <v>20</v>
      </c>
      <c r="M6" s="76" t="s">
        <v>21</v>
      </c>
      <c r="N6" s="76" t="s">
        <v>22</v>
      </c>
      <c r="O6" s="76" t="s">
        <v>23</v>
      </c>
      <c r="P6" s="76" t="s">
        <v>24</v>
      </c>
    </row>
    <row r="7" spans="1:16" s="98" customFormat="1" ht="28.5" x14ac:dyDescent="0.45">
      <c r="A7" s="98">
        <v>1</v>
      </c>
      <c r="B7" s="98" t="str">
        <f t="shared" ref="B7:B23" si="0">CONCATENATE($B$2, ".", A7)</f>
        <v>8c.1</v>
      </c>
      <c r="C7" s="101" t="s">
        <v>41</v>
      </c>
      <c r="D7" s="98" t="s">
        <v>37</v>
      </c>
      <c r="E7" s="98" t="s">
        <v>85</v>
      </c>
      <c r="F7" s="98" t="s">
        <v>37</v>
      </c>
      <c r="G7" s="98" t="s">
        <v>37</v>
      </c>
      <c r="H7" s="98" t="s">
        <v>37</v>
      </c>
      <c r="I7" s="98" t="s">
        <v>10</v>
      </c>
      <c r="J7" s="108" t="s">
        <v>37</v>
      </c>
      <c r="K7" s="108" t="s">
        <v>37</v>
      </c>
      <c r="L7" s="108" t="s">
        <v>37</v>
      </c>
      <c r="M7" s="108" t="s">
        <v>37</v>
      </c>
      <c r="N7" s="108" t="s">
        <v>37</v>
      </c>
      <c r="O7" s="108" t="s">
        <v>412</v>
      </c>
      <c r="P7" s="98" t="s">
        <v>449</v>
      </c>
    </row>
    <row r="8" spans="1:16" s="98" customFormat="1" x14ac:dyDescent="0.45">
      <c r="A8" s="98">
        <v>2</v>
      </c>
      <c r="B8" s="98" t="str">
        <f t="shared" si="0"/>
        <v>8c.2</v>
      </c>
      <c r="C8" s="101" t="s">
        <v>40</v>
      </c>
      <c r="D8" s="98" t="s">
        <v>209</v>
      </c>
      <c r="E8" s="98" t="s">
        <v>86</v>
      </c>
      <c r="F8" s="98" t="s">
        <v>37</v>
      </c>
      <c r="G8" s="98" t="s">
        <v>37</v>
      </c>
      <c r="H8" s="98" t="s">
        <v>37</v>
      </c>
      <c r="I8" s="98" t="s">
        <v>10</v>
      </c>
      <c r="J8" s="108" t="s">
        <v>37</v>
      </c>
      <c r="K8" s="108" t="s">
        <v>37</v>
      </c>
      <c r="L8" s="108" t="s">
        <v>37</v>
      </c>
      <c r="M8" s="108" t="s">
        <v>37</v>
      </c>
      <c r="N8" s="108" t="s">
        <v>37</v>
      </c>
      <c r="O8" s="108" t="s">
        <v>37</v>
      </c>
    </row>
    <row r="9" spans="1:16" s="98" customFormat="1" x14ac:dyDescent="0.45">
      <c r="A9" s="98">
        <v>3</v>
      </c>
      <c r="B9" s="98" t="str">
        <f t="shared" si="0"/>
        <v>8c.3</v>
      </c>
      <c r="C9" s="101" t="s">
        <v>40</v>
      </c>
      <c r="D9" s="98" t="s">
        <v>37</v>
      </c>
      <c r="E9" s="98" t="s">
        <v>48</v>
      </c>
      <c r="F9" s="98" t="s">
        <v>37</v>
      </c>
      <c r="G9" s="98" t="s">
        <v>37</v>
      </c>
      <c r="H9" s="98" t="s">
        <v>37</v>
      </c>
      <c r="I9" s="98" t="s">
        <v>10</v>
      </c>
      <c r="J9" s="108" t="s">
        <v>37</v>
      </c>
      <c r="K9" s="108" t="s">
        <v>37</v>
      </c>
      <c r="L9" s="108" t="s">
        <v>37</v>
      </c>
      <c r="M9" s="108" t="s">
        <v>37</v>
      </c>
      <c r="N9" s="108" t="s">
        <v>37</v>
      </c>
      <c r="O9" s="108" t="s">
        <v>37</v>
      </c>
    </row>
    <row r="10" spans="1:16" s="98" customFormat="1" x14ac:dyDescent="0.45">
      <c r="A10" s="98">
        <v>4</v>
      </c>
      <c r="B10" s="98" t="str">
        <f t="shared" si="0"/>
        <v>8c.4</v>
      </c>
      <c r="C10" s="101" t="s">
        <v>40</v>
      </c>
      <c r="D10" s="98" t="s">
        <v>584</v>
      </c>
      <c r="E10" s="98" t="s">
        <v>118</v>
      </c>
      <c r="F10" s="98" t="s">
        <v>37</v>
      </c>
      <c r="G10" s="98" t="s">
        <v>37</v>
      </c>
      <c r="H10" s="98" t="s">
        <v>37</v>
      </c>
      <c r="I10" s="98" t="s">
        <v>10</v>
      </c>
      <c r="J10" s="108" t="s">
        <v>37</v>
      </c>
      <c r="K10" s="108" t="s">
        <v>37</v>
      </c>
      <c r="L10" s="108" t="s">
        <v>37</v>
      </c>
      <c r="M10" s="108" t="s">
        <v>37</v>
      </c>
      <c r="N10" s="108" t="s">
        <v>37</v>
      </c>
      <c r="O10" s="108" t="s">
        <v>585</v>
      </c>
      <c r="P10" s="98" t="s">
        <v>586</v>
      </c>
    </row>
    <row r="11" spans="1:16" s="98" customFormat="1" x14ac:dyDescent="0.45">
      <c r="A11" s="98">
        <v>5</v>
      </c>
      <c r="B11" s="98" t="str">
        <f t="shared" si="0"/>
        <v>8c.5</v>
      </c>
      <c r="C11" s="101" t="s">
        <v>40</v>
      </c>
      <c r="D11" s="98" t="s">
        <v>561</v>
      </c>
      <c r="E11" s="98" t="s">
        <v>118</v>
      </c>
      <c r="F11" s="98" t="s">
        <v>37</v>
      </c>
      <c r="G11" s="98" t="s">
        <v>37</v>
      </c>
      <c r="H11" s="98" t="s">
        <v>37</v>
      </c>
      <c r="I11" s="98" t="s">
        <v>10</v>
      </c>
      <c r="J11" s="108" t="s">
        <v>37</v>
      </c>
      <c r="K11" s="108" t="s">
        <v>37</v>
      </c>
      <c r="L11" s="108" t="s">
        <v>37</v>
      </c>
      <c r="M11" s="108" t="s">
        <v>37</v>
      </c>
      <c r="N11" s="108" t="s">
        <v>37</v>
      </c>
      <c r="O11" s="108" t="s">
        <v>559</v>
      </c>
      <c r="P11" s="98" t="s">
        <v>560</v>
      </c>
    </row>
    <row r="12" spans="1:16" s="98" customFormat="1" x14ac:dyDescent="0.45">
      <c r="A12" s="98">
        <v>6</v>
      </c>
      <c r="B12" s="98" t="str">
        <f t="shared" si="0"/>
        <v>8c.6</v>
      </c>
      <c r="C12" s="101" t="s">
        <v>40</v>
      </c>
      <c r="D12" s="98" t="s">
        <v>562</v>
      </c>
      <c r="E12" s="98" t="s">
        <v>29</v>
      </c>
      <c r="F12" s="98" t="s">
        <v>37</v>
      </c>
      <c r="G12" s="98" t="s">
        <v>37</v>
      </c>
      <c r="H12" s="98" t="s">
        <v>37</v>
      </c>
      <c r="I12" s="98" t="s">
        <v>10</v>
      </c>
      <c r="J12" s="108" t="s">
        <v>37</v>
      </c>
      <c r="K12" s="108" t="s">
        <v>37</v>
      </c>
      <c r="L12" s="108" t="s">
        <v>37</v>
      </c>
      <c r="M12" s="108" t="s">
        <v>37</v>
      </c>
      <c r="N12" s="108" t="s">
        <v>37</v>
      </c>
      <c r="O12" s="108" t="s">
        <v>37</v>
      </c>
    </row>
    <row r="13" spans="1:16" s="98" customFormat="1" ht="71.25" x14ac:dyDescent="0.45">
      <c r="A13" s="98">
        <v>7</v>
      </c>
      <c r="B13" s="98" t="str">
        <f t="shared" si="0"/>
        <v>8c.7</v>
      </c>
      <c r="C13" s="101" t="s">
        <v>40</v>
      </c>
      <c r="D13" s="98" t="s">
        <v>563</v>
      </c>
      <c r="E13" s="98" t="s">
        <v>30</v>
      </c>
      <c r="F13" s="98" t="s">
        <v>60</v>
      </c>
      <c r="G13" s="98" t="s">
        <v>37</v>
      </c>
      <c r="H13" s="98" t="s">
        <v>37</v>
      </c>
      <c r="I13" s="98" t="s">
        <v>10</v>
      </c>
      <c r="J13" s="108" t="s">
        <v>564</v>
      </c>
      <c r="K13" s="108" t="s">
        <v>565</v>
      </c>
      <c r="L13" s="98" t="s">
        <v>114</v>
      </c>
      <c r="M13" s="108" t="s">
        <v>37</v>
      </c>
      <c r="N13" s="108" t="s">
        <v>37</v>
      </c>
      <c r="O13" s="108" t="s">
        <v>566</v>
      </c>
      <c r="P13" s="98" t="s">
        <v>567</v>
      </c>
    </row>
    <row r="14" spans="1:16" s="98" customFormat="1" ht="85.5" x14ac:dyDescent="0.45">
      <c r="A14" s="98">
        <v>8</v>
      </c>
      <c r="B14" s="98" t="str">
        <f t="shared" si="0"/>
        <v>8c.8</v>
      </c>
      <c r="C14" s="101" t="s">
        <v>40</v>
      </c>
      <c r="D14" s="98" t="s">
        <v>568</v>
      </c>
      <c r="E14" s="98" t="s">
        <v>118</v>
      </c>
      <c r="F14" s="98" t="s">
        <v>37</v>
      </c>
      <c r="G14" s="98" t="s">
        <v>37</v>
      </c>
      <c r="H14" s="98" t="s">
        <v>37</v>
      </c>
      <c r="I14" s="98" t="s">
        <v>10</v>
      </c>
      <c r="J14" s="108" t="s">
        <v>37</v>
      </c>
      <c r="K14" s="108" t="s">
        <v>37</v>
      </c>
      <c r="L14" s="108" t="s">
        <v>37</v>
      </c>
      <c r="M14" s="108" t="s">
        <v>37</v>
      </c>
      <c r="N14" s="108" t="s">
        <v>37</v>
      </c>
      <c r="O14" s="108"/>
      <c r="P14" s="98" t="s">
        <v>569</v>
      </c>
    </row>
    <row r="15" spans="1:16" s="98" customFormat="1" ht="28.5" x14ac:dyDescent="0.45">
      <c r="A15" s="98">
        <v>9</v>
      </c>
      <c r="B15" s="98" t="str">
        <f t="shared" si="0"/>
        <v>8c.9</v>
      </c>
      <c r="C15" s="101" t="s">
        <v>41</v>
      </c>
      <c r="D15" s="98" t="s">
        <v>511</v>
      </c>
      <c r="E15" s="98" t="s">
        <v>35</v>
      </c>
      <c r="F15" s="98" t="s">
        <v>37</v>
      </c>
      <c r="G15" s="98" t="s">
        <v>37</v>
      </c>
      <c r="H15" s="101" t="s">
        <v>37</v>
      </c>
      <c r="I15" s="98" t="s">
        <v>10</v>
      </c>
      <c r="J15" s="108" t="s">
        <v>82</v>
      </c>
      <c r="K15" s="108" t="s">
        <v>71</v>
      </c>
      <c r="L15" s="108"/>
      <c r="M15" s="108"/>
      <c r="N15" s="108"/>
      <c r="O15" s="108" t="s">
        <v>512</v>
      </c>
      <c r="P15" s="98" t="s">
        <v>516</v>
      </c>
    </row>
    <row r="16" spans="1:16" s="98" customFormat="1" ht="108" customHeight="1" x14ac:dyDescent="0.45">
      <c r="A16" s="98">
        <v>10</v>
      </c>
      <c r="B16" s="98" t="str">
        <f t="shared" si="0"/>
        <v>8c.10</v>
      </c>
      <c r="C16" s="101" t="s">
        <v>41</v>
      </c>
      <c r="D16" s="98" t="s">
        <v>413</v>
      </c>
      <c r="E16" s="98" t="s">
        <v>33</v>
      </c>
      <c r="F16" s="98" t="s">
        <v>50</v>
      </c>
      <c r="G16" s="98" t="s">
        <v>37</v>
      </c>
      <c r="H16" s="100">
        <v>12</v>
      </c>
      <c r="I16" s="98" t="s">
        <v>10</v>
      </c>
      <c r="J16" s="108" t="s">
        <v>82</v>
      </c>
      <c r="K16" s="108" t="s">
        <v>71</v>
      </c>
      <c r="L16" s="108" t="s">
        <v>37</v>
      </c>
      <c r="M16" s="108" t="s">
        <v>510</v>
      </c>
      <c r="N16" s="108" t="s">
        <v>414</v>
      </c>
      <c r="O16" s="108"/>
    </row>
    <row r="17" spans="1:16" s="98" customFormat="1" ht="28.5" x14ac:dyDescent="0.45">
      <c r="A17" s="98">
        <v>11</v>
      </c>
      <c r="B17" s="98" t="str">
        <f t="shared" si="0"/>
        <v>8c.11</v>
      </c>
      <c r="C17" s="101" t="s">
        <v>41</v>
      </c>
      <c r="D17" s="98" t="s">
        <v>511</v>
      </c>
      <c r="E17" s="98" t="s">
        <v>35</v>
      </c>
      <c r="F17" s="98" t="s">
        <v>37</v>
      </c>
      <c r="G17" s="98" t="s">
        <v>37</v>
      </c>
      <c r="H17" s="101" t="s">
        <v>37</v>
      </c>
      <c r="I17" s="98" t="s">
        <v>10</v>
      </c>
      <c r="J17" s="108" t="s">
        <v>82</v>
      </c>
      <c r="K17" s="108" t="s">
        <v>71</v>
      </c>
      <c r="L17" s="108"/>
      <c r="M17" s="108"/>
      <c r="N17" s="108"/>
      <c r="O17" s="108" t="s">
        <v>513</v>
      </c>
      <c r="P17" s="98" t="s">
        <v>516</v>
      </c>
    </row>
    <row r="18" spans="1:16" s="98" customFormat="1" ht="99.75" x14ac:dyDescent="0.45">
      <c r="A18" s="98">
        <v>12</v>
      </c>
      <c r="B18" s="98" t="str">
        <f t="shared" si="0"/>
        <v>8c.12</v>
      </c>
      <c r="C18" s="101" t="s">
        <v>41</v>
      </c>
      <c r="D18" s="98" t="s">
        <v>413</v>
      </c>
      <c r="E18" s="98" t="s">
        <v>33</v>
      </c>
      <c r="F18" s="98" t="s">
        <v>50</v>
      </c>
      <c r="G18" s="98" t="s">
        <v>37</v>
      </c>
      <c r="H18" s="100">
        <v>12</v>
      </c>
      <c r="I18" s="98" t="s">
        <v>10</v>
      </c>
      <c r="J18" s="108" t="s">
        <v>82</v>
      </c>
      <c r="K18" s="108" t="s">
        <v>71</v>
      </c>
      <c r="L18" s="108" t="s">
        <v>37</v>
      </c>
      <c r="M18" s="108" t="s">
        <v>509</v>
      </c>
      <c r="N18" s="108" t="s">
        <v>414</v>
      </c>
      <c r="O18" s="108"/>
    </row>
    <row r="19" spans="1:16" s="98" customFormat="1" ht="28.5" x14ac:dyDescent="0.45">
      <c r="A19" s="98">
        <v>13</v>
      </c>
      <c r="B19" s="98" t="str">
        <f t="shared" si="0"/>
        <v>8c.13</v>
      </c>
      <c r="C19" s="101" t="s">
        <v>41</v>
      </c>
      <c r="D19" s="98" t="s">
        <v>511</v>
      </c>
      <c r="E19" s="98" t="s">
        <v>35</v>
      </c>
      <c r="F19" s="98" t="s">
        <v>37</v>
      </c>
      <c r="G19" s="98" t="s">
        <v>37</v>
      </c>
      <c r="H19" s="101" t="s">
        <v>37</v>
      </c>
      <c r="I19" s="98" t="s">
        <v>10</v>
      </c>
      <c r="J19" s="108" t="s">
        <v>82</v>
      </c>
      <c r="K19" s="108" t="s">
        <v>71</v>
      </c>
      <c r="L19" s="108"/>
      <c r="M19" s="108"/>
      <c r="N19" s="108"/>
      <c r="O19" s="108" t="s">
        <v>514</v>
      </c>
      <c r="P19" s="98" t="s">
        <v>516</v>
      </c>
    </row>
    <row r="20" spans="1:16" s="98" customFormat="1" ht="99.75" x14ac:dyDescent="0.45">
      <c r="A20" s="98">
        <v>14</v>
      </c>
      <c r="B20" s="98" t="str">
        <f t="shared" si="0"/>
        <v>8c.14</v>
      </c>
      <c r="C20" s="101" t="s">
        <v>41</v>
      </c>
      <c r="D20" s="98" t="s">
        <v>413</v>
      </c>
      <c r="E20" s="98" t="s">
        <v>33</v>
      </c>
      <c r="F20" s="98" t="s">
        <v>50</v>
      </c>
      <c r="G20" s="98" t="s">
        <v>37</v>
      </c>
      <c r="H20" s="100">
        <v>12</v>
      </c>
      <c r="I20" s="98" t="s">
        <v>10</v>
      </c>
      <c r="J20" s="108" t="s">
        <v>82</v>
      </c>
      <c r="K20" s="108" t="s">
        <v>71</v>
      </c>
      <c r="L20" s="108" t="s">
        <v>37</v>
      </c>
      <c r="M20" s="108" t="s">
        <v>508</v>
      </c>
      <c r="N20" s="108" t="s">
        <v>414</v>
      </c>
      <c r="O20" s="108"/>
    </row>
    <row r="21" spans="1:16" s="98" customFormat="1" ht="28.5" x14ac:dyDescent="0.45">
      <c r="A21" s="98">
        <v>15</v>
      </c>
      <c r="B21" s="98" t="str">
        <f t="shared" si="0"/>
        <v>8c.15</v>
      </c>
      <c r="C21" s="101" t="s">
        <v>41</v>
      </c>
      <c r="D21" s="98" t="s">
        <v>511</v>
      </c>
      <c r="E21" s="98" t="s">
        <v>35</v>
      </c>
      <c r="F21" s="98" t="s">
        <v>37</v>
      </c>
      <c r="G21" s="98" t="s">
        <v>37</v>
      </c>
      <c r="H21" s="101" t="s">
        <v>37</v>
      </c>
      <c r="I21" s="98" t="s">
        <v>10</v>
      </c>
      <c r="J21" s="108" t="s">
        <v>82</v>
      </c>
      <c r="K21" s="108" t="s">
        <v>71</v>
      </c>
      <c r="L21" s="108"/>
      <c r="M21" s="108"/>
      <c r="N21" s="108"/>
      <c r="O21" s="108" t="s">
        <v>515</v>
      </c>
      <c r="P21" s="98" t="s">
        <v>516</v>
      </c>
    </row>
    <row r="22" spans="1:16" s="98" customFormat="1" ht="28.5" x14ac:dyDescent="0.45">
      <c r="A22" s="98">
        <v>16</v>
      </c>
      <c r="B22" s="98" t="str">
        <f t="shared" si="0"/>
        <v>8c.16</v>
      </c>
      <c r="C22" s="101" t="s">
        <v>40</v>
      </c>
      <c r="D22" s="98" t="s">
        <v>56</v>
      </c>
      <c r="E22" s="98" t="s">
        <v>43</v>
      </c>
      <c r="F22" s="98" t="s">
        <v>37</v>
      </c>
      <c r="G22" s="98" t="s">
        <v>37</v>
      </c>
      <c r="H22" s="98" t="s">
        <v>37</v>
      </c>
      <c r="I22" s="98" t="s">
        <v>10</v>
      </c>
      <c r="J22" s="98" t="s">
        <v>37</v>
      </c>
      <c r="K22" s="98" t="s">
        <v>37</v>
      </c>
      <c r="L22" s="98" t="s">
        <v>37</v>
      </c>
      <c r="M22" s="98" t="s">
        <v>37</v>
      </c>
      <c r="N22" s="98" t="s">
        <v>37</v>
      </c>
      <c r="O22" s="98" t="s">
        <v>750</v>
      </c>
    </row>
    <row r="23" spans="1:16" s="98" customFormat="1" x14ac:dyDescent="0.45">
      <c r="A23" s="98">
        <v>17</v>
      </c>
      <c r="B23" s="98" t="str">
        <f t="shared" si="0"/>
        <v>8c.17</v>
      </c>
      <c r="C23" s="101" t="s">
        <v>40</v>
      </c>
      <c r="D23" s="98" t="s">
        <v>55</v>
      </c>
      <c r="E23" s="98" t="s">
        <v>43</v>
      </c>
      <c r="F23" s="98" t="s">
        <v>37</v>
      </c>
      <c r="G23" s="98" t="s">
        <v>37</v>
      </c>
      <c r="H23" s="98" t="s">
        <v>37</v>
      </c>
      <c r="I23" s="98" t="s">
        <v>10</v>
      </c>
      <c r="J23" s="98" t="s">
        <v>37</v>
      </c>
      <c r="K23" s="98" t="s">
        <v>37</v>
      </c>
      <c r="L23" s="98" t="s">
        <v>37</v>
      </c>
      <c r="M23" s="98" t="s">
        <v>37</v>
      </c>
      <c r="N23" s="98" t="s">
        <v>37</v>
      </c>
      <c r="O23" s="98" t="s">
        <v>228</v>
      </c>
    </row>
    <row r="24" spans="1:16" x14ac:dyDescent="0.45">
      <c r="I24" s="98"/>
      <c r="J24" s="97"/>
      <c r="K24" s="97"/>
      <c r="L24" s="108"/>
      <c r="M24" s="108"/>
      <c r="N24" s="108"/>
      <c r="O24" s="108"/>
    </row>
    <row r="25" spans="1:16" x14ac:dyDescent="0.45">
      <c r="D25" s="72" t="s">
        <v>62</v>
      </c>
      <c r="I25" s="98"/>
      <c r="J25" s="97"/>
      <c r="K25" s="97"/>
      <c r="L25" s="108"/>
      <c r="M25" s="108"/>
      <c r="N25" s="108"/>
      <c r="O25" s="108"/>
    </row>
    <row r="26" spans="1:16" x14ac:dyDescent="0.45">
      <c r="I26" s="98"/>
      <c r="J26" s="97"/>
      <c r="K26" s="97"/>
      <c r="L26" s="108"/>
      <c r="M26" s="108"/>
      <c r="N26" s="108"/>
      <c r="O26" s="108"/>
    </row>
    <row r="27" spans="1:16" x14ac:dyDescent="0.45">
      <c r="I27" s="98"/>
      <c r="J27" s="97"/>
      <c r="K27" s="97"/>
      <c r="L27" s="108"/>
      <c r="M27" s="108"/>
      <c r="N27" s="108"/>
      <c r="O27" s="108"/>
    </row>
    <row r="28" spans="1:16" x14ac:dyDescent="0.45">
      <c r="I28" s="98"/>
      <c r="J28" s="97"/>
      <c r="K28" s="97"/>
      <c r="L28" s="108"/>
      <c r="M28" s="108"/>
      <c r="N28" s="108"/>
      <c r="O28" s="108"/>
    </row>
    <row r="29" spans="1:16" x14ac:dyDescent="0.45">
      <c r="I29" s="98"/>
      <c r="J29" s="97"/>
      <c r="K29" s="97"/>
      <c r="L29" s="108"/>
      <c r="M29" s="108"/>
      <c r="N29" s="108"/>
      <c r="O29" s="108"/>
    </row>
    <row r="30" spans="1:16" x14ac:dyDescent="0.45">
      <c r="I30" s="98"/>
      <c r="J30" s="97"/>
      <c r="K30" s="97"/>
      <c r="L30" s="108"/>
      <c r="M30" s="108"/>
      <c r="N30" s="108"/>
      <c r="O30" s="108"/>
    </row>
    <row r="31" spans="1:16" x14ac:dyDescent="0.45">
      <c r="I31" s="98"/>
      <c r="J31" s="97"/>
      <c r="K31" s="97"/>
      <c r="L31" s="108"/>
      <c r="M31" s="108"/>
      <c r="N31" s="108"/>
      <c r="O31" s="108"/>
    </row>
  </sheetData>
  <conditionalFormatting sqref="C24:C1048576 C7:C13">
    <cfRule type="cellIs" dxfId="371" priority="130" operator="equal">
      <formula>"WIP (see comments)"</formula>
    </cfRule>
    <cfRule type="cellIs" dxfId="370" priority="131" operator="equal">
      <formula>"Removed"</formula>
    </cfRule>
    <cfRule type="cellIs" dxfId="369" priority="132" operator="equal">
      <formula>"Updated"</formula>
    </cfRule>
    <cfRule type="cellIs" dxfId="368" priority="133" operator="equal">
      <formula>"New"</formula>
    </cfRule>
  </conditionalFormatting>
  <conditionalFormatting sqref="A1:XFD6 A24:XFD1048576 D22:XFD23 A7:B23 Q10:XFD11 D12:H12 Q13:XFD13 C7:XFD9 J12:P12 C10:C13">
    <cfRule type="cellIs" dxfId="367" priority="129" operator="equal">
      <formula>"n/a"</formula>
    </cfRule>
  </conditionalFormatting>
  <conditionalFormatting sqref="M16:N21 D13 Q12:XFD12">
    <cfRule type="cellIs" dxfId="366" priority="128" operator="equal">
      <formula>"n/a"</formula>
    </cfRule>
  </conditionalFormatting>
  <conditionalFormatting sqref="Q14:XFD15">
    <cfRule type="cellIs" dxfId="365" priority="127" operator="equal">
      <formula>"n/a"</formula>
    </cfRule>
  </conditionalFormatting>
  <conditionalFormatting sqref="D16:L16 O16 G17 Q16:XFD17">
    <cfRule type="cellIs" dxfId="364" priority="126" operator="equal">
      <formula>"n/a"</formula>
    </cfRule>
  </conditionalFormatting>
  <conditionalFormatting sqref="D18:L18 O18 I19 Q18:XFD19">
    <cfRule type="cellIs" dxfId="363" priority="125" operator="equal">
      <formula>"n/a"</formula>
    </cfRule>
  </conditionalFormatting>
  <conditionalFormatting sqref="D20:L20 O20 Q20:XFD21">
    <cfRule type="cellIs" dxfId="362" priority="124" operator="equal">
      <formula>"n/a"</formula>
    </cfRule>
  </conditionalFormatting>
  <conditionalFormatting sqref="C22:C23">
    <cfRule type="cellIs" dxfId="361" priority="119" operator="equal">
      <formula>"n/a"</formula>
    </cfRule>
  </conditionalFormatting>
  <conditionalFormatting sqref="C22:C23">
    <cfRule type="cellIs" dxfId="360" priority="120" operator="equal">
      <formula>"WIP (see comments)"</formula>
    </cfRule>
    <cfRule type="cellIs" dxfId="359" priority="121" operator="equal">
      <formula>"Removed"</formula>
    </cfRule>
    <cfRule type="cellIs" dxfId="358" priority="122" operator="equal">
      <formula>"Updated"</formula>
    </cfRule>
    <cfRule type="cellIs" dxfId="357" priority="123" operator="equal">
      <formula>"New"</formula>
    </cfRule>
  </conditionalFormatting>
  <conditionalFormatting sqref="D17:E17">
    <cfRule type="cellIs" dxfId="356" priority="118" operator="equal">
      <formula>"n/a"</formula>
    </cfRule>
  </conditionalFormatting>
  <conditionalFormatting sqref="D19:E19">
    <cfRule type="cellIs" dxfId="355" priority="117" operator="equal">
      <formula>"n/a"</formula>
    </cfRule>
  </conditionalFormatting>
  <conditionalFormatting sqref="D21:E21">
    <cfRule type="cellIs" dxfId="354" priority="116" operator="equal">
      <formula>"n/a"</formula>
    </cfRule>
  </conditionalFormatting>
  <conditionalFormatting sqref="J17:K17">
    <cfRule type="cellIs" dxfId="353" priority="115" operator="equal">
      <formula>"n/a"</formula>
    </cfRule>
  </conditionalFormatting>
  <conditionalFormatting sqref="J19:K19">
    <cfRule type="cellIs" dxfId="352" priority="114" operator="equal">
      <formula>"n/a"</formula>
    </cfRule>
  </conditionalFormatting>
  <conditionalFormatting sqref="J21:K21">
    <cfRule type="cellIs" dxfId="351" priority="113" operator="equal">
      <formula>"n/a"</formula>
    </cfRule>
  </conditionalFormatting>
  <conditionalFormatting sqref="H19">
    <cfRule type="cellIs" dxfId="350" priority="112" operator="equal">
      <formula>"n/a"</formula>
    </cfRule>
  </conditionalFormatting>
  <conditionalFormatting sqref="H17">
    <cfRule type="cellIs" dxfId="349" priority="111" operator="equal">
      <formula>"n/a"</formula>
    </cfRule>
  </conditionalFormatting>
  <conditionalFormatting sqref="L17">
    <cfRule type="cellIs" dxfId="348" priority="110" operator="equal">
      <formula>"n/a"</formula>
    </cfRule>
  </conditionalFormatting>
  <conditionalFormatting sqref="L19">
    <cfRule type="cellIs" dxfId="347" priority="109" operator="equal">
      <formula>"n/a"</formula>
    </cfRule>
  </conditionalFormatting>
  <conditionalFormatting sqref="L21">
    <cfRule type="cellIs" dxfId="346" priority="108" operator="equal">
      <formula>"n/a"</formula>
    </cfRule>
  </conditionalFormatting>
  <conditionalFormatting sqref="H21">
    <cfRule type="cellIs" dxfId="345" priority="107" operator="equal">
      <formula>"n/a"</formula>
    </cfRule>
  </conditionalFormatting>
  <conditionalFormatting sqref="I21">
    <cfRule type="cellIs" dxfId="344" priority="106" operator="equal">
      <formula>"n/a"</formula>
    </cfRule>
  </conditionalFormatting>
  <conditionalFormatting sqref="I17">
    <cfRule type="cellIs" dxfId="343" priority="105" operator="equal">
      <formula>"n/a"</formula>
    </cfRule>
  </conditionalFormatting>
  <conditionalFormatting sqref="G19">
    <cfRule type="cellIs" dxfId="342" priority="104" operator="equal">
      <formula>"n/a"</formula>
    </cfRule>
  </conditionalFormatting>
  <conditionalFormatting sqref="G21">
    <cfRule type="cellIs" dxfId="341" priority="103" operator="equal">
      <formula>"n/a"</formula>
    </cfRule>
  </conditionalFormatting>
  <conditionalFormatting sqref="F21">
    <cfRule type="cellIs" dxfId="340" priority="102" operator="equal">
      <formula>"n/a"</formula>
    </cfRule>
  </conditionalFormatting>
  <conditionalFormatting sqref="F19">
    <cfRule type="cellIs" dxfId="339" priority="101" operator="equal">
      <formula>"n/a"</formula>
    </cfRule>
  </conditionalFormatting>
  <conditionalFormatting sqref="F17">
    <cfRule type="cellIs" dxfId="338" priority="100" operator="equal">
      <formula>"n/a"</formula>
    </cfRule>
  </conditionalFormatting>
  <conditionalFormatting sqref="O17">
    <cfRule type="cellIs" dxfId="337" priority="99" operator="equal">
      <formula>"n/a"</formula>
    </cfRule>
  </conditionalFormatting>
  <conditionalFormatting sqref="O19">
    <cfRule type="cellIs" dxfId="336" priority="98" operator="equal">
      <formula>"n/a"</formula>
    </cfRule>
  </conditionalFormatting>
  <conditionalFormatting sqref="O21">
    <cfRule type="cellIs" dxfId="335" priority="97" operator="equal">
      <formula>"n/a"</formula>
    </cfRule>
  </conditionalFormatting>
  <conditionalFormatting sqref="P17">
    <cfRule type="cellIs" dxfId="334" priority="96" operator="equal">
      <formula>"n/a"</formula>
    </cfRule>
  </conditionalFormatting>
  <conditionalFormatting sqref="P19">
    <cfRule type="cellIs" dxfId="333" priority="95" operator="equal">
      <formula>"n/a"</formula>
    </cfRule>
  </conditionalFormatting>
  <conditionalFormatting sqref="P20:P21">
    <cfRule type="cellIs" dxfId="332" priority="94" operator="equal">
      <formula>"n/a"</formula>
    </cfRule>
  </conditionalFormatting>
  <conditionalFormatting sqref="P18">
    <cfRule type="cellIs" dxfId="331" priority="93" operator="equal">
      <formula>"n/a"</formula>
    </cfRule>
  </conditionalFormatting>
  <conditionalFormatting sqref="P16">
    <cfRule type="cellIs" dxfId="330" priority="92" operator="equal">
      <formula>"n/a"</formula>
    </cfRule>
  </conditionalFormatting>
  <conditionalFormatting sqref="F10:P10">
    <cfRule type="cellIs" dxfId="329" priority="91" operator="equal">
      <formula>"n/a"</formula>
    </cfRule>
  </conditionalFormatting>
  <conditionalFormatting sqref="E13:N13 P13">
    <cfRule type="cellIs" dxfId="328" priority="90" operator="equal">
      <formula>"n/a"</formula>
    </cfRule>
  </conditionalFormatting>
  <conditionalFormatting sqref="D14">
    <cfRule type="cellIs" dxfId="327" priority="89" operator="equal">
      <formula>"n/a"</formula>
    </cfRule>
  </conditionalFormatting>
  <conditionalFormatting sqref="D11">
    <cfRule type="cellIs" dxfId="326" priority="83" operator="equal">
      <formula>"n/a"</formula>
    </cfRule>
  </conditionalFormatting>
  <conditionalFormatting sqref="F11:P11">
    <cfRule type="cellIs" dxfId="325" priority="82" operator="equal">
      <formula>"n/a"</formula>
    </cfRule>
  </conditionalFormatting>
  <conditionalFormatting sqref="E11">
    <cfRule type="cellIs" dxfId="324" priority="81" operator="equal">
      <formula>"n/a"</formula>
    </cfRule>
  </conditionalFormatting>
  <conditionalFormatting sqref="D14">
    <cfRule type="cellIs" dxfId="323" priority="79" operator="equal">
      <formula>"n/a"</formula>
    </cfRule>
  </conditionalFormatting>
  <conditionalFormatting sqref="O13">
    <cfRule type="cellIs" dxfId="322" priority="78" operator="equal">
      <formula>"n/a"</formula>
    </cfRule>
  </conditionalFormatting>
  <conditionalFormatting sqref="O13">
    <cfRule type="cellIs" dxfId="321" priority="77" operator="equal">
      <formula>"n/a"</formula>
    </cfRule>
  </conditionalFormatting>
  <conditionalFormatting sqref="D14">
    <cfRule type="cellIs" dxfId="320" priority="76" operator="equal">
      <formula>"n/a"</formula>
    </cfRule>
  </conditionalFormatting>
  <conditionalFormatting sqref="D13">
    <cfRule type="cellIs" dxfId="319" priority="75" operator="equal">
      <formula>"n/a"</formula>
    </cfRule>
  </conditionalFormatting>
  <conditionalFormatting sqref="D13">
    <cfRule type="cellIs" dxfId="318" priority="74" operator="equal">
      <formula>"n/a"</formula>
    </cfRule>
  </conditionalFormatting>
  <conditionalFormatting sqref="D14">
    <cfRule type="cellIs" dxfId="317" priority="73" operator="equal">
      <formula>"n/a"</formula>
    </cfRule>
  </conditionalFormatting>
  <conditionalFormatting sqref="P14">
    <cfRule type="cellIs" dxfId="316" priority="72" operator="equal">
      <formula>"n/a"</formula>
    </cfRule>
  </conditionalFormatting>
  <conditionalFormatting sqref="M14:N14">
    <cfRule type="cellIs" dxfId="315" priority="71" operator="equal">
      <formula>"n/a"</formula>
    </cfRule>
  </conditionalFormatting>
  <conditionalFormatting sqref="J14:K14">
    <cfRule type="cellIs" dxfId="314" priority="70" operator="equal">
      <formula>"n/a"</formula>
    </cfRule>
  </conditionalFormatting>
  <conditionalFormatting sqref="E14">
    <cfRule type="cellIs" dxfId="313" priority="69" operator="equal">
      <formula>"n/a"</formula>
    </cfRule>
  </conditionalFormatting>
  <conditionalFormatting sqref="H14">
    <cfRule type="cellIs" dxfId="312" priority="68" operator="equal">
      <formula>"n/a"</formula>
    </cfRule>
  </conditionalFormatting>
  <conditionalFormatting sqref="L14">
    <cfRule type="cellIs" dxfId="311" priority="67" operator="equal">
      <formula>"n/a"</formula>
    </cfRule>
  </conditionalFormatting>
  <conditionalFormatting sqref="I14">
    <cfRule type="cellIs" dxfId="310" priority="66" operator="equal">
      <formula>"n/a"</formula>
    </cfRule>
  </conditionalFormatting>
  <conditionalFormatting sqref="G14">
    <cfRule type="cellIs" dxfId="309" priority="65" operator="equal">
      <formula>"n/a"</formula>
    </cfRule>
  </conditionalFormatting>
  <conditionalFormatting sqref="F14">
    <cfRule type="cellIs" dxfId="308" priority="64" operator="equal">
      <formula>"n/a"</formula>
    </cfRule>
  </conditionalFormatting>
  <conditionalFormatting sqref="O14">
    <cfRule type="cellIs" dxfId="307" priority="63" operator="equal">
      <formula>"n/a"</formula>
    </cfRule>
  </conditionalFormatting>
  <conditionalFormatting sqref="P14">
    <cfRule type="cellIs" dxfId="306" priority="62" operator="equal">
      <formula>"n/a"</formula>
    </cfRule>
  </conditionalFormatting>
  <conditionalFormatting sqref="O14">
    <cfRule type="cellIs" dxfId="305" priority="61" operator="equal">
      <formula>"n/a"</formula>
    </cfRule>
  </conditionalFormatting>
  <conditionalFormatting sqref="E14:N14">
    <cfRule type="cellIs" dxfId="304" priority="60" operator="equal">
      <formula>"n/a"</formula>
    </cfRule>
  </conditionalFormatting>
  <conditionalFormatting sqref="M15:N15">
    <cfRule type="cellIs" dxfId="303" priority="59" operator="equal">
      <formula>"n/a"</formula>
    </cfRule>
  </conditionalFormatting>
  <conditionalFormatting sqref="J15:K15">
    <cfRule type="cellIs" dxfId="302" priority="58" operator="equal">
      <formula>"n/a"</formula>
    </cfRule>
  </conditionalFormatting>
  <conditionalFormatting sqref="D15:E15">
    <cfRule type="cellIs" dxfId="301" priority="57" operator="equal">
      <formula>"n/a"</formula>
    </cfRule>
  </conditionalFormatting>
  <conditionalFormatting sqref="H15">
    <cfRule type="cellIs" dxfId="300" priority="56" operator="equal">
      <formula>"n/a"</formula>
    </cfRule>
  </conditionalFormatting>
  <conditionalFormatting sqref="L15">
    <cfRule type="cellIs" dxfId="299" priority="55" operator="equal">
      <formula>"n/a"</formula>
    </cfRule>
  </conditionalFormatting>
  <conditionalFormatting sqref="I15">
    <cfRule type="cellIs" dxfId="298" priority="54" operator="equal">
      <formula>"n/a"</formula>
    </cfRule>
  </conditionalFormatting>
  <conditionalFormatting sqref="G15">
    <cfRule type="cellIs" dxfId="297" priority="53" operator="equal">
      <formula>"n/a"</formula>
    </cfRule>
  </conditionalFormatting>
  <conditionalFormatting sqref="F15">
    <cfRule type="cellIs" dxfId="296" priority="52" operator="equal">
      <formula>"n/a"</formula>
    </cfRule>
  </conditionalFormatting>
  <conditionalFormatting sqref="O15">
    <cfRule type="cellIs" dxfId="295" priority="51" operator="equal">
      <formula>"n/a"</formula>
    </cfRule>
  </conditionalFormatting>
  <conditionalFormatting sqref="P15">
    <cfRule type="cellIs" dxfId="294" priority="50" operator="equal">
      <formula>"n/a"</formula>
    </cfRule>
  </conditionalFormatting>
  <conditionalFormatting sqref="C14">
    <cfRule type="cellIs" dxfId="293" priority="16" operator="equal">
      <formula>"WIP (see comments)"</formula>
    </cfRule>
    <cfRule type="cellIs" dxfId="292" priority="17" operator="equal">
      <formula>"Removed"</formula>
    </cfRule>
    <cfRule type="cellIs" dxfId="291" priority="18" operator="equal">
      <formula>"Updated"</formula>
    </cfRule>
    <cfRule type="cellIs" dxfId="290" priority="19" operator="equal">
      <formula>"New"</formula>
    </cfRule>
  </conditionalFormatting>
  <conditionalFormatting sqref="C14">
    <cfRule type="cellIs" dxfId="289" priority="15" operator="equal">
      <formula>"n/a"</formula>
    </cfRule>
  </conditionalFormatting>
  <conditionalFormatting sqref="C15">
    <cfRule type="cellIs" dxfId="288" priority="11" operator="equal">
      <formula>"WIP (see comments)"</formula>
    </cfRule>
    <cfRule type="cellIs" dxfId="287" priority="12" operator="equal">
      <formula>"Removed"</formula>
    </cfRule>
    <cfRule type="cellIs" dxfId="286" priority="13" operator="equal">
      <formula>"Updated"</formula>
    </cfRule>
    <cfRule type="cellIs" dxfId="285" priority="14" operator="equal">
      <formula>"New"</formula>
    </cfRule>
  </conditionalFormatting>
  <conditionalFormatting sqref="C15">
    <cfRule type="cellIs" dxfId="284" priority="10" operator="equal">
      <formula>"n/a"</formula>
    </cfRule>
  </conditionalFormatting>
  <conditionalFormatting sqref="C16:C21">
    <cfRule type="cellIs" dxfId="283" priority="6" operator="equal">
      <formula>"WIP (see comments)"</formula>
    </cfRule>
    <cfRule type="cellIs" dxfId="282" priority="7" operator="equal">
      <formula>"Removed"</formula>
    </cfRule>
    <cfRule type="cellIs" dxfId="281" priority="8" operator="equal">
      <formula>"Updated"</formula>
    </cfRule>
    <cfRule type="cellIs" dxfId="280" priority="9" operator="equal">
      <formula>"New"</formula>
    </cfRule>
  </conditionalFormatting>
  <conditionalFormatting sqref="C16:C21">
    <cfRule type="cellIs" dxfId="279" priority="5" operator="equal">
      <formula>"n/a"</formula>
    </cfRule>
  </conditionalFormatting>
  <conditionalFormatting sqref="I12">
    <cfRule type="cellIs" dxfId="278" priority="4" operator="equal">
      <formula>"n/a"</formula>
    </cfRule>
  </conditionalFormatting>
  <conditionalFormatting sqref="D10">
    <cfRule type="cellIs" dxfId="277" priority="2" operator="equal">
      <formula>"n/a"</formula>
    </cfRule>
  </conditionalFormatting>
  <conditionalFormatting sqref="E10">
    <cfRule type="cellIs" dxfId="276" priority="1" operator="equal">
      <formula>"n/a"</formula>
    </cfRule>
  </conditionalFormatting>
  <dataValidations count="1">
    <dataValidation type="list" allowBlank="1" showInputMessage="1" showErrorMessage="1" sqref="C24:C1048576" xr:uid="{00000000-0002-0000-0D00-000001000000}">
      <formula1>$B$5:$B$22</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D00-000003000000}">
          <x14:formula1>
            <xm:f>'C:\Users\matsubar\Desktop\[In-Branch DCO Primary Applicant Field Spec Draft.xlsx]List Values'!#REF!</xm:f>
          </x14:formula1>
          <xm:sqref>E24:E1048576</xm:sqref>
        </x14:dataValidation>
        <x14:dataValidation type="list" allowBlank="1" showInputMessage="1" showErrorMessage="1" xr:uid="{38B482F2-542E-4D61-A3A5-E0E4D3D08EF1}">
          <x14:formula1>
            <xm:f>'List Values'!$B$5:$B$10</xm:f>
          </x14:formula1>
          <xm:sqref>C7:C23</xm:sqref>
        </x14:dataValidation>
        <x14:dataValidation type="list" allowBlank="1" showInputMessage="1" showErrorMessage="1" xr:uid="{F10E7300-A5D7-4B0B-B02F-B0EFC9F7F529}">
          <x14:formula1>
            <xm:f>'List Values'!$A$5:$A$28</xm:f>
          </x14:formula1>
          <xm:sqref>E7:E23</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tabColor rgb="FFFFC000"/>
  </sheetPr>
  <dimension ref="A1:P26"/>
  <sheetViews>
    <sheetView workbookViewId="0">
      <pane xSplit="4" ySplit="6" topLeftCell="N16" activePane="bottomRight" state="frozen"/>
      <selection pane="topRight" activeCell="E1" sqref="E1"/>
      <selection pane="bottomLeft" activeCell="A7" sqref="A7"/>
      <selection pane="bottomRight" activeCell="N4" sqref="N4"/>
    </sheetView>
  </sheetViews>
  <sheetFormatPr defaultColWidth="9.19921875" defaultRowHeight="14.25" x14ac:dyDescent="0.45"/>
  <cols>
    <col min="1" max="1" width="14.796875" style="72" customWidth="1"/>
    <col min="2" max="2" width="12.53125" style="72" customWidth="1"/>
    <col min="3" max="3" width="13" style="79" customWidth="1"/>
    <col min="4" max="4" width="45.19921875" style="72" customWidth="1"/>
    <col min="5" max="5" width="28.796875" style="72" customWidth="1"/>
    <col min="6" max="6" width="37" style="72" customWidth="1"/>
    <col min="7" max="7" width="29.19921875" style="72" customWidth="1"/>
    <col min="8" max="8" width="11.53125" style="79" bestFit="1" customWidth="1"/>
    <col min="9" max="9" width="34.796875" style="72" customWidth="1"/>
    <col min="10" max="10" width="28.19921875" style="72" customWidth="1"/>
    <col min="11" max="11" width="14" style="72" customWidth="1"/>
    <col min="12" max="12" width="23" style="72" customWidth="1"/>
    <col min="13" max="13" width="29" style="72" customWidth="1"/>
    <col min="14" max="14" width="18.796875" style="72" bestFit="1" customWidth="1"/>
    <col min="15" max="15" width="48.46484375" style="72" customWidth="1"/>
    <col min="16" max="16" width="41.796875" style="72" customWidth="1"/>
    <col min="17" max="16384" width="9.19921875" style="72"/>
  </cols>
  <sheetData>
    <row r="1" spans="1:16" s="75" customFormat="1" ht="18" x14ac:dyDescent="0.45">
      <c r="A1" s="73" t="s">
        <v>7</v>
      </c>
      <c r="B1" s="83" t="s">
        <v>155</v>
      </c>
      <c r="C1" s="77"/>
      <c r="D1" s="74"/>
      <c r="H1" s="80"/>
    </row>
    <row r="2" spans="1:16" s="75" customFormat="1" ht="18" x14ac:dyDescent="0.45">
      <c r="A2" s="73" t="s">
        <v>8</v>
      </c>
      <c r="B2" s="81">
        <v>9</v>
      </c>
      <c r="C2" s="80"/>
      <c r="D2" s="81"/>
      <c r="H2" s="80"/>
    </row>
    <row r="3" spans="1:16" s="75" customFormat="1" ht="18" x14ac:dyDescent="0.45">
      <c r="A3" s="73" t="s">
        <v>44</v>
      </c>
      <c r="B3" s="81" t="s">
        <v>437</v>
      </c>
      <c r="C3" s="80"/>
      <c r="D3" s="81" t="s">
        <v>677</v>
      </c>
      <c r="H3" s="80"/>
    </row>
    <row r="4" spans="1:16" s="75" customFormat="1" ht="18" x14ac:dyDescent="0.45">
      <c r="A4" s="73" t="s">
        <v>9</v>
      </c>
      <c r="B4" s="75" t="s">
        <v>46</v>
      </c>
      <c r="C4" s="80"/>
      <c r="H4" s="80"/>
    </row>
    <row r="5" spans="1:16" s="70" customFormat="1" x14ac:dyDescent="0.45">
      <c r="C5" s="82"/>
      <c r="H5" s="82"/>
    </row>
    <row r="6" spans="1:16" s="76" customFormat="1" ht="14.65" thickBot="1" x14ac:dyDescent="0.5">
      <c r="A6" s="76" t="s">
        <v>11</v>
      </c>
      <c r="B6" s="76" t="s">
        <v>12</v>
      </c>
      <c r="C6" s="78" t="s">
        <v>26</v>
      </c>
      <c r="D6" s="76" t="s">
        <v>25</v>
      </c>
      <c r="E6" s="76" t="s">
        <v>13</v>
      </c>
      <c r="F6" s="76" t="s">
        <v>14</v>
      </c>
      <c r="G6" s="76" t="s">
        <v>15</v>
      </c>
      <c r="H6" s="78" t="s">
        <v>16</v>
      </c>
      <c r="I6" s="76" t="s">
        <v>17</v>
      </c>
      <c r="J6" s="76" t="s">
        <v>18</v>
      </c>
      <c r="K6" s="76" t="s">
        <v>19</v>
      </c>
      <c r="L6" s="76" t="s">
        <v>20</v>
      </c>
      <c r="M6" s="76" t="s">
        <v>21</v>
      </c>
      <c r="N6" s="76" t="s">
        <v>22</v>
      </c>
      <c r="O6" s="76" t="s">
        <v>23</v>
      </c>
      <c r="P6" s="76" t="s">
        <v>24</v>
      </c>
    </row>
    <row r="7" spans="1:16" s="98" customFormat="1" x14ac:dyDescent="0.45">
      <c r="A7" s="97">
        <v>1</v>
      </c>
      <c r="B7" s="98" t="str">
        <f t="shared" ref="B7:B15" si="0">CONCATENATE($B$2, ".", A7)</f>
        <v>9.1</v>
      </c>
      <c r="C7" s="101" t="s">
        <v>40</v>
      </c>
      <c r="D7" s="99" t="s">
        <v>718</v>
      </c>
      <c r="E7" s="97" t="s">
        <v>29</v>
      </c>
      <c r="F7" s="97" t="s">
        <v>37</v>
      </c>
      <c r="G7" s="97" t="s">
        <v>37</v>
      </c>
      <c r="H7" s="93" t="s">
        <v>37</v>
      </c>
      <c r="I7" s="99" t="s">
        <v>10</v>
      </c>
      <c r="J7" s="97" t="s">
        <v>37</v>
      </c>
      <c r="K7" s="97" t="s">
        <v>37</v>
      </c>
      <c r="L7" s="97" t="s">
        <v>37</v>
      </c>
      <c r="M7" s="97" t="s">
        <v>37</v>
      </c>
      <c r="N7" s="97" t="s">
        <v>37</v>
      </c>
      <c r="O7" s="90"/>
      <c r="P7" s="90"/>
    </row>
    <row r="8" spans="1:16" s="98" customFormat="1" x14ac:dyDescent="0.45">
      <c r="A8" s="97">
        <v>2</v>
      </c>
      <c r="B8" s="98" t="str">
        <f t="shared" si="0"/>
        <v>9.2</v>
      </c>
      <c r="C8" s="101" t="s">
        <v>40</v>
      </c>
      <c r="D8" s="99" t="s">
        <v>37</v>
      </c>
      <c r="E8" s="99" t="s">
        <v>48</v>
      </c>
      <c r="F8" s="97" t="s">
        <v>37</v>
      </c>
      <c r="G8" s="97" t="s">
        <v>37</v>
      </c>
      <c r="H8" s="93" t="s">
        <v>37</v>
      </c>
      <c r="I8" s="99" t="s">
        <v>10</v>
      </c>
      <c r="J8" s="97" t="s">
        <v>37</v>
      </c>
      <c r="K8" s="97" t="s">
        <v>37</v>
      </c>
      <c r="L8" s="97" t="s">
        <v>37</v>
      </c>
      <c r="M8" s="97" t="s">
        <v>37</v>
      </c>
      <c r="N8" s="97" t="s">
        <v>37</v>
      </c>
      <c r="O8" s="90"/>
      <c r="P8" s="90"/>
    </row>
    <row r="9" spans="1:16" s="98" customFormat="1" ht="28.5" x14ac:dyDescent="0.45">
      <c r="A9" s="97">
        <v>3</v>
      </c>
      <c r="B9" s="98" t="str">
        <f t="shared" si="0"/>
        <v>9.3</v>
      </c>
      <c r="C9" s="101" t="s">
        <v>40</v>
      </c>
      <c r="D9" s="99" t="s">
        <v>450</v>
      </c>
      <c r="E9" s="99" t="s">
        <v>32</v>
      </c>
      <c r="F9" s="97" t="s">
        <v>708</v>
      </c>
      <c r="G9" s="108" t="s">
        <v>539</v>
      </c>
      <c r="H9" s="93" t="s">
        <v>37</v>
      </c>
      <c r="I9" s="99" t="s">
        <v>10</v>
      </c>
      <c r="J9" s="97" t="s">
        <v>709</v>
      </c>
      <c r="K9" s="97" t="s">
        <v>52</v>
      </c>
      <c r="L9" s="108" t="s">
        <v>540</v>
      </c>
      <c r="M9" s="97" t="s">
        <v>37</v>
      </c>
      <c r="N9" s="97" t="s">
        <v>37</v>
      </c>
      <c r="O9" s="97"/>
      <c r="P9" s="90"/>
    </row>
    <row r="10" spans="1:16" ht="57" x14ac:dyDescent="0.45">
      <c r="A10" s="98">
        <v>4</v>
      </c>
      <c r="B10" s="98" t="str">
        <f t="shared" si="0"/>
        <v>9.4</v>
      </c>
      <c r="C10" s="101" t="s">
        <v>40</v>
      </c>
      <c r="D10" s="98" t="s">
        <v>397</v>
      </c>
      <c r="E10" s="98" t="s">
        <v>33</v>
      </c>
      <c r="F10" s="98" t="s">
        <v>74</v>
      </c>
      <c r="G10" s="98" t="s">
        <v>323</v>
      </c>
      <c r="H10" s="101">
        <v>16</v>
      </c>
      <c r="I10" s="98" t="s">
        <v>710</v>
      </c>
      <c r="J10" s="99" t="s">
        <v>75</v>
      </c>
      <c r="K10" s="99" t="s">
        <v>52</v>
      </c>
      <c r="L10" s="108" t="s">
        <v>541</v>
      </c>
      <c r="M10" s="108" t="s">
        <v>707</v>
      </c>
      <c r="N10" s="108" t="s">
        <v>575</v>
      </c>
      <c r="O10" s="97" t="s">
        <v>711</v>
      </c>
      <c r="P10" s="98"/>
    </row>
    <row r="11" spans="1:16" ht="128.25" x14ac:dyDescent="0.45">
      <c r="A11" s="98">
        <v>5</v>
      </c>
      <c r="B11" s="98" t="str">
        <f t="shared" si="0"/>
        <v>9.5</v>
      </c>
      <c r="C11" s="101" t="s">
        <v>42</v>
      </c>
      <c r="D11" s="98" t="s">
        <v>600</v>
      </c>
      <c r="E11" s="98" t="s">
        <v>32</v>
      </c>
      <c r="F11" s="98" t="s">
        <v>601</v>
      </c>
      <c r="G11" s="98" t="s">
        <v>37</v>
      </c>
      <c r="H11" s="101" t="s">
        <v>37</v>
      </c>
      <c r="I11" s="98" t="s">
        <v>10</v>
      </c>
      <c r="J11" s="108" t="s">
        <v>52</v>
      </c>
      <c r="K11" s="108" t="s">
        <v>602</v>
      </c>
      <c r="L11" s="108" t="s">
        <v>37</v>
      </c>
      <c r="M11" s="108" t="s">
        <v>37</v>
      </c>
      <c r="N11" s="108" t="s">
        <v>37</v>
      </c>
      <c r="O11" s="97" t="s">
        <v>678</v>
      </c>
      <c r="P11" s="98" t="s">
        <v>706</v>
      </c>
    </row>
    <row r="12" spans="1:16" ht="114" x14ac:dyDescent="0.45">
      <c r="A12" s="98"/>
      <c r="B12" s="98"/>
      <c r="C12" s="101" t="s">
        <v>41</v>
      </c>
      <c r="D12" s="99" t="s">
        <v>322</v>
      </c>
      <c r="E12" s="99" t="s">
        <v>34</v>
      </c>
      <c r="F12" s="97" t="s">
        <v>37</v>
      </c>
      <c r="G12" s="97" t="s">
        <v>37</v>
      </c>
      <c r="H12" s="97" t="s">
        <v>37</v>
      </c>
      <c r="I12" s="97" t="s">
        <v>37</v>
      </c>
      <c r="J12" s="97" t="s">
        <v>37</v>
      </c>
      <c r="K12" s="97" t="s">
        <v>37</v>
      </c>
      <c r="L12" s="97" t="s">
        <v>37</v>
      </c>
      <c r="M12" s="97" t="s">
        <v>37</v>
      </c>
      <c r="N12" s="97" t="s">
        <v>37</v>
      </c>
      <c r="O12" s="90"/>
      <c r="P12" s="97" t="s">
        <v>679</v>
      </c>
    </row>
    <row r="13" spans="1:16" x14ac:dyDescent="0.45">
      <c r="A13" s="97"/>
      <c r="B13" s="98"/>
      <c r="C13" s="101" t="s">
        <v>41</v>
      </c>
      <c r="D13" s="97" t="s">
        <v>406</v>
      </c>
      <c r="E13" s="97" t="s">
        <v>33</v>
      </c>
      <c r="F13" s="97" t="s">
        <v>50</v>
      </c>
      <c r="G13" s="97" t="s">
        <v>37</v>
      </c>
      <c r="H13" s="97" t="s">
        <v>37</v>
      </c>
      <c r="I13" s="97" t="s">
        <v>37</v>
      </c>
      <c r="J13" s="97" t="s">
        <v>37</v>
      </c>
      <c r="K13" s="97" t="s">
        <v>37</v>
      </c>
      <c r="L13" s="97" t="s">
        <v>37</v>
      </c>
      <c r="M13" s="97" t="s">
        <v>37</v>
      </c>
      <c r="N13" s="97" t="s">
        <v>37</v>
      </c>
      <c r="O13" s="99"/>
      <c r="P13" s="97" t="s">
        <v>679</v>
      </c>
    </row>
    <row r="14" spans="1:16" x14ac:dyDescent="0.45">
      <c r="A14" s="97"/>
      <c r="B14" s="98"/>
      <c r="C14" s="106" t="s">
        <v>41</v>
      </c>
      <c r="D14" s="97" t="s">
        <v>405</v>
      </c>
      <c r="E14" s="97" t="s">
        <v>33</v>
      </c>
      <c r="F14" s="97" t="s">
        <v>50</v>
      </c>
      <c r="G14" s="97" t="s">
        <v>37</v>
      </c>
      <c r="H14" s="97" t="s">
        <v>37</v>
      </c>
      <c r="I14" s="97" t="s">
        <v>37</v>
      </c>
      <c r="J14" s="97" t="s">
        <v>37</v>
      </c>
      <c r="K14" s="97" t="s">
        <v>37</v>
      </c>
      <c r="L14" s="97" t="s">
        <v>37</v>
      </c>
      <c r="M14" s="97" t="s">
        <v>37</v>
      </c>
      <c r="N14" s="97" t="s">
        <v>37</v>
      </c>
      <c r="O14" s="99"/>
      <c r="P14" s="97" t="s">
        <v>679</v>
      </c>
    </row>
    <row r="15" spans="1:16" s="98" customFormat="1" ht="204.7" customHeight="1" x14ac:dyDescent="0.45">
      <c r="A15" s="98">
        <v>6</v>
      </c>
      <c r="B15" s="98" t="str">
        <f t="shared" si="0"/>
        <v>9.6</v>
      </c>
      <c r="C15" s="101" t="s">
        <v>40</v>
      </c>
      <c r="D15" s="98" t="s">
        <v>260</v>
      </c>
      <c r="E15" s="98" t="s">
        <v>35</v>
      </c>
      <c r="F15" s="98" t="s">
        <v>149</v>
      </c>
      <c r="G15" s="108" t="s">
        <v>581</v>
      </c>
      <c r="H15" s="101" t="s">
        <v>37</v>
      </c>
      <c r="I15" s="98" t="s">
        <v>10</v>
      </c>
      <c r="J15" s="99" t="s">
        <v>75</v>
      </c>
      <c r="K15" s="108" t="s">
        <v>52</v>
      </c>
      <c r="L15" s="99" t="s">
        <v>717</v>
      </c>
      <c r="M15" s="99" t="s">
        <v>37</v>
      </c>
      <c r="N15" s="99" t="s">
        <v>37</v>
      </c>
      <c r="O15" s="99" t="s">
        <v>37</v>
      </c>
    </row>
    <row r="16" spans="1:16" ht="185.25" x14ac:dyDescent="0.45">
      <c r="A16" s="98">
        <v>7</v>
      </c>
      <c r="B16" s="98" t="str">
        <f t="shared" ref="B16:B18" si="1">CONCATENATE($B$2, ".", A16)</f>
        <v>9.7</v>
      </c>
      <c r="C16" s="101" t="s">
        <v>40</v>
      </c>
      <c r="D16" s="98" t="s">
        <v>261</v>
      </c>
      <c r="E16" s="98" t="s">
        <v>33</v>
      </c>
      <c r="F16" s="98" t="s">
        <v>50</v>
      </c>
      <c r="G16" s="98" t="s">
        <v>37</v>
      </c>
      <c r="H16" s="101">
        <v>30</v>
      </c>
      <c r="I16" s="98" t="s">
        <v>10</v>
      </c>
      <c r="J16" s="99" t="s">
        <v>75</v>
      </c>
      <c r="K16" s="99" t="s">
        <v>52</v>
      </c>
      <c r="L16" s="108" t="s">
        <v>542</v>
      </c>
      <c r="M16" s="99" t="s">
        <v>37</v>
      </c>
      <c r="N16" s="99" t="s">
        <v>37</v>
      </c>
      <c r="O16" s="98" t="s">
        <v>680</v>
      </c>
    </row>
    <row r="17" spans="1:16" ht="95.65" customHeight="1" x14ac:dyDescent="0.45">
      <c r="A17" s="98">
        <v>8</v>
      </c>
      <c r="B17" s="98" t="str">
        <f t="shared" si="1"/>
        <v>9.8</v>
      </c>
      <c r="C17" s="101" t="s">
        <v>40</v>
      </c>
      <c r="D17" s="72" t="s">
        <v>56</v>
      </c>
      <c r="E17" s="72" t="s">
        <v>43</v>
      </c>
      <c r="F17" s="72" t="s">
        <v>37</v>
      </c>
      <c r="G17" s="72" t="s">
        <v>37</v>
      </c>
      <c r="H17" s="79" t="s">
        <v>37</v>
      </c>
      <c r="I17" s="72" t="s">
        <v>10</v>
      </c>
      <c r="J17" s="72" t="s">
        <v>37</v>
      </c>
      <c r="K17" s="72" t="s">
        <v>37</v>
      </c>
      <c r="L17" s="72" t="s">
        <v>37</v>
      </c>
      <c r="M17" s="72" t="s">
        <v>37</v>
      </c>
      <c r="N17" s="72" t="s">
        <v>37</v>
      </c>
      <c r="O17" s="72" t="s">
        <v>681</v>
      </c>
    </row>
    <row r="18" spans="1:16" ht="99.75" x14ac:dyDescent="0.45">
      <c r="A18" s="98">
        <v>9</v>
      </c>
      <c r="B18" s="98" t="str">
        <f t="shared" si="1"/>
        <v>9.9</v>
      </c>
      <c r="C18" s="101" t="s">
        <v>38</v>
      </c>
      <c r="D18" s="72" t="s">
        <v>55</v>
      </c>
      <c r="E18" s="72" t="s">
        <v>43</v>
      </c>
      <c r="F18" s="72" t="s">
        <v>37</v>
      </c>
      <c r="G18" s="72" t="s">
        <v>37</v>
      </c>
      <c r="H18" s="79" t="s">
        <v>37</v>
      </c>
      <c r="I18" s="72" t="s">
        <v>10</v>
      </c>
      <c r="J18" s="72" t="s">
        <v>37</v>
      </c>
      <c r="K18" s="72" t="s">
        <v>37</v>
      </c>
      <c r="L18" s="72" t="s">
        <v>37</v>
      </c>
      <c r="M18" s="72" t="s">
        <v>37</v>
      </c>
      <c r="N18" s="72" t="s">
        <v>37</v>
      </c>
      <c r="O18" s="98" t="s">
        <v>716</v>
      </c>
      <c r="P18" s="72" t="s">
        <v>712</v>
      </c>
    </row>
    <row r="19" spans="1:16" x14ac:dyDescent="0.45">
      <c r="I19" s="98"/>
      <c r="J19" s="97"/>
      <c r="K19" s="97"/>
      <c r="L19" s="99"/>
      <c r="M19" s="99"/>
      <c r="N19" s="99"/>
      <c r="O19" s="99"/>
    </row>
    <row r="20" spans="1:16" x14ac:dyDescent="0.45">
      <c r="D20" s="72" t="s">
        <v>62</v>
      </c>
      <c r="I20" s="98"/>
      <c r="J20" s="97"/>
      <c r="K20" s="97"/>
      <c r="L20" s="99"/>
      <c r="M20" s="99"/>
      <c r="N20" s="99"/>
      <c r="O20" s="99"/>
    </row>
    <row r="21" spans="1:16" x14ac:dyDescent="0.45">
      <c r="I21" s="98"/>
      <c r="J21" s="97"/>
      <c r="K21" s="97"/>
      <c r="L21" s="99"/>
      <c r="M21" s="99"/>
      <c r="N21" s="99"/>
      <c r="O21" s="99"/>
    </row>
    <row r="22" spans="1:16" x14ac:dyDescent="0.45">
      <c r="I22" s="98"/>
      <c r="J22" s="97"/>
      <c r="K22" s="97"/>
      <c r="L22" s="99"/>
      <c r="M22" s="99"/>
      <c r="N22" s="99"/>
      <c r="O22" s="99"/>
    </row>
    <row r="23" spans="1:16" x14ac:dyDescent="0.45">
      <c r="I23" s="98"/>
      <c r="J23" s="97"/>
      <c r="K23" s="97"/>
      <c r="L23" s="99"/>
      <c r="M23" s="99"/>
      <c r="N23" s="99"/>
      <c r="O23" s="99"/>
    </row>
    <row r="24" spans="1:16" x14ac:dyDescent="0.45">
      <c r="I24" s="98"/>
      <c r="J24" s="97"/>
      <c r="K24" s="97"/>
      <c r="L24" s="99"/>
      <c r="M24" s="99"/>
      <c r="N24" s="99"/>
      <c r="O24" s="99"/>
    </row>
    <row r="25" spans="1:16" x14ac:dyDescent="0.45">
      <c r="I25" s="98"/>
      <c r="J25" s="97"/>
      <c r="K25" s="97"/>
      <c r="L25" s="99"/>
      <c r="M25" s="99"/>
      <c r="N25" s="99"/>
      <c r="O25" s="99"/>
    </row>
    <row r="26" spans="1:16" x14ac:dyDescent="0.45">
      <c r="I26" s="98"/>
      <c r="J26" s="97"/>
      <c r="K26" s="97"/>
      <c r="L26" s="99"/>
      <c r="M26" s="99"/>
      <c r="N26" s="99"/>
      <c r="O26" s="99"/>
    </row>
  </sheetData>
  <autoFilter ref="A6:P17" xr:uid="{00000000-0009-0000-0000-00000E000000}"/>
  <conditionalFormatting sqref="A1:C1 E1:XFD1 A2:XFD2 A19:O1048576 D15:F15 D7:XFD8 A4:XFD6 A3:C3 E3:XFD3 D9:F9 H9:K9 D10:K11 D17:O18 D16:H16 J16:K16 O10:XFD11 L15:O15 H15:J15 M16:O16 A7:B13 A15:B18 D12:XFD12 D13:F13 O13 G13:N14 P13:XFD1048576 M9:XFD9">
    <cfRule type="cellIs" dxfId="275" priority="154" operator="equal">
      <formula>"n/a"</formula>
    </cfRule>
  </conditionalFormatting>
  <conditionalFormatting sqref="C1:C6 C19:C1048576">
    <cfRule type="cellIs" dxfId="274" priority="155" operator="equal">
      <formula>"WIP (see comments)"</formula>
    </cfRule>
    <cfRule type="cellIs" dxfId="273" priority="156" operator="equal">
      <formula>"Removed"</formula>
    </cfRule>
    <cfRule type="cellIs" dxfId="272" priority="157" operator="equal">
      <formula>"Updated"</formula>
    </cfRule>
    <cfRule type="cellIs" dxfId="271" priority="158" operator="equal">
      <formula>"New"</formula>
    </cfRule>
  </conditionalFormatting>
  <conditionalFormatting sqref="D1">
    <cfRule type="cellIs" dxfId="270" priority="153" operator="equal">
      <formula>"n/a"</formula>
    </cfRule>
  </conditionalFormatting>
  <conditionalFormatting sqref="A14:B14 D14:F14 O14">
    <cfRule type="cellIs" dxfId="269" priority="77" operator="equal">
      <formula>"n/a"</formula>
    </cfRule>
  </conditionalFormatting>
  <conditionalFormatting sqref="C17:C18 C7:C13">
    <cfRule type="cellIs" dxfId="268" priority="68" operator="equal">
      <formula>"WIP (see comments)"</formula>
    </cfRule>
    <cfRule type="cellIs" dxfId="267" priority="69" operator="equal">
      <formula>"Removed"</formula>
    </cfRule>
    <cfRule type="cellIs" dxfId="266" priority="70" operator="equal">
      <formula>"Updated"</formula>
    </cfRule>
    <cfRule type="cellIs" dxfId="265" priority="71" operator="equal">
      <formula>"New"</formula>
    </cfRule>
  </conditionalFormatting>
  <conditionalFormatting sqref="C17:C18 C7:C13">
    <cfRule type="cellIs" dxfId="264" priority="67" operator="equal">
      <formula>"n/a"</formula>
    </cfRule>
  </conditionalFormatting>
  <conditionalFormatting sqref="C14">
    <cfRule type="cellIs" dxfId="263" priority="43" operator="equal">
      <formula>"Future Change"</formula>
    </cfRule>
    <cfRule type="cellIs" dxfId="262" priority="45" operator="equal">
      <formula>"WIP (see comments)"</formula>
    </cfRule>
    <cfRule type="cellIs" dxfId="261" priority="46" operator="equal">
      <formula>"Removed"</formula>
    </cfRule>
    <cfRule type="cellIs" dxfId="260" priority="47" operator="equal">
      <formula>"Updated"</formula>
    </cfRule>
    <cfRule type="cellIs" dxfId="259" priority="48" operator="equal">
      <formula>"New"</formula>
    </cfRule>
  </conditionalFormatting>
  <conditionalFormatting sqref="C14">
    <cfRule type="cellIs" dxfId="258" priority="44" operator="equal">
      <formula>"n/a"</formula>
    </cfRule>
  </conditionalFormatting>
  <conditionalFormatting sqref="D3">
    <cfRule type="cellIs" dxfId="257" priority="36" operator="equal">
      <formula>"n/a"</formula>
    </cfRule>
  </conditionalFormatting>
  <conditionalFormatting sqref="G9">
    <cfRule type="cellIs" dxfId="256" priority="35" operator="equal">
      <formula>"n/a"</formula>
    </cfRule>
  </conditionalFormatting>
  <conditionalFormatting sqref="L9">
    <cfRule type="cellIs" dxfId="255" priority="34" operator="equal">
      <formula>"n/a"</formula>
    </cfRule>
  </conditionalFormatting>
  <conditionalFormatting sqref="L10:L11 M11:N11">
    <cfRule type="cellIs" dxfId="254" priority="33" operator="equal">
      <formula>"n/a"</formula>
    </cfRule>
  </conditionalFormatting>
  <conditionalFormatting sqref="C15">
    <cfRule type="cellIs" dxfId="253" priority="18" operator="equal">
      <formula>"Future Change"</formula>
    </cfRule>
    <cfRule type="cellIs" dxfId="252" priority="20" operator="equal">
      <formula>"WIP (see comments)"</formula>
    </cfRule>
    <cfRule type="cellIs" dxfId="251" priority="21" operator="equal">
      <formula>"Removed"</formula>
    </cfRule>
    <cfRule type="cellIs" dxfId="250" priority="22" operator="equal">
      <formula>"Updated"</formula>
    </cfRule>
    <cfRule type="cellIs" dxfId="249" priority="23" operator="equal">
      <formula>"New"</formula>
    </cfRule>
  </conditionalFormatting>
  <conditionalFormatting sqref="C15">
    <cfRule type="cellIs" dxfId="248" priority="19" operator="equal">
      <formula>"n/a"</formula>
    </cfRule>
  </conditionalFormatting>
  <conditionalFormatting sqref="M10:N10">
    <cfRule type="cellIs" dxfId="247" priority="17" operator="equal">
      <formula>"n/a"</formula>
    </cfRule>
  </conditionalFormatting>
  <conditionalFormatting sqref="I16">
    <cfRule type="cellIs" dxfId="246" priority="15" operator="equal">
      <formula>"n/a"</formula>
    </cfRule>
  </conditionalFormatting>
  <conditionalFormatting sqref="G15">
    <cfRule type="cellIs" dxfId="245" priority="14" operator="equal">
      <formula>"n/a"</formula>
    </cfRule>
  </conditionalFormatting>
  <conditionalFormatting sqref="C16">
    <cfRule type="cellIs" dxfId="244" priority="3" operator="equal">
      <formula>"Future Change"</formula>
    </cfRule>
    <cfRule type="cellIs" dxfId="243" priority="5" operator="equal">
      <formula>"WIP (see comments)"</formula>
    </cfRule>
    <cfRule type="cellIs" dxfId="242" priority="6" operator="equal">
      <formula>"Removed"</formula>
    </cfRule>
    <cfRule type="cellIs" dxfId="241" priority="7" operator="equal">
      <formula>"Updated"</formula>
    </cfRule>
    <cfRule type="cellIs" dxfId="240" priority="8" operator="equal">
      <formula>"New"</formula>
    </cfRule>
  </conditionalFormatting>
  <conditionalFormatting sqref="C16">
    <cfRule type="cellIs" dxfId="239" priority="4" operator="equal">
      <formula>"n/a"</formula>
    </cfRule>
  </conditionalFormatting>
  <conditionalFormatting sqref="L16">
    <cfRule type="cellIs" dxfId="238" priority="2" operator="equal">
      <formula>"n/a"</formula>
    </cfRule>
  </conditionalFormatting>
  <conditionalFormatting sqref="K15">
    <cfRule type="cellIs" dxfId="237"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E00-000000000000}">
          <x14:formula1>
            <xm:f>'C:\Users\hicksi\Documents\In Branch DCO\[CWB In-Branch Personal DCO Field Spec WIP copy for UX 2020-10-02.xlsx]List Values'!#REF!</xm:f>
          </x14:formula1>
          <xm:sqref>E19:E1048576 C19:C1048576</xm:sqref>
        </x14:dataValidation>
        <x14:dataValidation type="list" allowBlank="1" showInputMessage="1" showErrorMessage="1" xr:uid="{00000000-0002-0000-0E00-000001000000}">
          <x14:formula1>
            <xm:f>'List Values'!$A$5:$A$28</xm:f>
          </x14:formula1>
          <xm:sqref>E7:E18</xm:sqref>
        </x14:dataValidation>
        <x14:dataValidation type="list" allowBlank="1" showInputMessage="1" showErrorMessage="1" xr:uid="{00000000-0002-0000-0E00-000002000000}">
          <x14:formula1>
            <xm:f>'List Values'!$B$5:$B$9</xm:f>
          </x14:formula1>
          <xm:sqref>C7:C13 C17:C18</xm:sqref>
        </x14:dataValidation>
        <x14:dataValidation type="list" allowBlank="1" showInputMessage="1" showErrorMessage="1" xr:uid="{00000000-0002-0000-0E00-000003000000}">
          <x14:formula1>
            <xm:f>'List Values'!$B$5:$B$10</xm:f>
          </x14:formula1>
          <xm:sqref>C14:C16</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tabColor rgb="FFB4C6E7"/>
  </sheetPr>
  <dimension ref="A1:P34"/>
  <sheetViews>
    <sheetView zoomScaleNormal="100" workbookViewId="0">
      <pane xSplit="4" ySplit="6" topLeftCell="O26" activePane="bottomRight" state="frozen"/>
      <selection pane="topRight" activeCell="E1" sqref="E1"/>
      <selection pane="bottomLeft" activeCell="A7" sqref="A7"/>
      <selection pane="bottomRight" activeCell="O43" sqref="O43"/>
    </sheetView>
  </sheetViews>
  <sheetFormatPr defaultColWidth="9.19921875" defaultRowHeight="14.25" x14ac:dyDescent="0.45"/>
  <cols>
    <col min="1" max="1" width="14.796875" style="72" customWidth="1"/>
    <col min="2" max="2" width="12.53125" style="72" customWidth="1"/>
    <col min="3" max="3" width="13" style="79" customWidth="1"/>
    <col min="4" max="4" width="45.19921875" style="72" customWidth="1"/>
    <col min="5" max="5" width="28.796875" style="72" customWidth="1"/>
    <col min="6" max="6" width="17" style="72" customWidth="1"/>
    <col min="7" max="7" width="29.19921875" style="72" customWidth="1"/>
    <col min="8" max="8" width="27.796875" style="72" customWidth="1"/>
    <col min="9" max="9" width="34.796875" style="72" customWidth="1"/>
    <col min="10" max="10" width="28.19921875" style="72" customWidth="1"/>
    <col min="11" max="11" width="10.796875" style="72" bestFit="1" customWidth="1"/>
    <col min="12" max="12" width="23" style="72" customWidth="1"/>
    <col min="13" max="13" width="29" style="72" customWidth="1"/>
    <col min="14" max="14" width="18.796875" style="72" bestFit="1" customWidth="1"/>
    <col min="15" max="15" width="48.46484375" style="72" customWidth="1"/>
    <col min="16" max="16" width="41.796875" style="72" customWidth="1"/>
    <col min="17" max="16384" width="9.19921875" style="72"/>
  </cols>
  <sheetData>
    <row r="1" spans="1:16" s="75" customFormat="1" ht="18" x14ac:dyDescent="0.45">
      <c r="A1" s="73" t="s">
        <v>7</v>
      </c>
      <c r="B1" s="83" t="s">
        <v>263</v>
      </c>
      <c r="C1" s="77"/>
      <c r="D1" s="74"/>
    </row>
    <row r="2" spans="1:16" s="75" customFormat="1" ht="18" x14ac:dyDescent="0.45">
      <c r="A2" s="73" t="s">
        <v>8</v>
      </c>
      <c r="B2" s="81">
        <v>10</v>
      </c>
      <c r="C2" s="80"/>
      <c r="D2" s="81"/>
    </row>
    <row r="3" spans="1:16" s="75" customFormat="1" ht="18" x14ac:dyDescent="0.45">
      <c r="A3" s="73" t="s">
        <v>44</v>
      </c>
      <c r="B3" s="81" t="s">
        <v>438</v>
      </c>
      <c r="C3" s="80"/>
      <c r="D3" s="81" t="s">
        <v>713</v>
      </c>
    </row>
    <row r="4" spans="1:16" s="75" customFormat="1" ht="18" x14ac:dyDescent="0.45">
      <c r="A4" s="73" t="s">
        <v>9</v>
      </c>
      <c r="B4" s="75" t="s">
        <v>46</v>
      </c>
      <c r="C4" s="80"/>
    </row>
    <row r="5" spans="1:16" s="70" customFormat="1" x14ac:dyDescent="0.45">
      <c r="C5" s="82"/>
    </row>
    <row r="6" spans="1:16" s="76" customFormat="1" ht="14.65" thickBot="1" x14ac:dyDescent="0.5">
      <c r="A6" s="76" t="s">
        <v>11</v>
      </c>
      <c r="B6" s="76" t="s">
        <v>12</v>
      </c>
      <c r="C6" s="78" t="s">
        <v>26</v>
      </c>
      <c r="D6" s="76" t="s">
        <v>25</v>
      </c>
      <c r="E6" s="76" t="s">
        <v>13</v>
      </c>
      <c r="F6" s="76" t="s">
        <v>14</v>
      </c>
      <c r="G6" s="76" t="s">
        <v>15</v>
      </c>
      <c r="H6" s="76" t="s">
        <v>16</v>
      </c>
      <c r="I6" s="76" t="s">
        <v>17</v>
      </c>
      <c r="J6" s="76" t="s">
        <v>18</v>
      </c>
      <c r="K6" s="76" t="s">
        <v>19</v>
      </c>
      <c r="L6" s="76" t="s">
        <v>20</v>
      </c>
      <c r="M6" s="76" t="s">
        <v>21</v>
      </c>
      <c r="N6" s="76" t="s">
        <v>22</v>
      </c>
      <c r="O6" s="76" t="s">
        <v>23</v>
      </c>
      <c r="P6" s="76" t="s">
        <v>24</v>
      </c>
    </row>
    <row r="7" spans="1:16" s="98" customFormat="1" x14ac:dyDescent="0.45">
      <c r="A7" s="98">
        <v>1</v>
      </c>
      <c r="B7" s="98" t="str">
        <f t="shared" ref="B7:B28" si="0">CONCATENATE($B$2, ".", A7)</f>
        <v>10.1</v>
      </c>
      <c r="C7" s="101" t="s">
        <v>40</v>
      </c>
      <c r="D7" s="98" t="s">
        <v>719</v>
      </c>
      <c r="E7" s="98" t="s">
        <v>86</v>
      </c>
      <c r="F7" s="98" t="s">
        <v>37</v>
      </c>
      <c r="G7" s="98" t="s">
        <v>37</v>
      </c>
      <c r="H7" s="98" t="s">
        <v>37</v>
      </c>
      <c r="I7" s="98" t="s">
        <v>10</v>
      </c>
      <c r="J7" s="99" t="s">
        <v>37</v>
      </c>
      <c r="K7" s="99" t="s">
        <v>37</v>
      </c>
      <c r="L7" s="99" t="s">
        <v>37</v>
      </c>
      <c r="M7" s="99" t="s">
        <v>37</v>
      </c>
      <c r="N7" s="99" t="s">
        <v>37</v>
      </c>
      <c r="O7" s="99" t="s">
        <v>37</v>
      </c>
    </row>
    <row r="8" spans="1:16" s="98" customFormat="1" x14ac:dyDescent="0.45">
      <c r="A8" s="98">
        <v>2</v>
      </c>
      <c r="B8" s="98" t="str">
        <f t="shared" si="0"/>
        <v>10.2</v>
      </c>
      <c r="C8" s="101" t="s">
        <v>40</v>
      </c>
      <c r="D8" s="72" t="s">
        <v>37</v>
      </c>
      <c r="E8" s="72" t="s">
        <v>48</v>
      </c>
      <c r="F8" s="72" t="s">
        <v>37</v>
      </c>
      <c r="G8" s="72" t="s">
        <v>37</v>
      </c>
      <c r="H8" s="72" t="s">
        <v>37</v>
      </c>
      <c r="I8" s="72" t="s">
        <v>10</v>
      </c>
      <c r="J8" s="72" t="s">
        <v>37</v>
      </c>
      <c r="K8" s="72" t="s">
        <v>37</v>
      </c>
      <c r="L8" s="72" t="s">
        <v>37</v>
      </c>
      <c r="M8" s="72" t="s">
        <v>37</v>
      </c>
      <c r="N8" s="72" t="s">
        <v>37</v>
      </c>
      <c r="O8" s="72" t="s">
        <v>37</v>
      </c>
      <c r="P8" s="72"/>
    </row>
    <row r="9" spans="1:16" s="98" customFormat="1" x14ac:dyDescent="0.45">
      <c r="A9" s="98">
        <v>3</v>
      </c>
      <c r="B9" s="98" t="str">
        <f t="shared" si="0"/>
        <v>10.3</v>
      </c>
      <c r="C9" s="101" t="s">
        <v>40</v>
      </c>
      <c r="D9" s="72" t="s">
        <v>284</v>
      </c>
      <c r="E9" s="72" t="s">
        <v>29</v>
      </c>
      <c r="F9" s="72" t="s">
        <v>37</v>
      </c>
      <c r="G9" s="72" t="s">
        <v>37</v>
      </c>
      <c r="H9" s="72" t="s">
        <v>37</v>
      </c>
      <c r="I9" s="72" t="s">
        <v>10</v>
      </c>
      <c r="J9" s="72" t="s">
        <v>75</v>
      </c>
      <c r="K9" s="72" t="s">
        <v>37</v>
      </c>
      <c r="L9" s="72" t="s">
        <v>37</v>
      </c>
      <c r="M9" s="72" t="s">
        <v>37</v>
      </c>
      <c r="N9" s="72" t="s">
        <v>37</v>
      </c>
      <c r="O9" s="72" t="s">
        <v>37</v>
      </c>
      <c r="P9" s="72"/>
    </row>
    <row r="10" spans="1:16" s="98" customFormat="1" ht="28.5" x14ac:dyDescent="0.45">
      <c r="A10" s="98">
        <v>4</v>
      </c>
      <c r="B10" s="98" t="str">
        <f t="shared" si="0"/>
        <v>10.4</v>
      </c>
      <c r="C10" s="101" t="s">
        <v>40</v>
      </c>
      <c r="D10" s="72" t="s">
        <v>415</v>
      </c>
      <c r="E10" s="72" t="s">
        <v>36</v>
      </c>
      <c r="F10" s="72" t="s">
        <v>37</v>
      </c>
      <c r="G10" s="72" t="s">
        <v>37</v>
      </c>
      <c r="H10" s="72" t="s">
        <v>37</v>
      </c>
      <c r="I10" s="72" t="s">
        <v>10</v>
      </c>
      <c r="J10" s="72" t="s">
        <v>75</v>
      </c>
      <c r="K10" s="72" t="s">
        <v>37</v>
      </c>
      <c r="L10" s="72" t="s">
        <v>37</v>
      </c>
      <c r="M10" s="72" t="s">
        <v>37</v>
      </c>
      <c r="N10" s="72" t="s">
        <v>37</v>
      </c>
      <c r="O10" s="72" t="s">
        <v>37</v>
      </c>
      <c r="P10" s="72"/>
    </row>
    <row r="11" spans="1:16" s="98" customFormat="1" ht="99.75" x14ac:dyDescent="0.45">
      <c r="A11" s="98">
        <v>5</v>
      </c>
      <c r="B11" s="98" t="str">
        <f t="shared" si="0"/>
        <v>10.5</v>
      </c>
      <c r="C11" s="101" t="s">
        <v>40</v>
      </c>
      <c r="D11" s="72" t="s">
        <v>416</v>
      </c>
      <c r="E11" s="72" t="s">
        <v>36</v>
      </c>
      <c r="F11" s="72" t="s">
        <v>37</v>
      </c>
      <c r="G11" s="72" t="s">
        <v>262</v>
      </c>
      <c r="H11" s="72" t="s">
        <v>37</v>
      </c>
      <c r="I11" s="72" t="s">
        <v>417</v>
      </c>
      <c r="J11" s="72" t="s">
        <v>75</v>
      </c>
      <c r="K11" s="72" t="s">
        <v>37</v>
      </c>
      <c r="L11" s="72" t="s">
        <v>37</v>
      </c>
      <c r="M11" s="72" t="s">
        <v>37</v>
      </c>
      <c r="N11" s="72" t="s">
        <v>37</v>
      </c>
      <c r="O11" s="72" t="s">
        <v>418</v>
      </c>
      <c r="P11" s="72"/>
    </row>
    <row r="12" spans="1:16" s="98" customFormat="1" ht="85.5" x14ac:dyDescent="0.45">
      <c r="A12" s="98">
        <v>6</v>
      </c>
      <c r="B12" s="98" t="str">
        <f t="shared" si="0"/>
        <v>10.6</v>
      </c>
      <c r="C12" s="101" t="s">
        <v>38</v>
      </c>
      <c r="D12" s="72" t="s">
        <v>419</v>
      </c>
      <c r="E12" s="72" t="s">
        <v>36</v>
      </c>
      <c r="F12" s="72" t="s">
        <v>37</v>
      </c>
      <c r="G12" s="72" t="s">
        <v>37</v>
      </c>
      <c r="H12" s="72" t="s">
        <v>37</v>
      </c>
      <c r="I12" s="72" t="s">
        <v>10</v>
      </c>
      <c r="J12" s="72" t="s">
        <v>75</v>
      </c>
      <c r="K12" s="72" t="s">
        <v>37</v>
      </c>
      <c r="L12" s="72" t="s">
        <v>37</v>
      </c>
      <c r="M12" s="72" t="s">
        <v>37</v>
      </c>
      <c r="N12" s="72" t="s">
        <v>37</v>
      </c>
      <c r="O12" s="72" t="s">
        <v>605</v>
      </c>
      <c r="P12" s="72" t="s">
        <v>173</v>
      </c>
    </row>
    <row r="13" spans="1:16" s="98" customFormat="1" ht="85.5" x14ac:dyDescent="0.45">
      <c r="A13" s="98">
        <v>7</v>
      </c>
      <c r="B13" s="98" t="str">
        <f t="shared" si="0"/>
        <v>10.7</v>
      </c>
      <c r="C13" s="101" t="s">
        <v>38</v>
      </c>
      <c r="D13" s="72" t="s">
        <v>589</v>
      </c>
      <c r="E13" s="72" t="s">
        <v>36</v>
      </c>
      <c r="F13" s="72" t="s">
        <v>37</v>
      </c>
      <c r="G13" s="72" t="s">
        <v>37</v>
      </c>
      <c r="H13" s="72" t="s">
        <v>37</v>
      </c>
      <c r="I13" s="72" t="s">
        <v>10</v>
      </c>
      <c r="J13" s="72" t="s">
        <v>75</v>
      </c>
      <c r="K13" s="72" t="s">
        <v>37</v>
      </c>
      <c r="L13" s="72" t="s">
        <v>37</v>
      </c>
      <c r="M13" s="72" t="s">
        <v>37</v>
      </c>
      <c r="N13" s="72" t="s">
        <v>37</v>
      </c>
      <c r="O13" s="72" t="s">
        <v>606</v>
      </c>
      <c r="P13" s="72" t="s">
        <v>590</v>
      </c>
    </row>
    <row r="14" spans="1:16" s="98" customFormat="1" ht="57" x14ac:dyDescent="0.45">
      <c r="A14" s="98">
        <v>8</v>
      </c>
      <c r="B14" s="98" t="str">
        <f t="shared" si="0"/>
        <v>10.8</v>
      </c>
      <c r="C14" s="101" t="s">
        <v>40</v>
      </c>
      <c r="D14" s="72" t="s">
        <v>420</v>
      </c>
      <c r="E14" s="72" t="s">
        <v>34</v>
      </c>
      <c r="F14" s="72" t="s">
        <v>37</v>
      </c>
      <c r="G14" s="72" t="s">
        <v>37</v>
      </c>
      <c r="H14" s="72" t="s">
        <v>37</v>
      </c>
      <c r="I14" s="72" t="s">
        <v>10</v>
      </c>
      <c r="J14" s="72" t="s">
        <v>75</v>
      </c>
      <c r="K14" s="72" t="s">
        <v>37</v>
      </c>
      <c r="L14" s="72" t="s">
        <v>37</v>
      </c>
      <c r="M14" s="72" t="s">
        <v>37</v>
      </c>
      <c r="N14" s="72" t="s">
        <v>37</v>
      </c>
      <c r="O14" s="72" t="s">
        <v>37</v>
      </c>
      <c r="P14" s="72"/>
    </row>
    <row r="15" spans="1:16" s="98" customFormat="1" ht="228" x14ac:dyDescent="0.45">
      <c r="A15" s="98">
        <v>9</v>
      </c>
      <c r="B15" s="98" t="str">
        <f t="shared" si="0"/>
        <v>10.9</v>
      </c>
      <c r="C15" s="101" t="s">
        <v>38</v>
      </c>
      <c r="D15" s="72" t="s">
        <v>744</v>
      </c>
      <c r="E15" s="72" t="s">
        <v>76</v>
      </c>
      <c r="F15" s="72" t="s">
        <v>37</v>
      </c>
      <c r="G15" s="72" t="s">
        <v>37</v>
      </c>
      <c r="H15" s="72" t="s">
        <v>37</v>
      </c>
      <c r="I15" s="72" t="s">
        <v>10</v>
      </c>
      <c r="J15" s="72" t="s">
        <v>75</v>
      </c>
      <c r="K15" s="72" t="s">
        <v>37</v>
      </c>
      <c r="L15" s="72" t="s">
        <v>37</v>
      </c>
      <c r="M15" s="72" t="s">
        <v>37</v>
      </c>
      <c r="N15" s="72" t="s">
        <v>37</v>
      </c>
      <c r="O15" s="94" t="s">
        <v>720</v>
      </c>
      <c r="P15" s="72"/>
    </row>
    <row r="16" spans="1:16" s="98" customFormat="1" ht="42.75" x14ac:dyDescent="0.45">
      <c r="A16" s="98">
        <v>10</v>
      </c>
      <c r="B16" s="98" t="str">
        <f t="shared" si="0"/>
        <v>10.10</v>
      </c>
      <c r="C16" s="101" t="s">
        <v>42</v>
      </c>
      <c r="D16" s="72" t="s">
        <v>721</v>
      </c>
      <c r="E16" s="72" t="s">
        <v>76</v>
      </c>
      <c r="F16" s="72" t="s">
        <v>37</v>
      </c>
      <c r="G16" s="72" t="s">
        <v>37</v>
      </c>
      <c r="H16" s="72" t="s">
        <v>37</v>
      </c>
      <c r="I16" s="72" t="s">
        <v>10</v>
      </c>
      <c r="J16" s="72" t="s">
        <v>75</v>
      </c>
      <c r="K16" s="72" t="s">
        <v>37</v>
      </c>
      <c r="L16" s="72" t="s">
        <v>37</v>
      </c>
      <c r="M16" s="72" t="s">
        <v>37</v>
      </c>
      <c r="N16" s="72" t="s">
        <v>37</v>
      </c>
      <c r="O16" s="94" t="s">
        <v>722</v>
      </c>
      <c r="P16" s="72"/>
    </row>
    <row r="17" spans="1:16" s="98" customFormat="1" ht="57" x14ac:dyDescent="0.45">
      <c r="A17" s="98">
        <v>11</v>
      </c>
      <c r="B17" s="98" t="str">
        <f t="shared" si="0"/>
        <v>10.11</v>
      </c>
      <c r="C17" s="101" t="s">
        <v>40</v>
      </c>
      <c r="D17" s="72" t="s">
        <v>423</v>
      </c>
      <c r="E17" s="72" t="s">
        <v>34</v>
      </c>
      <c r="F17" s="72" t="s">
        <v>37</v>
      </c>
      <c r="G17" s="72" t="s">
        <v>37</v>
      </c>
      <c r="H17" s="72" t="s">
        <v>37</v>
      </c>
      <c r="I17" s="72" t="s">
        <v>10</v>
      </c>
      <c r="J17" s="72" t="s">
        <v>75</v>
      </c>
      <c r="K17" s="72" t="s">
        <v>37</v>
      </c>
      <c r="L17" s="72" t="s">
        <v>37</v>
      </c>
      <c r="M17" s="72" t="s">
        <v>37</v>
      </c>
      <c r="N17" s="72" t="s">
        <v>37</v>
      </c>
      <c r="O17" s="72" t="s">
        <v>37</v>
      </c>
      <c r="P17" s="72"/>
    </row>
    <row r="18" spans="1:16" s="98" customFormat="1" ht="28.5" x14ac:dyDescent="0.45">
      <c r="A18" s="98">
        <v>12</v>
      </c>
      <c r="B18" s="98" t="str">
        <f t="shared" si="0"/>
        <v>10.12</v>
      </c>
      <c r="C18" s="101" t="s">
        <v>41</v>
      </c>
      <c r="D18" s="72" t="s">
        <v>37</v>
      </c>
      <c r="E18" s="72" t="s">
        <v>85</v>
      </c>
      <c r="F18" s="72" t="s">
        <v>37</v>
      </c>
      <c r="G18" s="72" t="s">
        <v>37</v>
      </c>
      <c r="H18" s="72" t="s">
        <v>37</v>
      </c>
      <c r="I18" s="72" t="s">
        <v>10</v>
      </c>
      <c r="J18" s="72" t="s">
        <v>75</v>
      </c>
      <c r="K18" s="72" t="s">
        <v>37</v>
      </c>
      <c r="L18" s="72" t="s">
        <v>37</v>
      </c>
      <c r="M18" s="72" t="s">
        <v>37</v>
      </c>
      <c r="N18" s="72" t="s">
        <v>37</v>
      </c>
      <c r="O18" s="72" t="s">
        <v>421</v>
      </c>
      <c r="P18" s="72"/>
    </row>
    <row r="19" spans="1:16" s="114" customFormat="1" ht="57" x14ac:dyDescent="0.45">
      <c r="A19" s="114">
        <v>13</v>
      </c>
      <c r="B19" s="114" t="str">
        <f t="shared" si="0"/>
        <v>10.13</v>
      </c>
      <c r="C19" s="128" t="s">
        <v>40</v>
      </c>
      <c r="D19" s="114" t="s">
        <v>378</v>
      </c>
      <c r="E19" s="114" t="s">
        <v>32</v>
      </c>
      <c r="F19" s="114" t="s">
        <v>57</v>
      </c>
      <c r="G19" s="114" t="s">
        <v>387</v>
      </c>
      <c r="H19" s="114" t="s">
        <v>37</v>
      </c>
      <c r="I19" s="114" t="s">
        <v>591</v>
      </c>
      <c r="J19" s="114" t="s">
        <v>385</v>
      </c>
      <c r="K19" s="114" t="s">
        <v>52</v>
      </c>
      <c r="L19" s="114" t="s">
        <v>386</v>
      </c>
      <c r="M19" s="114" t="s">
        <v>37</v>
      </c>
      <c r="N19" s="114" t="s">
        <v>37</v>
      </c>
      <c r="O19" s="114" t="s">
        <v>592</v>
      </c>
      <c r="P19" s="114" t="s">
        <v>594</v>
      </c>
    </row>
    <row r="20" spans="1:16" s="114" customFormat="1" ht="42.75" x14ac:dyDescent="0.45">
      <c r="A20" s="114">
        <v>14</v>
      </c>
      <c r="B20" s="114" t="str">
        <f t="shared" si="0"/>
        <v>10.14</v>
      </c>
      <c r="C20" s="128" t="s">
        <v>40</v>
      </c>
      <c r="D20" s="114" t="s">
        <v>422</v>
      </c>
      <c r="E20" s="114" t="s">
        <v>34</v>
      </c>
      <c r="F20" s="114" t="s">
        <v>37</v>
      </c>
      <c r="G20" s="114" t="s">
        <v>37</v>
      </c>
      <c r="H20" s="114" t="s">
        <v>37</v>
      </c>
      <c r="I20" s="114" t="s">
        <v>10</v>
      </c>
      <c r="J20" s="114" t="s">
        <v>75</v>
      </c>
      <c r="K20" s="114" t="s">
        <v>37</v>
      </c>
      <c r="L20" s="114" t="s">
        <v>37</v>
      </c>
      <c r="M20" s="114" t="s">
        <v>37</v>
      </c>
      <c r="N20" s="114" t="s">
        <v>37</v>
      </c>
      <c r="O20" s="114" t="s">
        <v>37</v>
      </c>
    </row>
    <row r="21" spans="1:16" s="114" customFormat="1" ht="42.75" x14ac:dyDescent="0.45">
      <c r="A21" s="114">
        <v>15</v>
      </c>
      <c r="B21" s="114" t="str">
        <f t="shared" si="0"/>
        <v>10.15</v>
      </c>
      <c r="C21" s="128" t="s">
        <v>42</v>
      </c>
      <c r="D21" s="114" t="s">
        <v>730</v>
      </c>
      <c r="E21" s="114" t="s">
        <v>36</v>
      </c>
      <c r="F21" s="114" t="s">
        <v>37</v>
      </c>
      <c r="G21" s="114" t="s">
        <v>37</v>
      </c>
      <c r="H21" s="114" t="s">
        <v>37</v>
      </c>
      <c r="I21" s="114" t="s">
        <v>10</v>
      </c>
      <c r="J21" s="114" t="s">
        <v>75</v>
      </c>
      <c r="K21" s="114" t="s">
        <v>37</v>
      </c>
      <c r="L21" s="114" t="s">
        <v>37</v>
      </c>
      <c r="M21" s="114" t="s">
        <v>37</v>
      </c>
      <c r="N21" s="114" t="s">
        <v>37</v>
      </c>
      <c r="O21" s="114" t="s">
        <v>732</v>
      </c>
    </row>
    <row r="22" spans="1:16" s="114" customFormat="1" ht="142.5" x14ac:dyDescent="0.45">
      <c r="A22" s="114">
        <v>16</v>
      </c>
      <c r="B22" s="114" t="str">
        <f t="shared" si="0"/>
        <v>10.16</v>
      </c>
      <c r="C22" s="128" t="s">
        <v>42</v>
      </c>
      <c r="D22" s="114" t="s">
        <v>731</v>
      </c>
      <c r="E22" s="114" t="s">
        <v>36</v>
      </c>
      <c r="F22" s="114" t="s">
        <v>37</v>
      </c>
      <c r="G22" s="114" t="s">
        <v>37</v>
      </c>
      <c r="H22" s="114" t="s">
        <v>37</v>
      </c>
      <c r="I22" s="114" t="s">
        <v>10</v>
      </c>
      <c r="J22" s="114" t="s">
        <v>75</v>
      </c>
      <c r="K22" s="114" t="s">
        <v>37</v>
      </c>
      <c r="L22" s="114" t="s">
        <v>37</v>
      </c>
      <c r="M22" s="114" t="s">
        <v>37</v>
      </c>
      <c r="N22" s="114" t="s">
        <v>37</v>
      </c>
      <c r="O22" s="114" t="s">
        <v>733</v>
      </c>
    </row>
    <row r="23" spans="1:16" s="114" customFormat="1" ht="42.75" x14ac:dyDescent="0.45">
      <c r="A23" s="114">
        <v>17</v>
      </c>
      <c r="B23" s="114" t="str">
        <f t="shared" si="0"/>
        <v>10.17</v>
      </c>
      <c r="C23" s="128" t="s">
        <v>42</v>
      </c>
      <c r="D23" s="114" t="s">
        <v>735</v>
      </c>
      <c r="E23" s="114" t="s">
        <v>36</v>
      </c>
      <c r="F23" s="114" t="s">
        <v>37</v>
      </c>
      <c r="G23" s="114" t="s">
        <v>37</v>
      </c>
      <c r="H23" s="114" t="s">
        <v>37</v>
      </c>
      <c r="I23" s="114" t="s">
        <v>10</v>
      </c>
      <c r="J23" s="114" t="s">
        <v>75</v>
      </c>
      <c r="K23" s="114" t="s">
        <v>37</v>
      </c>
      <c r="L23" s="114" t="s">
        <v>37</v>
      </c>
      <c r="M23" s="114" t="s">
        <v>37</v>
      </c>
      <c r="N23" s="114" t="s">
        <v>37</v>
      </c>
      <c r="O23" s="114" t="s">
        <v>734</v>
      </c>
    </row>
    <row r="24" spans="1:16" s="114" customFormat="1" ht="57" x14ac:dyDescent="0.45">
      <c r="A24" s="114">
        <v>18</v>
      </c>
      <c r="B24" s="114" t="str">
        <f t="shared" si="0"/>
        <v>10.18</v>
      </c>
      <c r="C24" s="128" t="s">
        <v>42</v>
      </c>
      <c r="D24" s="114" t="s">
        <v>736</v>
      </c>
      <c r="E24" s="114" t="s">
        <v>36</v>
      </c>
      <c r="F24" s="114" t="s">
        <v>37</v>
      </c>
      <c r="G24" s="114" t="s">
        <v>37</v>
      </c>
      <c r="H24" s="114" t="s">
        <v>37</v>
      </c>
      <c r="I24" s="114" t="s">
        <v>10</v>
      </c>
      <c r="J24" s="114" t="s">
        <v>75</v>
      </c>
      <c r="K24" s="114" t="s">
        <v>37</v>
      </c>
      <c r="L24" s="114" t="s">
        <v>37</v>
      </c>
      <c r="M24" s="114" t="s">
        <v>37</v>
      </c>
      <c r="N24" s="114" t="s">
        <v>37</v>
      </c>
      <c r="O24" s="114" t="s">
        <v>740</v>
      </c>
    </row>
    <row r="25" spans="1:16" s="114" customFormat="1" ht="42.75" x14ac:dyDescent="0.45">
      <c r="A25" s="114">
        <v>19</v>
      </c>
      <c r="B25" s="114" t="str">
        <f t="shared" si="0"/>
        <v>10.19</v>
      </c>
      <c r="C25" s="128" t="s">
        <v>42</v>
      </c>
      <c r="D25" s="114" t="s">
        <v>737</v>
      </c>
      <c r="E25" s="114" t="s">
        <v>36</v>
      </c>
      <c r="F25" s="114" t="s">
        <v>37</v>
      </c>
      <c r="G25" s="114" t="s">
        <v>37</v>
      </c>
      <c r="H25" s="114" t="s">
        <v>37</v>
      </c>
      <c r="I25" s="114" t="s">
        <v>10</v>
      </c>
      <c r="J25" s="114" t="s">
        <v>75</v>
      </c>
      <c r="K25" s="114" t="s">
        <v>37</v>
      </c>
      <c r="L25" s="114" t="s">
        <v>37</v>
      </c>
      <c r="M25" s="114" t="s">
        <v>37</v>
      </c>
      <c r="N25" s="114" t="s">
        <v>37</v>
      </c>
      <c r="O25" s="114" t="s">
        <v>738</v>
      </c>
    </row>
    <row r="26" spans="1:16" s="114" customFormat="1" ht="57" x14ac:dyDescent="0.45">
      <c r="A26" s="114">
        <v>20</v>
      </c>
      <c r="B26" s="114" t="str">
        <f t="shared" si="0"/>
        <v>10.20</v>
      </c>
      <c r="C26" s="128" t="s">
        <v>42</v>
      </c>
      <c r="D26" s="114" t="s">
        <v>739</v>
      </c>
      <c r="E26" s="114" t="s">
        <v>36</v>
      </c>
      <c r="F26" s="114" t="s">
        <v>37</v>
      </c>
      <c r="G26" s="114" t="s">
        <v>37</v>
      </c>
      <c r="H26" s="114" t="s">
        <v>37</v>
      </c>
      <c r="I26" s="114" t="s">
        <v>10</v>
      </c>
      <c r="J26" s="114" t="s">
        <v>75</v>
      </c>
      <c r="K26" s="114" t="s">
        <v>37</v>
      </c>
      <c r="L26" s="114" t="s">
        <v>37</v>
      </c>
      <c r="M26" s="114" t="s">
        <v>37</v>
      </c>
      <c r="N26" s="114" t="s">
        <v>37</v>
      </c>
      <c r="O26" s="114" t="s">
        <v>741</v>
      </c>
    </row>
    <row r="27" spans="1:16" s="114" customFormat="1" ht="42.75" x14ac:dyDescent="0.45">
      <c r="A27" s="114">
        <v>21</v>
      </c>
      <c r="B27" s="114" t="str">
        <f t="shared" si="0"/>
        <v>10.21</v>
      </c>
      <c r="C27" s="128" t="s">
        <v>40</v>
      </c>
      <c r="D27" s="114" t="s">
        <v>384</v>
      </c>
      <c r="E27" s="114" t="s">
        <v>43</v>
      </c>
      <c r="F27" s="114" t="s">
        <v>37</v>
      </c>
      <c r="G27" s="114" t="s">
        <v>37</v>
      </c>
      <c r="H27" s="129" t="s">
        <v>37</v>
      </c>
      <c r="I27" s="114" t="s">
        <v>727</v>
      </c>
      <c r="J27" s="114" t="s">
        <v>37</v>
      </c>
      <c r="K27" s="114" t="s">
        <v>37</v>
      </c>
      <c r="L27" s="114" t="s">
        <v>37</v>
      </c>
      <c r="M27" s="114" t="s">
        <v>37</v>
      </c>
      <c r="N27" s="114" t="s">
        <v>37</v>
      </c>
      <c r="O27" s="114" t="s">
        <v>728</v>
      </c>
      <c r="P27" s="114" t="s">
        <v>593</v>
      </c>
    </row>
    <row r="28" spans="1:16" s="131" customFormat="1" ht="57" x14ac:dyDescent="0.45">
      <c r="A28" s="131">
        <v>22</v>
      </c>
      <c r="B28" s="131" t="str">
        <f t="shared" si="0"/>
        <v>10.22</v>
      </c>
      <c r="C28" s="106" t="s">
        <v>40</v>
      </c>
      <c r="D28" s="131" t="s">
        <v>751</v>
      </c>
      <c r="E28" s="131" t="s">
        <v>43</v>
      </c>
      <c r="F28" s="131" t="s">
        <v>37</v>
      </c>
      <c r="G28" s="131" t="s">
        <v>37</v>
      </c>
      <c r="H28" s="132" t="s">
        <v>37</v>
      </c>
      <c r="I28" s="131" t="s">
        <v>729</v>
      </c>
      <c r="J28" s="131" t="s">
        <v>37</v>
      </c>
      <c r="K28" s="131" t="s">
        <v>37</v>
      </c>
      <c r="L28" s="131" t="s">
        <v>37</v>
      </c>
      <c r="M28" s="131" t="s">
        <v>37</v>
      </c>
      <c r="N28" s="131" t="s">
        <v>37</v>
      </c>
      <c r="O28" s="131" t="s">
        <v>752</v>
      </c>
    </row>
    <row r="29" spans="1:16" ht="71.25" x14ac:dyDescent="0.45">
      <c r="A29" s="72">
        <v>23</v>
      </c>
      <c r="B29" s="72" t="str">
        <f>CONCATENATE($B$2, ".", A29)</f>
        <v>10.23</v>
      </c>
      <c r="C29" s="101" t="s">
        <v>41</v>
      </c>
      <c r="D29" s="130" t="s">
        <v>753</v>
      </c>
      <c r="E29" s="72" t="s">
        <v>43</v>
      </c>
      <c r="F29" s="72" t="s">
        <v>37</v>
      </c>
      <c r="G29" s="72" t="s">
        <v>37</v>
      </c>
      <c r="H29" s="96" t="s">
        <v>37</v>
      </c>
      <c r="I29" s="72" t="s">
        <v>10</v>
      </c>
      <c r="J29" s="72" t="s">
        <v>37</v>
      </c>
      <c r="K29" s="72" t="s">
        <v>37</v>
      </c>
      <c r="L29" s="72" t="s">
        <v>37</v>
      </c>
      <c r="M29" s="72" t="s">
        <v>37</v>
      </c>
      <c r="N29" s="72" t="s">
        <v>37</v>
      </c>
      <c r="O29" s="131" t="s">
        <v>754</v>
      </c>
    </row>
    <row r="30" spans="1:16" x14ac:dyDescent="0.45">
      <c r="I30" s="98"/>
      <c r="J30" s="97"/>
      <c r="K30" s="97"/>
      <c r="L30" s="99"/>
      <c r="M30" s="99"/>
      <c r="N30" s="99"/>
      <c r="O30" s="99"/>
    </row>
    <row r="31" spans="1:16" x14ac:dyDescent="0.45">
      <c r="I31" s="98"/>
      <c r="J31" s="97"/>
      <c r="K31" s="97"/>
      <c r="L31" s="99"/>
      <c r="M31" s="99"/>
      <c r="N31" s="99"/>
      <c r="O31" s="99"/>
    </row>
    <row r="32" spans="1:16" x14ac:dyDescent="0.45">
      <c r="I32" s="98"/>
      <c r="J32" s="97"/>
      <c r="K32" s="97"/>
      <c r="L32" s="99"/>
      <c r="M32" s="99"/>
      <c r="N32" s="99"/>
      <c r="O32" s="99"/>
    </row>
    <row r="33" spans="9:15" x14ac:dyDescent="0.45">
      <c r="I33" s="98"/>
      <c r="J33" s="97"/>
      <c r="K33" s="97"/>
      <c r="L33" s="99"/>
      <c r="M33" s="99"/>
      <c r="N33" s="99"/>
      <c r="O33" s="99"/>
    </row>
    <row r="34" spans="9:15" x14ac:dyDescent="0.45">
      <c r="I34" s="98"/>
      <c r="J34" s="97"/>
      <c r="K34" s="97"/>
      <c r="L34" s="99"/>
      <c r="M34" s="99"/>
      <c r="N34" s="99"/>
      <c r="O34" s="99"/>
    </row>
  </sheetData>
  <conditionalFormatting sqref="A2:XFD3 A4 C4:XFD4 A1 E1:XFD1 C1 A5:XFD6 A30:XFD1048576 A10:B27 Q10:XFD27 Q29:XFD29 A29:B29">
    <cfRule type="cellIs" dxfId="236" priority="182" operator="equal">
      <formula>"n/a"</formula>
    </cfRule>
  </conditionalFormatting>
  <conditionalFormatting sqref="C1:C6 C30:C1048576">
    <cfRule type="cellIs" dxfId="235" priority="183" operator="equal">
      <formula>"WIP (see comments)"</formula>
    </cfRule>
    <cfRule type="cellIs" dxfId="234" priority="184" operator="equal">
      <formula>"Removed"</formula>
    </cfRule>
    <cfRule type="cellIs" dxfId="233" priority="185" operator="equal">
      <formula>"Updated"</formula>
    </cfRule>
    <cfRule type="cellIs" dxfId="232" priority="186" operator="equal">
      <formula>"New"</formula>
    </cfRule>
  </conditionalFormatting>
  <conditionalFormatting sqref="B4">
    <cfRule type="cellIs" dxfId="231" priority="181" operator="equal">
      <formula>"n/a"</formula>
    </cfRule>
  </conditionalFormatting>
  <conditionalFormatting sqref="D1">
    <cfRule type="cellIs" dxfId="230" priority="180" operator="equal">
      <formula>"n/a"</formula>
    </cfRule>
  </conditionalFormatting>
  <conditionalFormatting sqref="B1">
    <cfRule type="cellIs" dxfId="229" priority="179" operator="equal">
      <formula>"n/a"</formula>
    </cfRule>
  </conditionalFormatting>
  <conditionalFormatting sqref="A7:B9 D7:XFD7 Q8:XFD9">
    <cfRule type="cellIs" dxfId="228" priority="170" operator="equal">
      <formula>"n/a"</formula>
    </cfRule>
  </conditionalFormatting>
  <conditionalFormatting sqref="C18">
    <cfRule type="cellIs" dxfId="227" priority="122" operator="equal">
      <formula>"WIP (see comments)"</formula>
    </cfRule>
    <cfRule type="cellIs" dxfId="226" priority="123" operator="equal">
      <formula>"Removed"</formula>
    </cfRule>
    <cfRule type="cellIs" dxfId="225" priority="124" operator="equal">
      <formula>"Updated"</formula>
    </cfRule>
    <cfRule type="cellIs" dxfId="224" priority="125" operator="equal">
      <formula>"New"</formula>
    </cfRule>
  </conditionalFormatting>
  <conditionalFormatting sqref="C18">
    <cfRule type="cellIs" dxfId="223" priority="121" operator="equal">
      <formula>"n/a"</formula>
    </cfRule>
  </conditionalFormatting>
  <conditionalFormatting sqref="C16:C17">
    <cfRule type="cellIs" dxfId="222" priority="116" operator="equal">
      <formula>"WIP (see comments)"</formula>
    </cfRule>
    <cfRule type="cellIs" dxfId="221" priority="117" operator="equal">
      <formula>"Removed"</formula>
    </cfRule>
    <cfRule type="cellIs" dxfId="220" priority="118" operator="equal">
      <formula>"Updated"</formula>
    </cfRule>
    <cfRule type="cellIs" dxfId="219" priority="119" operator="equal">
      <formula>"New"</formula>
    </cfRule>
  </conditionalFormatting>
  <conditionalFormatting sqref="C16:C17">
    <cfRule type="cellIs" dxfId="218" priority="115" operator="equal">
      <formula>"n/a"</formula>
    </cfRule>
  </conditionalFormatting>
  <conditionalFormatting sqref="C29">
    <cfRule type="cellIs" dxfId="217" priority="111" operator="equal">
      <formula>"WIP (see comments)"</formula>
    </cfRule>
    <cfRule type="cellIs" dxfId="216" priority="112" operator="equal">
      <formula>"Removed"</formula>
    </cfRule>
    <cfRule type="cellIs" dxfId="215" priority="113" operator="equal">
      <formula>"Updated"</formula>
    </cfRule>
    <cfRule type="cellIs" dxfId="214" priority="114" operator="equal">
      <formula>"New"</formula>
    </cfRule>
  </conditionalFormatting>
  <conditionalFormatting sqref="C29">
    <cfRule type="cellIs" dxfId="213" priority="110" operator="equal">
      <formula>"n/a"</formula>
    </cfRule>
  </conditionalFormatting>
  <conditionalFormatting sqref="C7:C15">
    <cfRule type="cellIs" dxfId="212" priority="106" operator="equal">
      <formula>"WIP (see comments)"</formula>
    </cfRule>
    <cfRule type="cellIs" dxfId="211" priority="107" operator="equal">
      <formula>"Removed"</formula>
    </cfRule>
    <cfRule type="cellIs" dxfId="210" priority="108" operator="equal">
      <formula>"Updated"</formula>
    </cfRule>
    <cfRule type="cellIs" dxfId="209" priority="109" operator="equal">
      <formula>"New"</formula>
    </cfRule>
  </conditionalFormatting>
  <conditionalFormatting sqref="C7:C15">
    <cfRule type="cellIs" dxfId="208" priority="105" operator="equal">
      <formula>"n/a"</formula>
    </cfRule>
  </conditionalFormatting>
  <conditionalFormatting sqref="C19:C27">
    <cfRule type="cellIs" dxfId="207" priority="75" operator="equal">
      <formula>"WIP (see comments)"</formula>
    </cfRule>
    <cfRule type="cellIs" dxfId="206" priority="76" operator="equal">
      <formula>"Removed"</formula>
    </cfRule>
    <cfRule type="cellIs" dxfId="205" priority="77" operator="equal">
      <formula>"Updated"</formula>
    </cfRule>
    <cfRule type="cellIs" dxfId="204" priority="78" operator="equal">
      <formula>"New"</formula>
    </cfRule>
  </conditionalFormatting>
  <conditionalFormatting sqref="C19:C27">
    <cfRule type="cellIs" dxfId="203" priority="74" operator="equal">
      <formula>"n/a"</formula>
    </cfRule>
  </conditionalFormatting>
  <conditionalFormatting sqref="D10:D15 D19:D26 P11:P12 D27:O27 D29:P29 P14:P15 P20:P27 P17 D17">
    <cfRule type="cellIs" dxfId="202" priority="73" operator="equal">
      <formula>"n/a"</formula>
    </cfRule>
  </conditionalFormatting>
  <conditionalFormatting sqref="D9:E9 D8:P8">
    <cfRule type="cellIs" dxfId="201" priority="72" operator="equal">
      <formula>"n/a"</formula>
    </cfRule>
  </conditionalFormatting>
  <conditionalFormatting sqref="E10:G10 I10:J10 M10:P10">
    <cfRule type="cellIs" dxfId="200" priority="71" operator="equal">
      <formula>"n/a"</formula>
    </cfRule>
  </conditionalFormatting>
  <conditionalFormatting sqref="H10">
    <cfRule type="cellIs" dxfId="199" priority="70" operator="equal">
      <formula>"n/a"</formula>
    </cfRule>
  </conditionalFormatting>
  <conditionalFormatting sqref="K10:L10">
    <cfRule type="cellIs" dxfId="198" priority="69" operator="equal">
      <formula>"n/a"</formula>
    </cfRule>
  </conditionalFormatting>
  <conditionalFormatting sqref="E11:G11 I11:J11 M11:O11">
    <cfRule type="cellIs" dxfId="197" priority="68" operator="equal">
      <formula>"n/a"</formula>
    </cfRule>
  </conditionalFormatting>
  <conditionalFormatting sqref="H11">
    <cfRule type="cellIs" dxfId="196" priority="67" operator="equal">
      <formula>"n/a"</formula>
    </cfRule>
  </conditionalFormatting>
  <conditionalFormatting sqref="K11:L11">
    <cfRule type="cellIs" dxfId="195" priority="66" operator="equal">
      <formula>"n/a"</formula>
    </cfRule>
  </conditionalFormatting>
  <conditionalFormatting sqref="E12:G12 I12:J12 M12:O12 O13">
    <cfRule type="cellIs" dxfId="194" priority="65" operator="equal">
      <formula>"n/a"</formula>
    </cfRule>
  </conditionalFormatting>
  <conditionalFormatting sqref="H12">
    <cfRule type="cellIs" dxfId="193" priority="64" operator="equal">
      <formula>"n/a"</formula>
    </cfRule>
  </conditionalFormatting>
  <conditionalFormatting sqref="K12:L12">
    <cfRule type="cellIs" dxfId="192" priority="63" operator="equal">
      <formula>"n/a"</formula>
    </cfRule>
  </conditionalFormatting>
  <conditionalFormatting sqref="E13:G13 I13:J13 M13:N13">
    <cfRule type="cellIs" dxfId="191" priority="62" operator="equal">
      <formula>"n/a"</formula>
    </cfRule>
  </conditionalFormatting>
  <conditionalFormatting sqref="H13">
    <cfRule type="cellIs" dxfId="190" priority="61" operator="equal">
      <formula>"n/a"</formula>
    </cfRule>
  </conditionalFormatting>
  <conditionalFormatting sqref="K13:L13">
    <cfRule type="cellIs" dxfId="189" priority="60" operator="equal">
      <formula>"n/a"</formula>
    </cfRule>
  </conditionalFormatting>
  <conditionalFormatting sqref="F9">
    <cfRule type="cellIs" dxfId="188" priority="59" operator="equal">
      <formula>"n/a"</formula>
    </cfRule>
  </conditionalFormatting>
  <conditionalFormatting sqref="G9 I9:J9 M9:P9">
    <cfRule type="cellIs" dxfId="187" priority="58" operator="equal">
      <formula>"n/a"</formula>
    </cfRule>
  </conditionalFormatting>
  <conditionalFormatting sqref="H9">
    <cfRule type="cellIs" dxfId="186" priority="57" operator="equal">
      <formula>"n/a"</formula>
    </cfRule>
  </conditionalFormatting>
  <conditionalFormatting sqref="K9:L9">
    <cfRule type="cellIs" dxfId="185" priority="56" operator="equal">
      <formula>"n/a"</formula>
    </cfRule>
  </conditionalFormatting>
  <conditionalFormatting sqref="E14:E15 E17:E20">
    <cfRule type="cellIs" dxfId="184" priority="55" operator="equal">
      <formula>"n/a"</formula>
    </cfRule>
  </conditionalFormatting>
  <conditionalFormatting sqref="F14:F20">
    <cfRule type="cellIs" dxfId="183" priority="54" operator="equal">
      <formula>"n/a"</formula>
    </cfRule>
  </conditionalFormatting>
  <conditionalFormatting sqref="M15:O15 I17:I18 O17:O18 O20 G15:G16 M16:N16 I15:J16">
    <cfRule type="cellIs" dxfId="182" priority="53" operator="equal">
      <formula>"n/a"</formula>
    </cfRule>
  </conditionalFormatting>
  <conditionalFormatting sqref="H15:H16">
    <cfRule type="cellIs" dxfId="181" priority="52" operator="equal">
      <formula>"n/a"</formula>
    </cfRule>
  </conditionalFormatting>
  <conditionalFormatting sqref="K15:L16">
    <cfRule type="cellIs" dxfId="180" priority="51" operator="equal">
      <formula>"n/a"</formula>
    </cfRule>
  </conditionalFormatting>
  <conditionalFormatting sqref="G14 I14:J14 M14:O14">
    <cfRule type="cellIs" dxfId="179" priority="50" operator="equal">
      <formula>"n/a"</formula>
    </cfRule>
  </conditionalFormatting>
  <conditionalFormatting sqref="H14">
    <cfRule type="cellIs" dxfId="178" priority="49" operator="equal">
      <formula>"n/a"</formula>
    </cfRule>
  </conditionalFormatting>
  <conditionalFormatting sqref="K14:L14">
    <cfRule type="cellIs" dxfId="177" priority="48" operator="equal">
      <formula>"n/a"</formula>
    </cfRule>
  </conditionalFormatting>
  <conditionalFormatting sqref="G17:G19">
    <cfRule type="cellIs" dxfId="176" priority="47" operator="equal">
      <formula>"n/a"</formula>
    </cfRule>
  </conditionalFormatting>
  <conditionalFormatting sqref="H17:H19">
    <cfRule type="cellIs" dxfId="175" priority="46" operator="equal">
      <formula>"n/a"</formula>
    </cfRule>
  </conditionalFormatting>
  <conditionalFormatting sqref="M17:N19 J17:J19">
    <cfRule type="cellIs" dxfId="174" priority="45" operator="equal">
      <formula>"n/a"</formula>
    </cfRule>
  </conditionalFormatting>
  <conditionalFormatting sqref="K17:L19">
    <cfRule type="cellIs" dxfId="173" priority="44" operator="equal">
      <formula>"n/a"</formula>
    </cfRule>
  </conditionalFormatting>
  <conditionalFormatting sqref="I20">
    <cfRule type="cellIs" dxfId="172" priority="43" operator="equal">
      <formula>"n/a"</formula>
    </cfRule>
  </conditionalFormatting>
  <conditionalFormatting sqref="G20">
    <cfRule type="cellIs" dxfId="171" priority="42" operator="equal">
      <formula>"n/a"</formula>
    </cfRule>
  </conditionalFormatting>
  <conditionalFormatting sqref="H20">
    <cfRule type="cellIs" dxfId="170" priority="41" operator="equal">
      <formula>"n/a"</formula>
    </cfRule>
  </conditionalFormatting>
  <conditionalFormatting sqref="M20:N20 J20">
    <cfRule type="cellIs" dxfId="169" priority="40" operator="equal">
      <formula>"n/a"</formula>
    </cfRule>
  </conditionalFormatting>
  <conditionalFormatting sqref="K20:L20">
    <cfRule type="cellIs" dxfId="168" priority="39" operator="equal">
      <formula>"n/a"</formula>
    </cfRule>
  </conditionalFormatting>
  <conditionalFormatting sqref="D18">
    <cfRule type="cellIs" dxfId="167" priority="38" operator="equal">
      <formula>"n/a"</formula>
    </cfRule>
  </conditionalFormatting>
  <conditionalFormatting sqref="P18">
    <cfRule type="cellIs" dxfId="166" priority="37" operator="equal">
      <formula>"n/a"</formula>
    </cfRule>
  </conditionalFormatting>
  <conditionalFormatting sqref="P13">
    <cfRule type="cellIs" dxfId="165" priority="36" operator="equal">
      <formula>"n/a"</formula>
    </cfRule>
  </conditionalFormatting>
  <conditionalFormatting sqref="I19">
    <cfRule type="cellIs" dxfId="164" priority="35" operator="equal">
      <formula>"n/a"</formula>
    </cfRule>
  </conditionalFormatting>
  <conditionalFormatting sqref="P19">
    <cfRule type="cellIs" dxfId="163" priority="34" operator="equal">
      <formula>"n/a"</formula>
    </cfRule>
  </conditionalFormatting>
  <conditionalFormatting sqref="O19">
    <cfRule type="cellIs" dxfId="162" priority="33" operator="equal">
      <formula>"n/a"</formula>
    </cfRule>
  </conditionalFormatting>
  <conditionalFormatting sqref="D16 P16">
    <cfRule type="cellIs" dxfId="161" priority="30" operator="equal">
      <formula>"n/a"</formula>
    </cfRule>
  </conditionalFormatting>
  <conditionalFormatting sqref="O16">
    <cfRule type="cellIs" dxfId="160" priority="29" operator="equal">
      <formula>"n/a"</formula>
    </cfRule>
  </conditionalFormatting>
  <conditionalFormatting sqref="E16">
    <cfRule type="cellIs" dxfId="159" priority="28" operator="equal">
      <formula>"n/a"</formula>
    </cfRule>
  </conditionalFormatting>
  <conditionalFormatting sqref="E21:G21 I21:J21 M21:O21">
    <cfRule type="cellIs" dxfId="158" priority="27" operator="equal">
      <formula>"n/a"</formula>
    </cfRule>
  </conditionalFormatting>
  <conditionalFormatting sqref="H21">
    <cfRule type="cellIs" dxfId="157" priority="26" operator="equal">
      <formula>"n/a"</formula>
    </cfRule>
  </conditionalFormatting>
  <conditionalFormatting sqref="K21:L21">
    <cfRule type="cellIs" dxfId="156" priority="25" operator="equal">
      <formula>"n/a"</formula>
    </cfRule>
  </conditionalFormatting>
  <conditionalFormatting sqref="E22:G22 I22:J22 M22:O22">
    <cfRule type="cellIs" dxfId="155" priority="24" operator="equal">
      <formula>"n/a"</formula>
    </cfRule>
  </conditionalFormatting>
  <conditionalFormatting sqref="H22">
    <cfRule type="cellIs" dxfId="154" priority="23" operator="equal">
      <formula>"n/a"</formula>
    </cfRule>
  </conditionalFormatting>
  <conditionalFormatting sqref="K22:L22">
    <cfRule type="cellIs" dxfId="153" priority="22" operator="equal">
      <formula>"n/a"</formula>
    </cfRule>
  </conditionalFormatting>
  <conditionalFormatting sqref="E23:G23 I23:J23 M23:O23">
    <cfRule type="cellIs" dxfId="152" priority="21" operator="equal">
      <formula>"n/a"</formula>
    </cfRule>
  </conditionalFormatting>
  <conditionalFormatting sqref="H23">
    <cfRule type="cellIs" dxfId="151" priority="20" operator="equal">
      <formula>"n/a"</formula>
    </cfRule>
  </conditionalFormatting>
  <conditionalFormatting sqref="K23:L23">
    <cfRule type="cellIs" dxfId="150" priority="19" operator="equal">
      <formula>"n/a"</formula>
    </cfRule>
  </conditionalFormatting>
  <conditionalFormatting sqref="E24:G24 I24:J24 M24:O24">
    <cfRule type="cellIs" dxfId="149" priority="18" operator="equal">
      <formula>"n/a"</formula>
    </cfRule>
  </conditionalFormatting>
  <conditionalFormatting sqref="H24">
    <cfRule type="cellIs" dxfId="148" priority="17" operator="equal">
      <formula>"n/a"</formula>
    </cfRule>
  </conditionalFormatting>
  <conditionalFormatting sqref="K24:L24">
    <cfRule type="cellIs" dxfId="147" priority="16" operator="equal">
      <formula>"n/a"</formula>
    </cfRule>
  </conditionalFormatting>
  <conditionalFormatting sqref="E25:G25 I25:J25 M25:O25">
    <cfRule type="cellIs" dxfId="146" priority="15" operator="equal">
      <formula>"n/a"</formula>
    </cfRule>
  </conditionalFormatting>
  <conditionalFormatting sqref="H25">
    <cfRule type="cellIs" dxfId="145" priority="14" operator="equal">
      <formula>"n/a"</formula>
    </cfRule>
  </conditionalFormatting>
  <conditionalFormatting sqref="K25:L25">
    <cfRule type="cellIs" dxfId="144" priority="13" operator="equal">
      <formula>"n/a"</formula>
    </cfRule>
  </conditionalFormatting>
  <conditionalFormatting sqref="E26:G26 I26:J26 M26:O26">
    <cfRule type="cellIs" dxfId="143" priority="12" operator="equal">
      <formula>"n/a"</formula>
    </cfRule>
  </conditionalFormatting>
  <conditionalFormatting sqref="H26">
    <cfRule type="cellIs" dxfId="142" priority="11" operator="equal">
      <formula>"n/a"</formula>
    </cfRule>
  </conditionalFormatting>
  <conditionalFormatting sqref="K26:L26">
    <cfRule type="cellIs" dxfId="141" priority="10" operator="equal">
      <formula>"n/a"</formula>
    </cfRule>
  </conditionalFormatting>
  <conditionalFormatting sqref="A28:B28 Q28:XFD28">
    <cfRule type="cellIs" dxfId="140" priority="9" operator="equal">
      <formula>"n/a"</formula>
    </cfRule>
  </conditionalFormatting>
  <conditionalFormatting sqref="C28">
    <cfRule type="cellIs" dxfId="139" priority="5" operator="equal">
      <formula>"WIP (see comments)"</formula>
    </cfRule>
    <cfRule type="cellIs" dxfId="138" priority="6" operator="equal">
      <formula>"Removed"</formula>
    </cfRule>
    <cfRule type="cellIs" dxfId="137" priority="7" operator="equal">
      <formula>"Updated"</formula>
    </cfRule>
    <cfRule type="cellIs" dxfId="136" priority="8" operator="equal">
      <formula>"New"</formula>
    </cfRule>
  </conditionalFormatting>
  <conditionalFormatting sqref="C28">
    <cfRule type="cellIs" dxfId="135" priority="4" operator="equal">
      <formula>"n/a"</formula>
    </cfRule>
  </conditionalFormatting>
  <conditionalFormatting sqref="D28:H28 P28 J28:N28">
    <cfRule type="cellIs" dxfId="134" priority="3" operator="equal">
      <formula>"n/a"</formula>
    </cfRule>
  </conditionalFormatting>
  <conditionalFormatting sqref="O28">
    <cfRule type="cellIs" dxfId="133" priority="2" operator="equal">
      <formula>"n/a"</formula>
    </cfRule>
  </conditionalFormatting>
  <conditionalFormatting sqref="I28">
    <cfRule type="cellIs" dxfId="132" priority="1" operator="equal">
      <formula>"n/a"</formula>
    </cfRule>
  </conditionalFormatting>
  <dataValidations count="1">
    <dataValidation type="list" allowBlank="1" showInputMessage="1" showErrorMessage="1" sqref="C30:C1048576" xr:uid="{00000000-0002-0000-0F00-000000000000}">
      <formula1>$B$5:$B$13</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F00-000001000000}">
          <x14:formula1>
            <xm:f>'List Values'!$B$5:$B$9</xm:f>
          </x14:formula1>
          <xm:sqref>C7:C27 C29</xm:sqref>
        </x14:dataValidation>
        <x14:dataValidation type="list" allowBlank="1" showInputMessage="1" showErrorMessage="1" xr:uid="{00000000-0002-0000-0F00-000002000000}">
          <x14:formula1>
            <xm:f>'List Values'!$A$5:$A$28</xm:f>
          </x14:formula1>
          <xm:sqref>E7:E27 E29</xm:sqref>
        </x14:dataValidation>
        <x14:dataValidation type="list" allowBlank="1" showInputMessage="1" showErrorMessage="1" xr:uid="{00000000-0002-0000-0F00-000003000000}">
          <x14:formula1>
            <xm:f>'C:\Users\matsubar\AppData\Local\Microsoft\Windows\INetCache\Content.Outlook\NQ5K8F7W\[CWB In-Branch Personal DCO Field Spec-IH 2020-10-02.xlsx]List Values'!#REF!</xm:f>
          </x14:formula1>
          <xm:sqref>E30:E1048576</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dimension ref="A1:P12"/>
  <sheetViews>
    <sheetView workbookViewId="0">
      <pane xSplit="4" ySplit="6" topLeftCell="J8" activePane="bottomRight" state="frozen"/>
      <selection pane="topRight" activeCell="E1" sqref="E1"/>
      <selection pane="bottomLeft" activeCell="A7" sqref="A7"/>
      <selection pane="bottomRight" activeCell="N30" sqref="N30"/>
    </sheetView>
  </sheetViews>
  <sheetFormatPr defaultColWidth="9.19921875" defaultRowHeight="14.25" x14ac:dyDescent="0.45"/>
  <cols>
    <col min="1" max="1" width="14.796875" style="5" customWidth="1"/>
    <col min="2" max="2" width="12.53125" style="5" customWidth="1"/>
    <col min="3" max="3" width="14.19921875" style="38" customWidth="1"/>
    <col min="4" max="4" width="45.19921875" style="5" customWidth="1"/>
    <col min="5" max="5" width="28.796875" style="5" customWidth="1"/>
    <col min="6" max="6" width="37" style="5" customWidth="1"/>
    <col min="7" max="7" width="29.19921875" style="5" customWidth="1"/>
    <col min="8" max="8" width="11.53125" style="38" bestFit="1" customWidth="1"/>
    <col min="9" max="9" width="34.796875" style="5" customWidth="1"/>
    <col min="10" max="10" width="28.19921875" style="5" customWidth="1"/>
    <col min="11" max="11" width="14" style="5" customWidth="1"/>
    <col min="12" max="12" width="23" style="5" customWidth="1"/>
    <col min="13" max="13" width="29" style="5" customWidth="1"/>
    <col min="14" max="14" width="18.796875" style="5" bestFit="1" customWidth="1"/>
    <col min="15" max="15" width="48.46484375" style="5" customWidth="1"/>
    <col min="16" max="16" width="41.796875" style="5" customWidth="1"/>
    <col min="17" max="16384" width="9.19921875" style="5"/>
  </cols>
  <sheetData>
    <row r="1" spans="1:16" s="27" customFormat="1" ht="18" x14ac:dyDescent="0.45">
      <c r="A1" s="25" t="s">
        <v>7</v>
      </c>
      <c r="B1" s="35" t="s">
        <v>87</v>
      </c>
      <c r="C1" s="29"/>
      <c r="D1" s="26"/>
      <c r="H1" s="32"/>
    </row>
    <row r="2" spans="1:16" s="27" customFormat="1" ht="18" x14ac:dyDescent="0.45">
      <c r="A2" s="25" t="s">
        <v>8</v>
      </c>
      <c r="B2" s="33" t="s">
        <v>91</v>
      </c>
      <c r="C2" s="32"/>
      <c r="D2" s="33"/>
      <c r="H2" s="32"/>
    </row>
    <row r="3" spans="1:16" s="27" customFormat="1" ht="18" x14ac:dyDescent="0.45">
      <c r="A3" s="25" t="s">
        <v>44</v>
      </c>
      <c r="B3" s="33" t="s">
        <v>440</v>
      </c>
      <c r="C3" s="32"/>
      <c r="D3" s="33" t="s">
        <v>62</v>
      </c>
      <c r="H3" s="32"/>
    </row>
    <row r="4" spans="1:16" s="27" customFormat="1" ht="18" x14ac:dyDescent="0.45">
      <c r="A4" s="25" t="s">
        <v>9</v>
      </c>
      <c r="B4" s="27" t="s">
        <v>264</v>
      </c>
      <c r="C4" s="32"/>
      <c r="H4" s="32"/>
    </row>
    <row r="5" spans="1:16" s="39" customFormat="1" x14ac:dyDescent="0.45">
      <c r="C5" s="40"/>
      <c r="H5" s="40"/>
    </row>
    <row r="6" spans="1:16" s="28" customFormat="1" ht="14.65" thickBot="1" x14ac:dyDescent="0.5">
      <c r="A6" s="28" t="s">
        <v>11</v>
      </c>
      <c r="B6" s="28" t="s">
        <v>12</v>
      </c>
      <c r="C6" s="30" t="s">
        <v>26</v>
      </c>
      <c r="D6" s="28" t="s">
        <v>25</v>
      </c>
      <c r="E6" s="28" t="s">
        <v>13</v>
      </c>
      <c r="F6" s="28" t="s">
        <v>14</v>
      </c>
      <c r="G6" s="28" t="s">
        <v>15</v>
      </c>
      <c r="H6" s="30" t="s">
        <v>16</v>
      </c>
      <c r="I6" s="28" t="s">
        <v>17</v>
      </c>
      <c r="J6" s="28" t="s">
        <v>18</v>
      </c>
      <c r="K6" s="28" t="s">
        <v>19</v>
      </c>
      <c r="L6" s="28" t="s">
        <v>20</v>
      </c>
      <c r="M6" s="28" t="s">
        <v>21</v>
      </c>
      <c r="N6" s="28" t="s">
        <v>22</v>
      </c>
      <c r="O6" s="28" t="s">
        <v>23</v>
      </c>
      <c r="P6" s="28" t="s">
        <v>24</v>
      </c>
    </row>
    <row r="7" spans="1:16" ht="28.5" x14ac:dyDescent="0.45">
      <c r="A7" s="5">
        <v>1</v>
      </c>
      <c r="B7" s="5" t="str">
        <f>CONCATENATE($B$2, ".", A7)</f>
        <v>A.1</v>
      </c>
      <c r="C7" s="101" t="s">
        <v>40</v>
      </c>
      <c r="D7" s="5" t="s">
        <v>37</v>
      </c>
      <c r="E7" s="37" t="s">
        <v>85</v>
      </c>
      <c r="F7" s="5" t="s">
        <v>37</v>
      </c>
      <c r="G7" s="5" t="s">
        <v>37</v>
      </c>
      <c r="H7" s="38" t="s">
        <v>37</v>
      </c>
      <c r="I7" s="37" t="s">
        <v>10</v>
      </c>
      <c r="J7" s="5" t="s">
        <v>37</v>
      </c>
      <c r="K7" s="5" t="s">
        <v>37</v>
      </c>
      <c r="L7" s="5" t="s">
        <v>37</v>
      </c>
      <c r="M7" s="5" t="s">
        <v>37</v>
      </c>
      <c r="N7" s="5" t="s">
        <v>37</v>
      </c>
      <c r="O7" s="99" t="s">
        <v>145</v>
      </c>
      <c r="P7" s="37"/>
    </row>
    <row r="8" spans="1:16" x14ac:dyDescent="0.45">
      <c r="A8" s="5">
        <v>2</v>
      </c>
      <c r="B8" s="5" t="str">
        <f t="shared" ref="B8:B10" si="0">CONCATENATE($B$2, ".", A8)</f>
        <v>A.2</v>
      </c>
      <c r="C8" s="101" t="s">
        <v>40</v>
      </c>
      <c r="D8" s="99" t="s">
        <v>268</v>
      </c>
      <c r="E8" s="37" t="s">
        <v>86</v>
      </c>
      <c r="F8" s="5" t="s">
        <v>37</v>
      </c>
      <c r="G8" s="5" t="s">
        <v>37</v>
      </c>
      <c r="H8" s="38" t="s">
        <v>37</v>
      </c>
      <c r="I8" s="37" t="s">
        <v>10</v>
      </c>
      <c r="J8" s="5" t="s">
        <v>37</v>
      </c>
      <c r="K8" s="5" t="s">
        <v>37</v>
      </c>
      <c r="L8" s="5" t="s">
        <v>37</v>
      </c>
      <c r="M8" s="5" t="s">
        <v>37</v>
      </c>
      <c r="N8" s="5" t="s">
        <v>37</v>
      </c>
    </row>
    <row r="9" spans="1:16" x14ac:dyDescent="0.45">
      <c r="A9" s="5">
        <v>3</v>
      </c>
      <c r="B9" s="5" t="str">
        <f t="shared" si="0"/>
        <v>A.3</v>
      </c>
      <c r="C9" s="101" t="s">
        <v>40</v>
      </c>
      <c r="D9" s="41" t="s">
        <v>267</v>
      </c>
      <c r="E9" s="37" t="s">
        <v>34</v>
      </c>
      <c r="F9" s="5" t="s">
        <v>37</v>
      </c>
      <c r="G9" s="5" t="s">
        <v>37</v>
      </c>
      <c r="H9" s="38" t="s">
        <v>37</v>
      </c>
      <c r="I9" s="37" t="s">
        <v>10</v>
      </c>
      <c r="J9" s="5" t="s">
        <v>37</v>
      </c>
      <c r="K9" s="5" t="s">
        <v>37</v>
      </c>
      <c r="L9" s="5" t="s">
        <v>37</v>
      </c>
      <c r="M9" s="5" t="s">
        <v>37</v>
      </c>
      <c r="N9" s="5" t="s">
        <v>37</v>
      </c>
    </row>
    <row r="10" spans="1:16" ht="128.65" customHeight="1" x14ac:dyDescent="0.45">
      <c r="A10" s="5">
        <v>4</v>
      </c>
      <c r="B10" s="5" t="str">
        <f t="shared" si="0"/>
        <v>A.4</v>
      </c>
      <c r="C10" s="101" t="s">
        <v>40</v>
      </c>
      <c r="D10" s="99" t="s">
        <v>266</v>
      </c>
      <c r="E10" s="37" t="s">
        <v>76</v>
      </c>
      <c r="F10" s="5" t="s">
        <v>37</v>
      </c>
      <c r="G10" s="5" t="s">
        <v>37</v>
      </c>
      <c r="H10" s="38" t="s">
        <v>37</v>
      </c>
      <c r="I10" s="37" t="s">
        <v>10</v>
      </c>
      <c r="J10" s="5" t="s">
        <v>37</v>
      </c>
      <c r="K10" s="5" t="s">
        <v>37</v>
      </c>
      <c r="L10" s="5" t="s">
        <v>37</v>
      </c>
      <c r="M10" s="5" t="s">
        <v>37</v>
      </c>
      <c r="N10" s="5" t="s">
        <v>37</v>
      </c>
      <c r="O10" s="5" t="s">
        <v>265</v>
      </c>
      <c r="P10" s="99"/>
    </row>
    <row r="11" spans="1:16" x14ac:dyDescent="0.45">
      <c r="I11" s="37"/>
      <c r="L11" s="37"/>
      <c r="M11" s="37"/>
      <c r="N11" s="37"/>
      <c r="O11" s="37"/>
    </row>
    <row r="12" spans="1:16" x14ac:dyDescent="0.45">
      <c r="I12" s="37"/>
      <c r="L12" s="37"/>
      <c r="M12" s="37"/>
      <c r="N12" s="37"/>
      <c r="O12" s="37"/>
    </row>
  </sheetData>
  <autoFilter ref="A6:P9" xr:uid="{00000000-0009-0000-0000-000010000000}"/>
  <conditionalFormatting sqref="A1:XFD6 A11:XFD1048576 A7:B10 D7:XFD10">
    <cfRule type="cellIs" dxfId="131" priority="36" operator="equal">
      <formula>"n/a"</formula>
    </cfRule>
  </conditionalFormatting>
  <conditionalFormatting sqref="C1:C6 C11:C1048576">
    <cfRule type="cellIs" dxfId="130" priority="41" operator="equal">
      <formula>"WIP (see comments)"</formula>
    </cfRule>
    <cfRule type="cellIs" dxfId="129" priority="42" operator="equal">
      <formula>"Removed"</formula>
    </cfRule>
    <cfRule type="cellIs" dxfId="128" priority="43" operator="equal">
      <formula>"Updated"</formula>
    </cfRule>
    <cfRule type="cellIs" dxfId="127" priority="44" operator="equal">
      <formula>"New"</formula>
    </cfRule>
  </conditionalFormatting>
  <conditionalFormatting sqref="C8">
    <cfRule type="cellIs" dxfId="126" priority="7" operator="equal">
      <formula>"WIP (see comments)"</formula>
    </cfRule>
    <cfRule type="cellIs" dxfId="125" priority="8" operator="equal">
      <formula>"Removed"</formula>
    </cfRule>
    <cfRule type="cellIs" dxfId="124" priority="9" operator="equal">
      <formula>"Updated"</formula>
    </cfRule>
    <cfRule type="cellIs" dxfId="123" priority="10" operator="equal">
      <formula>"New"</formula>
    </cfRule>
  </conditionalFormatting>
  <conditionalFormatting sqref="C8">
    <cfRule type="cellIs" dxfId="122" priority="6" operator="equal">
      <formula>"n/a"</formula>
    </cfRule>
  </conditionalFormatting>
  <conditionalFormatting sqref="C10">
    <cfRule type="cellIs" dxfId="121" priority="17" operator="equal">
      <formula>"WIP (see comments)"</formula>
    </cfRule>
    <cfRule type="cellIs" dxfId="120" priority="18" operator="equal">
      <formula>"Removed"</formula>
    </cfRule>
    <cfRule type="cellIs" dxfId="119" priority="19" operator="equal">
      <formula>"Updated"</formula>
    </cfRule>
    <cfRule type="cellIs" dxfId="118" priority="20" operator="equal">
      <formula>"New"</formula>
    </cfRule>
  </conditionalFormatting>
  <conditionalFormatting sqref="C10">
    <cfRule type="cellIs" dxfId="117" priority="16" operator="equal">
      <formula>"n/a"</formula>
    </cfRule>
  </conditionalFormatting>
  <conditionalFormatting sqref="C9">
    <cfRule type="cellIs" dxfId="116" priority="12" operator="equal">
      <formula>"WIP (see comments)"</formula>
    </cfRule>
    <cfRule type="cellIs" dxfId="115" priority="13" operator="equal">
      <formula>"Removed"</formula>
    </cfRule>
    <cfRule type="cellIs" dxfId="114" priority="14" operator="equal">
      <formula>"Updated"</formula>
    </cfRule>
    <cfRule type="cellIs" dxfId="113" priority="15" operator="equal">
      <formula>"New"</formula>
    </cfRule>
  </conditionalFormatting>
  <conditionalFormatting sqref="C9">
    <cfRule type="cellIs" dxfId="112" priority="11" operator="equal">
      <formula>"n/a"</formula>
    </cfRule>
  </conditionalFormatting>
  <conditionalFormatting sqref="C7">
    <cfRule type="cellIs" dxfId="111" priority="2" operator="equal">
      <formula>"WIP (see comments)"</formula>
    </cfRule>
    <cfRule type="cellIs" dxfId="110" priority="3" operator="equal">
      <formula>"Removed"</formula>
    </cfRule>
    <cfRule type="cellIs" dxfId="109" priority="4" operator="equal">
      <formula>"Updated"</formula>
    </cfRule>
    <cfRule type="cellIs" dxfId="108" priority="5" operator="equal">
      <formula>"New"</formula>
    </cfRule>
  </conditionalFormatting>
  <conditionalFormatting sqref="C7">
    <cfRule type="cellIs" dxfId="107"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1000-000000000000}">
          <x14:formula1>
            <xm:f>'List Values'!$B$5:$B$13</xm:f>
          </x14:formula1>
          <xm:sqref>C11:C1048576</xm:sqref>
        </x14:dataValidation>
        <x14:dataValidation type="list" allowBlank="1" showInputMessage="1" showErrorMessage="1" xr:uid="{00000000-0002-0000-1000-000001000000}">
          <x14:formula1>
            <xm:f>'List Values'!$A$5:$A$28</xm:f>
          </x14:formula1>
          <xm:sqref>E7:E1048576</xm:sqref>
        </x14:dataValidation>
        <x14:dataValidation type="list" allowBlank="1" showInputMessage="1" showErrorMessage="1" xr:uid="{00000000-0002-0000-1000-000002000000}">
          <x14:formula1>
            <xm:f>'List Values'!$B$5:$B$9</xm:f>
          </x14:formula1>
          <xm:sqref>C7:C10</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dimension ref="A1:P11"/>
  <sheetViews>
    <sheetView zoomScaleNormal="100" workbookViewId="0">
      <pane xSplit="4" ySplit="6" topLeftCell="J7" activePane="bottomRight" state="frozen"/>
      <selection pane="topRight" activeCell="E1" sqref="E1"/>
      <selection pane="bottomLeft" activeCell="A7" sqref="A7"/>
      <selection pane="bottomRight" activeCell="O1" sqref="O1"/>
    </sheetView>
  </sheetViews>
  <sheetFormatPr defaultColWidth="9.19921875" defaultRowHeight="14.25" x14ac:dyDescent="0.45"/>
  <cols>
    <col min="1" max="1" width="14.796875" style="5" customWidth="1"/>
    <col min="2" max="2" width="12.53125" style="5" customWidth="1"/>
    <col min="3" max="3" width="13" style="38" customWidth="1"/>
    <col min="4" max="4" width="45.19921875" style="5" customWidth="1"/>
    <col min="5" max="5" width="28.796875" style="5" customWidth="1"/>
    <col min="6" max="6" width="37" style="5" customWidth="1"/>
    <col min="7" max="7" width="29.19921875" style="5" customWidth="1"/>
    <col min="8" max="8" width="11.53125" style="38" bestFit="1" customWidth="1"/>
    <col min="9" max="9" width="34.796875" style="5" customWidth="1"/>
    <col min="10" max="10" width="28.19921875" style="5" customWidth="1"/>
    <col min="11" max="11" width="14" style="5" customWidth="1"/>
    <col min="12" max="12" width="23" style="5" customWidth="1"/>
    <col min="13" max="13" width="29" style="5" customWidth="1"/>
    <col min="14" max="14" width="18.796875" style="5" bestFit="1" customWidth="1"/>
    <col min="15" max="15" width="48.46484375" style="5" customWidth="1"/>
    <col min="16" max="16" width="41.796875" style="5" customWidth="1"/>
    <col min="17" max="16384" width="9.19921875" style="5"/>
  </cols>
  <sheetData>
    <row r="1" spans="1:16" s="27" customFormat="1" ht="18" x14ac:dyDescent="0.45">
      <c r="A1" s="25" t="s">
        <v>7</v>
      </c>
      <c r="B1" s="35" t="s">
        <v>88</v>
      </c>
      <c r="C1" s="29"/>
      <c r="D1" s="26"/>
      <c r="H1" s="32"/>
    </row>
    <row r="2" spans="1:16" s="27" customFormat="1" ht="18" x14ac:dyDescent="0.45">
      <c r="A2" s="25" t="s">
        <v>8</v>
      </c>
      <c r="B2" s="33" t="s">
        <v>162</v>
      </c>
      <c r="C2" s="32"/>
      <c r="D2" s="33"/>
      <c r="H2" s="32"/>
    </row>
    <row r="3" spans="1:16" s="27" customFormat="1" ht="18" x14ac:dyDescent="0.45">
      <c r="A3" s="25" t="s">
        <v>44</v>
      </c>
      <c r="B3" s="33" t="s">
        <v>441</v>
      </c>
      <c r="C3" s="32"/>
      <c r="D3" s="33" t="s">
        <v>62</v>
      </c>
      <c r="H3" s="32"/>
    </row>
    <row r="4" spans="1:16" s="27" customFormat="1" ht="18" x14ac:dyDescent="0.45">
      <c r="A4" s="25" t="s">
        <v>9</v>
      </c>
      <c r="B4" s="27" t="s">
        <v>89</v>
      </c>
      <c r="C4" s="32"/>
      <c r="H4" s="32"/>
    </row>
    <row r="5" spans="1:16" s="39" customFormat="1" x14ac:dyDescent="0.45">
      <c r="C5" s="40"/>
      <c r="H5" s="40"/>
    </row>
    <row r="6" spans="1:16" s="28" customFormat="1" ht="14.65" thickBot="1" x14ac:dyDescent="0.5">
      <c r="A6" s="28" t="s">
        <v>11</v>
      </c>
      <c r="B6" s="28" t="s">
        <v>12</v>
      </c>
      <c r="C6" s="30" t="s">
        <v>26</v>
      </c>
      <c r="D6" s="28" t="s">
        <v>25</v>
      </c>
      <c r="E6" s="28" t="s">
        <v>13</v>
      </c>
      <c r="F6" s="28" t="s">
        <v>14</v>
      </c>
      <c r="G6" s="28" t="s">
        <v>15</v>
      </c>
      <c r="H6" s="30" t="s">
        <v>16</v>
      </c>
      <c r="I6" s="28" t="s">
        <v>17</v>
      </c>
      <c r="J6" s="28" t="s">
        <v>18</v>
      </c>
      <c r="K6" s="28" t="s">
        <v>19</v>
      </c>
      <c r="L6" s="28" t="s">
        <v>20</v>
      </c>
      <c r="M6" s="28" t="s">
        <v>21</v>
      </c>
      <c r="N6" s="28" t="s">
        <v>22</v>
      </c>
      <c r="O6" s="28" t="s">
        <v>23</v>
      </c>
      <c r="P6" s="28" t="s">
        <v>24</v>
      </c>
    </row>
    <row r="7" spans="1:16" ht="28.5" x14ac:dyDescent="0.45">
      <c r="A7" s="5">
        <v>1</v>
      </c>
      <c r="B7" s="5" t="str">
        <f>CONCATENATE($B$2, ".", A7)</f>
        <v>B.1</v>
      </c>
      <c r="C7" s="101" t="s">
        <v>40</v>
      </c>
      <c r="D7" s="5" t="s">
        <v>37</v>
      </c>
      <c r="E7" s="37" t="s">
        <v>85</v>
      </c>
      <c r="F7" s="5" t="s">
        <v>37</v>
      </c>
      <c r="G7" s="5" t="s">
        <v>37</v>
      </c>
      <c r="H7" s="38" t="s">
        <v>37</v>
      </c>
      <c r="I7" s="37" t="s">
        <v>10</v>
      </c>
      <c r="J7" s="5" t="s">
        <v>37</v>
      </c>
      <c r="K7" s="5" t="s">
        <v>37</v>
      </c>
      <c r="L7" s="5" t="s">
        <v>37</v>
      </c>
      <c r="M7" s="5" t="s">
        <v>37</v>
      </c>
      <c r="N7" s="5" t="s">
        <v>37</v>
      </c>
      <c r="O7" s="99" t="s">
        <v>146</v>
      </c>
      <c r="P7" s="37" t="s">
        <v>234</v>
      </c>
    </row>
    <row r="8" spans="1:16" x14ac:dyDescent="0.45">
      <c r="A8" s="5">
        <v>2</v>
      </c>
      <c r="B8" s="5" t="str">
        <f t="shared" ref="B8:B9" si="0">CONCATENATE($B$2, ".", A8)</f>
        <v>B.2</v>
      </c>
      <c r="C8" s="101" t="s">
        <v>40</v>
      </c>
      <c r="D8" s="37" t="s">
        <v>164</v>
      </c>
      <c r="E8" s="37" t="s">
        <v>86</v>
      </c>
      <c r="F8" s="5" t="s">
        <v>37</v>
      </c>
      <c r="G8" s="5" t="s">
        <v>37</v>
      </c>
      <c r="H8" s="38" t="s">
        <v>37</v>
      </c>
      <c r="I8" s="37" t="s">
        <v>10</v>
      </c>
      <c r="J8" s="5" t="s">
        <v>37</v>
      </c>
      <c r="K8" s="5" t="s">
        <v>37</v>
      </c>
      <c r="L8" s="5" t="s">
        <v>37</v>
      </c>
      <c r="M8" s="5" t="s">
        <v>37</v>
      </c>
      <c r="N8" s="5" t="s">
        <v>37</v>
      </c>
    </row>
    <row r="9" spans="1:16" ht="87.75" customHeight="1" x14ac:dyDescent="0.45">
      <c r="A9" s="5">
        <v>2</v>
      </c>
      <c r="B9" s="5" t="str">
        <f t="shared" si="0"/>
        <v>B.2</v>
      </c>
      <c r="C9" s="86" t="s">
        <v>41</v>
      </c>
      <c r="D9" s="102" t="s">
        <v>165</v>
      </c>
      <c r="E9" s="37" t="s">
        <v>34</v>
      </c>
      <c r="F9" s="5" t="s">
        <v>37</v>
      </c>
      <c r="G9" s="5" t="s">
        <v>37</v>
      </c>
      <c r="H9" s="38" t="s">
        <v>37</v>
      </c>
      <c r="I9" s="37" t="s">
        <v>41</v>
      </c>
      <c r="J9" s="5" t="s">
        <v>37</v>
      </c>
      <c r="K9" s="5" t="s">
        <v>37</v>
      </c>
      <c r="L9" s="5" t="s">
        <v>37</v>
      </c>
      <c r="M9" s="5" t="s">
        <v>37</v>
      </c>
      <c r="N9" s="5" t="s">
        <v>37</v>
      </c>
      <c r="P9" s="99" t="s">
        <v>246</v>
      </c>
    </row>
    <row r="10" spans="1:16" x14ac:dyDescent="0.45">
      <c r="I10" s="37"/>
      <c r="L10" s="37"/>
      <c r="M10" s="37"/>
      <c r="N10" s="37"/>
      <c r="O10" s="37"/>
    </row>
    <row r="11" spans="1:16" x14ac:dyDescent="0.45">
      <c r="I11" s="37"/>
      <c r="L11" s="37"/>
      <c r="M11" s="37"/>
      <c r="N11" s="37"/>
      <c r="O11" s="37"/>
    </row>
  </sheetData>
  <autoFilter ref="A6:P9" xr:uid="{00000000-0009-0000-0000-000011000000}"/>
  <conditionalFormatting sqref="A1:XFD6 A10:XFD1048576 A7:B9 D7:XFD9">
    <cfRule type="cellIs" dxfId="106" priority="26" operator="equal">
      <formula>"n/a"</formula>
    </cfRule>
  </conditionalFormatting>
  <conditionalFormatting sqref="C1:C6 C10:C1048576">
    <cfRule type="cellIs" dxfId="105" priority="30" operator="equal">
      <formula>"WIP (see comments)"</formula>
    </cfRule>
    <cfRule type="cellIs" dxfId="104" priority="31" operator="equal">
      <formula>"Removed"</formula>
    </cfRule>
    <cfRule type="cellIs" dxfId="103" priority="32" operator="equal">
      <formula>"Updated"</formula>
    </cfRule>
    <cfRule type="cellIs" dxfId="102" priority="33" operator="equal">
      <formula>"New"</formula>
    </cfRule>
  </conditionalFormatting>
  <conditionalFormatting sqref="C9">
    <cfRule type="cellIs" dxfId="101" priority="12" operator="equal">
      <formula>"WIP (see comments)"</formula>
    </cfRule>
    <cfRule type="cellIs" dxfId="100" priority="13" operator="equal">
      <formula>"Removed"</formula>
    </cfRule>
    <cfRule type="cellIs" dxfId="99" priority="14" operator="equal">
      <formula>"Updated"</formula>
    </cfRule>
    <cfRule type="cellIs" dxfId="98" priority="15" operator="equal">
      <formula>"New"</formula>
    </cfRule>
  </conditionalFormatting>
  <conditionalFormatting sqref="C9">
    <cfRule type="cellIs" dxfId="97" priority="11" operator="equal">
      <formula>"n/a"</formula>
    </cfRule>
  </conditionalFormatting>
  <conditionalFormatting sqref="C7:C8">
    <cfRule type="cellIs" dxfId="96" priority="2" operator="equal">
      <formula>"WIP (see comments)"</formula>
    </cfRule>
    <cfRule type="cellIs" dxfId="95" priority="3" operator="equal">
      <formula>"Removed"</formula>
    </cfRule>
    <cfRule type="cellIs" dxfId="94" priority="4" operator="equal">
      <formula>"Updated"</formula>
    </cfRule>
    <cfRule type="cellIs" dxfId="93" priority="5" operator="equal">
      <formula>"New"</formula>
    </cfRule>
  </conditionalFormatting>
  <conditionalFormatting sqref="C7:C8">
    <cfRule type="cellIs" dxfId="92"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1100-000000000000}">
          <x14:formula1>
            <xm:f>'List Values'!$A$5:$A$28</xm:f>
          </x14:formula1>
          <xm:sqref>E7:E1048576</xm:sqref>
        </x14:dataValidation>
        <x14:dataValidation type="list" allowBlank="1" showInputMessage="1" showErrorMessage="1" xr:uid="{00000000-0002-0000-1100-000001000000}">
          <x14:formula1>
            <xm:f>'List Values'!$B$5:$B$13</xm:f>
          </x14:formula1>
          <xm:sqref>C10:C1048576</xm:sqref>
        </x14:dataValidation>
        <x14:dataValidation type="list" allowBlank="1" showInputMessage="1" showErrorMessage="1" xr:uid="{00000000-0002-0000-1100-000002000000}">
          <x14:formula1>
            <xm:f>'List Values'!$B$5:$B$9</xm:f>
          </x14:formula1>
          <xm:sqref>C7:C9</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dimension ref="A1:P11"/>
  <sheetViews>
    <sheetView workbookViewId="0">
      <pane xSplit="4" ySplit="6" topLeftCell="E7" activePane="bottomRight" state="frozen"/>
      <selection pane="topRight" activeCell="E1" sqref="E1"/>
      <selection pane="bottomLeft" activeCell="A7" sqref="A7"/>
      <selection pane="bottomRight" activeCell="C11" sqref="C11"/>
    </sheetView>
  </sheetViews>
  <sheetFormatPr defaultColWidth="9.19921875" defaultRowHeight="14.25" x14ac:dyDescent="0.45"/>
  <cols>
    <col min="1" max="1" width="14.796875" style="5" customWidth="1"/>
    <col min="2" max="2" width="9" style="5" customWidth="1"/>
    <col min="3" max="3" width="19.46484375" style="44" customWidth="1"/>
    <col min="4" max="4" width="45.19921875" style="5" customWidth="1"/>
    <col min="5" max="5" width="28.796875" style="5" customWidth="1"/>
    <col min="6" max="6" width="37" style="5" customWidth="1"/>
    <col min="7" max="7" width="29.19921875" style="5" customWidth="1"/>
    <col min="8" max="8" width="11.53125" style="44" bestFit="1" customWidth="1"/>
    <col min="9" max="9" width="34.796875" style="5" customWidth="1"/>
    <col min="10" max="10" width="28.19921875" style="5" customWidth="1"/>
    <col min="11" max="11" width="14" style="5" customWidth="1"/>
    <col min="12" max="12" width="23" style="5" customWidth="1"/>
    <col min="13" max="13" width="29" style="5" customWidth="1"/>
    <col min="14" max="14" width="18.796875" style="5" bestFit="1" customWidth="1"/>
    <col min="15" max="15" width="48.46484375" style="5" customWidth="1"/>
    <col min="16" max="16" width="41.796875" style="5" customWidth="1"/>
    <col min="17" max="16384" width="9.19921875" style="5"/>
  </cols>
  <sheetData>
    <row r="1" spans="1:16" s="27" customFormat="1" ht="18" x14ac:dyDescent="0.45">
      <c r="A1" s="25" t="s">
        <v>7</v>
      </c>
      <c r="B1" s="35" t="s">
        <v>100</v>
      </c>
      <c r="C1" s="29"/>
      <c r="D1" s="26"/>
      <c r="H1" s="32"/>
    </row>
    <row r="2" spans="1:16" s="27" customFormat="1" ht="18" x14ac:dyDescent="0.45">
      <c r="A2" s="25" t="s">
        <v>8</v>
      </c>
      <c r="B2" s="33" t="s">
        <v>92</v>
      </c>
      <c r="C2" s="32"/>
      <c r="D2" s="33"/>
      <c r="H2" s="32"/>
    </row>
    <row r="3" spans="1:16" s="27" customFormat="1" ht="18" x14ac:dyDescent="0.45">
      <c r="A3" s="25" t="s">
        <v>44</v>
      </c>
      <c r="B3" s="33" t="s">
        <v>442</v>
      </c>
      <c r="C3" s="32"/>
      <c r="D3" s="33" t="s">
        <v>62</v>
      </c>
      <c r="H3" s="32"/>
    </row>
    <row r="4" spans="1:16" s="27" customFormat="1" ht="18" x14ac:dyDescent="0.45">
      <c r="A4" s="25" t="s">
        <v>9</v>
      </c>
      <c r="B4" s="27" t="s">
        <v>99</v>
      </c>
      <c r="C4" s="32"/>
      <c r="H4" s="32"/>
    </row>
    <row r="5" spans="1:16" s="39" customFormat="1" x14ac:dyDescent="0.45">
      <c r="C5" s="40"/>
      <c r="H5" s="40"/>
    </row>
    <row r="6" spans="1:16" s="28" customFormat="1" ht="14.65" thickBot="1" x14ac:dyDescent="0.5">
      <c r="A6" s="28" t="s">
        <v>11</v>
      </c>
      <c r="B6" s="28" t="s">
        <v>12</v>
      </c>
      <c r="C6" s="30" t="s">
        <v>26</v>
      </c>
      <c r="D6" s="28" t="s">
        <v>25</v>
      </c>
      <c r="E6" s="28" t="s">
        <v>13</v>
      </c>
      <c r="F6" s="28" t="s">
        <v>14</v>
      </c>
      <c r="G6" s="28" t="s">
        <v>15</v>
      </c>
      <c r="H6" s="30" t="s">
        <v>16</v>
      </c>
      <c r="I6" s="28" t="s">
        <v>17</v>
      </c>
      <c r="J6" s="28" t="s">
        <v>18</v>
      </c>
      <c r="K6" s="28" t="s">
        <v>19</v>
      </c>
      <c r="L6" s="28" t="s">
        <v>20</v>
      </c>
      <c r="M6" s="28" t="s">
        <v>21</v>
      </c>
      <c r="N6" s="28" t="s">
        <v>22</v>
      </c>
      <c r="O6" s="28" t="s">
        <v>23</v>
      </c>
      <c r="P6" s="28" t="s">
        <v>24</v>
      </c>
    </row>
    <row r="7" spans="1:16" ht="28.5" x14ac:dyDescent="0.45">
      <c r="A7" s="5">
        <v>1</v>
      </c>
      <c r="B7" s="5" t="str">
        <f t="shared" ref="B7" si="0">CONCATENATE($B$2, ".", A7)</f>
        <v>C.1</v>
      </c>
      <c r="C7" s="86" t="s">
        <v>40</v>
      </c>
      <c r="D7" s="37" t="s">
        <v>37</v>
      </c>
      <c r="E7" s="37" t="s">
        <v>85</v>
      </c>
      <c r="F7" s="5" t="s">
        <v>37</v>
      </c>
      <c r="G7" s="5" t="s">
        <v>37</v>
      </c>
      <c r="H7" s="66" t="s">
        <v>37</v>
      </c>
      <c r="I7" s="37" t="s">
        <v>10</v>
      </c>
      <c r="J7" s="5" t="s">
        <v>37</v>
      </c>
      <c r="K7" s="5" t="s">
        <v>37</v>
      </c>
      <c r="L7" s="5" t="s">
        <v>37</v>
      </c>
      <c r="M7" s="5" t="s">
        <v>37</v>
      </c>
      <c r="N7" s="5" t="s">
        <v>37</v>
      </c>
      <c r="O7" s="5" t="s">
        <v>147</v>
      </c>
    </row>
    <row r="8" spans="1:16" x14ac:dyDescent="0.45">
      <c r="A8" s="5">
        <v>2</v>
      </c>
      <c r="B8" s="5" t="str">
        <f t="shared" ref="B8:B11" si="1">CONCATENATE($B$2, ".", A8)</f>
        <v>C.2</v>
      </c>
      <c r="C8" s="101" t="s">
        <v>40</v>
      </c>
      <c r="D8" s="37" t="s">
        <v>247</v>
      </c>
      <c r="E8" s="37" t="s">
        <v>86</v>
      </c>
      <c r="F8" s="5" t="s">
        <v>37</v>
      </c>
      <c r="G8" s="5" t="s">
        <v>37</v>
      </c>
      <c r="H8" s="44" t="s">
        <v>37</v>
      </c>
      <c r="I8" s="37" t="s">
        <v>10</v>
      </c>
      <c r="J8" s="5" t="s">
        <v>37</v>
      </c>
      <c r="K8" s="5" t="s">
        <v>37</v>
      </c>
      <c r="L8" s="5" t="s">
        <v>37</v>
      </c>
      <c r="M8" s="5" t="s">
        <v>37</v>
      </c>
      <c r="N8" s="5" t="s">
        <v>37</v>
      </c>
      <c r="P8" s="5" t="s">
        <v>234</v>
      </c>
    </row>
    <row r="9" spans="1:16" ht="28.5" x14ac:dyDescent="0.45">
      <c r="A9" s="5">
        <v>3</v>
      </c>
      <c r="B9" s="5" t="str">
        <f>CONCATENATE($B$2, ".", A9)</f>
        <v>C.3</v>
      </c>
      <c r="C9" s="86" t="s">
        <v>40</v>
      </c>
      <c r="D9" s="97" t="s">
        <v>103</v>
      </c>
      <c r="E9" s="37" t="s">
        <v>102</v>
      </c>
      <c r="F9" s="5" t="s">
        <v>37</v>
      </c>
      <c r="G9" s="5" t="s">
        <v>37</v>
      </c>
      <c r="H9" s="44" t="s">
        <v>37</v>
      </c>
      <c r="I9" s="37" t="s">
        <v>10</v>
      </c>
      <c r="J9" s="5" t="s">
        <v>37</v>
      </c>
      <c r="K9" s="5" t="s">
        <v>37</v>
      </c>
      <c r="L9" s="5" t="s">
        <v>37</v>
      </c>
      <c r="M9" s="5" t="s">
        <v>37</v>
      </c>
      <c r="N9" s="5" t="s">
        <v>37</v>
      </c>
      <c r="O9" s="5" t="s">
        <v>104</v>
      </c>
    </row>
    <row r="10" spans="1:16" x14ac:dyDescent="0.45">
      <c r="A10" s="5">
        <v>4</v>
      </c>
      <c r="B10" s="5" t="str">
        <f t="shared" si="1"/>
        <v>C.4</v>
      </c>
      <c r="C10" s="101" t="s">
        <v>40</v>
      </c>
      <c r="D10" s="102" t="s">
        <v>248</v>
      </c>
      <c r="E10" s="37" t="s">
        <v>34</v>
      </c>
      <c r="F10" s="5" t="s">
        <v>37</v>
      </c>
      <c r="G10" s="5" t="s">
        <v>37</v>
      </c>
      <c r="H10" s="44" t="s">
        <v>37</v>
      </c>
      <c r="I10" s="37" t="s">
        <v>10</v>
      </c>
      <c r="J10" s="5" t="s">
        <v>37</v>
      </c>
      <c r="K10" s="5" t="s">
        <v>37</v>
      </c>
      <c r="L10" s="5" t="s">
        <v>37</v>
      </c>
      <c r="M10" s="5" t="s">
        <v>37</v>
      </c>
      <c r="N10" s="5" t="s">
        <v>37</v>
      </c>
      <c r="P10" s="97" t="s">
        <v>234</v>
      </c>
    </row>
    <row r="11" spans="1:16" ht="42.75" x14ac:dyDescent="0.45">
      <c r="A11" s="5">
        <v>5</v>
      </c>
      <c r="B11" s="5" t="str">
        <f t="shared" si="1"/>
        <v>C.5</v>
      </c>
      <c r="C11" s="86" t="s">
        <v>40</v>
      </c>
      <c r="D11" s="5" t="s">
        <v>97</v>
      </c>
      <c r="E11" s="5" t="s">
        <v>43</v>
      </c>
      <c r="F11" s="5" t="s">
        <v>37</v>
      </c>
      <c r="G11" s="5" t="s">
        <v>37</v>
      </c>
      <c r="H11" s="44" t="s">
        <v>37</v>
      </c>
      <c r="I11" s="37" t="s">
        <v>10</v>
      </c>
      <c r="J11" s="5" t="s">
        <v>37</v>
      </c>
      <c r="K11" s="5" t="s">
        <v>37</v>
      </c>
      <c r="L11" s="5" t="s">
        <v>37</v>
      </c>
      <c r="M11" s="5" t="s">
        <v>37</v>
      </c>
      <c r="N11" s="5" t="s">
        <v>37</v>
      </c>
      <c r="O11" s="37" t="s">
        <v>101</v>
      </c>
    </row>
  </sheetData>
  <autoFilter ref="A6:P6" xr:uid="{00000000-0009-0000-0000-000012000000}"/>
  <conditionalFormatting sqref="A1:XFD6 A12:XFD1048576 A7:B11 D7:XFD11">
    <cfRule type="cellIs" dxfId="91" priority="26" operator="equal">
      <formula>"n/a"</formula>
    </cfRule>
  </conditionalFormatting>
  <conditionalFormatting sqref="C1:C6 C12:C1048576">
    <cfRule type="cellIs" dxfId="90" priority="30" operator="equal">
      <formula>"WIP (see comments)"</formula>
    </cfRule>
    <cfRule type="cellIs" dxfId="89" priority="31" operator="equal">
      <formula>"Removed"</formula>
    </cfRule>
    <cfRule type="cellIs" dxfId="88" priority="32" operator="equal">
      <formula>"Updated"</formula>
    </cfRule>
    <cfRule type="cellIs" dxfId="87" priority="33" operator="equal">
      <formula>"New"</formula>
    </cfRule>
  </conditionalFormatting>
  <conditionalFormatting sqref="C7 C11 C9">
    <cfRule type="cellIs" dxfId="86" priority="12" operator="equal">
      <formula>"WIP (see comments)"</formula>
    </cfRule>
    <cfRule type="cellIs" dxfId="85" priority="13" operator="equal">
      <formula>"Removed"</formula>
    </cfRule>
    <cfRule type="cellIs" dxfId="84" priority="14" operator="equal">
      <formula>"Updated"</formula>
    </cfRule>
    <cfRule type="cellIs" dxfId="83" priority="15" operator="equal">
      <formula>"New"</formula>
    </cfRule>
  </conditionalFormatting>
  <conditionalFormatting sqref="C7 C11 C9">
    <cfRule type="cellIs" dxfId="82" priority="11" operator="equal">
      <formula>"n/a"</formula>
    </cfRule>
  </conditionalFormatting>
  <conditionalFormatting sqref="C10">
    <cfRule type="cellIs" dxfId="81" priority="7" operator="equal">
      <formula>"WIP (see comments)"</formula>
    </cfRule>
    <cfRule type="cellIs" dxfId="80" priority="8" operator="equal">
      <formula>"Removed"</formula>
    </cfRule>
    <cfRule type="cellIs" dxfId="79" priority="9" operator="equal">
      <formula>"Updated"</formula>
    </cfRule>
    <cfRule type="cellIs" dxfId="78" priority="10" operator="equal">
      <formula>"New"</formula>
    </cfRule>
  </conditionalFormatting>
  <conditionalFormatting sqref="C10">
    <cfRule type="cellIs" dxfId="77" priority="6" operator="equal">
      <formula>"n/a"</formula>
    </cfRule>
  </conditionalFormatting>
  <conditionalFormatting sqref="C8">
    <cfRule type="cellIs" dxfId="76" priority="2" operator="equal">
      <formula>"WIP (see comments)"</formula>
    </cfRule>
    <cfRule type="cellIs" dxfId="75" priority="3" operator="equal">
      <formula>"Removed"</formula>
    </cfRule>
    <cfRule type="cellIs" dxfId="74" priority="4" operator="equal">
      <formula>"Updated"</formula>
    </cfRule>
    <cfRule type="cellIs" dxfId="73" priority="5" operator="equal">
      <formula>"New"</formula>
    </cfRule>
  </conditionalFormatting>
  <conditionalFormatting sqref="C8">
    <cfRule type="cellIs" dxfId="72"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1200-000000000000}">
          <x14:formula1>
            <xm:f>'List Values'!$A$5:$A$28</xm:f>
          </x14:formula1>
          <xm:sqref>E7:E1048576</xm:sqref>
        </x14:dataValidation>
        <x14:dataValidation type="list" allowBlank="1" showInputMessage="1" showErrorMessage="1" xr:uid="{00000000-0002-0000-1200-000001000000}">
          <x14:formula1>
            <xm:f>'List Values'!$B$5:$B$12</xm:f>
          </x14:formula1>
          <xm:sqref>C12:C1048576</xm:sqref>
        </x14:dataValidation>
        <x14:dataValidation type="list" allowBlank="1" showInputMessage="1" showErrorMessage="1" xr:uid="{00000000-0002-0000-1200-000002000000}">
          <x14:formula1>
            <xm:f>'List Values'!$B$5:$B$9</xm:f>
          </x14:formula1>
          <xm:sqref>C11 C7 C9</xm:sqref>
        </x14:dataValidation>
        <x14:dataValidation type="list" allowBlank="1" showInputMessage="1" showErrorMessage="1" xr:uid="{00000000-0002-0000-1200-000003000000}">
          <x14:formula1>
            <xm:f>'C:\Users\matsubar\AppData\Local\Microsoft\Windows\INetCache\Content.Outlook\NQ5K8F7W\[CWB In-Branch Personal DCO Field Spec-IH 2020-10-02.xlsx]List Values'!#REF!</xm:f>
          </x14:formula1>
          <xm:sqref>C10 C8</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dimension ref="A1:P18"/>
  <sheetViews>
    <sheetView workbookViewId="0">
      <pane xSplit="4" ySplit="6" topLeftCell="L7" activePane="bottomRight" state="frozen"/>
      <selection pane="topRight" activeCell="E1" sqref="E1"/>
      <selection pane="bottomLeft" activeCell="A7" sqref="A7"/>
      <selection pane="bottomRight" activeCell="D11" sqref="D11"/>
    </sheetView>
  </sheetViews>
  <sheetFormatPr defaultColWidth="9.19921875" defaultRowHeight="14.25" x14ac:dyDescent="0.45"/>
  <cols>
    <col min="1" max="1" width="14.796875" style="71" customWidth="1"/>
    <col min="2" max="2" width="12.53125" style="71" customWidth="1"/>
    <col min="3" max="3" width="19.19921875" style="66" customWidth="1"/>
    <col min="4" max="4" width="45.19921875" style="71" customWidth="1"/>
    <col min="5" max="5" width="28.796875" style="71" customWidth="1"/>
    <col min="6" max="6" width="37" style="71" customWidth="1"/>
    <col min="7" max="7" width="29.19921875" style="71" customWidth="1"/>
    <col min="8" max="8" width="11.53125" style="66" bestFit="1" customWidth="1"/>
    <col min="9" max="9" width="34.796875" style="71" customWidth="1"/>
    <col min="10" max="10" width="28.19921875" style="71" customWidth="1"/>
    <col min="11" max="11" width="14" style="71" customWidth="1"/>
    <col min="12" max="12" width="23" style="71" customWidth="1"/>
    <col min="13" max="13" width="29" style="71" customWidth="1"/>
    <col min="14" max="14" width="18.796875" style="71" bestFit="1" customWidth="1"/>
    <col min="15" max="15" width="48.46484375" style="71" customWidth="1"/>
    <col min="16" max="16" width="41.796875" style="71" customWidth="1"/>
    <col min="17" max="16384" width="9.19921875" style="71"/>
  </cols>
  <sheetData>
    <row r="1" spans="1:16" s="75" customFormat="1" ht="18" x14ac:dyDescent="0.45">
      <c r="A1" s="73" t="s">
        <v>7</v>
      </c>
      <c r="B1" s="83" t="s">
        <v>186</v>
      </c>
      <c r="C1" s="77"/>
      <c r="D1" s="74"/>
      <c r="H1" s="80"/>
    </row>
    <row r="2" spans="1:16" s="75" customFormat="1" ht="18" x14ac:dyDescent="0.45">
      <c r="A2" s="73" t="s">
        <v>8</v>
      </c>
      <c r="B2" s="81" t="s">
        <v>185</v>
      </c>
      <c r="C2" s="80"/>
      <c r="D2" s="81"/>
      <c r="H2" s="80"/>
    </row>
    <row r="3" spans="1:16" s="75" customFormat="1" ht="18" x14ac:dyDescent="0.45">
      <c r="A3" s="73" t="s">
        <v>44</v>
      </c>
      <c r="B3" s="81" t="s">
        <v>439</v>
      </c>
      <c r="C3" s="80"/>
      <c r="D3" s="81" t="s">
        <v>62</v>
      </c>
      <c r="H3" s="80"/>
    </row>
    <row r="4" spans="1:16" s="75" customFormat="1" ht="18" x14ac:dyDescent="0.45">
      <c r="A4" s="73" t="s">
        <v>9</v>
      </c>
      <c r="B4" s="75" t="s">
        <v>184</v>
      </c>
      <c r="C4" s="80"/>
      <c r="H4" s="80"/>
    </row>
    <row r="5" spans="1:16" s="39" customFormat="1" x14ac:dyDescent="0.45">
      <c r="C5" s="40"/>
      <c r="H5" s="40"/>
    </row>
    <row r="6" spans="1:16" s="76" customFormat="1" ht="14.65" thickBot="1" x14ac:dyDescent="0.5">
      <c r="A6" s="76" t="s">
        <v>11</v>
      </c>
      <c r="B6" s="76" t="s">
        <v>12</v>
      </c>
      <c r="C6" s="78" t="s">
        <v>26</v>
      </c>
      <c r="D6" s="76" t="s">
        <v>25</v>
      </c>
      <c r="E6" s="76" t="s">
        <v>13</v>
      </c>
      <c r="F6" s="76" t="s">
        <v>14</v>
      </c>
      <c r="G6" s="76" t="s">
        <v>15</v>
      </c>
      <c r="H6" s="78" t="s">
        <v>16</v>
      </c>
      <c r="I6" s="76" t="s">
        <v>17</v>
      </c>
      <c r="J6" s="76" t="s">
        <v>18</v>
      </c>
      <c r="K6" s="76" t="s">
        <v>19</v>
      </c>
      <c r="L6" s="76" t="s">
        <v>20</v>
      </c>
      <c r="M6" s="76" t="s">
        <v>21</v>
      </c>
      <c r="N6" s="76" t="s">
        <v>22</v>
      </c>
      <c r="O6" s="76" t="s">
        <v>23</v>
      </c>
      <c r="P6" s="76" t="s">
        <v>24</v>
      </c>
    </row>
    <row r="7" spans="1:16" s="60" customFormat="1" ht="15" customHeight="1" x14ac:dyDescent="0.45">
      <c r="A7" s="65" t="s">
        <v>183</v>
      </c>
      <c r="B7" s="65"/>
      <c r="C7" s="65"/>
      <c r="D7" s="65"/>
      <c r="E7" s="65"/>
    </row>
    <row r="8" spans="1:16" ht="28.5" x14ac:dyDescent="0.45">
      <c r="A8" s="71">
        <v>1</v>
      </c>
      <c r="B8" s="71" t="str">
        <f>CONCATENATE($B$2, ".", A8)</f>
        <v>E.1</v>
      </c>
      <c r="C8" s="101" t="s">
        <v>40</v>
      </c>
      <c r="D8" s="99" t="s">
        <v>188</v>
      </c>
      <c r="E8" s="85" t="s">
        <v>86</v>
      </c>
      <c r="F8" s="71" t="s">
        <v>37</v>
      </c>
      <c r="G8" s="71" t="s">
        <v>37</v>
      </c>
      <c r="H8" s="66" t="s">
        <v>37</v>
      </c>
      <c r="I8" s="85" t="s">
        <v>177</v>
      </c>
      <c r="J8" s="71" t="s">
        <v>37</v>
      </c>
      <c r="K8" s="71" t="s">
        <v>37</v>
      </c>
      <c r="L8" s="71" t="s">
        <v>37</v>
      </c>
      <c r="M8" s="71" t="s">
        <v>37</v>
      </c>
      <c r="N8" s="71" t="s">
        <v>37</v>
      </c>
      <c r="O8" s="99" t="s">
        <v>251</v>
      </c>
    </row>
    <row r="9" spans="1:16" ht="28.5" x14ac:dyDescent="0.45">
      <c r="A9" s="71">
        <v>2</v>
      </c>
      <c r="B9" s="71" t="str">
        <f>CONCATENATE($B$2, ".", A9)</f>
        <v>E.2</v>
      </c>
      <c r="C9" s="101" t="s">
        <v>40</v>
      </c>
      <c r="D9" s="99" t="s">
        <v>187</v>
      </c>
      <c r="E9" s="85" t="s">
        <v>86</v>
      </c>
      <c r="F9" s="71" t="s">
        <v>37</v>
      </c>
      <c r="G9" s="71" t="s">
        <v>37</v>
      </c>
      <c r="H9" s="66" t="s">
        <v>37</v>
      </c>
      <c r="I9" s="85" t="s">
        <v>179</v>
      </c>
      <c r="J9" s="71" t="s">
        <v>37</v>
      </c>
      <c r="K9" s="71" t="s">
        <v>37</v>
      </c>
      <c r="L9" s="71" t="s">
        <v>37</v>
      </c>
      <c r="M9" s="71" t="s">
        <v>37</v>
      </c>
      <c r="N9" s="71" t="s">
        <v>37</v>
      </c>
      <c r="O9" s="99" t="s">
        <v>252</v>
      </c>
    </row>
    <row r="10" spans="1:16" s="60" customFormat="1" ht="15" customHeight="1" x14ac:dyDescent="0.45">
      <c r="A10" s="65" t="s">
        <v>182</v>
      </c>
      <c r="B10" s="65"/>
      <c r="C10" s="65"/>
      <c r="D10" s="65"/>
      <c r="E10" s="65"/>
    </row>
    <row r="11" spans="1:16" ht="98.25" customHeight="1" x14ac:dyDescent="0.45">
      <c r="A11" s="71">
        <v>3</v>
      </c>
      <c r="B11" s="71" t="str">
        <f>CONCATENATE($B$2, ".", A11)</f>
        <v>E.3</v>
      </c>
      <c r="C11" s="101" t="s">
        <v>40</v>
      </c>
      <c r="D11" s="85" t="s">
        <v>287</v>
      </c>
      <c r="E11" s="85" t="s">
        <v>34</v>
      </c>
      <c r="F11" s="71" t="s">
        <v>37</v>
      </c>
      <c r="G11" s="71" t="s">
        <v>37</v>
      </c>
      <c r="H11" s="66" t="s">
        <v>37</v>
      </c>
      <c r="I11" s="85" t="s">
        <v>181</v>
      </c>
      <c r="J11" s="71" t="s">
        <v>37</v>
      </c>
      <c r="K11" s="71" t="s">
        <v>37</v>
      </c>
      <c r="L11" s="71" t="s">
        <v>37</v>
      </c>
      <c r="M11" s="71" t="s">
        <v>37</v>
      </c>
      <c r="N11" s="71" t="s">
        <v>37</v>
      </c>
      <c r="O11" s="99" t="s">
        <v>253</v>
      </c>
      <c r="P11" s="97" t="s">
        <v>234</v>
      </c>
    </row>
    <row r="12" spans="1:16" ht="50.25" customHeight="1" x14ac:dyDescent="0.45">
      <c r="A12" s="71">
        <v>4</v>
      </c>
      <c r="B12" s="71" t="str">
        <f>CONCATENATE($B$2, ".", A12)</f>
        <v>E.4</v>
      </c>
      <c r="C12" s="101" t="s">
        <v>40</v>
      </c>
      <c r="D12" s="85" t="s">
        <v>286</v>
      </c>
      <c r="E12" s="85" t="s">
        <v>34</v>
      </c>
      <c r="F12" s="71" t="s">
        <v>37</v>
      </c>
      <c r="G12" s="71" t="s">
        <v>37</v>
      </c>
      <c r="H12" s="66" t="s">
        <v>37</v>
      </c>
      <c r="I12" s="85" t="s">
        <v>180</v>
      </c>
      <c r="J12" s="71" t="s">
        <v>37</v>
      </c>
      <c r="K12" s="71" t="s">
        <v>37</v>
      </c>
      <c r="L12" s="71" t="s">
        <v>37</v>
      </c>
      <c r="M12" s="71" t="s">
        <v>37</v>
      </c>
      <c r="N12" s="71" t="s">
        <v>37</v>
      </c>
      <c r="O12" s="99" t="s">
        <v>254</v>
      </c>
      <c r="P12" s="97" t="s">
        <v>234</v>
      </c>
    </row>
    <row r="13" spans="1:16" ht="90.75" customHeight="1" x14ac:dyDescent="0.45">
      <c r="A13" s="71">
        <v>5</v>
      </c>
      <c r="B13" s="71" t="str">
        <f>CONCATENATE($B$2, ".", A13)</f>
        <v>E.5</v>
      </c>
      <c r="C13" s="101" t="s">
        <v>40</v>
      </c>
      <c r="D13" s="99" t="s">
        <v>249</v>
      </c>
      <c r="E13" s="85" t="s">
        <v>34</v>
      </c>
      <c r="F13" s="71" t="s">
        <v>37</v>
      </c>
      <c r="G13" s="71" t="s">
        <v>37</v>
      </c>
      <c r="H13" s="66" t="s">
        <v>37</v>
      </c>
      <c r="I13" s="85" t="s">
        <v>179</v>
      </c>
      <c r="J13" s="71" t="s">
        <v>37</v>
      </c>
      <c r="K13" s="71" t="s">
        <v>37</v>
      </c>
      <c r="L13" s="71" t="s">
        <v>37</v>
      </c>
      <c r="M13" s="71" t="s">
        <v>37</v>
      </c>
      <c r="N13" s="71" t="s">
        <v>37</v>
      </c>
      <c r="O13" s="99" t="s">
        <v>252</v>
      </c>
      <c r="P13" s="97" t="s">
        <v>234</v>
      </c>
    </row>
    <row r="14" spans="1:16" s="60" customFormat="1" ht="15" customHeight="1" x14ac:dyDescent="0.45">
      <c r="A14" s="65" t="s">
        <v>178</v>
      </c>
      <c r="B14" s="65"/>
      <c r="C14" s="65"/>
      <c r="D14" s="65"/>
      <c r="E14" s="65"/>
    </row>
    <row r="15" spans="1:16" ht="45.7" customHeight="1" x14ac:dyDescent="0.45">
      <c r="A15" s="71">
        <v>6</v>
      </c>
      <c r="B15" s="71" t="str">
        <f>CONCATENATE($B$2, ".", A15)</f>
        <v>E.6</v>
      </c>
      <c r="C15" s="101" t="s">
        <v>40</v>
      </c>
      <c r="D15" s="99" t="s">
        <v>285</v>
      </c>
      <c r="E15" s="85" t="s">
        <v>34</v>
      </c>
      <c r="F15" s="85" t="s">
        <v>37</v>
      </c>
      <c r="G15" s="85" t="s">
        <v>37</v>
      </c>
      <c r="H15" s="88" t="s">
        <v>37</v>
      </c>
      <c r="I15" s="127" t="s">
        <v>177</v>
      </c>
      <c r="J15" s="71" t="s">
        <v>37</v>
      </c>
      <c r="K15" s="71" t="s">
        <v>37</v>
      </c>
      <c r="L15" s="71" t="s">
        <v>37</v>
      </c>
      <c r="M15" s="71" t="s">
        <v>37</v>
      </c>
      <c r="N15" s="71" t="s">
        <v>37</v>
      </c>
      <c r="O15" s="71" t="s">
        <v>176</v>
      </c>
      <c r="P15" s="99" t="s">
        <v>234</v>
      </c>
    </row>
    <row r="16" spans="1:16" ht="30" customHeight="1" x14ac:dyDescent="0.45">
      <c r="A16" s="71">
        <v>7</v>
      </c>
      <c r="B16" s="71" t="str">
        <f>CONCATENATE($B$2, ".", A16)</f>
        <v>E.7</v>
      </c>
      <c r="C16" s="101" t="s">
        <v>40</v>
      </c>
      <c r="D16" s="99" t="s">
        <v>175</v>
      </c>
      <c r="E16" s="85" t="s">
        <v>36</v>
      </c>
      <c r="F16" s="85" t="s">
        <v>37</v>
      </c>
      <c r="G16" s="85" t="s">
        <v>37</v>
      </c>
      <c r="H16" s="88" t="s">
        <v>37</v>
      </c>
      <c r="I16" s="127"/>
      <c r="J16" s="71" t="s">
        <v>37</v>
      </c>
      <c r="K16" s="71" t="s">
        <v>37</v>
      </c>
      <c r="L16" s="71" t="s">
        <v>37</v>
      </c>
      <c r="M16" s="71" t="s">
        <v>37</v>
      </c>
      <c r="N16" s="71" t="s">
        <v>37</v>
      </c>
    </row>
    <row r="17" spans="1:16" ht="42.75" x14ac:dyDescent="0.45">
      <c r="A17" s="71">
        <v>8</v>
      </c>
      <c r="B17" s="71" t="str">
        <f>CONCATENATE($B$2, ".", A17)</f>
        <v>E.8</v>
      </c>
      <c r="C17" s="101" t="s">
        <v>40</v>
      </c>
      <c r="D17" s="85" t="s">
        <v>250</v>
      </c>
      <c r="E17" s="85" t="s">
        <v>34</v>
      </c>
      <c r="F17" s="85" t="s">
        <v>37</v>
      </c>
      <c r="G17" s="85" t="s">
        <v>37</v>
      </c>
      <c r="H17" s="88" t="s">
        <v>37</v>
      </c>
      <c r="I17" s="127"/>
      <c r="J17" s="71" t="s">
        <v>37</v>
      </c>
      <c r="K17" s="71" t="s">
        <v>37</v>
      </c>
      <c r="L17" s="71" t="s">
        <v>37</v>
      </c>
      <c r="M17" s="71" t="s">
        <v>37</v>
      </c>
      <c r="N17" s="71" t="s">
        <v>37</v>
      </c>
      <c r="O17" s="85"/>
      <c r="P17" s="71" t="s">
        <v>234</v>
      </c>
    </row>
    <row r="18" spans="1:16" x14ac:dyDescent="0.45">
      <c r="A18" s="72">
        <v>9</v>
      </c>
      <c r="B18" s="84" t="str">
        <f t="shared" ref="B18" si="0">CONCATENATE($B$2, ".", A18)</f>
        <v>E.9</v>
      </c>
      <c r="C18" s="101" t="s">
        <v>40</v>
      </c>
      <c r="D18" s="72" t="s">
        <v>56</v>
      </c>
      <c r="E18" s="72" t="s">
        <v>43</v>
      </c>
      <c r="F18" s="72" t="s">
        <v>37</v>
      </c>
      <c r="G18" s="72" t="s">
        <v>37</v>
      </c>
      <c r="H18" s="72" t="s">
        <v>37</v>
      </c>
      <c r="I18" s="72" t="s">
        <v>10</v>
      </c>
      <c r="J18" s="72" t="s">
        <v>37</v>
      </c>
      <c r="K18" s="72" t="s">
        <v>37</v>
      </c>
      <c r="L18" s="72" t="s">
        <v>37</v>
      </c>
      <c r="M18" s="72" t="s">
        <v>37</v>
      </c>
      <c r="N18" s="72" t="s">
        <v>37</v>
      </c>
      <c r="O18" s="72" t="s">
        <v>191</v>
      </c>
      <c r="P18" s="72"/>
    </row>
  </sheetData>
  <autoFilter ref="A6:P6" xr:uid="{00000000-0009-0000-0000-000013000000}"/>
  <mergeCells count="1">
    <mergeCell ref="I15:I17"/>
  </mergeCells>
  <conditionalFormatting sqref="A19:XFD1048576 A1:XFD7 Q18:XFD18 A10:XFD10 A8:B9 A14:XFD14 A11:B13 A15:B17 D15:XFD17 D8:XFD9 D11:XFD13">
    <cfRule type="cellIs" dxfId="71" priority="133" operator="equal">
      <formula>"n/a"</formula>
    </cfRule>
  </conditionalFormatting>
  <conditionalFormatting sqref="C1:C7 C19:C1048576 C10 C14">
    <cfRule type="cellIs" dxfId="70" priority="134" operator="equal">
      <formula>"WIP (see comments)"</formula>
    </cfRule>
    <cfRule type="cellIs" dxfId="69" priority="135" operator="equal">
      <formula>"Removed"</formula>
    </cfRule>
    <cfRule type="cellIs" dxfId="68" priority="136" operator="equal">
      <formula>"Updated"</formula>
    </cfRule>
    <cfRule type="cellIs" dxfId="67" priority="137" operator="equal">
      <formula>"New"</formula>
    </cfRule>
  </conditionalFormatting>
  <conditionalFormatting sqref="A18 D18:P18">
    <cfRule type="cellIs" dxfId="66" priority="122" operator="equal">
      <formula>"n/a"</formula>
    </cfRule>
  </conditionalFormatting>
  <conditionalFormatting sqref="B18">
    <cfRule type="cellIs" dxfId="65" priority="121" operator="equal">
      <formula>"n/a"</formula>
    </cfRule>
  </conditionalFormatting>
  <conditionalFormatting sqref="C18">
    <cfRule type="cellIs" dxfId="64" priority="42" operator="equal">
      <formula>"WIP (see comments)"</formula>
    </cfRule>
    <cfRule type="cellIs" dxfId="63" priority="43" operator="equal">
      <formula>"Removed"</formula>
    </cfRule>
    <cfRule type="cellIs" dxfId="62" priority="44" operator="equal">
      <formula>"Updated"</formula>
    </cfRule>
    <cfRule type="cellIs" dxfId="61" priority="45" operator="equal">
      <formula>"New"</formula>
    </cfRule>
  </conditionalFormatting>
  <conditionalFormatting sqref="C18">
    <cfRule type="cellIs" dxfId="60" priority="41" operator="equal">
      <formula>"n/a"</formula>
    </cfRule>
  </conditionalFormatting>
  <conditionalFormatting sqref="C16">
    <cfRule type="cellIs" dxfId="59" priority="32" operator="equal">
      <formula>"WIP (see comments)"</formula>
    </cfRule>
    <cfRule type="cellIs" dxfId="58" priority="33" operator="equal">
      <formula>"Removed"</formula>
    </cfRule>
    <cfRule type="cellIs" dxfId="57" priority="34" operator="equal">
      <formula>"Updated"</formula>
    </cfRule>
    <cfRule type="cellIs" dxfId="56" priority="35" operator="equal">
      <formula>"New"</formula>
    </cfRule>
  </conditionalFormatting>
  <conditionalFormatting sqref="C16">
    <cfRule type="cellIs" dxfId="55" priority="31" operator="equal">
      <formula>"n/a"</formula>
    </cfRule>
  </conditionalFormatting>
  <conditionalFormatting sqref="C13">
    <cfRule type="cellIs" dxfId="54" priority="22" operator="equal">
      <formula>"WIP (see comments)"</formula>
    </cfRule>
    <cfRule type="cellIs" dxfId="53" priority="23" operator="equal">
      <formula>"Removed"</formula>
    </cfRule>
    <cfRule type="cellIs" dxfId="52" priority="24" operator="equal">
      <formula>"Updated"</formula>
    </cfRule>
    <cfRule type="cellIs" dxfId="51" priority="25" operator="equal">
      <formula>"New"</formula>
    </cfRule>
  </conditionalFormatting>
  <conditionalFormatting sqref="C13">
    <cfRule type="cellIs" dxfId="50" priority="21" operator="equal">
      <formula>"n/a"</formula>
    </cfRule>
  </conditionalFormatting>
  <conditionalFormatting sqref="C15">
    <cfRule type="cellIs" dxfId="49" priority="27" operator="equal">
      <formula>"WIP (see comments)"</formula>
    </cfRule>
    <cfRule type="cellIs" dxfId="48" priority="28" operator="equal">
      <formula>"Removed"</formula>
    </cfRule>
    <cfRule type="cellIs" dxfId="47" priority="29" operator="equal">
      <formula>"Updated"</formula>
    </cfRule>
    <cfRule type="cellIs" dxfId="46" priority="30" operator="equal">
      <formula>"New"</formula>
    </cfRule>
  </conditionalFormatting>
  <conditionalFormatting sqref="C15">
    <cfRule type="cellIs" dxfId="45" priority="26" operator="equal">
      <formula>"n/a"</formula>
    </cfRule>
  </conditionalFormatting>
  <conditionalFormatting sqref="C17">
    <cfRule type="cellIs" dxfId="44" priority="37" operator="equal">
      <formula>"WIP (see comments)"</formula>
    </cfRule>
    <cfRule type="cellIs" dxfId="43" priority="38" operator="equal">
      <formula>"Removed"</formula>
    </cfRule>
    <cfRule type="cellIs" dxfId="42" priority="39" operator="equal">
      <formula>"Updated"</formula>
    </cfRule>
    <cfRule type="cellIs" dxfId="41" priority="40" operator="equal">
      <formula>"New"</formula>
    </cfRule>
  </conditionalFormatting>
  <conditionalFormatting sqref="C17">
    <cfRule type="cellIs" dxfId="40" priority="36" operator="equal">
      <formula>"n/a"</formula>
    </cfRule>
  </conditionalFormatting>
  <conditionalFormatting sqref="C12">
    <cfRule type="cellIs" dxfId="39" priority="17" operator="equal">
      <formula>"WIP (see comments)"</formula>
    </cfRule>
    <cfRule type="cellIs" dxfId="38" priority="18" operator="equal">
      <formula>"Removed"</formula>
    </cfRule>
    <cfRule type="cellIs" dxfId="37" priority="19" operator="equal">
      <formula>"Updated"</formula>
    </cfRule>
    <cfRule type="cellIs" dxfId="36" priority="20" operator="equal">
      <formula>"New"</formula>
    </cfRule>
  </conditionalFormatting>
  <conditionalFormatting sqref="C12">
    <cfRule type="cellIs" dxfId="35" priority="16" operator="equal">
      <formula>"n/a"</formula>
    </cfRule>
  </conditionalFormatting>
  <conditionalFormatting sqref="C11">
    <cfRule type="cellIs" dxfId="34" priority="12" operator="equal">
      <formula>"WIP (see comments)"</formula>
    </cfRule>
    <cfRule type="cellIs" dxfId="33" priority="13" operator="equal">
      <formula>"Removed"</formula>
    </cfRule>
    <cfRule type="cellIs" dxfId="32" priority="14" operator="equal">
      <formula>"Updated"</formula>
    </cfRule>
    <cfRule type="cellIs" dxfId="31" priority="15" operator="equal">
      <formula>"New"</formula>
    </cfRule>
  </conditionalFormatting>
  <conditionalFormatting sqref="C11">
    <cfRule type="cellIs" dxfId="30" priority="11" operator="equal">
      <formula>"n/a"</formula>
    </cfRule>
  </conditionalFormatting>
  <conditionalFormatting sqref="C9">
    <cfRule type="cellIs" dxfId="29" priority="7" operator="equal">
      <formula>"WIP (see comments)"</formula>
    </cfRule>
    <cfRule type="cellIs" dxfId="28" priority="8" operator="equal">
      <formula>"Removed"</formula>
    </cfRule>
    <cfRule type="cellIs" dxfId="27" priority="9" operator="equal">
      <formula>"Updated"</formula>
    </cfRule>
    <cfRule type="cellIs" dxfId="26" priority="10" operator="equal">
      <formula>"New"</formula>
    </cfRule>
  </conditionalFormatting>
  <conditionalFormatting sqref="C9">
    <cfRule type="cellIs" dxfId="25" priority="6" operator="equal">
      <formula>"n/a"</formula>
    </cfRule>
  </conditionalFormatting>
  <conditionalFormatting sqref="C8">
    <cfRule type="cellIs" dxfId="24" priority="2" operator="equal">
      <formula>"WIP (see comments)"</formula>
    </cfRule>
    <cfRule type="cellIs" dxfId="23" priority="3" operator="equal">
      <formula>"Removed"</formula>
    </cfRule>
    <cfRule type="cellIs" dxfId="22" priority="4" operator="equal">
      <formula>"Updated"</formula>
    </cfRule>
    <cfRule type="cellIs" dxfId="21" priority="5" operator="equal">
      <formula>"New"</formula>
    </cfRule>
  </conditionalFormatting>
  <conditionalFormatting sqref="C8">
    <cfRule type="cellIs" dxfId="20" priority="1" operator="equal">
      <formula>"n/a"</formula>
    </cfRule>
  </conditionalFormatting>
  <dataValidations disablePrompts="1" count="1">
    <dataValidation type="list" allowBlank="1" showInputMessage="1" showErrorMessage="1" sqref="E8:E9 E15:E18" xr:uid="{00000000-0002-0000-1300-000000000000}">
      <formula1>$A$5:$A$27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disablePrompts="1" count="3">
        <x14:dataValidation type="list" allowBlank="1" showInputMessage="1" showErrorMessage="1" xr:uid="{00000000-0002-0000-1300-000002000000}">
          <x14:formula1>
            <xm:f>'C:\Users\matsubar\Desktop\[CWB In-Branch Personal DCO Field Spec -  Based on Proposed Solution-OLD.xlsx]List Values'!#REF!</xm:f>
          </x14:formula1>
          <xm:sqref>C19:C1048576 E19:E1048576</xm:sqref>
        </x14:dataValidation>
        <x14:dataValidation type="list" allowBlank="1" showInputMessage="1" showErrorMessage="1" xr:uid="{00000000-0002-0000-1300-000004000000}">
          <x14:formula1>
            <xm:f>'List Values'!$A$5:$A$28</xm:f>
          </x14:formula1>
          <xm:sqref>E11:E13</xm:sqref>
        </x14:dataValidation>
        <x14:dataValidation type="list" allowBlank="1" showInputMessage="1" showErrorMessage="1" xr:uid="{00000000-0002-0000-1300-000005000000}">
          <x14:formula1>
            <xm:f>'List Values'!$B$5:$B$9</xm:f>
          </x14:formula1>
          <xm:sqref>C15:C18 C11:C13 C8:C9</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144ddb5c3dec5e6553fff6a9e46bb08f">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20e32d3dfd06a5d03c1eec57e40fefd4"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74E21D9-4188-4198-B45E-AC395437B375}">
  <ds:schemaRefs>
    <ds:schemaRef ds:uri="http://schemas.microsoft.com/office/2006/metadata/properties"/>
    <ds:schemaRef ds:uri="http://schemas.microsoft.com/sharepoint/v4"/>
    <ds:schemaRef ds:uri="http://purl.org/dc/terms/"/>
    <ds:schemaRef ds:uri="http://schemas.openxmlformats.org/package/2006/metadata/core-properties"/>
    <ds:schemaRef ds:uri="http://purl.org/dc/dcmitype/"/>
    <ds:schemaRef ds:uri="http://schemas.microsoft.com/office/2006/documentManagement/types"/>
    <ds:schemaRef ds:uri="http://schemas.microsoft.com/office/infopath/2007/PartnerControls"/>
    <ds:schemaRef ds:uri="http://www.w3.org/XML/1998/namespace"/>
    <ds:schemaRef ds:uri="http://purl.org/dc/elements/1.1/"/>
  </ds:schemaRefs>
</ds:datastoreItem>
</file>

<file path=customXml/itemProps2.xml><?xml version="1.0" encoding="utf-8"?>
<ds:datastoreItem xmlns:ds="http://schemas.openxmlformats.org/officeDocument/2006/customXml" ds:itemID="{07AD4BBF-C243-4118-AF9B-44A9C1AEA76C}"/>
</file>

<file path=customXml/itemProps3.xml><?xml version="1.0" encoding="utf-8"?>
<ds:datastoreItem xmlns:ds="http://schemas.openxmlformats.org/officeDocument/2006/customXml" ds:itemID="{F8965199-9304-4B28-8A89-36F6745F086B}">
  <ds:schemaRefs>
    <ds:schemaRef ds:uri="http://schemas.microsoft.com/sharepoint/v3/contenttype/forms"/>
  </ds:schemaRefs>
</ds:datastoreItem>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Revision Control</vt:lpstr>
      <vt:lpstr>List Values</vt:lpstr>
      <vt:lpstr>1. Landing Page</vt:lpstr>
      <vt:lpstr>Branch ENUM</vt:lpstr>
      <vt:lpstr>2. Contact Info</vt:lpstr>
      <vt:lpstr>3. Name</vt:lpstr>
      <vt:lpstr>4. Address</vt:lpstr>
      <vt:lpstr>5. Birthday &amp; SIN</vt:lpstr>
      <vt:lpstr>6. In-Branch Customer Info</vt:lpstr>
      <vt:lpstr>ID Type ENUM</vt:lpstr>
      <vt:lpstr>7. Credit Bureau Results</vt:lpstr>
      <vt:lpstr>8. Product Selector</vt:lpstr>
      <vt:lpstr>8a. Product Info-REMOVED</vt:lpstr>
      <vt:lpstr>8b. Investment Options</vt:lpstr>
      <vt:lpstr>8c. Joint Applicant</vt:lpstr>
      <vt:lpstr>9. Debit Card Requisition</vt:lpstr>
      <vt:lpstr>10. Finish+Notifications</vt:lpstr>
      <vt:lpstr>A. Generic Error</vt:lpstr>
      <vt:lpstr>B. Cancel</vt:lpstr>
      <vt:lpstr>C. Time Out</vt:lpstr>
      <vt:lpstr>D. Concurrent App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2015-06-05T18:17:20Z</dcterms:created>
  <dcterms:modified xsi:type="dcterms:W3CDTF">2022-02-24T18:41:19Z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Order">
    <vt:r8>969500</vt:r8>
  </property>
  <property fmtid="{D5CDD505-2E9C-101B-9397-08002B2CF9AE}" pid="4" name="URL">
    <vt:lpwstr/>
  </property>
</Properties>
</file>