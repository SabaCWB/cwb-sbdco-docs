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ctrlProps/ctrlProp2.xml" ContentType="application/vnd.ms-excel.controlproperties+xml"/>
  <Override PartName="/docProps/core.xml" ContentType="application/vnd.openxmlformats-package.core-properties+xml"/>
  <Override PartName="/xl/calcChain.xml" ContentType="application/vnd.openxmlformats-officedocument.spreadsheetml.calcChain+xml"/>
  <Override PartName="/xl/tables/table11.xml" ContentType="application/vnd.openxmlformats-officedocument.spreadsheetml.table+xml"/>
  <Override PartName="/xl/ctrlProps/ctrlProp1.xml" ContentType="application/vnd.ms-excel.controlproperties+xml"/>
  <Override PartName="/docProps/app.xml" ContentType="application/vnd.openxmlformats-officedocument.extended-properties+xml"/>
  <Override PartName="/xl/tables/table10.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ctrlProps/ctrlProp6.xml" ContentType="application/vnd.ms-excel.controlproperties+xml"/>
  <Override PartName="/xl/ctrlProps/ctrlProp5.xml" ContentType="application/vnd.ms-excel.controlproperties+xml"/>
  <Override PartName="/xl/ctrlProps/ctrlProp4.xml" ContentType="application/vnd.ms-excel.controlproperties+xml"/>
  <Override PartName="/xl/tables/table3.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ctrlProps/ctrlProp3.xml" ContentType="application/vnd.ms-excel.contro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mdes\Documents\03 - Delivery Management\RAID Logs\"/>
    </mc:Choice>
  </mc:AlternateContent>
  <bookViews>
    <workbookView xWindow="0" yWindow="0" windowWidth="27900" windowHeight="10335" tabRatio="700"/>
  </bookViews>
  <sheets>
    <sheet name="RAID_List" sheetId="8" r:id="rId1"/>
    <sheet name="RAID_Counts" sheetId="6" r:id="rId2"/>
    <sheet name="Risk Tracking and Mitigation" sheetId="2" r:id="rId3"/>
    <sheet name="Issue Tracking and Resolution" sheetId="1" r:id="rId4"/>
    <sheet name="Impediments Tracking and Status" sheetId="3" r:id="rId5"/>
    <sheet name="Decisions log" sheetId="5" r:id="rId6"/>
    <sheet name="Action log" sheetId="4" r:id="rId7"/>
    <sheet name="DropDowns" sheetId="7" state="hidden" r:id="rId8"/>
  </sheets>
  <definedNames>
    <definedName name="CDate">RAID_Counts!$G$6</definedName>
    <definedName name="Mdate">RAID_List!$M$6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1" i="5" l="1"/>
  <c r="O11" i="5"/>
  <c r="O7" i="5"/>
  <c r="O6" i="5"/>
  <c r="O4" i="5"/>
  <c r="T12" i="2"/>
  <c r="T15" i="2"/>
  <c r="S16" i="2"/>
  <c r="T16" i="2"/>
  <c r="A26" i="4"/>
  <c r="P26" i="4"/>
  <c r="P25" i="4"/>
  <c r="O12" i="3"/>
  <c r="Q12" i="3"/>
  <c r="R12" i="3"/>
  <c r="Q16" i="2"/>
  <c r="P24" i="4"/>
  <c r="P23" i="4"/>
  <c r="O22" i="4"/>
  <c r="P22" i="4"/>
  <c r="P21" i="4"/>
  <c r="P20" i="4"/>
  <c r="O4" i="1"/>
  <c r="Q4" i="1"/>
  <c r="R4" i="1"/>
  <c r="Q15" i="2"/>
  <c r="Q14" i="2"/>
  <c r="I2" i="5"/>
  <c r="I3" i="5"/>
  <c r="I4" i="5"/>
  <c r="I5" i="5"/>
  <c r="I6" i="5"/>
  <c r="I7" i="5"/>
  <c r="I8" i="5"/>
  <c r="I9" i="5"/>
  <c r="I10" i="5"/>
  <c r="I11" i="5"/>
  <c r="H2" i="5"/>
  <c r="H3" i="5"/>
  <c r="H4" i="5"/>
  <c r="H5" i="5"/>
  <c r="H6" i="5"/>
  <c r="H7" i="5"/>
  <c r="H8" i="5"/>
  <c r="H9" i="5"/>
  <c r="H10" i="5"/>
  <c r="H11" i="5"/>
  <c r="G2" i="5"/>
  <c r="G3" i="5"/>
  <c r="G4" i="5"/>
  <c r="G5" i="5"/>
  <c r="G6" i="5"/>
  <c r="G7" i="5"/>
  <c r="G8" i="5"/>
  <c r="G9" i="5"/>
  <c r="G10" i="5"/>
  <c r="G11" i="5"/>
  <c r="Q13" i="2" l="1"/>
  <c r="P19" i="4"/>
  <c r="M6" i="8" l="1"/>
  <c r="Q12" i="2" l="1"/>
  <c r="Q3" i="2"/>
  <c r="Q4" i="2"/>
  <c r="Q5" i="2"/>
  <c r="Q6" i="2"/>
  <c r="Q7" i="2"/>
  <c r="Q8" i="2"/>
  <c r="Q9" i="2"/>
  <c r="Q10" i="2"/>
  <c r="Q11" i="2"/>
  <c r="Q2" i="2"/>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P11" i="4"/>
  <c r="P18" i="4"/>
  <c r="O11" i="4"/>
  <c r="O10" i="3"/>
  <c r="O9" i="3"/>
  <c r="O8" i="3"/>
  <c r="O7" i="3"/>
  <c r="O6" i="3"/>
  <c r="O5" i="3"/>
  <c r="O4" i="3"/>
  <c r="O3" i="3"/>
  <c r="O2" i="3"/>
  <c r="O11" i="3"/>
  <c r="Q11" i="3"/>
  <c r="R11" i="3"/>
  <c r="Q9" i="3"/>
  <c r="R9" i="3"/>
  <c r="Q8" i="3"/>
  <c r="R8" i="3"/>
  <c r="Q7" i="3"/>
  <c r="R7" i="3"/>
  <c r="Q6" i="3"/>
  <c r="R6" i="3"/>
  <c r="R4" i="3"/>
  <c r="O2" i="1"/>
  <c r="O3" i="1"/>
  <c r="D42" i="6" l="1"/>
  <c r="D41" i="6"/>
  <c r="D39" i="6"/>
  <c r="D37" i="6"/>
  <c r="D35" i="6"/>
  <c r="D34" i="6"/>
  <c r="I46" i="6"/>
  <c r="H46" i="6"/>
  <c r="G46" i="6"/>
  <c r="F46" i="6"/>
  <c r="E46" i="6"/>
  <c r="D46" i="6"/>
  <c r="I22" i="6"/>
  <c r="H22" i="6"/>
  <c r="G22" i="6"/>
  <c r="F22" i="6"/>
  <c r="E22" i="6"/>
  <c r="I18" i="6"/>
  <c r="H18" i="6"/>
  <c r="G18" i="6"/>
  <c r="F18" i="6"/>
  <c r="E18" i="6"/>
  <c r="T27" i="6"/>
  <c r="S27" i="6"/>
  <c r="R27" i="6"/>
  <c r="Q27" i="6"/>
  <c r="P27" i="6"/>
  <c r="O27" i="6"/>
  <c r="N27" i="6"/>
  <c r="M27" i="6"/>
  <c r="L27" i="6"/>
  <c r="K27" i="6"/>
  <c r="J27" i="6"/>
  <c r="I27" i="6"/>
  <c r="H27" i="6"/>
  <c r="G27" i="6"/>
  <c r="F27" i="6"/>
  <c r="D27" i="6"/>
  <c r="T26" i="6"/>
  <c r="S26" i="6"/>
  <c r="R26" i="6"/>
  <c r="Q26" i="6"/>
  <c r="P26" i="6"/>
  <c r="O26" i="6"/>
  <c r="N26" i="6"/>
  <c r="M26" i="6"/>
  <c r="L26" i="6"/>
  <c r="K26" i="6"/>
  <c r="J26" i="6"/>
  <c r="I26" i="6"/>
  <c r="H26" i="6"/>
  <c r="G26" i="6"/>
  <c r="F26" i="6"/>
  <c r="E26" i="6"/>
  <c r="D26" i="6"/>
  <c r="D22" i="6"/>
  <c r="D18" i="6"/>
  <c r="T10" i="6"/>
  <c r="S10" i="6"/>
  <c r="R10" i="6"/>
  <c r="Q10" i="6"/>
  <c r="P10" i="6"/>
  <c r="O10" i="6"/>
  <c r="N10" i="6"/>
  <c r="M10" i="6"/>
  <c r="L10" i="6"/>
  <c r="K10" i="6"/>
  <c r="J10" i="6"/>
  <c r="I10" i="6"/>
  <c r="H10" i="6"/>
  <c r="G10" i="6"/>
  <c r="F10" i="6"/>
  <c r="E10" i="6"/>
  <c r="D10" i="6"/>
  <c r="R2" i="1"/>
  <c r="H21" i="6" s="1"/>
  <c r="Q2" i="1"/>
  <c r="G6" i="6"/>
  <c r="G20" i="6" l="1"/>
  <c r="I20" i="6"/>
  <c r="H20" i="6"/>
  <c r="D20" i="6"/>
  <c r="E20" i="6"/>
  <c r="F20" i="6"/>
  <c r="P2" i="4"/>
  <c r="I21" i="6"/>
  <c r="T2" i="2"/>
  <c r="R2" i="3"/>
  <c r="P2" i="5"/>
  <c r="D40" i="6" s="1"/>
  <c r="R3" i="1"/>
  <c r="D21" i="6"/>
  <c r="R3" i="3"/>
  <c r="E21" i="6"/>
  <c r="F21" i="6"/>
  <c r="G21" i="6"/>
  <c r="T30" i="6" l="1"/>
  <c r="L30" i="6"/>
  <c r="S30" i="6"/>
  <c r="K30" i="6"/>
  <c r="D30" i="6"/>
  <c r="R30" i="6"/>
  <c r="J30" i="6"/>
  <c r="Q30" i="6"/>
  <c r="I30" i="6"/>
  <c r="P30" i="6"/>
  <c r="H30" i="6"/>
  <c r="O30" i="6"/>
  <c r="G30" i="6"/>
  <c r="N30" i="6"/>
  <c r="F30" i="6"/>
  <c r="M30" i="6"/>
  <c r="I19" i="6"/>
  <c r="I23" i="6" s="1"/>
  <c r="H19" i="6"/>
  <c r="H23" i="6" s="1"/>
  <c r="G19" i="6"/>
  <c r="G23" i="6" s="1"/>
  <c r="F19" i="6"/>
  <c r="F23" i="6" s="1"/>
  <c r="E19" i="6"/>
  <c r="E23" i="6" s="1"/>
  <c r="D19" i="6"/>
  <c r="O11" i="6"/>
  <c r="G11" i="6"/>
  <c r="E11" i="6"/>
  <c r="N11" i="6"/>
  <c r="F11" i="6"/>
  <c r="M11" i="6"/>
  <c r="T11" i="6"/>
  <c r="L11" i="6"/>
  <c r="D11" i="6"/>
  <c r="K11" i="6"/>
  <c r="R11" i="6"/>
  <c r="S11" i="6"/>
  <c r="P11" i="6"/>
  <c r="J11" i="6"/>
  <c r="H11" i="6"/>
  <c r="Q11" i="6"/>
  <c r="I11" i="6"/>
  <c r="N28" i="6"/>
  <c r="F28" i="6"/>
  <c r="T28" i="6"/>
  <c r="M28" i="6"/>
  <c r="D28" i="6"/>
  <c r="L28" i="6"/>
  <c r="S28" i="6"/>
  <c r="K28" i="6"/>
  <c r="R28" i="6"/>
  <c r="J28" i="6"/>
  <c r="Q28" i="6"/>
  <c r="I28" i="6"/>
  <c r="P28" i="6"/>
  <c r="H28" i="6"/>
  <c r="O28" i="6"/>
  <c r="G28" i="6"/>
  <c r="E30" i="6" l="1"/>
  <c r="E29" i="6"/>
  <c r="E28" i="6"/>
  <c r="E27" i="6"/>
  <c r="O2" i="4" l="1"/>
  <c r="O2" i="5"/>
  <c r="Q3" i="1"/>
  <c r="Q2" i="3"/>
  <c r="S2" i="2"/>
  <c r="E31" i="6"/>
  <c r="P3" i="5" l="1"/>
  <c r="P3" i="4"/>
  <c r="O3" i="4"/>
  <c r="O3" i="5"/>
  <c r="T3" i="2"/>
  <c r="M52" i="8"/>
  <c r="I40" i="8"/>
  <c r="J27" i="8"/>
  <c r="K14" i="8"/>
  <c r="I51" i="8"/>
  <c r="J38" i="8"/>
  <c r="K25" i="8"/>
  <c r="L12" i="8"/>
  <c r="L47" i="8"/>
  <c r="M34" i="8"/>
  <c r="I22" i="8"/>
  <c r="J40" i="8"/>
  <c r="J44" i="8"/>
  <c r="K31" i="8"/>
  <c r="L18" i="8"/>
  <c r="J24" i="8"/>
  <c r="K42" i="8"/>
  <c r="L29" i="8"/>
  <c r="M16" i="8"/>
  <c r="I21" i="8"/>
  <c r="L40" i="8"/>
  <c r="M27" i="8"/>
  <c r="I15" i="8"/>
  <c r="L51" i="8"/>
  <c r="M38" i="8"/>
  <c r="I26" i="8"/>
  <c r="J13" i="8"/>
  <c r="I14" i="8"/>
  <c r="M19" i="8"/>
  <c r="K18" i="8"/>
  <c r="M14" i="8"/>
  <c r="J51" i="8"/>
  <c r="K38" i="8"/>
  <c r="L25" i="8"/>
  <c r="M12" i="8"/>
  <c r="K49" i="8"/>
  <c r="L36" i="8"/>
  <c r="M23" i="8"/>
  <c r="I11" i="8"/>
  <c r="I46" i="8"/>
  <c r="J33" i="8"/>
  <c r="K20" i="8"/>
  <c r="M25" i="8"/>
  <c r="L42" i="8"/>
  <c r="M29" i="8"/>
  <c r="I17" i="8"/>
  <c r="K11" i="8"/>
  <c r="M40" i="8"/>
  <c r="I28" i="8"/>
  <c r="J15" i="8"/>
  <c r="M51" i="8"/>
  <c r="I39" i="8"/>
  <c r="J26" i="8"/>
  <c r="K13" i="8"/>
  <c r="I50" i="8"/>
  <c r="J37" i="8"/>
  <c r="K24" i="8"/>
  <c r="L11" i="8"/>
  <c r="L44" i="8"/>
  <c r="L15" i="8"/>
  <c r="I25" i="8"/>
  <c r="I36" i="8"/>
  <c r="I47" i="8"/>
  <c r="M41" i="8"/>
  <c r="L19" i="8"/>
  <c r="I32" i="8"/>
  <c r="I43" i="8"/>
  <c r="K17" i="8"/>
  <c r="M26" i="8"/>
  <c r="K23" i="8"/>
  <c r="K34" i="8"/>
  <c r="M49" i="8"/>
  <c r="M33" i="8"/>
  <c r="I18" i="8"/>
  <c r="L23" i="8"/>
  <c r="K35" i="8"/>
  <c r="J42" i="8"/>
  <c r="L27" i="8"/>
  <c r="L49" i="8"/>
  <c r="M36" i="8"/>
  <c r="I24" i="8"/>
  <c r="J11" i="8"/>
  <c r="M47" i="8"/>
  <c r="I35" i="8"/>
  <c r="J22" i="8"/>
  <c r="I45" i="8"/>
  <c r="K44" i="8"/>
  <c r="L31" i="8"/>
  <c r="M18" i="8"/>
  <c r="L14" i="8"/>
  <c r="I41" i="8"/>
  <c r="J28" i="8"/>
  <c r="K15" i="8"/>
  <c r="I52" i="8"/>
  <c r="J39" i="8"/>
  <c r="K26" i="8"/>
  <c r="L13" i="8"/>
  <c r="J50" i="8"/>
  <c r="K37" i="8"/>
  <c r="L24" i="8"/>
  <c r="M11" i="8"/>
  <c r="K48" i="8"/>
  <c r="L35" i="8"/>
  <c r="M22" i="8"/>
  <c r="K43" i="8"/>
  <c r="M31" i="8"/>
  <c r="J41" i="8"/>
  <c r="M37" i="8"/>
  <c r="M48" i="8"/>
  <c r="K10" i="8"/>
  <c r="K21" i="8"/>
  <c r="K32" i="8"/>
  <c r="L30" i="8"/>
  <c r="L39" i="8"/>
  <c r="J36" i="8"/>
  <c r="J47" i="8"/>
  <c r="K45" i="8"/>
  <c r="L43" i="8"/>
  <c r="M10" i="8"/>
  <c r="L10" i="8"/>
  <c r="J20" i="8"/>
  <c r="J32" i="8"/>
  <c r="I13" i="8"/>
  <c r="I48" i="8"/>
  <c r="J35" i="8"/>
  <c r="K22" i="8"/>
  <c r="J48" i="8"/>
  <c r="J46" i="8"/>
  <c r="K33" i="8"/>
  <c r="L20" i="8"/>
  <c r="K27" i="8"/>
  <c r="M42" i="8"/>
  <c r="I30" i="8"/>
  <c r="J17" i="8"/>
  <c r="J52" i="8"/>
  <c r="K39" i="8"/>
  <c r="L26" i="8"/>
  <c r="M13" i="8"/>
  <c r="K50" i="8"/>
  <c r="L37" i="8"/>
  <c r="M24" i="8"/>
  <c r="I12" i="8"/>
  <c r="L48" i="8"/>
  <c r="M35" i="8"/>
  <c r="I23" i="8"/>
  <c r="K51" i="8"/>
  <c r="M46" i="8"/>
  <c r="I34" i="8"/>
  <c r="J21" i="8"/>
  <c r="I29" i="8"/>
  <c r="K46" i="8"/>
  <c r="L33" i="8"/>
  <c r="M20" i="8"/>
  <c r="I37" i="8"/>
  <c r="I19" i="8"/>
  <c r="J16" i="8"/>
  <c r="K28" i="8"/>
  <c r="L50" i="8"/>
  <c r="J12" i="8"/>
  <c r="J23" i="8"/>
  <c r="J34" i="8"/>
  <c r="J45" i="8"/>
  <c r="M17" i="8"/>
  <c r="M44" i="8"/>
  <c r="J19" i="8"/>
  <c r="J30" i="8"/>
  <c r="K52" i="8"/>
  <c r="I49" i="8"/>
  <c r="J10" i="8"/>
  <c r="L21" i="8"/>
  <c r="L32" i="8"/>
  <c r="M30" i="8"/>
  <c r="K36" i="8"/>
  <c r="I33" i="8"/>
  <c r="J31" i="8"/>
  <c r="L16" i="8"/>
  <c r="J43" i="8"/>
  <c r="K30" i="8"/>
  <c r="L17" i="8"/>
  <c r="K19" i="8"/>
  <c r="K41" i="8"/>
  <c r="L28" i="8"/>
  <c r="M15" i="8"/>
  <c r="M50" i="8"/>
  <c r="I38" i="8"/>
  <c r="J25" i="8"/>
  <c r="K12" i="8"/>
  <c r="K47" i="8"/>
  <c r="L34" i="8"/>
  <c r="M21" i="8"/>
  <c r="L46" i="8"/>
  <c r="L45" i="8"/>
  <c r="M32" i="8"/>
  <c r="I20" i="8"/>
  <c r="L38" i="8"/>
  <c r="M43" i="8"/>
  <c r="I31" i="8"/>
  <c r="J18" i="8"/>
  <c r="L22" i="8"/>
  <c r="I42" i="8"/>
  <c r="J29" i="8"/>
  <c r="K16" i="8"/>
  <c r="L41" i="8"/>
  <c r="M28" i="8"/>
  <c r="I16" i="8"/>
  <c r="L52" i="8"/>
  <c r="M39" i="8"/>
  <c r="I27" i="8"/>
  <c r="J14" i="8"/>
  <c r="J49" i="8"/>
  <c r="M45" i="8"/>
  <c r="I44" i="8"/>
  <c r="K29" i="8"/>
  <c r="K40" i="8"/>
  <c r="Q3" i="3"/>
  <c r="S3" i="2"/>
  <c r="S4" i="2" s="1"/>
  <c r="S5" i="2" s="1"/>
  <c r="I10" i="8"/>
  <c r="D23" i="6"/>
  <c r="P4" i="5" l="1"/>
  <c r="S6" i="2"/>
  <c r="T7" i="2" s="1"/>
  <c r="T6" i="2"/>
  <c r="T5" i="2"/>
  <c r="F12" i="6" s="1"/>
  <c r="O4" i="4"/>
  <c r="P4" i="4"/>
  <c r="T4" i="2"/>
  <c r="Q4" i="3"/>
  <c r="S7" i="2" l="1"/>
  <c r="P5" i="4"/>
  <c r="I49" i="6" s="1"/>
  <c r="R5" i="3"/>
  <c r="P5" i="5"/>
  <c r="D36" i="6" s="1"/>
  <c r="P12" i="6"/>
  <c r="M12" i="6"/>
  <c r="R12" i="6"/>
  <c r="G12" i="6"/>
  <c r="Q12" i="6"/>
  <c r="H12" i="6"/>
  <c r="E12" i="6"/>
  <c r="I12" i="6"/>
  <c r="K12" i="6"/>
  <c r="O12" i="6"/>
  <c r="L12" i="6"/>
  <c r="S12" i="6"/>
  <c r="J12" i="6"/>
  <c r="T12" i="6"/>
  <c r="N12" i="6"/>
  <c r="D12" i="6"/>
  <c r="O5" i="4"/>
  <c r="O5" i="5"/>
  <c r="P14" i="6"/>
  <c r="H14" i="6"/>
  <c r="O14" i="6"/>
  <c r="G14" i="6"/>
  <c r="N14" i="6"/>
  <c r="F14" i="6"/>
  <c r="E14" i="6"/>
  <c r="M14" i="6"/>
  <c r="T14" i="6"/>
  <c r="L14" i="6"/>
  <c r="D14" i="6"/>
  <c r="Q14" i="6"/>
  <c r="S14" i="6"/>
  <c r="K14" i="6"/>
  <c r="I14" i="6"/>
  <c r="R14" i="6"/>
  <c r="J14" i="6"/>
  <c r="Q5" i="3"/>
  <c r="R10" i="3" s="1"/>
  <c r="P8" i="5" l="1"/>
  <c r="P6" i="5"/>
  <c r="P7" i="5"/>
  <c r="O8" i="5"/>
  <c r="P9" i="5" s="1"/>
  <c r="S8" i="2"/>
  <c r="T8" i="2"/>
  <c r="F49" i="6"/>
  <c r="D49" i="6"/>
  <c r="H49" i="6"/>
  <c r="E49" i="6"/>
  <c r="G49" i="6"/>
  <c r="K29" i="6"/>
  <c r="K31" i="6" s="1"/>
  <c r="N29" i="6"/>
  <c r="N31" i="6" s="1"/>
  <c r="R29" i="6"/>
  <c r="R31" i="6" s="1"/>
  <c r="H29" i="6"/>
  <c r="H31" i="6" s="1"/>
  <c r="F29" i="6"/>
  <c r="F31" i="6" s="1"/>
  <c r="J29" i="6"/>
  <c r="J31" i="6" s="1"/>
  <c r="T29" i="6"/>
  <c r="T31" i="6" s="1"/>
  <c r="Q29" i="6"/>
  <c r="Q31" i="6" s="1"/>
  <c r="P29" i="6"/>
  <c r="P31" i="6" s="1"/>
  <c r="M29" i="6"/>
  <c r="M31" i="6" s="1"/>
  <c r="I29" i="6"/>
  <c r="I31" i="6" s="1"/>
  <c r="D29" i="6"/>
  <c r="D31" i="6" s="1"/>
  <c r="L29" i="6"/>
  <c r="L31" i="6" s="1"/>
  <c r="S29" i="6"/>
  <c r="S31" i="6" s="1"/>
  <c r="O29" i="6"/>
  <c r="O31" i="6" s="1"/>
  <c r="G29" i="6"/>
  <c r="G31" i="6" s="1"/>
  <c r="P6" i="4"/>
  <c r="O6" i="4"/>
  <c r="P7" i="4" s="1"/>
  <c r="Q10" i="3"/>
  <c r="Q39" i="8" s="1"/>
  <c r="O9" i="5" l="1"/>
  <c r="O10" i="5" s="1"/>
  <c r="S9" i="2"/>
  <c r="T9" i="2"/>
  <c r="T20" i="8"/>
  <c r="T47" i="8"/>
  <c r="T12" i="8"/>
  <c r="O7" i="4"/>
  <c r="R13" i="8"/>
  <c r="S41" i="8"/>
  <c r="O10" i="8"/>
  <c r="U35" i="8"/>
  <c r="P51" i="8"/>
  <c r="P22" i="8"/>
  <c r="O37" i="8"/>
  <c r="T49" i="8"/>
  <c r="P43" i="8"/>
  <c r="R37" i="8"/>
  <c r="S34" i="8"/>
  <c r="T39" i="8"/>
  <c r="T35" i="8"/>
  <c r="T21" i="8"/>
  <c r="P36" i="8"/>
  <c r="U45" i="8"/>
  <c r="R50" i="8"/>
  <c r="P17" i="8"/>
  <c r="T26" i="8"/>
  <c r="P40" i="8"/>
  <c r="T25" i="8"/>
  <c r="P13" i="8"/>
  <c r="Q45" i="8"/>
  <c r="P29" i="8"/>
  <c r="U50" i="8"/>
  <c r="S40" i="8"/>
  <c r="P33" i="8"/>
  <c r="Q24" i="8"/>
  <c r="P21" i="8"/>
  <c r="T37" i="8"/>
  <c r="O45" i="8"/>
  <c r="T27" i="8"/>
  <c r="P47" i="8"/>
  <c r="P52" i="8"/>
  <c r="U27" i="8"/>
  <c r="T43" i="8"/>
  <c r="R27" i="8"/>
  <c r="P31" i="8"/>
  <c r="O49" i="8"/>
  <c r="T13" i="8"/>
  <c r="T51" i="8"/>
  <c r="P10" i="8"/>
  <c r="T29" i="8"/>
  <c r="R11" i="8"/>
  <c r="T19" i="8"/>
  <c r="Q18" i="8"/>
  <c r="R43" i="8"/>
  <c r="U30" i="8"/>
  <c r="R41" i="8"/>
  <c r="P41" i="8"/>
  <c r="P49" i="8"/>
  <c r="T40" i="8"/>
  <c r="T38" i="8"/>
  <c r="R49" i="8"/>
  <c r="U13" i="8"/>
  <c r="S37" i="8"/>
  <c r="R10" i="8"/>
  <c r="T18" i="8"/>
  <c r="S11" i="8"/>
  <c r="U51" i="8"/>
  <c r="T17" i="8"/>
  <c r="R36" i="8"/>
  <c r="P19" i="8"/>
  <c r="T44" i="8"/>
  <c r="R45" i="8"/>
  <c r="U38" i="8"/>
  <c r="Q14" i="8"/>
  <c r="T46" i="8"/>
  <c r="T22" i="8"/>
  <c r="O41" i="8"/>
  <c r="T41" i="8"/>
  <c r="Q47" i="8"/>
  <c r="P38" i="8"/>
  <c r="U34" i="8"/>
  <c r="U43" i="8"/>
  <c r="T14" i="8"/>
  <c r="R33" i="8"/>
  <c r="Q38" i="8"/>
  <c r="T28" i="8"/>
  <c r="O52" i="8"/>
  <c r="T31" i="8"/>
  <c r="P35" i="8"/>
  <c r="Q13" i="8"/>
  <c r="U25" i="8"/>
  <c r="U31" i="8"/>
  <c r="T52" i="8"/>
  <c r="P32" i="8"/>
  <c r="S30" i="8"/>
  <c r="P18" i="8"/>
  <c r="T33" i="8"/>
  <c r="T34" i="8"/>
  <c r="T32" i="8"/>
  <c r="R35" i="8"/>
  <c r="Q51" i="8"/>
  <c r="O30" i="8"/>
  <c r="P46" i="8"/>
  <c r="O26" i="8"/>
  <c r="U32" i="8"/>
  <c r="R29" i="8"/>
  <c r="R12" i="8"/>
  <c r="Q26" i="8"/>
  <c r="R22" i="8"/>
  <c r="R40" i="8"/>
  <c r="Q28" i="8"/>
  <c r="O18" i="8"/>
  <c r="T42" i="8"/>
  <c r="P27" i="8"/>
  <c r="P12" i="8"/>
  <c r="O46" i="8"/>
  <c r="S17" i="8"/>
  <c r="P50" i="8"/>
  <c r="U10" i="8"/>
  <c r="S29" i="8"/>
  <c r="O17" i="8"/>
  <c r="P39" i="8"/>
  <c r="P28" i="8"/>
  <c r="R15" i="8"/>
  <c r="P34" i="8"/>
  <c r="T48" i="8"/>
  <c r="U12" i="8"/>
  <c r="U18" i="8"/>
  <c r="R28" i="8"/>
  <c r="O51" i="8"/>
  <c r="O16" i="8"/>
  <c r="S19" i="8"/>
  <c r="S51" i="8"/>
  <c r="Q43" i="8"/>
  <c r="U42" i="8"/>
  <c r="U39" i="8"/>
  <c r="Q25" i="8"/>
  <c r="R51" i="8"/>
  <c r="P14" i="8"/>
  <c r="T15" i="8"/>
  <c r="O24" i="8"/>
  <c r="U23" i="8"/>
  <c r="U52" i="8"/>
  <c r="Q21" i="8"/>
  <c r="R16" i="8"/>
  <c r="P30" i="8"/>
  <c r="P16" i="8"/>
  <c r="U15" i="8"/>
  <c r="P37" i="8"/>
  <c r="S23" i="8"/>
  <c r="U48" i="8"/>
  <c r="S42" i="8"/>
  <c r="S48" i="8"/>
  <c r="R24" i="8"/>
  <c r="O31" i="8"/>
  <c r="T10" i="8"/>
  <c r="P24" i="8"/>
  <c r="R23" i="8"/>
  <c r="R17" i="8"/>
  <c r="T30" i="8"/>
  <c r="U16" i="8"/>
  <c r="S14" i="8"/>
  <c r="T23" i="8"/>
  <c r="U24" i="8"/>
  <c r="R14" i="8"/>
  <c r="S33" i="8"/>
  <c r="U33" i="8"/>
  <c r="P48" i="8"/>
  <c r="P26" i="8"/>
  <c r="P44" i="8"/>
  <c r="S45" i="8"/>
  <c r="S24" i="8"/>
  <c r="S52" i="8"/>
  <c r="O14" i="8"/>
  <c r="U20" i="8"/>
  <c r="O20" i="8"/>
  <c r="R38" i="8"/>
  <c r="S25" i="8"/>
  <c r="O32" i="8"/>
  <c r="R31" i="8"/>
  <c r="S13" i="8"/>
  <c r="Q23" i="8"/>
  <c r="S18" i="8"/>
  <c r="O39" i="8"/>
  <c r="O35" i="8"/>
  <c r="Q17" i="8"/>
  <c r="Q50" i="8"/>
  <c r="S46" i="8"/>
  <c r="Q41" i="8"/>
  <c r="O19" i="8"/>
  <c r="R30" i="8"/>
  <c r="S27" i="8"/>
  <c r="Q27" i="8"/>
  <c r="Q33" i="8"/>
  <c r="Q46" i="8"/>
  <c r="Q31" i="8"/>
  <c r="R42" i="8"/>
  <c r="Q19" i="8"/>
  <c r="Q32" i="8"/>
  <c r="Q40" i="8"/>
  <c r="S32" i="8"/>
  <c r="R47" i="8"/>
  <c r="Q22" i="8"/>
  <c r="Q12" i="8"/>
  <c r="S16" i="8"/>
  <c r="P42" i="8"/>
  <c r="O29" i="8"/>
  <c r="U41" i="8"/>
  <c r="U11" i="8"/>
  <c r="O48" i="8"/>
  <c r="Q42" i="8"/>
  <c r="S43" i="8"/>
  <c r="R25" i="8"/>
  <c r="O34" i="8"/>
  <c r="U37" i="8"/>
  <c r="O13" i="8"/>
  <c r="U40" i="8"/>
  <c r="O43" i="8"/>
  <c r="O40" i="8"/>
  <c r="P45" i="8"/>
  <c r="Q48" i="8"/>
  <c r="S38" i="8"/>
  <c r="U49" i="8"/>
  <c r="U22" i="8"/>
  <c r="R18" i="8"/>
  <c r="T16" i="8"/>
  <c r="T11" i="8"/>
  <c r="T24" i="8"/>
  <c r="S10" i="8"/>
  <c r="O21" i="8"/>
  <c r="Q29" i="8"/>
  <c r="R21" i="8"/>
  <c r="Q49" i="8"/>
  <c r="O27" i="8"/>
  <c r="S50" i="8"/>
  <c r="U21" i="8"/>
  <c r="S15" i="8"/>
  <c r="Q15" i="8"/>
  <c r="S12" i="8"/>
  <c r="R26" i="8"/>
  <c r="Q30" i="8"/>
  <c r="S44" i="8"/>
  <c r="U28" i="8"/>
  <c r="U29" i="8"/>
  <c r="S49" i="8"/>
  <c r="R19" i="8"/>
  <c r="P25" i="8"/>
  <c r="S36" i="8"/>
  <c r="T36" i="8"/>
  <c r="R20" i="8"/>
  <c r="Q20" i="8"/>
  <c r="R48" i="8"/>
  <c r="Q44" i="8"/>
  <c r="R46" i="8"/>
  <c r="O50" i="8"/>
  <c r="R34" i="8"/>
  <c r="Q10" i="8"/>
  <c r="O47" i="8"/>
  <c r="S31" i="8"/>
  <c r="S22" i="8"/>
  <c r="S39" i="8"/>
  <c r="Q52" i="8"/>
  <c r="P15" i="8"/>
  <c r="U36" i="8"/>
  <c r="T45" i="8"/>
  <c r="U44" i="8"/>
  <c r="U26" i="8"/>
  <c r="P23" i="8"/>
  <c r="Q37" i="8"/>
  <c r="O15" i="8"/>
  <c r="P11" i="8"/>
  <c r="U14" i="8"/>
  <c r="P20" i="8"/>
  <c r="O44" i="8"/>
  <c r="Q34" i="8"/>
  <c r="R32" i="8"/>
  <c r="Q36" i="8"/>
  <c r="O36" i="8"/>
  <c r="S26" i="8"/>
  <c r="Q11" i="8"/>
  <c r="O22" i="8"/>
  <c r="S20" i="8"/>
  <c r="O33" i="8"/>
  <c r="R52" i="8"/>
  <c r="O42" i="8"/>
  <c r="Q35" i="8"/>
  <c r="O25" i="8"/>
  <c r="S28" i="8"/>
  <c r="U19" i="8"/>
  <c r="T50" i="8"/>
  <c r="U47" i="8"/>
  <c r="R44" i="8"/>
  <c r="U17" i="8"/>
  <c r="O23" i="8"/>
  <c r="S21" i="8"/>
  <c r="U46" i="8"/>
  <c r="S35" i="8"/>
  <c r="O28" i="8"/>
  <c r="S47" i="8"/>
  <c r="R39" i="8"/>
  <c r="O11" i="8"/>
  <c r="Q16" i="8"/>
  <c r="O12" i="8"/>
  <c r="O38" i="8"/>
  <c r="P10" i="5" l="1"/>
  <c r="T10" i="2"/>
  <c r="S10" i="2"/>
  <c r="P8" i="4"/>
  <c r="O8" i="4"/>
  <c r="P9" i="4" s="1"/>
  <c r="D38" i="6"/>
  <c r="D43" i="6" s="1"/>
  <c r="S11" i="2" l="1"/>
  <c r="S12" i="2" s="1"/>
  <c r="T11" i="2"/>
  <c r="O9" i="4"/>
  <c r="T13" i="2" l="1"/>
  <c r="S13" i="2"/>
  <c r="Z10" i="8"/>
  <c r="P10" i="4"/>
  <c r="W44" i="8"/>
  <c r="Z45" i="8"/>
  <c r="Z16" i="8"/>
  <c r="Z38" i="8"/>
  <c r="X49" i="8"/>
  <c r="Y36" i="8"/>
  <c r="X21" i="8"/>
  <c r="X43" i="8"/>
  <c r="W22" i="8"/>
  <c r="Y35" i="8"/>
  <c r="X24" i="8"/>
  <c r="Z30" i="8"/>
  <c r="X23" i="8"/>
  <c r="Y40" i="8"/>
  <c r="W25" i="8"/>
  <c r="X41" i="8"/>
  <c r="Y46" i="8"/>
  <c r="W21" i="8"/>
  <c r="Z13" i="8"/>
  <c r="Y12" i="8"/>
  <c r="Z28" i="8"/>
  <c r="Z48" i="8"/>
  <c r="W28" i="8"/>
  <c r="W50" i="8"/>
  <c r="W48" i="8"/>
  <c r="Z17" i="8"/>
  <c r="X20" i="8"/>
  <c r="W39" i="8"/>
  <c r="Z41" i="8"/>
  <c r="Z31" i="8"/>
  <c r="X34" i="8"/>
  <c r="W38" i="8"/>
  <c r="X30" i="8"/>
  <c r="Z37" i="8"/>
  <c r="Z25" i="8"/>
  <c r="Y15" i="8"/>
  <c r="X48" i="8"/>
  <c r="W46" i="8"/>
  <c r="Y18" i="8"/>
  <c r="Z29" i="8"/>
  <c r="Y39" i="8"/>
  <c r="Z51" i="8"/>
  <c r="X35" i="8"/>
  <c r="X22" i="8"/>
  <c r="Y14" i="8"/>
  <c r="Y33" i="8"/>
  <c r="X47" i="8"/>
  <c r="Y25" i="8"/>
  <c r="W29" i="8"/>
  <c r="Z49" i="8"/>
  <c r="W20" i="8"/>
  <c r="Y49" i="8"/>
  <c r="Z19" i="8"/>
  <c r="Y32" i="8"/>
  <c r="W32" i="8"/>
  <c r="W18" i="8"/>
  <c r="Y45" i="8"/>
  <c r="Z52" i="8"/>
  <c r="X19" i="8"/>
  <c r="W52" i="8"/>
  <c r="Z27" i="8"/>
  <c r="W17" i="8"/>
  <c r="Z26" i="8"/>
  <c r="Z35" i="8"/>
  <c r="W51" i="8"/>
  <c r="Z18" i="8"/>
  <c r="Z14" i="8"/>
  <c r="Y19" i="8"/>
  <c r="Y21" i="8"/>
  <c r="W45" i="8"/>
  <c r="Z12" i="8"/>
  <c r="W14" i="8"/>
  <c r="X25" i="8"/>
  <c r="Y13" i="8"/>
  <c r="Z33" i="8"/>
  <c r="Z32" i="8"/>
  <c r="Y43" i="8"/>
  <c r="X44" i="8"/>
  <c r="W31" i="8"/>
  <c r="Z42" i="8"/>
  <c r="X13" i="8"/>
  <c r="Y22" i="8"/>
  <c r="W41" i="8"/>
  <c r="X32" i="8"/>
  <c r="X50" i="8"/>
  <c r="W23" i="8"/>
  <c r="Y26" i="8"/>
  <c r="X14" i="8"/>
  <c r="Z40" i="8"/>
  <c r="Z47" i="8"/>
  <c r="X27" i="8"/>
  <c r="X45" i="8"/>
  <c r="X40" i="8"/>
  <c r="X18" i="8"/>
  <c r="Y28" i="8"/>
  <c r="Y11" i="8"/>
  <c r="X37" i="8"/>
  <c r="O10" i="4"/>
  <c r="P12" i="4" s="1"/>
  <c r="Z39" i="8" l="1"/>
  <c r="W33" i="8"/>
  <c r="X11" i="8"/>
  <c r="W34" i="8"/>
  <c r="Y52" i="8"/>
  <c r="Y34" i="8"/>
  <c r="Y51" i="8"/>
  <c r="X39" i="8"/>
  <c r="X31" i="8"/>
  <c r="Z21" i="8"/>
  <c r="W42" i="8"/>
  <c r="T14" i="2"/>
  <c r="S14" i="2"/>
  <c r="S15" i="2" s="1"/>
  <c r="Y47" i="8"/>
  <c r="W16" i="8"/>
  <c r="W27" i="8"/>
  <c r="W26" i="8"/>
  <c r="X10" i="8"/>
  <c r="W37" i="8"/>
  <c r="W19" i="8"/>
  <c r="Y42" i="8"/>
  <c r="X28" i="8"/>
  <c r="X46" i="8"/>
  <c r="Z34" i="8"/>
  <c r="W30" i="8"/>
  <c r="Y41" i="8"/>
  <c r="W10" i="8"/>
  <c r="Y31" i="8"/>
  <c r="W35" i="8"/>
  <c r="Z23" i="8"/>
  <c r="W24" i="8"/>
  <c r="Y30" i="8"/>
  <c r="Y20" i="8"/>
  <c r="X36" i="8"/>
  <c r="X17" i="8"/>
  <c r="Z11" i="8"/>
  <c r="X16" i="8"/>
  <c r="Y16" i="8"/>
  <c r="Z44" i="8"/>
  <c r="Y38" i="8"/>
  <c r="X26" i="8"/>
  <c r="W43" i="8"/>
  <c r="W47" i="8"/>
  <c r="W40" i="8"/>
  <c r="W11" i="8"/>
  <c r="Z20" i="8"/>
  <c r="Z24" i="8"/>
  <c r="W13" i="8"/>
  <c r="Y23" i="8"/>
  <c r="Z15" i="8"/>
  <c r="X33" i="8"/>
  <c r="Z22" i="8"/>
  <c r="X38" i="8"/>
  <c r="X29" i="8"/>
  <c r="Y48" i="8"/>
  <c r="Y50" i="8"/>
  <c r="X12" i="8"/>
  <c r="Y10" i="8"/>
  <c r="Y27" i="8"/>
  <c r="X52" i="8"/>
  <c r="Y44" i="8"/>
  <c r="Y29" i="8"/>
  <c r="Z36" i="8"/>
  <c r="Y24" i="8"/>
  <c r="X51" i="8"/>
  <c r="Z46" i="8"/>
  <c r="Z43" i="8"/>
  <c r="Z50" i="8"/>
  <c r="Y17" i="8"/>
  <c r="X15" i="8"/>
  <c r="W36" i="8"/>
  <c r="X42" i="8"/>
  <c r="Y37" i="8"/>
  <c r="W15" i="8"/>
  <c r="W49" i="8"/>
  <c r="W12" i="8"/>
  <c r="O12" i="4"/>
  <c r="P13" i="4" s="1"/>
  <c r="G47" i="6" s="1"/>
  <c r="E47" i="6" l="1"/>
  <c r="I47" i="6"/>
  <c r="F47" i="6"/>
  <c r="H47" i="6"/>
  <c r="O13" i="4"/>
  <c r="P14" i="4" s="1"/>
  <c r="O14" i="4" l="1"/>
  <c r="P15" i="4" s="1"/>
  <c r="O15" i="4" l="1"/>
  <c r="O16" i="4" l="1"/>
  <c r="P16" i="4"/>
  <c r="O17" i="4" l="1"/>
  <c r="P17" i="4"/>
  <c r="I48" i="6" s="1"/>
  <c r="I50" i="6" s="1"/>
  <c r="O18" i="4" l="1"/>
  <c r="O19" i="4" s="1"/>
  <c r="D48" i="6"/>
  <c r="F48" i="6"/>
  <c r="F50" i="6" s="1"/>
  <c r="E48" i="6"/>
  <c r="E50" i="6" s="1"/>
  <c r="D47" i="6"/>
  <c r="G48" i="6"/>
  <c r="G50" i="6" s="1"/>
  <c r="H48" i="6"/>
  <c r="H50" i="6" s="1"/>
  <c r="O20" i="4" l="1"/>
  <c r="O21" i="4" s="1"/>
  <c r="D50" i="6"/>
  <c r="AD25" i="8" l="1"/>
  <c r="AE47" i="8"/>
  <c r="O23" i="4"/>
  <c r="O24" i="4" s="1"/>
  <c r="O25" i="4" s="1"/>
  <c r="O26" i="4" s="1"/>
  <c r="AC40" i="8" s="1"/>
  <c r="AD51" i="8"/>
  <c r="AB38" i="8"/>
  <c r="AC41" i="8"/>
  <c r="AE36" i="8"/>
  <c r="AE22" i="8"/>
  <c r="AB21" i="8"/>
  <c r="AE35" i="8"/>
  <c r="AD45" i="8"/>
  <c r="AD47" i="8"/>
  <c r="AD17" i="8"/>
  <c r="AB27" i="8"/>
  <c r="AC43" i="8"/>
  <c r="AD22" i="8"/>
  <c r="AB31" i="8"/>
  <c r="AB10" i="8"/>
  <c r="AD38" i="8"/>
  <c r="AD46" i="8"/>
  <c r="AE44" i="8"/>
  <c r="AE43" i="8"/>
  <c r="AB18" i="8"/>
  <c r="AC31" i="8"/>
  <c r="AB30" i="8"/>
  <c r="AE13" i="8"/>
  <c r="AE33" i="8"/>
  <c r="AB48" i="8"/>
  <c r="AE11" i="8"/>
  <c r="AB26" i="8"/>
  <c r="AD32" i="8"/>
  <c r="AB25" i="8"/>
  <c r="AC34" i="8"/>
  <c r="AB42" i="8"/>
  <c r="AB14" i="8"/>
  <c r="AC30" i="8"/>
  <c r="AC35" i="8"/>
  <c r="AC36" i="8"/>
  <c r="AD16" i="8"/>
  <c r="AB34" i="8"/>
  <c r="AC10" i="8"/>
  <c r="AE12" i="8"/>
  <c r="AE34" i="8"/>
  <c r="AB52" i="8"/>
  <c r="AB44" i="8"/>
  <c r="AB36" i="8"/>
  <c r="AB40" i="8"/>
  <c r="AD37" i="8"/>
  <c r="AC29" i="8"/>
  <c r="AE29" i="8"/>
  <c r="AC52" i="8"/>
  <c r="AD33" i="8"/>
  <c r="AB41" i="8"/>
  <c r="AD44" i="8"/>
  <c r="AE49" i="8"/>
  <c r="AD50" i="8"/>
  <c r="AD42" i="8"/>
  <c r="AE28" i="8"/>
  <c r="AE27" i="8"/>
  <c r="AB37" i="8"/>
  <c r="AD30" i="8"/>
  <c r="AB32" i="8"/>
  <c r="AE48" i="8"/>
  <c r="AC17" i="8"/>
  <c r="AD23" i="8"/>
  <c r="AC11" i="8"/>
  <c r="AC37" i="8"/>
  <c r="AC28" i="8"/>
  <c r="AC32" i="8"/>
  <c r="AE39" i="8"/>
  <c r="AE31" i="8"/>
  <c r="AD14" i="8"/>
  <c r="AB49" i="8"/>
  <c r="AD18" i="8"/>
  <c r="AE19" i="8"/>
  <c r="AB22" i="8"/>
  <c r="AD13" i="8"/>
  <c r="AC50" i="8"/>
  <c r="AB15" i="8"/>
  <c r="AE20" i="8"/>
  <c r="AC18" i="8"/>
  <c r="AE25" i="8"/>
  <c r="AD34" i="8"/>
  <c r="AC16" i="8"/>
  <c r="AC27" i="8"/>
  <c r="AC22" i="8"/>
  <c r="AC47" i="8"/>
  <c r="AE15" i="8"/>
  <c r="AB11" i="8"/>
  <c r="AC42" i="8"/>
  <c r="AB50" i="8"/>
  <c r="AE21" i="8"/>
  <c r="AB24" i="8"/>
  <c r="AD48" i="8"/>
  <c r="AD39" i="8"/>
  <c r="AB20" i="8"/>
  <c r="AE46" i="8"/>
  <c r="AD11" i="8"/>
  <c r="AE14" i="8"/>
  <c r="AC33" i="8"/>
  <c r="AE45" i="8"/>
  <c r="AD19" i="8"/>
  <c r="AC24" i="8"/>
  <c r="AC26" i="8"/>
  <c r="AE40" i="8"/>
  <c r="AC38" i="8"/>
  <c r="AC14" i="8"/>
  <c r="AB19" i="8"/>
  <c r="AE30" i="8"/>
  <c r="AB23" i="8"/>
  <c r="AD41" i="8"/>
  <c r="AB28" i="8"/>
  <c r="AE18" i="8"/>
  <c r="AC13" i="8" l="1"/>
  <c r="AC15" i="8"/>
  <c r="AE51" i="8"/>
  <c r="AE50" i="8"/>
  <c r="AC12" i="8"/>
  <c r="AE52" i="8"/>
  <c r="AD26" i="8"/>
  <c r="AB43" i="8"/>
  <c r="AD52" i="8"/>
  <c r="AC39" i="8"/>
  <c r="AC21" i="8"/>
  <c r="AC49" i="8"/>
  <c r="AE42" i="8"/>
  <c r="AB12" i="8"/>
  <c r="AB17" i="8"/>
  <c r="AE17" i="8"/>
  <c r="AD27" i="8"/>
  <c r="AD15" i="8"/>
  <c r="AD29" i="8"/>
  <c r="AC44" i="8"/>
  <c r="AD49" i="8"/>
  <c r="AE41" i="8"/>
  <c r="AE23" i="8"/>
  <c r="AB51" i="8"/>
  <c r="AD31" i="8"/>
  <c r="AD24" i="8"/>
  <c r="AB47" i="8"/>
  <c r="AD10" i="8"/>
  <c r="AD20" i="8"/>
  <c r="AC51" i="8"/>
  <c r="AD43" i="8"/>
  <c r="AD40" i="8"/>
  <c r="AC23" i="8"/>
  <c r="AD36" i="8"/>
  <c r="AC25" i="8"/>
  <c r="AB45" i="8"/>
  <c r="AD21" i="8"/>
  <c r="AB29" i="8"/>
  <c r="AB16" i="8"/>
  <c r="AD35" i="8"/>
  <c r="AE26" i="8"/>
  <c r="AD12" i="8"/>
  <c r="AB39" i="8"/>
  <c r="AC45" i="8"/>
  <c r="AB46" i="8"/>
  <c r="AE38" i="8"/>
  <c r="AC48" i="8"/>
  <c r="AB35" i="8"/>
  <c r="AB13" i="8"/>
  <c r="AE37" i="8"/>
  <c r="AB33" i="8"/>
  <c r="AE10" i="8"/>
  <c r="AC46" i="8"/>
  <c r="AC19" i="8"/>
  <c r="AE32" i="8"/>
  <c r="AE24" i="8"/>
  <c r="AC20" i="8"/>
  <c r="AD28" i="8"/>
  <c r="AE16" i="8"/>
  <c r="D33" i="8" l="1"/>
  <c r="C32" i="8"/>
  <c r="D37" i="8"/>
  <c r="C30" i="8"/>
  <c r="B45" i="8"/>
  <c r="B32" i="8"/>
  <c r="E23" i="8"/>
  <c r="G37" i="8"/>
  <c r="F10" i="8"/>
  <c r="F27" i="8"/>
  <c r="F43" i="8"/>
  <c r="E48" i="8"/>
  <c r="F44" i="8"/>
  <c r="B42" i="8"/>
  <c r="E10" i="8"/>
  <c r="F36" i="8"/>
  <c r="E25" i="8"/>
  <c r="B46" i="8"/>
  <c r="G50" i="8"/>
  <c r="B44" i="8"/>
  <c r="G22" i="8"/>
  <c r="G16" i="8"/>
  <c r="B31" i="8"/>
  <c r="C12" i="8"/>
  <c r="B34" i="8"/>
  <c r="C52" i="8"/>
  <c r="E12" i="8"/>
  <c r="B18" i="8"/>
  <c r="C35" i="8"/>
  <c r="D52" i="8"/>
  <c r="E32" i="8"/>
  <c r="D40" i="8"/>
  <c r="D39" i="8"/>
  <c r="B21" i="8"/>
  <c r="C25" i="8"/>
  <c r="G29" i="8"/>
  <c r="C24" i="8"/>
  <c r="E16" i="8"/>
  <c r="F50" i="8"/>
  <c r="E26" i="8"/>
  <c r="C22" i="8"/>
  <c r="B12" i="8"/>
  <c r="F37" i="8"/>
  <c r="F32" i="8"/>
  <c r="E13" i="8"/>
  <c r="B24" i="8"/>
  <c r="F49" i="8"/>
  <c r="G23" i="8"/>
  <c r="F30" i="8"/>
  <c r="E18" i="8"/>
  <c r="E19" i="8"/>
  <c r="E20" i="8"/>
  <c r="G49" i="8"/>
  <c r="D23" i="8"/>
  <c r="E40" i="8"/>
  <c r="E28" i="8"/>
  <c r="D22" i="8"/>
  <c r="C27" i="8"/>
  <c r="D18" i="8"/>
  <c r="E44" i="8"/>
  <c r="C11" i="8"/>
  <c r="D19" i="8"/>
  <c r="C10" i="8"/>
  <c r="G13" i="8"/>
  <c r="F26" i="8"/>
  <c r="F22" i="8"/>
  <c r="F48" i="8"/>
  <c r="C38" i="8"/>
  <c r="D16" i="8"/>
  <c r="E35" i="8"/>
  <c r="B15" i="8"/>
  <c r="E14" i="8"/>
  <c r="C41" i="8"/>
  <c r="C17" i="8"/>
  <c r="G41" i="8"/>
  <c r="B30" i="8"/>
  <c r="G44" i="8"/>
  <c r="F17" i="8"/>
  <c r="F35" i="8"/>
  <c r="E31" i="8"/>
  <c r="G46" i="8"/>
  <c r="B29" i="8"/>
  <c r="B16" i="8"/>
  <c r="B11" i="8"/>
  <c r="E45" i="8"/>
  <c r="C40" i="8"/>
  <c r="F28" i="8"/>
  <c r="C19" i="8"/>
  <c r="B40" i="8"/>
  <c r="B17" i="8"/>
  <c r="D42" i="8"/>
  <c r="G32" i="8"/>
  <c r="D45" i="8"/>
  <c r="G28" i="8"/>
  <c r="D49" i="8"/>
  <c r="D48" i="8"/>
  <c r="G25" i="8"/>
  <c r="G20" i="8"/>
  <c r="C23" i="8"/>
  <c r="C44" i="8"/>
  <c r="B22" i="8"/>
  <c r="B51" i="8"/>
  <c r="G31" i="8"/>
  <c r="E27" i="8"/>
  <c r="G33" i="8"/>
  <c r="B10" i="8"/>
  <c r="F51" i="8"/>
  <c r="D12" i="8"/>
  <c r="B43" i="8"/>
  <c r="F12" i="8"/>
  <c r="F14" i="8"/>
  <c r="C49" i="8"/>
  <c r="E50" i="8"/>
  <c r="C26" i="8"/>
  <c r="D36" i="8"/>
  <c r="C37" i="8"/>
  <c r="F24" i="8"/>
  <c r="F21" i="8"/>
  <c r="G42" i="8"/>
  <c r="G30" i="8"/>
  <c r="B28" i="8"/>
  <c r="B26" i="8"/>
  <c r="F45" i="8"/>
  <c r="E52" i="8"/>
  <c r="E24" i="8"/>
  <c r="D15" i="8"/>
  <c r="G40" i="8"/>
  <c r="D10" i="8"/>
  <c r="B37" i="8"/>
  <c r="F31" i="8"/>
  <c r="C46" i="8"/>
  <c r="E47" i="8"/>
  <c r="G14" i="8"/>
  <c r="F13" i="8"/>
  <c r="F47" i="8"/>
  <c r="F52" i="8"/>
  <c r="B13" i="8"/>
  <c r="E29" i="8"/>
  <c r="E51" i="8"/>
  <c r="D27" i="8"/>
  <c r="D29" i="8"/>
  <c r="E38" i="8"/>
  <c r="E41" i="8"/>
  <c r="C51" i="8"/>
  <c r="G12" i="8"/>
  <c r="G38" i="8"/>
  <c r="B36" i="8"/>
  <c r="E46" i="8"/>
  <c r="E33" i="8"/>
  <c r="G17" i="8"/>
  <c r="B52" i="8"/>
  <c r="F18" i="8"/>
  <c r="B50" i="8"/>
  <c r="F29" i="8"/>
  <c r="E17" i="8"/>
  <c r="C16" i="8"/>
  <c r="E15" i="8"/>
  <c r="D21" i="8"/>
  <c r="D47" i="8"/>
  <c r="E42" i="8"/>
  <c r="G15" i="8"/>
  <c r="F39" i="8"/>
  <c r="D50" i="8"/>
  <c r="G43" i="8"/>
  <c r="D34" i="8"/>
  <c r="C47" i="8"/>
  <c r="G24" i="8"/>
  <c r="D24" i="8"/>
  <c r="D17" i="8"/>
  <c r="G34" i="8"/>
  <c r="D35" i="8"/>
  <c r="B33" i="8"/>
  <c r="G36" i="8"/>
  <c r="F41" i="8"/>
  <c r="C36" i="8"/>
  <c r="E22" i="8"/>
  <c r="D38" i="8"/>
  <c r="D43" i="8"/>
  <c r="F34" i="8"/>
  <c r="E37" i="8"/>
  <c r="B48" i="8"/>
  <c r="C48" i="8"/>
  <c r="F15" i="8"/>
  <c r="B47" i="8"/>
  <c r="E43" i="8"/>
  <c r="E30" i="8"/>
  <c r="F20" i="8"/>
  <c r="F23" i="8"/>
  <c r="D20" i="8"/>
  <c r="B39" i="8"/>
  <c r="F11" i="8"/>
  <c r="G11" i="8"/>
  <c r="C15" i="8"/>
  <c r="C18" i="8"/>
  <c r="C43" i="8"/>
  <c r="D51" i="8"/>
  <c r="B19" i="8"/>
  <c r="D25" i="8"/>
  <c r="G18" i="8"/>
  <c r="C21" i="8"/>
  <c r="E36" i="8"/>
  <c r="D30" i="8"/>
  <c r="G26" i="8"/>
  <c r="C29" i="8"/>
  <c r="C20" i="8"/>
  <c r="F38" i="8"/>
  <c r="C31" i="8"/>
  <c r="F19" i="8"/>
  <c r="D32" i="8"/>
  <c r="C14" i="8"/>
  <c r="D46" i="8"/>
  <c r="B49" i="8"/>
  <c r="D31" i="8"/>
  <c r="B35" i="8"/>
  <c r="D41" i="8"/>
  <c r="B25" i="8"/>
  <c r="F46" i="8"/>
  <c r="D28" i="8"/>
  <c r="B20" i="8"/>
  <c r="C33" i="8"/>
  <c r="D13" i="8"/>
  <c r="B27" i="8"/>
  <c r="E21" i="8"/>
  <c r="C42" i="8"/>
  <c r="G47" i="8"/>
  <c r="F40" i="8"/>
  <c r="D26" i="8"/>
  <c r="G51" i="8"/>
  <c r="B14" i="8"/>
  <c r="C28" i="8"/>
  <c r="G21" i="8"/>
  <c r="C39" i="8"/>
  <c r="D14" i="8"/>
  <c r="F16" i="8"/>
  <c r="B41" i="8"/>
  <c r="G10" i="8"/>
  <c r="G27" i="8"/>
  <c r="E39" i="8"/>
  <c r="C13" i="8"/>
  <c r="D11" i="8"/>
  <c r="G48" i="8"/>
  <c r="G52" i="8"/>
  <c r="E34" i="8"/>
  <c r="E49" i="8"/>
  <c r="B38" i="8"/>
  <c r="B23" i="8"/>
  <c r="G19" i="8"/>
  <c r="C34" i="8"/>
  <c r="F25" i="8"/>
  <c r="C45" i="8"/>
  <c r="F42" i="8"/>
  <c r="G45" i="8"/>
  <c r="D44" i="8"/>
  <c r="E11" i="8"/>
  <c r="G35" i="8"/>
  <c r="C50" i="8"/>
  <c r="G39" i="8"/>
  <c r="F33" i="8"/>
  <c r="J13" i="6"/>
  <c r="J15" i="6" s="1"/>
  <c r="K13" i="6"/>
  <c r="K15" i="6" s="1"/>
  <c r="S13" i="6"/>
  <c r="S15" i="6" s="1"/>
  <c r="I13" i="6"/>
  <c r="I15" i="6" s="1"/>
  <c r="Q13" i="6"/>
  <c r="Q15" i="6" s="1"/>
  <c r="P13" i="6"/>
  <c r="P15" i="6" s="1"/>
  <c r="E13" i="6"/>
  <c r="E15" i="6"/>
  <c r="L13" i="6"/>
  <c r="L15" i="6" s="1"/>
  <c r="R13" i="6"/>
  <c r="R15" i="6" s="1"/>
  <c r="D13" i="6"/>
  <c r="D15" i="6" s="1"/>
  <c r="O13" i="6"/>
  <c r="O15" i="6" s="1"/>
  <c r="T13" i="6"/>
  <c r="T15" i="6" s="1"/>
  <c r="F13" i="6"/>
  <c r="F15" i="6" s="1"/>
  <c r="N13" i="6"/>
  <c r="N15" i="6" s="1"/>
  <c r="M13" i="6"/>
  <c r="M15" i="6"/>
  <c r="G13" i="6"/>
  <c r="G15" i="6" s="1"/>
  <c r="H13" i="6"/>
  <c r="H15" i="6" s="1"/>
</calcChain>
</file>

<file path=xl/sharedStrings.xml><?xml version="1.0" encoding="utf-8"?>
<sst xmlns="http://schemas.openxmlformats.org/spreadsheetml/2006/main" count="780" uniqueCount="347">
  <si>
    <t>Risk Number</t>
  </si>
  <si>
    <t>Date Reported</t>
  </si>
  <si>
    <t>Category</t>
  </si>
  <si>
    <t>Visibility</t>
  </si>
  <si>
    <t>Title</t>
  </si>
  <si>
    <t>Description</t>
  </si>
  <si>
    <t>Risk Cause</t>
  </si>
  <si>
    <t>Risk Consequence</t>
  </si>
  <si>
    <t>Risk Owner</t>
  </si>
  <si>
    <t>Status</t>
  </si>
  <si>
    <t>Severity</t>
  </si>
  <si>
    <t>Probability</t>
  </si>
  <si>
    <t>Strategy</t>
  </si>
  <si>
    <t>Strategy Details</t>
  </si>
  <si>
    <t>Closed Date</t>
  </si>
  <si>
    <t>Additional Notes</t>
  </si>
  <si>
    <t>Vendor</t>
  </si>
  <si>
    <t>OCM</t>
  </si>
  <si>
    <t>Communication</t>
  </si>
  <si>
    <t>Cost</t>
  </si>
  <si>
    <t>Deployment</t>
  </si>
  <si>
    <t>Facilities</t>
  </si>
  <si>
    <t>Infrastructure</t>
  </si>
  <si>
    <t>Integration</t>
  </si>
  <si>
    <t>Benefits</t>
  </si>
  <si>
    <t>Quality</t>
  </si>
  <si>
    <t>Resources</t>
  </si>
  <si>
    <t>Schedule</t>
  </si>
  <si>
    <t>Scope</t>
  </si>
  <si>
    <t>Technical</t>
  </si>
  <si>
    <t>Training</t>
  </si>
  <si>
    <t>Objectives</t>
  </si>
  <si>
    <t>New</t>
  </si>
  <si>
    <t>Open</t>
  </si>
  <si>
    <t>Escalating</t>
  </si>
  <si>
    <t>Mitigating</t>
  </si>
  <si>
    <t>Monitoring</t>
  </si>
  <si>
    <t>Closed</t>
  </si>
  <si>
    <t>Risk_Category</t>
  </si>
  <si>
    <t>Risk_Severity</t>
  </si>
  <si>
    <t>Risk_Status</t>
  </si>
  <si>
    <t>Very Low</t>
  </si>
  <si>
    <t>Low</t>
  </si>
  <si>
    <t>Moderate</t>
  </si>
  <si>
    <t>High</t>
  </si>
  <si>
    <t>Very High</t>
  </si>
  <si>
    <t>Risk_Probability</t>
  </si>
  <si>
    <t>Risk_Strategy</t>
  </si>
  <si>
    <t>Avoid</t>
  </si>
  <si>
    <t>Transfer</t>
  </si>
  <si>
    <t>Mitigate</t>
  </si>
  <si>
    <t>Accept</t>
  </si>
  <si>
    <t>Share</t>
  </si>
  <si>
    <t>Exploit</t>
  </si>
  <si>
    <t>Enhance</t>
  </si>
  <si>
    <t>Issue Number</t>
  </si>
  <si>
    <t>Identified by</t>
  </si>
  <si>
    <t>Task Owner</t>
  </si>
  <si>
    <t>Due Date</t>
  </si>
  <si>
    <t>Resolution Date</t>
  </si>
  <si>
    <t>Issue Cause</t>
  </si>
  <si>
    <t>Impacts</t>
  </si>
  <si>
    <t>Issue_Status</t>
  </si>
  <si>
    <t>Issue_Severity</t>
  </si>
  <si>
    <t>Issue_Probability</t>
  </si>
  <si>
    <t>In Progress</t>
  </si>
  <si>
    <t>Pending</t>
  </si>
  <si>
    <t>Escalated</t>
  </si>
  <si>
    <t>Impediment Number</t>
  </si>
  <si>
    <t>Action Owner</t>
  </si>
  <si>
    <t>Affected SOWs and Stories</t>
  </si>
  <si>
    <t>Delivery Sprint</t>
  </si>
  <si>
    <t>Imped_Category</t>
  </si>
  <si>
    <t>Imped_Status</t>
  </si>
  <si>
    <t>Imped_Severity</t>
  </si>
  <si>
    <t>Decision Number</t>
  </si>
  <si>
    <t>Decision Resolution</t>
  </si>
  <si>
    <t>Decision Maker</t>
  </si>
  <si>
    <t>Decision Date</t>
  </si>
  <si>
    <t>Decision Rationale</t>
  </si>
  <si>
    <t>Decision_Status</t>
  </si>
  <si>
    <t>In Review</t>
  </si>
  <si>
    <t>Revoked</t>
  </si>
  <si>
    <t>Cancelled</t>
  </si>
  <si>
    <t>Task Number</t>
  </si>
  <si>
    <t>Priority</t>
  </si>
  <si>
    <t>Task Status</t>
  </si>
  <si>
    <t>Target Due Date</t>
  </si>
  <si>
    <t>Actions Required</t>
  </si>
  <si>
    <t>Status Date</t>
  </si>
  <si>
    <t>Task Information</t>
  </si>
  <si>
    <t>Actual Resolution Date</t>
  </si>
  <si>
    <t>Action_Priority</t>
  </si>
  <si>
    <t>Action_Status</t>
  </si>
  <si>
    <t>Medium</t>
  </si>
  <si>
    <t>Critical</t>
  </si>
  <si>
    <t>RISK</t>
  </si>
  <si>
    <t>DAY</t>
  </si>
  <si>
    <t>MONTH</t>
  </si>
  <si>
    <t>YEAR</t>
  </si>
  <si>
    <t>Open Risks</t>
  </si>
  <si>
    <t>TOTAL</t>
  </si>
  <si>
    <t>ISSUES</t>
  </si>
  <si>
    <t>Outstanding Issues</t>
  </si>
  <si>
    <t>IMPEDIMENTS</t>
  </si>
  <si>
    <t>Helper</t>
  </si>
  <si>
    <t>External</t>
  </si>
  <si>
    <t>Delay in deployment</t>
  </si>
  <si>
    <t>ISSUE</t>
  </si>
  <si>
    <t>MON</t>
  </si>
  <si>
    <t>Helper1</t>
  </si>
  <si>
    <t>Open Action Items</t>
  </si>
  <si>
    <t>DECISIONS</t>
  </si>
  <si>
    <t>ACTIONS</t>
  </si>
  <si>
    <t>Total</t>
  </si>
  <si>
    <t>Count</t>
  </si>
  <si>
    <t>Project E</t>
  </si>
  <si>
    <t>Project D</t>
  </si>
  <si>
    <t>Project_Name</t>
  </si>
  <si>
    <t>Project Name</t>
  </si>
  <si>
    <t>Duration (Days)</t>
  </si>
  <si>
    <t>Duration</t>
  </si>
  <si>
    <t>Requirements</t>
  </si>
  <si>
    <t>UX / UI</t>
  </si>
  <si>
    <t>Benefits / Objectives</t>
  </si>
  <si>
    <t>Business Approval</t>
  </si>
  <si>
    <t>Small Business DCO</t>
  </si>
  <si>
    <t>Warranty DCO</t>
  </si>
  <si>
    <t>Data Migration DBX</t>
  </si>
  <si>
    <t>Temenos' capacity for sprint completion may impact the overall delivery date.</t>
  </si>
  <si>
    <t xml:space="preserve">Reviewing the burndown charts for Temeno's progress on the DCO sprints showcases that they are consistently behind 50-75% of the total story points. 
</t>
  </si>
  <si>
    <t xml:space="preserve">As missed work results in user stories moving to future sprints, there is no remediation plan to address how Temenos will address the remaining items before the small business DCO launch. </t>
  </si>
  <si>
    <t>Temenos: Kendyl
CWB: Sarah-Mae</t>
  </si>
  <si>
    <t xml:space="preserve">1) Temenos to revisit their delivery schedule and plan, providing a remediation plan for how they will get all the work completed on time.
2) Discussion to revisit the delivery methodology, timeline or resource capacity to meet the predetermined schedule. 
3) Tracking the remediation plan in weekly status reports to ensure that Temenos' proposed plan is working and that we are on track. </t>
  </si>
  <si>
    <t xml:space="preserve">Please note: at this time, Temenos has not flagged any issues with delivery or being behind; however, the sprint reports from their JIRA instance showcase this trend. </t>
  </si>
  <si>
    <t>Defect Prioritization Plan yet to be received</t>
  </si>
  <si>
    <t>We have yet to receive in-branch/motive defect plan and is currently past due.</t>
  </si>
  <si>
    <t>Undefined releases can impact the usability of the currently launched product.</t>
  </si>
  <si>
    <t>Unresolved defects from initial releases</t>
  </si>
  <si>
    <t>Continual communication with vendors to monitor defect plan progression.
May extend windows for warranty releases to accommodate the back log of defects.</t>
  </si>
  <si>
    <t>Jan 12 - Kendyl to provide prioritized accessibility defects with dates to implement within the plan by Friday, Jan 15.
Jan 18 - The list updated list of warranty items and the proposed schedule has not been sent by Temenos.</t>
  </si>
  <si>
    <t>Risk event: high volume of defects resulting in rework.</t>
  </si>
  <si>
    <t>The delivery methodology and schedule from Temenos is mismatched with their ability to provide high quality artifacts.
The increase in defects jeopardizes the program's scope and schedule.</t>
  </si>
  <si>
    <t>Tight timelines, resource availability and competencies are impacting the quality being delivered by Temenos.</t>
  </si>
  <si>
    <t>- Delay in deployment
- Rework required by team
- Additional costs from delays</t>
  </si>
  <si>
    <t>Temenos: Lauren
CWB: Dilshad</t>
  </si>
  <si>
    <t>Formalized request for a quality improvement plan to address the ongoing issues with code quality, testing and resource allocations.
Escalation to leadership to emphasize the importance of quality, to ensure the program can meet it's scope and delivery dates.</t>
  </si>
  <si>
    <t>Quality improvement plan request commenced on Dec 09, 2020. 
Reiterated the request on Dec 22, 2020 - Lauren advised that it was completed and would be provided by Dec 29, 2020.
Escalated to Lauren (Temenos) on Dec 31, 2020 - who advised Kendyl would be providing it on her return by EOD on Jan 05, 2021.
Kendyl provided feedback on Jan 07, 2021 indicating that the Quality Improvement Plan has not been developed, asking to work collaboratively.
Details for escalation provided to CWB program leadership team on Jan 13, 2021.
Formally submitting escalation on Jan 18, for senior leadership level intervention with Temenos</t>
  </si>
  <si>
    <t>Ring-Fence unable to access CWB QADIG</t>
  </si>
  <si>
    <t>&lt;&lt; ensure that items that Brad, Lisa, Keith are aware in issues like this. 
SM to follow up Lisa offline.</t>
  </si>
  <si>
    <t>Unable to complete stories in Sprint 6</t>
  </si>
  <si>
    <t>There are 3 blocked stories that are overdue for Sprint 6 which could impact Temenos' ability to complete the stories in the sprint.</t>
  </si>
  <si>
    <t xml:space="preserve">Change in BA resource availbility and integration issues with Ring-Fence and the CWB QADIG have delayed resolution </t>
  </si>
  <si>
    <t>There may be last minute changes to sprint items, or impact the overall delivery schedule.</t>
  </si>
  <si>
    <t>Temenos: Kendyl
CWB: Sarah-Mae
BIG: Andy</t>
  </si>
  <si>
    <t>All teams are working towards defining what will be provided before the end of the week, 01/29/2021.</t>
  </si>
  <si>
    <t xml:space="preserve">Note: this item is already red, and by EOD on 01/29/2021 we should understand if we're trending back to amber or unable to mitigate this risk.
Note: Kendyl to reorder the blocked items to ensure that the team is emphasizing. Kendyl to address the impacts if the information is delivered by EOD Jan 29. SM to TT Kendyl offline.  </t>
  </si>
  <si>
    <t>Unable to complete stories in Sprint 7</t>
  </si>
  <si>
    <t>There are 17 blocked stories that are overdue for Sprint 7 could impact the delivery dates for the project</t>
  </si>
  <si>
    <t>Backlogged items and requirements have impeded Temenos' ability to prepare for the sprint</t>
  </si>
  <si>
    <t>There may be last minute changes to sprint items, or impact the overall delivery schedule</t>
  </si>
  <si>
    <t xml:space="preserve">All teams are working towards defining what will be provided before the commencement of Sprint 7, as well as a go-to-green plan to get on track. </t>
  </si>
  <si>
    <t>Note: this item is already amber, and by EOD on 01/29/2021 we should understand if we're trending red or able to mitigate this risk.</t>
  </si>
  <si>
    <t>Schedule impacts due to selected delivery methodology</t>
  </si>
  <si>
    <t xml:space="preserve">Temenos Small biz DCO backlog is based on estimated effort of placeholder stories while requirements continue to be defined on a sprint-by-sprint basis. Due to this more agile approach, as requirements are defined, effort may be deviate from the original estimated effort. </t>
  </si>
  <si>
    <t xml:space="preserve">This is expected due to the requirements approach and will be handled on a case-by-case basis, amending schedule or scope as needed to accommodate these deviations. Where possible, Temenos will provide recommendations and alternatives that will help resolve for the increase in effort. </t>
  </si>
  <si>
    <t>Additional Scope items impacting delivery timelines</t>
  </si>
  <si>
    <t>Custom Navigation, not in the original SOW</t>
  </si>
  <si>
    <t>Reviewing the details to estimate the sizing and impacts to the timeline.</t>
  </si>
  <si>
    <t>Reporting requirements</t>
  </si>
  <si>
    <t>In the SOW</t>
  </si>
  <si>
    <t>Small Business Lending Scope</t>
  </si>
  <si>
    <t>Scope is too large to integrate with current committed delivery date, May 03. Will need to revisit how to manage this workstream.</t>
  </si>
  <si>
    <t xml:space="preserve">Follow up with Lauren, Christina and Jason. </t>
  </si>
  <si>
    <t>Kendyl</t>
  </si>
  <si>
    <t>Multiple</t>
  </si>
  <si>
    <t>Fri, Jan 29, 2021</t>
  </si>
  <si>
    <t>Blocked items in Sprint 6</t>
  </si>
  <si>
    <t>There are several stories remaining for Sprint 6, that need information:</t>
  </si>
  <si>
    <t>Sprint 6</t>
  </si>
  <si>
    <t>Completed these items</t>
  </si>
  <si>
    <t>Ian H.</t>
  </si>
  <si>
    <t>4 stories assigned to Ian</t>
  </si>
  <si>
    <t>Thu, Jan 28, 2021</t>
  </si>
  <si>
    <t>Kelvin</t>
  </si>
  <si>
    <t>1 story assigned to Kelvin</t>
  </si>
  <si>
    <t>CWBSB-294</t>
  </si>
  <si>
    <t>Sprint 7</t>
  </si>
  <si>
    <t>Tue, Feb 02, 2021</t>
  </si>
  <si>
    <t>Blocked items for Sprint 7</t>
  </si>
  <si>
    <t>There are 21 stories remaining for Sprint 7, that need information:</t>
  </si>
  <si>
    <t>10 stories assigned to Ian</t>
  </si>
  <si>
    <t>CWBSB-408, 391, 263, 46, 324, 227, 73, 249, 124, 420</t>
  </si>
  <si>
    <t>Andy</t>
  </si>
  <si>
    <t>6 stories assigned to Andy</t>
  </si>
  <si>
    <t>2 stories assigned to Kelvin</t>
  </si>
  <si>
    <t>CWBSB-243, 244</t>
  </si>
  <si>
    <t>Unassigned</t>
  </si>
  <si>
    <t>1 story that's a dependency to a service integration</t>
  </si>
  <si>
    <t>CWBSB-125</t>
  </si>
  <si>
    <t>Create Business CIF not working</t>
  </si>
  <si>
    <t>CWBSB-380, 384,110,122</t>
  </si>
  <si>
    <t>Follow up re: CWBSB-148</t>
  </si>
  <si>
    <t>CR Creation for DCO and Warranty</t>
  </si>
  <si>
    <t>Changes to Temenos Sprint Schedule</t>
  </si>
  <si>
    <t>Changes to the DCO Warranty Schedule</t>
  </si>
  <si>
    <t>Resolving QA testing to Field Spec Discrepancies</t>
  </si>
  <si>
    <t>Application delivery windows</t>
  </si>
  <si>
    <t xml:space="preserve">Enhancement work will include CRs from the remaining defects list </t>
  </si>
  <si>
    <t>Shifting story CWBSB-227 to Sprint 8</t>
  </si>
  <si>
    <t>Chix</t>
  </si>
  <si>
    <t>Dashboard for DCO</t>
  </si>
  <si>
    <t>Confirmation of when the dashboards for warranty be shared (e.g. end of cycle)?</t>
  </si>
  <si>
    <t>Chix to confirm</t>
  </si>
  <si>
    <t>SM to TT Chix offline about this.</t>
  </si>
  <si>
    <t>Comprehensive reporting, e.g. defect open/closure rate chart.</t>
  </si>
  <si>
    <t>Addition of the created vs resolved defects tab for DCO and test case development</t>
  </si>
  <si>
    <t>Confirmation that this tab can be added to remove need for additional request</t>
  </si>
  <si>
    <t>Will be able to pull extract from JIRA</t>
  </si>
  <si>
    <t>Test Case sharing</t>
  </si>
  <si>
    <t>Confirmation that we are sharing the test cases with Temenos, so they are privy of what you will be validating</t>
  </si>
  <si>
    <t>Only with Digital, not with DCO. | Could be used as a mitigation for Temenos' Quality Improvement Plan incase of further issues.</t>
  </si>
  <si>
    <t>Complete: Create Business CIF</t>
  </si>
  <si>
    <t>service to be completed on EOD on Monday</t>
  </si>
  <si>
    <t>Need a status update on the outstanding issue; what's next?</t>
  </si>
  <si>
    <t>1) Andy facilitated full review and is code complete.
2) Investigation required from Ring-Fence.
3) Chad is facilitating a review will provide feedback, EOD 01/28/2021</t>
  </si>
  <si>
    <t>Complete: Create Personal CIF</t>
  </si>
  <si>
    <t>Need estimate for when the service will be completed.</t>
  </si>
  <si>
    <t>confirm that this will be ready for EOW or Feb 02.</t>
  </si>
  <si>
    <t>1) Andy will have the team update the RAML for the create and update personal CIF for EOD Jan 28 
2) Ian to send the details for the matrix to identify relationship to the business (role function ID mapping); currently in review with Candyse, will be completed afternoon Jan 28
3) Andy will advise the team if the full service will be available for 02012021, by EOD on Friday Jan 29</t>
  </si>
  <si>
    <t>Update about service availability</t>
  </si>
  <si>
    <t xml:space="preserve">Sprint 7 Blockers: RAML/Mock or full services for blocked T24 stories, and their availability for Sprint 7. </t>
  </si>
  <si>
    <t>Andy to send note to the team to advise, EOD on Friday</t>
  </si>
  <si>
    <t>Keith</t>
  </si>
  <si>
    <t>Complete T24 specific changes for CH33-part3</t>
  </si>
  <si>
    <t>update the customer services and finish internal review</t>
  </si>
  <si>
    <t>1) Keith to facilitate a few changes as per Lisa's request.
2) Lisa to review the details from Keith.</t>
  </si>
  <si>
    <t>Handover T24 specific changes for CH33-part3 to RingFence</t>
  </si>
  <si>
    <t>On track to deliver</t>
  </si>
  <si>
    <t>1) Lisa to send Chix the BRD to draft the test cases, by EOD Jan 29. 
2) Chix to provide feedback and buid test cases by EOD Feb 05.*</t>
  </si>
  <si>
    <t>*The QA Team requires a 5-day delivery window from the time of receipt.</t>
  </si>
  <si>
    <t>Custom Navigation use cases</t>
  </si>
  <si>
    <t>Provide summary of custom navigation use cases and requirements</t>
  </si>
  <si>
    <t>This has been handed over from Roland; Ian needs to review the information with the internal teams first.</t>
  </si>
  <si>
    <t xml:space="preserve">1) Ian to have an internal meeting with Sandra / Kelvin this week.
2) Ian to send the details to Kendyl et al.
3) Kendyl to review with the team and advise if there additional questions and provide sizing and impacts the May 03 Go-Live.* 
</t>
  </si>
  <si>
    <t>Sprint 6 blockers</t>
  </si>
  <si>
    <t>Advised that 2 were going to be completed, and one would need rescheduling</t>
  </si>
  <si>
    <t>Follow up on the items for Sprint 6.</t>
  </si>
  <si>
    <t>1) Ian to review the Sprint 6 stories and provide update in JIRA.</t>
  </si>
  <si>
    <t>Happy Path Test Users</t>
  </si>
  <si>
    <t>Test users needed for sprint development commencing Feb 3</t>
  </si>
  <si>
    <t>1) Chix to setup time with Chad to validate the requirements.</t>
  </si>
  <si>
    <t>Non-Happy Path Test Users</t>
  </si>
  <si>
    <t>Test users needed for sprint development commencing Feb 17</t>
  </si>
  <si>
    <t>Monitor progress</t>
  </si>
  <si>
    <t>Chad</t>
  </si>
  <si>
    <t>Okta Integration</t>
  </si>
  <si>
    <t>Need details on the scope, integration and consumption for the OKTA integration.</t>
  </si>
  <si>
    <t>Awaiting meeting invite from IAM team</t>
  </si>
  <si>
    <t>Sprint 7 blockers: Requirements</t>
  </si>
  <si>
    <t>Working on completing these items</t>
  </si>
  <si>
    <t>Work through the remaining items blocked in JIRA</t>
  </si>
  <si>
    <t>Sprint 6 Blockers: UX</t>
  </si>
  <si>
    <t>Working on completing items CWBSB-294</t>
  </si>
  <si>
    <t>1) Kelvin to complete the story and provide details in JIRA</t>
  </si>
  <si>
    <t>Sprint 7 Blockers: UX</t>
  </si>
  <si>
    <t>Working on completing items CWBSB-243 and 244</t>
  </si>
  <si>
    <r>
      <t xml:space="preserve">1) Andy to confirm the following dates:
2) Andy will have the mock services available for </t>
    </r>
    <r>
      <rPr>
        <sz val="14"/>
        <color rgb="FFFF0000"/>
        <rFont val="Calibri"/>
        <family val="2"/>
        <scheme val="minor"/>
      </rPr>
      <t>Feb 02</t>
    </r>
    <r>
      <rPr>
        <sz val="14"/>
        <color theme="1"/>
        <rFont val="Calibri"/>
        <family val="2"/>
        <scheme val="minor"/>
      </rPr>
      <t xml:space="preserve">.
3) Andy will have the full services available for </t>
    </r>
    <r>
      <rPr>
        <sz val="14"/>
        <color rgb="FFFF0000"/>
        <rFont val="Calibri"/>
        <family val="2"/>
        <scheme val="minor"/>
      </rPr>
      <t>Feb 05</t>
    </r>
    <r>
      <rPr>
        <sz val="14"/>
        <color theme="1"/>
        <rFont val="Calibri"/>
        <family val="2"/>
        <scheme val="minor"/>
      </rPr>
      <t>.</t>
    </r>
  </si>
  <si>
    <r>
      <rPr>
        <u/>
        <sz val="14"/>
        <color theme="1"/>
        <rFont val="Calibri"/>
        <family val="2"/>
        <scheme val="minor"/>
      </rPr>
      <t>Decision from Kendyl</t>
    </r>
    <r>
      <rPr>
        <sz val="14"/>
        <color theme="1"/>
        <rFont val="Calibri"/>
        <family val="2"/>
        <scheme val="minor"/>
      </rPr>
      <t xml:space="preserve">: Any format for the details will suffice.
</t>
    </r>
    <r>
      <rPr>
        <u/>
        <sz val="14"/>
        <color theme="1"/>
        <rFont val="Calibri"/>
        <family val="2"/>
        <scheme val="minor"/>
      </rPr>
      <t>Note from Sandra</t>
    </r>
    <r>
      <rPr>
        <sz val="14"/>
        <color theme="1"/>
        <rFont val="Calibri"/>
        <family val="2"/>
        <scheme val="minor"/>
      </rPr>
      <t>: If this item doesn't fit into the schedule, we will need to escalate this discussion because of its importance.</t>
    </r>
  </si>
  <si>
    <r>
      <rPr>
        <strike/>
        <sz val="14"/>
        <color theme="1"/>
        <rFont val="Calibri"/>
        <family val="2"/>
        <scheme val="minor"/>
      </rPr>
      <t xml:space="preserve">1) Madeleine confirmed 10:00 02022021
2) Ensure everyone is invited, Chad, Kendyl, Reinhardt, Dino, SM, Tony Fang*, and Madeleline's Team. SM to follow up about Andy* 
</t>
    </r>
    <r>
      <rPr>
        <sz val="14"/>
        <color theme="1"/>
        <rFont val="Calibri"/>
        <family val="2"/>
        <scheme val="minor"/>
      </rPr>
      <t>3) Madeline to update the meeting invite details and participants.</t>
    </r>
  </si>
  <si>
    <t xml:space="preserve">Ensure that we repurpose CWBSB-129 as the OKTA integration changes the need for this work. </t>
  </si>
  <si>
    <t>Escalated to Ring Fence, issue on the webservice.</t>
  </si>
  <si>
    <t xml:space="preserve">Team to continue working on resolving this issue. | Ring Fence requiring a PAX ticket. </t>
  </si>
  <si>
    <t xml:space="preserve">Still being implemented; on track for tomorrow. Slight risk - Testing. </t>
  </si>
  <si>
    <t>Field Spec to Mule API mapping</t>
  </si>
  <si>
    <t>Needs the team</t>
  </si>
  <si>
    <t>These items were scheduled for sprint 6, and will be rolling over sprint7</t>
  </si>
  <si>
    <t>1) Chad to send that out to the CWB team today.
2) Ian and Keith to review the document 
3) Follow up with Kendyl about the impacts to moving this into Sprint 7</t>
  </si>
  <si>
    <t>Additional documentation to be completed by EOD Feb 01.</t>
  </si>
  <si>
    <t xml:space="preserve">Sent feedback Jan 30
</t>
  </si>
  <si>
    <t>1) Waiting on Creative Services for the GIF.</t>
  </si>
  <si>
    <t>May take upto a week*
Follow up with Kendyl re: Impacts</t>
  </si>
  <si>
    <t xml:space="preserve">Team to test Feb 1, still on track for Feb 02. </t>
  </si>
  <si>
    <t>OCM Resourcing</t>
  </si>
  <si>
    <t>***</t>
  </si>
  <si>
    <t>We will offer “Me-2-Me” funding (via Flinks) with limited functionality for Small Business DCO MVP. This will be based on personal DCO - so will be offered to the main applicant (the person who initiated the Small Business DCO application) to fund from a personal account belonging to them (and subject to the same validation we have in personal, that the account belongs to them).</t>
  </si>
  <si>
    <t xml:space="preserve">Basically, what I’m hearing (and how the DR should be worded) is:
- M2M personal to business is built and available
- B2B business to business is not built, and would require work from our teams, Temenos and possibly C1(?). Impacts timelines and would want to use for DBX so better to build holistically for both
o Matching criteria and capabilities also not built to validate legitimate ownership of both accounts
</t>
  </si>
  <si>
    <t>DCO team looking for confirmation for the deployment windows for our project and warranty releases.</t>
  </si>
  <si>
    <t>Dayna Confirmed that the best time to facilitate deployments on non-business days after the evening batch processing, and before 8am AST when it's customer system impacting.</t>
  </si>
  <si>
    <t>Dayna</t>
  </si>
  <si>
    <t>Stacy</t>
  </si>
  <si>
    <t>Temenos advised that after the project reset, the shift in the demo dates moved the sprint start / end dates</t>
  </si>
  <si>
    <t>This means that sprints start on Wednesdays and end on Tuesdays; therefore, the next sprint commences Wed Jan 20, and ends on Tues Feb 02.</t>
  </si>
  <si>
    <t>Kendyl / Lauren</t>
  </si>
  <si>
    <t xml:space="preserve">Team to work through the finalized list of defects </t>
  </si>
  <si>
    <t>To improve our internal quality issues we will be extending the internal testing / review cycles.</t>
  </si>
  <si>
    <t>- Temenos will send code every other Wednesday
- CWB QA completes their first review the following Wednesday
- Temenos / CWB will have a week to review / remediate any issues, until the following Thursday.
- Finalization of the code package will be that Friday.
- The CR is developed on Monday, with the release the following Sunday</t>
  </si>
  <si>
    <t>Example with the current build:
- Temenos sends build Jan 27
- Chix completes testing by Feb 03
- Any remediation items to be resolved Feb 4 to 11
- Final GNG for the release on Feb 12
- CR defined on Feb 15/16*, and Go Live on Sun Feb 21.</t>
  </si>
  <si>
    <t>CWB Team Consensus, including the business, release management, QA, BA, UX.</t>
  </si>
  <si>
    <t>Any items in the contested list of defects that will require a CR will be managed by the DCO Enhancements project, with Lorraine.</t>
  </si>
  <si>
    <t>Clear defined lines for how to manage any CRs that arise from the contested defects list or other change requests.</t>
  </si>
  <si>
    <t>Moving a timeline for the SB DCO bug that impacts the orverarching standards / UX for the platform.</t>
  </si>
  <si>
    <t>Shifting the timeline for completion of this requirements for Temenos, from Sprint 6 to Sprint 8, so that the team can provide better clarity along with the other global UX requirements</t>
  </si>
  <si>
    <t>This is in conjuction with the global standards / UX document that we will be creating to meet the quality improvement plan for the platform.</t>
  </si>
  <si>
    <t>Me-to-Me Funding</t>
  </si>
  <si>
    <t>M2M Release funding with Release 1</t>
  </si>
  <si>
    <t>In the absence of a robust cross-platform (Infinity DBX and Journey Manager DCO) solution for product selection and management, we have agreed to utilize a streamlined product catalogue (created/maintained as configurable XML files) coupled with Product Selector form pages in Small Business DCO to meet our needs for the MVP release</t>
  </si>
  <si>
    <t>XML File for product selector</t>
  </si>
  <si>
    <t>This is similar to the approach used for personal DCO, although we will be providing additional attribution for business (accounts and cash management products) and will build out the envisioned “guided journey” pages (which were descoped from personal DCO). Further, this functionality will be leveraged by the Infinity DBX platform as a means to add products for existing clients</t>
  </si>
  <si>
    <t>NOTE the following risks:
- The ultimate cross-platform solution requested of Temenos may result in significant rework in future, and may make some or all of what is being built for Small Business DCO as “throwaway” work. 
- Operationalizing the proposed solution may result in more manual work (to keep the product catalogue current) than is desirable
- Caveat to Temenos was that this needs to be usable for DBX</t>
  </si>
  <si>
    <t>Approved</t>
  </si>
  <si>
    <t>Program Impact</t>
  </si>
  <si>
    <t>Project Impact</t>
  </si>
  <si>
    <t>Leadership Review</t>
  </si>
  <si>
    <t>Module</t>
  </si>
  <si>
    <t>Feature</t>
  </si>
  <si>
    <t>Functionality</t>
  </si>
  <si>
    <t>QA Resourcing</t>
  </si>
  <si>
    <t>PM resourcing</t>
  </si>
  <si>
    <t>Sarah-Mae</t>
  </si>
  <si>
    <t xml:space="preserve">Continually late with the requirements, and consequently Temenos will need to do the T24 review process for the services mid-sprint. </t>
  </si>
  <si>
    <t xml:space="preserve">As requirements are late, they are constantly behind in developing the test cases, to be </t>
  </si>
  <si>
    <t xml:space="preserve">30 story points. </t>
  </si>
  <si>
    <t>40 story, for a remediation on how</t>
  </si>
  <si>
    <t>Timeline</t>
  </si>
  <si>
    <t xml:space="preserve">Requirements, Product Selector </t>
  </si>
  <si>
    <t xml:space="preserve">List of possible change requests: Custom Nav, Product Selector, Reporting, Auto-Adjudication, Application Check. </t>
  </si>
  <si>
    <t>Codat Integration Meeting</t>
  </si>
  <si>
    <t xml:space="preserve">Need the details to </t>
  </si>
  <si>
    <t>Avoka Mapping Questions</t>
  </si>
  <si>
    <t>Supporting BIG on SBDCO service questions</t>
  </si>
  <si>
    <t>1) Working with IAN</t>
  </si>
  <si>
    <t>PAN</t>
  </si>
  <si>
    <t>Create Business Account</t>
  </si>
  <si>
    <t>Needs this to be reviewed by Ian</t>
  </si>
  <si>
    <t>There are a couple pages are working through styles for the controls for the expand all / collapse &gt; currently in review with UX (Kelvin) 
and for the authorized signer they are trying to use standardized requiremetns &gt; in current sprint</t>
  </si>
  <si>
    <t>Sandra</t>
  </si>
  <si>
    <t>For review for CWB for  the authorized signer they are trying to use standardized requiremetns &gt; in current sprint</t>
  </si>
  <si>
    <t xml:space="preserve">Kelvin already updated </t>
  </si>
  <si>
    <t>Wireframes for guided experience for Product Selector (questions asked to clients to offer a product)</t>
  </si>
  <si>
    <t>Product Selector landing page</t>
  </si>
  <si>
    <t>In sprint 8.</t>
  </si>
  <si>
    <t>1) Sandra to provide the date for delivery</t>
  </si>
  <si>
    <t>In sprint 9.</t>
  </si>
  <si>
    <t xml:space="preserve">Kendyl </t>
  </si>
  <si>
    <t>Lessons Learned sessions</t>
  </si>
  <si>
    <t>Request to shift to increase the time to 45min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</si>
</sst>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F800]dddd\,\ mmmm\ dd\,\ yyyy"/>
    <numFmt numFmtId="165" formatCode="###,###;\-#\-##\-###;&quot;-&quot;"/>
    <numFmt numFmtId="166" formatCode="0.0"/>
    <numFmt numFmtId="167" formatCode="ddd\,\ mmm\ dd\,\ yyyy"/>
    <numFmt numFmtId="168" formatCode="000#"/>
    <numFmt numFmtId="169" formatCode="&quot;ISU&quot;00####"/>
    <numFmt numFmtId="170" formatCode="&quot;RISK&quot;0000####"/>
    <numFmt numFmtId="171" formatCode="dddd\,\ mmmm\ dd\,\ yyyy"/>
  </numFmts>
  <fonts count="18" x14ac:knownFonts="1">
    <font>
      <sz val="11"/>
      <color theme="1"/>
      <name val="Calibri"/>
      <family val="2"/>
      <scheme val="minor"/>
    </font>
    <font>
      <b/>
      <sz val="14"/>
      <color theme="1"/>
      <name val="Calibri"/>
      <family val="2"/>
      <scheme val="minor"/>
    </font>
    <font>
      <sz val="8"/>
      <name val="Calibri"/>
      <family val="2"/>
      <scheme val="minor"/>
    </font>
    <font>
      <sz val="20"/>
      <color theme="0"/>
      <name val="Calibri"/>
      <family val="2"/>
      <scheme val="minor"/>
    </font>
    <font>
      <b/>
      <sz val="20"/>
      <color theme="0"/>
      <name val="Calibri"/>
      <family val="2"/>
      <scheme val="minor"/>
    </font>
    <font>
      <sz val="16"/>
      <color theme="1"/>
      <name val="Calibri"/>
      <family val="2"/>
      <scheme val="minor"/>
    </font>
    <font>
      <b/>
      <sz val="16"/>
      <name val="Calibri"/>
      <family val="2"/>
      <scheme val="minor"/>
    </font>
    <font>
      <sz val="14"/>
      <color theme="1"/>
      <name val="Calibri"/>
      <family val="2"/>
      <scheme val="minor"/>
    </font>
    <font>
      <sz val="14"/>
      <color rgb="FF000000"/>
      <name val="Calibri"/>
      <family val="2"/>
      <scheme val="minor"/>
    </font>
    <font>
      <sz val="14"/>
      <color rgb="FFFF0000"/>
      <name val="Calibri"/>
      <family val="2"/>
      <scheme val="minor"/>
    </font>
    <font>
      <u/>
      <sz val="14"/>
      <color theme="1"/>
      <name val="Calibri"/>
      <family val="2"/>
      <scheme val="minor"/>
    </font>
    <font>
      <strike/>
      <sz val="14"/>
      <color theme="1"/>
      <name val="Calibri"/>
      <family val="2"/>
      <scheme val="minor"/>
    </font>
    <font>
      <sz val="18"/>
      <color theme="0"/>
      <name val="Calibri"/>
      <family val="2"/>
      <scheme val="minor"/>
    </font>
    <font>
      <b/>
      <sz val="18"/>
      <color theme="0"/>
      <name val="Calibri"/>
      <family val="2"/>
      <scheme val="minor"/>
    </font>
    <font>
      <sz val="18"/>
      <color theme="1"/>
      <name val="Calibri"/>
      <family val="2"/>
      <scheme val="minor"/>
    </font>
    <font>
      <b/>
      <sz val="18"/>
      <color theme="1"/>
      <name val="Calibri"/>
      <family val="2"/>
      <scheme val="minor"/>
    </font>
    <font>
      <sz val="14"/>
      <color theme="1"/>
      <name val="Calibri"/>
      <scheme val="minor"/>
    </font>
    <font>
      <b/>
      <sz val="14"/>
      <color theme="1"/>
      <name val="Calibri"/>
      <scheme val="minor"/>
    </font>
  </fonts>
  <fills count="15">
    <fill>
      <patternFill patternType="none"/>
    </fill>
    <fill>
      <patternFill patternType="gray125"/>
    </fill>
    <fill>
      <patternFill patternType="solid">
        <fgColor theme="7" tint="0.59999389629810485"/>
        <bgColor indexed="64"/>
      </patternFill>
    </fill>
    <fill>
      <patternFill patternType="solid">
        <fgColor theme="6" tint="0.39997558519241921"/>
        <bgColor indexed="64"/>
      </patternFill>
    </fill>
    <fill>
      <patternFill patternType="solid">
        <fgColor theme="6" tint="0.39997558519241921"/>
        <bgColor theme="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D9D9D9"/>
        <bgColor rgb="FFD9D9D9"/>
      </patternFill>
    </fill>
    <fill>
      <patternFill patternType="solid">
        <fgColor theme="8" tint="-0.249977111117893"/>
        <bgColor indexed="64"/>
      </patternFill>
    </fill>
  </fills>
  <borders count="44">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xfId="0"/>
    <xf numFmtId="0" fontId="3" fillId="0" borderId="0" xfId="0" applyFont="1" applyAlignment="1">
      <alignment wrapText="1"/>
    </xf>
    <xf numFmtId="0" fontId="3" fillId="0" borderId="0" xfId="0" applyFont="1"/>
    <xf numFmtId="0" fontId="5" fillId="0" borderId="0" xfId="0" applyFont="1"/>
    <xf numFmtId="0" fontId="5" fillId="0" borderId="0" xfId="0" applyFont="1" applyAlignment="1">
      <alignment horizontal="center" vertical="center"/>
    </xf>
    <xf numFmtId="0" fontId="5" fillId="0" borderId="0" xfId="0" applyFont="1" applyFill="1" applyAlignment="1">
      <alignment horizontal="center" vertical="center"/>
    </xf>
    <xf numFmtId="0" fontId="5" fillId="0" borderId="0" xfId="0" applyFont="1" applyFill="1"/>
    <xf numFmtId="0" fontId="5" fillId="0" borderId="0" xfId="0" applyFont="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43" xfId="0" applyFont="1" applyFill="1" applyBorder="1" applyAlignment="1">
      <alignment horizontal="center" vertical="center" wrapText="1"/>
    </xf>
    <xf numFmtId="0" fontId="5" fillId="0" borderId="0" xfId="0" applyFont="1" applyAlignment="1">
      <alignment vertical="center"/>
    </xf>
    <xf numFmtId="0" fontId="5" fillId="0" borderId="0" xfId="0" applyFont="1" applyBorder="1" applyAlignment="1">
      <alignment vertical="center"/>
    </xf>
    <xf numFmtId="0" fontId="5" fillId="0" borderId="0" xfId="0" applyFont="1" applyBorder="1" applyAlignment="1">
      <alignment vertical="center" wrapText="1"/>
    </xf>
    <xf numFmtId="0" fontId="5" fillId="0" borderId="0" xfId="0" applyFont="1" applyBorder="1" applyAlignment="1">
      <alignment horizontal="center" vertical="center"/>
    </xf>
    <xf numFmtId="1" fontId="5" fillId="0" borderId="0" xfId="0" applyNumberFormat="1" applyFont="1" applyBorder="1" applyAlignment="1">
      <alignment horizontal="center" vertical="center"/>
    </xf>
    <xf numFmtId="0" fontId="5" fillId="0" borderId="0" xfId="0" applyFont="1" applyBorder="1" applyAlignment="1">
      <alignment horizontal="left" vertical="center" wrapText="1"/>
    </xf>
    <xf numFmtId="0" fontId="5" fillId="0" borderId="0" xfId="0" applyFont="1" applyAlignment="1">
      <alignment vertical="center" wrapText="1"/>
    </xf>
    <xf numFmtId="0" fontId="5" fillId="0" borderId="0" xfId="0" applyFont="1" applyAlignment="1">
      <alignment horizontal="left" vertical="center" wrapText="1"/>
    </xf>
    <xf numFmtId="1" fontId="5" fillId="0" borderId="0" xfId="0" applyNumberFormat="1" applyFont="1" applyAlignment="1">
      <alignment horizontal="center" vertical="center"/>
    </xf>
    <xf numFmtId="0" fontId="5" fillId="0" borderId="0" xfId="0" applyFont="1" applyBorder="1"/>
    <xf numFmtId="0" fontId="5" fillId="0" borderId="0" xfId="0" applyFont="1" applyBorder="1" applyAlignment="1">
      <alignment wrapText="1"/>
    </xf>
    <xf numFmtId="0" fontId="5" fillId="0" borderId="0" xfId="0" applyFont="1" applyBorder="1" applyAlignment="1">
      <alignment horizontal="center"/>
    </xf>
    <xf numFmtId="0" fontId="5" fillId="0" borderId="0" xfId="0" applyFont="1" applyAlignment="1">
      <alignment wrapText="1"/>
    </xf>
    <xf numFmtId="1" fontId="5" fillId="0" borderId="0" xfId="0" applyNumberFormat="1" applyFont="1" applyAlignment="1">
      <alignment horizontal="center"/>
    </xf>
    <xf numFmtId="0" fontId="5" fillId="0" borderId="0" xfId="0" applyFont="1" applyAlignment="1">
      <alignment horizontal="left" wrapText="1"/>
    </xf>
    <xf numFmtId="167" fontId="5" fillId="0" borderId="0" xfId="0" applyNumberFormat="1" applyFont="1"/>
    <xf numFmtId="167" fontId="5" fillId="0" borderId="0" xfId="0" applyNumberFormat="1" applyFont="1" applyAlignment="1">
      <alignment horizontal="center" vertical="center"/>
    </xf>
    <xf numFmtId="167" fontId="5" fillId="0" borderId="0" xfId="0" applyNumberFormat="1" applyFont="1" applyFill="1" applyAlignment="1">
      <alignment horizontal="center" vertical="center"/>
    </xf>
    <xf numFmtId="167" fontId="6" fillId="3" borderId="22" xfId="0" applyNumberFormat="1" applyFont="1" applyFill="1" applyBorder="1" applyAlignment="1">
      <alignment horizontal="center" vertical="center" wrapText="1"/>
    </xf>
    <xf numFmtId="167" fontId="5" fillId="0" borderId="0" xfId="0" applyNumberFormat="1" applyFont="1" applyBorder="1" applyAlignment="1">
      <alignment vertical="center"/>
    </xf>
    <xf numFmtId="167" fontId="5" fillId="0" borderId="0" xfId="0" applyNumberFormat="1" applyFont="1" applyAlignment="1">
      <alignment vertical="center"/>
    </xf>
    <xf numFmtId="0" fontId="0" fillId="0" borderId="0" xfId="0" applyAlignment="1">
      <alignment horizontal="left" vertical="top"/>
    </xf>
    <xf numFmtId="170" fontId="0" fillId="0" borderId="0" xfId="0" applyNumberFormat="1" applyAlignment="1">
      <alignment horizontal="left" vertical="top"/>
    </xf>
    <xf numFmtId="167" fontId="0" fillId="0" borderId="0" xfId="0" applyNumberFormat="1" applyAlignment="1">
      <alignment horizontal="left" vertical="top"/>
    </xf>
    <xf numFmtId="166" fontId="0" fillId="0" borderId="0" xfId="0" applyNumberFormat="1" applyAlignment="1">
      <alignment horizontal="left" vertical="top"/>
    </xf>
    <xf numFmtId="0" fontId="0" fillId="0" borderId="0" xfId="0" applyNumberFormat="1" applyAlignment="1">
      <alignment horizontal="left" vertical="top"/>
    </xf>
    <xf numFmtId="169" fontId="0" fillId="0" borderId="0" xfId="0" applyNumberFormat="1" applyAlignment="1">
      <alignment horizontal="left" vertical="top"/>
    </xf>
    <xf numFmtId="170" fontId="7" fillId="0" borderId="0" xfId="0" applyNumberFormat="1" applyFont="1" applyAlignment="1">
      <alignment horizontal="left" vertical="top"/>
    </xf>
    <xf numFmtId="167" fontId="7" fillId="0" borderId="0" xfId="0" applyNumberFormat="1" applyFont="1" applyAlignment="1">
      <alignment horizontal="left" vertical="top"/>
    </xf>
    <xf numFmtId="0" fontId="7" fillId="0" borderId="0" xfId="0" applyFont="1" applyAlignment="1">
      <alignment horizontal="left" vertical="top"/>
    </xf>
    <xf numFmtId="0" fontId="7" fillId="0" borderId="0" xfId="0" applyFont="1" applyAlignment="1">
      <alignment horizontal="left" vertical="top" wrapText="1"/>
    </xf>
    <xf numFmtId="166" fontId="7" fillId="0" borderId="0" xfId="0" applyNumberFormat="1" applyFont="1" applyAlignment="1">
      <alignment horizontal="center" vertical="top"/>
    </xf>
    <xf numFmtId="170" fontId="7" fillId="8" borderId="0" xfId="0" applyNumberFormat="1" applyFont="1" applyFill="1" applyAlignment="1">
      <alignment horizontal="left" vertical="center" wrapText="1"/>
    </xf>
    <xf numFmtId="0" fontId="7" fillId="8" borderId="0" xfId="0" applyFont="1" applyFill="1" applyAlignment="1">
      <alignment horizontal="left" vertical="center" wrapText="1"/>
    </xf>
    <xf numFmtId="167" fontId="7" fillId="8" borderId="0" xfId="0" applyNumberFormat="1" applyFont="1" applyFill="1" applyAlignment="1">
      <alignment horizontal="left" vertical="center" wrapText="1"/>
    </xf>
    <xf numFmtId="0" fontId="7" fillId="0" borderId="0" xfId="0" applyFont="1" applyAlignment="1">
      <alignment horizontal="left" vertical="center" wrapText="1"/>
    </xf>
    <xf numFmtId="0" fontId="7" fillId="8" borderId="0" xfId="0" applyFont="1" applyFill="1" applyAlignment="1">
      <alignment vertical="center" wrapText="1"/>
    </xf>
    <xf numFmtId="0" fontId="7" fillId="0" borderId="0" xfId="0" applyFont="1" applyAlignment="1">
      <alignment vertical="top" wrapText="1"/>
    </xf>
    <xf numFmtId="0" fontId="0" fillId="0" borderId="0" xfId="0" applyAlignment="1">
      <alignment vertical="top"/>
    </xf>
    <xf numFmtId="0" fontId="8" fillId="13" borderId="0" xfId="0" applyFont="1" applyFill="1" applyAlignment="1">
      <alignment horizontal="left" vertical="top" wrapText="1"/>
    </xf>
    <xf numFmtId="167" fontId="8" fillId="13" borderId="0" xfId="0" applyNumberFormat="1" applyFont="1" applyFill="1" applyAlignment="1">
      <alignment horizontal="left" vertical="top"/>
    </xf>
    <xf numFmtId="0" fontId="8" fillId="13" borderId="0" xfId="0" applyFont="1" applyFill="1" applyAlignment="1">
      <alignment horizontal="left" vertical="top"/>
    </xf>
    <xf numFmtId="0" fontId="8" fillId="0" borderId="0" xfId="0" applyFont="1" applyAlignment="1">
      <alignment horizontal="left" vertical="top" wrapText="1"/>
    </xf>
    <xf numFmtId="167" fontId="8" fillId="0" borderId="0" xfId="0" applyNumberFormat="1" applyFont="1" applyAlignment="1">
      <alignment horizontal="left" vertical="top"/>
    </xf>
    <xf numFmtId="0" fontId="8" fillId="0" borderId="0" xfId="0" applyFont="1" applyAlignment="1">
      <alignment horizontal="left" vertical="top"/>
    </xf>
    <xf numFmtId="168" fontId="8" fillId="13" borderId="0" xfId="0" applyNumberFormat="1" applyFont="1" applyFill="1" applyAlignment="1">
      <alignment horizontal="center" vertical="top"/>
    </xf>
    <xf numFmtId="168" fontId="8" fillId="0" borderId="0" xfId="0" applyNumberFormat="1" applyFont="1" applyAlignment="1">
      <alignment horizontal="center" vertical="top"/>
    </xf>
    <xf numFmtId="0" fontId="7" fillId="10" borderId="0" xfId="0" applyFont="1" applyFill="1" applyAlignment="1">
      <alignment horizontal="left" vertical="center" wrapText="1"/>
    </xf>
    <xf numFmtId="167" fontId="7" fillId="10" borderId="0" xfId="0" applyNumberFormat="1" applyFont="1" applyFill="1" applyAlignment="1">
      <alignment horizontal="left" vertical="center" wrapText="1"/>
    </xf>
    <xf numFmtId="0" fontId="7" fillId="0" borderId="0" xfId="0" applyNumberFormat="1" applyFont="1" applyAlignment="1">
      <alignment horizontal="left" vertical="top"/>
    </xf>
    <xf numFmtId="168" fontId="7" fillId="0" borderId="0" xfId="0" applyNumberFormat="1" applyFont="1" applyAlignment="1">
      <alignment horizontal="center" vertical="top"/>
    </xf>
    <xf numFmtId="0" fontId="7" fillId="0" borderId="0" xfId="0" applyFont="1" applyAlignment="1">
      <alignment horizontal="center" vertical="top"/>
    </xf>
    <xf numFmtId="168" fontId="7" fillId="10" borderId="0" xfId="0" applyNumberFormat="1" applyFont="1" applyFill="1" applyAlignment="1">
      <alignment horizontal="left" vertical="center" wrapText="1"/>
    </xf>
    <xf numFmtId="0" fontId="5" fillId="0" borderId="0" xfId="0" applyFont="1" applyAlignment="1">
      <alignment horizontal="center"/>
    </xf>
    <xf numFmtId="0" fontId="5" fillId="0" borderId="0" xfId="0" applyFont="1" applyFill="1" applyAlignment="1">
      <alignment horizontal="center"/>
    </xf>
    <xf numFmtId="0" fontId="5" fillId="0" borderId="0" xfId="0" applyFont="1" applyFill="1" applyAlignment="1">
      <alignment horizontal="center" vertical="center" wrapText="1"/>
    </xf>
    <xf numFmtId="0" fontId="5" fillId="0" borderId="0" xfId="0" applyFont="1" applyFill="1" applyAlignment="1">
      <alignment wrapText="1"/>
    </xf>
    <xf numFmtId="168" fontId="7" fillId="11" borderId="0" xfId="0" applyNumberFormat="1" applyFont="1" applyFill="1" applyAlignment="1">
      <alignment horizontal="left" vertical="center" wrapText="1"/>
    </xf>
    <xf numFmtId="0" fontId="7" fillId="11" borderId="0" xfId="0" applyFont="1" applyFill="1" applyAlignment="1">
      <alignment horizontal="left" vertical="center" wrapText="1"/>
    </xf>
    <xf numFmtId="167" fontId="7" fillId="11" borderId="0" xfId="0" applyNumberFormat="1" applyFont="1" applyFill="1" applyAlignment="1">
      <alignment horizontal="left" vertical="center" wrapText="1"/>
    </xf>
    <xf numFmtId="168" fontId="7" fillId="12" borderId="0" xfId="0" applyNumberFormat="1" applyFont="1" applyFill="1" applyAlignment="1">
      <alignment horizontal="left" vertical="center" wrapText="1"/>
    </xf>
    <xf numFmtId="0" fontId="7" fillId="12" borderId="0" xfId="0" applyFont="1" applyFill="1" applyAlignment="1">
      <alignment horizontal="left" vertical="center" wrapText="1"/>
    </xf>
    <xf numFmtId="167" fontId="7" fillId="12" borderId="0" xfId="0" applyNumberFormat="1" applyFont="1" applyFill="1" applyAlignment="1">
      <alignment horizontal="left" vertical="center" wrapText="1"/>
    </xf>
    <xf numFmtId="0" fontId="12" fillId="0" borderId="0" xfId="0" applyFont="1"/>
    <xf numFmtId="0" fontId="12" fillId="0" borderId="0" xfId="0" applyFont="1" applyFill="1"/>
    <xf numFmtId="0" fontId="13" fillId="0" borderId="0" xfId="0" applyFont="1" applyFill="1" applyBorder="1" applyAlignment="1">
      <alignment horizontal="center" vertical="center"/>
    </xf>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xf>
    <xf numFmtId="0" fontId="7" fillId="0" borderId="0" xfId="0" applyFont="1" applyFill="1"/>
    <xf numFmtId="0" fontId="7" fillId="0" borderId="0" xfId="0" applyFont="1" applyFill="1" applyAlignment="1">
      <alignment horizontal="center" vertical="center"/>
    </xf>
    <xf numFmtId="0" fontId="1" fillId="0" borderId="0" xfId="0" applyFont="1" applyFill="1" applyBorder="1" applyAlignment="1">
      <alignment horizontal="center" vertical="center"/>
    </xf>
    <xf numFmtId="0" fontId="7" fillId="0" borderId="0" xfId="0" applyFont="1" applyAlignment="1">
      <alignment wrapText="1"/>
    </xf>
    <xf numFmtId="0" fontId="1" fillId="3" borderId="9" xfId="0" applyFont="1" applyFill="1" applyBorder="1" applyAlignment="1">
      <alignment vertical="center" wrapText="1"/>
    </xf>
    <xf numFmtId="0" fontId="1" fillId="3" borderId="4" xfId="0" applyFont="1" applyFill="1" applyBorder="1" applyAlignment="1">
      <alignment horizontal="center" vertical="center" wrapText="1"/>
    </xf>
    <xf numFmtId="0" fontId="7" fillId="7" borderId="21" xfId="0" applyFont="1" applyFill="1" applyBorder="1" applyAlignment="1">
      <alignment horizontal="center" vertical="center" wrapText="1"/>
    </xf>
    <xf numFmtId="0" fontId="7" fillId="7" borderId="22" xfId="0" applyFont="1" applyFill="1" applyBorder="1" applyAlignment="1">
      <alignment horizontal="center" vertical="center" wrapText="1"/>
    </xf>
    <xf numFmtId="0" fontId="7" fillId="7" borderId="23" xfId="0" applyFont="1" applyFill="1" applyBorder="1" applyAlignment="1">
      <alignment horizontal="center" vertical="center" wrapText="1"/>
    </xf>
    <xf numFmtId="0" fontId="7" fillId="0" borderId="29" xfId="0" applyFont="1" applyBorder="1"/>
    <xf numFmtId="165" fontId="7" fillId="0" borderId="31" xfId="0" applyNumberFormat="1" applyFont="1" applyBorder="1" applyAlignment="1">
      <alignment horizontal="center" vertical="center"/>
    </xf>
    <xf numFmtId="165" fontId="7" fillId="0" borderId="34" xfId="0" applyNumberFormat="1" applyFont="1" applyBorder="1" applyAlignment="1">
      <alignment horizontal="center" vertical="center"/>
    </xf>
    <xf numFmtId="165" fontId="7" fillId="0" borderId="35" xfId="0" applyNumberFormat="1" applyFont="1" applyBorder="1" applyAlignment="1">
      <alignment horizontal="center" vertical="center"/>
    </xf>
    <xf numFmtId="165" fontId="7" fillId="0" borderId="36" xfId="0" applyNumberFormat="1" applyFont="1" applyBorder="1" applyAlignment="1">
      <alignment horizontal="center" vertical="center"/>
    </xf>
    <xf numFmtId="0" fontId="7" fillId="0" borderId="30" xfId="0" applyFont="1" applyBorder="1"/>
    <xf numFmtId="165" fontId="7" fillId="0" borderId="32" xfId="0" applyNumberFormat="1" applyFont="1" applyBorder="1" applyAlignment="1">
      <alignment horizontal="center" vertical="center"/>
    </xf>
    <xf numFmtId="165" fontId="7" fillId="0" borderId="26" xfId="0" applyNumberFormat="1" applyFont="1" applyBorder="1" applyAlignment="1">
      <alignment horizontal="center" vertical="center"/>
    </xf>
    <xf numFmtId="165" fontId="7" fillId="0" borderId="16" xfId="0" applyNumberFormat="1" applyFont="1" applyBorder="1" applyAlignment="1">
      <alignment horizontal="center" vertical="center"/>
    </xf>
    <xf numFmtId="165" fontId="7" fillId="0" borderId="17" xfId="0" applyNumberFormat="1" applyFont="1" applyBorder="1" applyAlignment="1">
      <alignment horizontal="center" vertical="center"/>
    </xf>
    <xf numFmtId="0" fontId="7" fillId="0" borderId="18" xfId="0" applyFont="1" applyBorder="1"/>
    <xf numFmtId="165" fontId="7" fillId="0" borderId="33" xfId="0" applyNumberFormat="1" applyFont="1" applyBorder="1" applyAlignment="1">
      <alignment horizontal="center" vertical="center"/>
    </xf>
    <xf numFmtId="165" fontId="7" fillId="0" borderId="27" xfId="0" applyNumberFormat="1" applyFont="1" applyBorder="1" applyAlignment="1">
      <alignment horizontal="center" vertical="center"/>
    </xf>
    <xf numFmtId="165" fontId="7" fillId="0" borderId="19" xfId="0" applyNumberFormat="1" applyFont="1" applyBorder="1" applyAlignment="1">
      <alignment horizontal="center" vertical="center"/>
    </xf>
    <xf numFmtId="165" fontId="7" fillId="0" borderId="20" xfId="0" applyNumberFormat="1" applyFont="1" applyBorder="1" applyAlignment="1">
      <alignment horizontal="center" vertical="center"/>
    </xf>
    <xf numFmtId="0" fontId="1" fillId="0" borderId="11" xfId="0" applyFont="1" applyBorder="1"/>
    <xf numFmtId="165" fontId="1" fillId="0" borderId="8" xfId="0" applyNumberFormat="1" applyFont="1" applyBorder="1" applyAlignment="1">
      <alignment horizontal="center" vertical="center"/>
    </xf>
    <xf numFmtId="165" fontId="1" fillId="0" borderId="28" xfId="0" applyNumberFormat="1" applyFont="1" applyBorder="1" applyAlignment="1">
      <alignment horizontal="center" vertical="center"/>
    </xf>
    <xf numFmtId="165" fontId="1" fillId="0" borderId="24" xfId="0" applyNumberFormat="1" applyFont="1" applyBorder="1" applyAlignment="1">
      <alignment horizontal="center" vertical="center"/>
    </xf>
    <xf numFmtId="165" fontId="1" fillId="0" borderId="25" xfId="0" applyNumberFormat="1" applyFont="1" applyBorder="1" applyAlignment="1">
      <alignment horizontal="center" vertical="center"/>
    </xf>
    <xf numFmtId="0" fontId="1" fillId="3" borderId="2" xfId="0" applyFont="1" applyFill="1" applyBorder="1" applyAlignment="1">
      <alignment horizontal="center" vertical="center" wrapText="1"/>
    </xf>
    <xf numFmtId="165" fontId="7" fillId="0" borderId="37" xfId="0" applyNumberFormat="1" applyFont="1" applyBorder="1" applyAlignment="1">
      <alignment horizontal="center" vertical="center"/>
    </xf>
    <xf numFmtId="165" fontId="7" fillId="0" borderId="38" xfId="0" applyNumberFormat="1" applyFont="1" applyBorder="1" applyAlignment="1">
      <alignment horizontal="center" vertical="center"/>
    </xf>
    <xf numFmtId="165" fontId="7" fillId="0" borderId="39" xfId="0" applyNumberFormat="1" applyFont="1" applyBorder="1" applyAlignment="1">
      <alignment horizontal="center" vertical="center"/>
    </xf>
    <xf numFmtId="165" fontId="1" fillId="0" borderId="40" xfId="0" applyNumberFormat="1" applyFont="1" applyBorder="1" applyAlignment="1">
      <alignment horizontal="center" vertical="center"/>
    </xf>
    <xf numFmtId="0" fontId="1" fillId="6" borderId="9" xfId="0" applyFont="1" applyFill="1" applyBorder="1" applyAlignment="1">
      <alignment vertical="center" wrapText="1"/>
    </xf>
    <xf numFmtId="0" fontId="1" fillId="6" borderId="4" xfId="0" applyFont="1" applyFill="1" applyBorder="1" applyAlignment="1">
      <alignment horizontal="center" vertical="center" wrapText="1"/>
    </xf>
    <xf numFmtId="0" fontId="7" fillId="0" borderId="41" xfId="0" applyFont="1" applyBorder="1"/>
    <xf numFmtId="165" fontId="7" fillId="0" borderId="42" xfId="0" applyNumberFormat="1" applyFont="1" applyBorder="1" applyAlignment="1">
      <alignment horizontal="center" vertical="center"/>
    </xf>
    <xf numFmtId="0" fontId="14" fillId="0" borderId="0" xfId="0" applyFont="1"/>
    <xf numFmtId="0" fontId="14" fillId="0" borderId="0" xfId="0" applyFont="1" applyAlignment="1">
      <alignment horizontal="center"/>
    </xf>
    <xf numFmtId="0" fontId="14" fillId="0" borderId="0" xfId="0" applyFont="1" applyAlignment="1">
      <alignment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Fill="1" applyBorder="1" applyAlignment="1">
      <alignment horizontal="center" vertical="center" wrapText="1"/>
    </xf>
    <xf numFmtId="0" fontId="15" fillId="0" borderId="0"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0" xfId="0" applyFont="1" applyFill="1" applyBorder="1" applyAlignment="1">
      <alignment horizontal="left" vertical="center" wrapText="1"/>
    </xf>
    <xf numFmtId="164" fontId="15" fillId="0" borderId="0" xfId="0" applyNumberFormat="1" applyFont="1" applyFill="1" applyBorder="1" applyAlignment="1">
      <alignment horizontal="center" vertical="center" wrapText="1"/>
    </xf>
    <xf numFmtId="0" fontId="1" fillId="12" borderId="0" xfId="0" applyFont="1" applyFill="1" applyAlignment="1">
      <alignment horizontal="center" vertical="center" wrapText="1"/>
    </xf>
    <xf numFmtId="0" fontId="1" fillId="0" borderId="0" xfId="0" applyFont="1" applyAlignment="1">
      <alignment horizontal="center" vertical="top"/>
    </xf>
    <xf numFmtId="171" fontId="15" fillId="5" borderId="1" xfId="0" applyNumberFormat="1" applyFont="1" applyFill="1" applyBorder="1" applyAlignment="1">
      <alignment horizontal="center" vertical="center"/>
    </xf>
    <xf numFmtId="0" fontId="15" fillId="2" borderId="3" xfId="0" applyFont="1" applyFill="1" applyBorder="1" applyAlignment="1">
      <alignment horizontal="left" vertical="center"/>
    </xf>
    <xf numFmtId="0" fontId="15" fillId="2" borderId="6" xfId="0" applyFont="1" applyFill="1" applyBorder="1" applyAlignment="1">
      <alignment horizontal="left" vertical="center"/>
    </xf>
    <xf numFmtId="0" fontId="15" fillId="2" borderId="4" xfId="0" applyFont="1" applyFill="1" applyBorder="1" applyAlignment="1">
      <alignment horizontal="left" vertical="center"/>
    </xf>
    <xf numFmtId="0" fontId="15" fillId="2" borderId="7" xfId="0" applyFont="1" applyFill="1" applyBorder="1" applyAlignment="1">
      <alignment horizontal="left" vertical="center"/>
    </xf>
    <xf numFmtId="0" fontId="15" fillId="2" borderId="5" xfId="0" applyFont="1" applyFill="1" applyBorder="1" applyAlignment="1">
      <alignment horizontal="left" vertical="center"/>
    </xf>
    <xf numFmtId="0" fontId="15" fillId="2" borderId="8" xfId="0" applyFont="1" applyFill="1" applyBorder="1" applyAlignment="1">
      <alignment horizontal="left" vertical="center"/>
    </xf>
    <xf numFmtId="0" fontId="4" fillId="12" borderId="3" xfId="0"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0" fontId="4" fillId="11" borderId="5" xfId="0" applyFont="1" applyFill="1" applyBorder="1" applyAlignment="1">
      <alignment horizontal="center" vertical="center"/>
    </xf>
    <xf numFmtId="0" fontId="4" fillId="10" borderId="13" xfId="0" applyFont="1" applyFill="1" applyBorder="1" applyAlignment="1">
      <alignment horizontal="center" vertical="center"/>
    </xf>
    <xf numFmtId="0" fontId="4" fillId="10" borderId="14" xfId="0" applyFont="1" applyFill="1" applyBorder="1" applyAlignment="1">
      <alignment horizontal="center" vertical="center"/>
    </xf>
    <xf numFmtId="0" fontId="4" fillId="10" borderId="15"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5" xfId="0" applyFont="1" applyFill="1" applyBorder="1" applyAlignment="1">
      <alignment horizontal="center" vertical="center"/>
    </xf>
    <xf numFmtId="0" fontId="4" fillId="9" borderId="3" xfId="0" applyFont="1" applyFill="1" applyBorder="1" applyAlignment="1">
      <alignment horizontal="center" vertical="center"/>
    </xf>
    <xf numFmtId="0" fontId="4" fillId="9" borderId="4" xfId="0" applyFont="1" applyFill="1" applyBorder="1" applyAlignment="1">
      <alignment horizontal="center" vertical="center"/>
    </xf>
    <xf numFmtId="0" fontId="4" fillId="9" borderId="5"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3" fillId="12" borderId="9" xfId="0" applyFont="1" applyFill="1" applyBorder="1" applyAlignment="1">
      <alignment horizontal="center" vertical="center" textRotation="90"/>
    </xf>
    <xf numFmtId="0" fontId="13" fillId="12" borderId="10" xfId="0" applyFont="1" applyFill="1" applyBorder="1" applyAlignment="1">
      <alignment horizontal="center" vertical="center" textRotation="90"/>
    </xf>
    <xf numFmtId="0" fontId="13" fillId="12" borderId="11" xfId="0" applyFont="1" applyFill="1" applyBorder="1" applyAlignment="1">
      <alignment horizontal="center" vertical="center" textRotation="90"/>
    </xf>
    <xf numFmtId="0" fontId="13" fillId="14" borderId="9" xfId="0" applyFont="1" applyFill="1" applyBorder="1" applyAlignment="1">
      <alignment horizontal="center" vertical="center" textRotation="90"/>
    </xf>
    <xf numFmtId="0" fontId="13" fillId="14" borderId="10" xfId="0" applyFont="1" applyFill="1" applyBorder="1" applyAlignment="1">
      <alignment horizontal="center" vertical="center" textRotation="90"/>
    </xf>
    <xf numFmtId="0" fontId="13" fillId="14" borderId="11" xfId="0" applyFont="1" applyFill="1" applyBorder="1" applyAlignment="1">
      <alignment horizontal="center" vertical="center" textRotation="90"/>
    </xf>
    <xf numFmtId="0" fontId="13" fillId="9" borderId="9" xfId="0" applyFont="1" applyFill="1" applyBorder="1" applyAlignment="1">
      <alignment horizontal="center" vertical="center" textRotation="90"/>
    </xf>
    <xf numFmtId="0" fontId="13" fillId="9" borderId="10" xfId="0" applyFont="1" applyFill="1" applyBorder="1" applyAlignment="1">
      <alignment horizontal="center" vertical="center" textRotation="90"/>
    </xf>
    <xf numFmtId="0" fontId="13" fillId="9" borderId="11" xfId="0" applyFont="1" applyFill="1" applyBorder="1" applyAlignment="1">
      <alignment horizontal="center" vertical="center" textRotation="90"/>
    </xf>
    <xf numFmtId="0" fontId="13" fillId="10" borderId="9" xfId="0" applyFont="1" applyFill="1" applyBorder="1" applyAlignment="1">
      <alignment horizontal="center" vertical="center" textRotation="90"/>
    </xf>
    <xf numFmtId="0" fontId="13" fillId="10" borderId="12" xfId="0" applyFont="1" applyFill="1" applyBorder="1" applyAlignment="1">
      <alignment horizontal="center" vertical="center" textRotation="90"/>
    </xf>
    <xf numFmtId="0" fontId="13" fillId="10" borderId="6" xfId="0" applyFont="1" applyFill="1" applyBorder="1" applyAlignment="1">
      <alignment horizontal="center" vertical="center" textRotation="90"/>
    </xf>
    <xf numFmtId="171" fontId="1" fillId="5" borderId="1" xfId="0" applyNumberFormat="1" applyFont="1" applyFill="1" applyBorder="1" applyAlignment="1">
      <alignment horizontal="center" vertical="center"/>
    </xf>
    <xf numFmtId="0" fontId="13" fillId="8" borderId="9" xfId="0" applyFont="1" applyFill="1" applyBorder="1" applyAlignment="1">
      <alignment horizontal="center" vertical="center" textRotation="90"/>
    </xf>
    <xf numFmtId="0" fontId="13" fillId="8" borderId="12" xfId="0" applyFont="1" applyFill="1" applyBorder="1" applyAlignment="1">
      <alignment horizontal="center" vertical="center" textRotation="90"/>
    </xf>
    <xf numFmtId="0" fontId="13" fillId="8" borderId="6" xfId="0" applyFont="1" applyFill="1" applyBorder="1" applyAlignment="1">
      <alignment horizontal="center" vertical="center" textRotation="90"/>
    </xf>
    <xf numFmtId="168" fontId="16" fillId="0" borderId="0" xfId="0" applyNumberFormat="1" applyFont="1" applyAlignment="1">
      <alignment horizontal="center" vertical="top"/>
    </xf>
    <xf numFmtId="0" fontId="16" fillId="0" borderId="0" xfId="0" applyFont="1" applyAlignment="1">
      <alignment horizontal="left" vertical="top"/>
    </xf>
    <xf numFmtId="167" fontId="16" fillId="0" borderId="0" xfId="0" applyNumberFormat="1" applyFont="1" applyAlignment="1">
      <alignment horizontal="left" vertical="top"/>
    </xf>
    <xf numFmtId="0" fontId="17" fillId="0" borderId="0" xfId="0" applyFont="1" applyAlignment="1">
      <alignment horizontal="center" vertical="top"/>
    </xf>
    <xf numFmtId="0" fontId="16" fillId="0" borderId="0" xfId="0" applyFont="1" applyAlignment="1">
      <alignment horizontal="left" vertical="top" wrapText="1"/>
    </xf>
    <xf numFmtId="0" fontId="16" fillId="0" borderId="0" xfId="0" applyNumberFormat="1" applyFont="1" applyAlignment="1">
      <alignment horizontal="left" vertical="top"/>
    </xf>
    <xf numFmtId="0" fontId="7" fillId="0" borderId="0" xfId="0" quotePrefix="1" applyFont="1" applyAlignment="1">
      <alignment horizontal="left" vertical="top" wrapText="1"/>
    </xf>
    <xf numFmtId="166" fontId="16" fillId="0" borderId="0" xfId="0" applyNumberFormat="1" applyFont="1" applyAlignment="1">
      <alignment horizontal="center" vertical="top"/>
    </xf>
  </cellXfs>
  <cellStyles count="1">
    <cellStyle name="Normal" xfId="0" builtinId="0"/>
  </cellStyles>
  <dxfs count="105">
    <dxf>
      <font>
        <b val="0"/>
        <i/>
        <strike val="0"/>
        <color theme="0" tint="-0.499984740745262"/>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scheme val="min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numFmt numFmtId="0" formatCode="General"/>
      <alignment horizontal="left" vertical="top" textRotation="0" wrapText="0" indent="0" justifyLastLine="0" shrinkToFit="0" readingOrder="0"/>
    </dxf>
    <dxf>
      <font>
        <strike val="0"/>
        <outline val="0"/>
        <shadow val="0"/>
        <u val="none"/>
        <vertAlign val="baseline"/>
        <sz val="14"/>
        <color theme="1"/>
        <name val="Calibri"/>
        <scheme val="minor"/>
      </font>
      <numFmt numFmtId="0" formatCode="General"/>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strike val="0"/>
        <outline val="0"/>
        <shadow val="0"/>
        <u val="none"/>
        <vertAlign val="baseline"/>
        <sz val="14"/>
        <color theme="1"/>
        <name val="Calibri"/>
        <scheme val="minor"/>
      </font>
      <alignment horizontal="left" vertical="top" textRotation="0" wrapText="1" indent="0" justifyLastLine="0" shrinkToFit="0" readingOrder="0"/>
    </dxf>
    <dxf>
      <font>
        <b/>
        <strike val="0"/>
        <outline val="0"/>
        <shadow val="0"/>
        <u val="none"/>
        <vertAlign val="baseline"/>
        <sz val="14"/>
        <color theme="1"/>
        <name val="Calibri"/>
        <scheme val="minor"/>
      </font>
      <alignment horizontal="center" vertical="top" textRotation="0" wrapText="0" indent="0" justifyLastLine="0" shrinkToFit="0" readingOrder="0"/>
    </dxf>
    <dxf>
      <font>
        <strike val="0"/>
        <outline val="0"/>
        <shadow val="0"/>
        <u val="none"/>
        <vertAlign val="baseline"/>
        <sz val="14"/>
        <color theme="1"/>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numFmt numFmtId="168" formatCode="000#"/>
      <alignment horizontal="center"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center" textRotation="0" wrapText="1" indent="0" justifyLastLine="0" shrinkToFit="0" readingOrder="0"/>
    </dxf>
    <dxf>
      <font>
        <strike val="0"/>
        <outline val="0"/>
        <shadow val="0"/>
        <u val="none"/>
        <vertAlign val="baseline"/>
        <sz val="14"/>
        <color theme="1"/>
        <name val="Calibri"/>
        <scheme val="minor"/>
      </font>
      <numFmt numFmtId="0" formatCode="General"/>
      <alignment horizontal="left" vertical="top" textRotation="0" wrapText="0" indent="0" justifyLastLine="0" shrinkToFit="0" readingOrder="0"/>
    </dxf>
    <dxf>
      <font>
        <strike val="0"/>
        <outline val="0"/>
        <shadow val="0"/>
        <u val="none"/>
        <vertAlign val="baseline"/>
        <sz val="14"/>
        <color theme="1"/>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color theme="1"/>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numFmt numFmtId="168" formatCode="000#"/>
      <alignment horizontal="center" vertical="top" textRotation="0" wrapText="0" indent="0" justifyLastLine="0" shrinkToFit="0" readingOrder="0"/>
    </dxf>
    <dxf>
      <font>
        <strike val="0"/>
        <outline val="0"/>
        <shadow val="0"/>
        <u val="none"/>
        <vertAlign val="baseline"/>
        <sz val="14"/>
        <color theme="1"/>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center" textRotation="0" wrapText="1" indent="0" justifyLastLine="0" shrinkToFit="0" readingOrder="0"/>
    </dxf>
    <dxf>
      <font>
        <strike val="0"/>
        <outline val="0"/>
        <shadow val="0"/>
        <u val="none"/>
        <vertAlign val="baseline"/>
        <sz val="14"/>
        <name val="Calibri"/>
        <scheme val="minor"/>
      </font>
      <numFmt numFmtId="0" formatCode="General"/>
      <alignment horizontal="left" vertical="top" textRotation="0" wrapText="0" indent="0" justifyLastLine="0" shrinkToFit="0" readingOrder="0"/>
    </dxf>
    <dxf>
      <font>
        <strike val="0"/>
        <outline val="0"/>
        <shadow val="0"/>
        <u val="none"/>
        <vertAlign val="baseline"/>
        <sz val="14"/>
        <name val="Calibri"/>
        <scheme val="minor"/>
      </font>
      <numFmt numFmtId="0" formatCode="General"/>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1" indent="0" justifyLastLine="0" shrinkToFit="0" readingOrder="0"/>
    </dxf>
    <dxf>
      <font>
        <strike val="0"/>
        <outline val="0"/>
        <shadow val="0"/>
        <u val="none"/>
        <vertAlign val="baseline"/>
        <sz val="14"/>
        <name val="Calibri"/>
        <scheme val="minor"/>
      </font>
      <numFmt numFmtId="166" formatCode="0.0"/>
      <alignment horizontal="center" vertical="top" textRotation="0" wrapText="0" indent="0" justifyLastLine="0" shrinkToFit="0" readingOrder="0"/>
    </dxf>
    <dxf>
      <font>
        <strike val="0"/>
        <outline val="0"/>
        <shadow val="0"/>
        <u val="none"/>
        <vertAlign val="baseline"/>
        <sz val="14"/>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numFmt numFmtId="167" formatCode="ddd\,\ mmm\ dd\,\ yyyy"/>
      <alignment horizontal="left"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name val="Calibri"/>
        <scheme val="minor"/>
      </font>
      <numFmt numFmtId="168" formatCode="000#"/>
      <alignment horizontal="center" vertical="top" textRotation="0" wrapText="0" indent="0" justifyLastLine="0" shrinkToFit="0" readingOrder="0"/>
    </dxf>
    <dxf>
      <font>
        <strike val="0"/>
        <outline val="0"/>
        <shadow val="0"/>
        <u val="none"/>
        <vertAlign val="baseline"/>
        <sz val="14"/>
        <name val="Calibri"/>
        <scheme val="minor"/>
      </font>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center" textRotation="0" wrapText="1"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numFmt numFmtId="166" formatCode="0.0"/>
      <alignment horizontal="left" vertical="top" textRotation="0" wrapText="0" indent="0" justifyLastLine="0" shrinkToFit="0" readingOrder="0"/>
    </dxf>
    <dxf>
      <numFmt numFmtId="167" formatCode="ddd\,\ mmm\ dd\,\ 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ddd\,\ mmm\ dd\,\ 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67" formatCode="ddd\,\ mmm\ dd\,\ yyyy"/>
      <alignment horizontal="left" vertical="top" textRotation="0" wrapText="0" indent="0" justifyLastLine="0" shrinkToFit="0" readingOrder="0"/>
    </dxf>
    <dxf>
      <alignment horizontal="left" vertical="top" textRotation="0" wrapText="0" indent="0" justifyLastLine="0" shrinkToFit="0" readingOrder="0"/>
    </dxf>
    <dxf>
      <numFmt numFmtId="169" formatCode="&quot;ISU&quot;00####"/>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font>
        <sz val="14"/>
      </font>
      <alignment horizontal="left" vertical="top" textRotation="0" wrapText="1" indent="0" justifyLastLine="0" shrinkToFit="0" readingOrder="0"/>
    </dxf>
    <dxf>
      <font>
        <sz val="14"/>
      </font>
      <numFmt numFmtId="166" formatCode="0.0"/>
      <alignment horizontal="center" vertical="top" textRotation="0" wrapText="0" indent="0" justifyLastLine="0" shrinkToFit="0" readingOrder="0"/>
    </dxf>
    <dxf>
      <font>
        <sz val="14"/>
      </font>
      <numFmt numFmtId="167" formatCode="ddd\,\ mmm\ dd\,\ yyyy"/>
      <alignment horizontal="left" vertical="top" textRotation="0" wrapText="0" indent="0" justifyLastLine="0" shrinkToFit="0" readingOrder="0"/>
    </dxf>
    <dxf>
      <font>
        <sz val="14"/>
      </font>
      <alignment horizontal="left" vertical="top" textRotation="0" wrapText="1" indent="0" justifyLastLine="0" shrinkToFit="0" readingOrder="0"/>
    </dxf>
    <dxf>
      <font>
        <sz val="14"/>
      </font>
      <alignment horizontal="left" vertical="top" textRotation="0" wrapText="0" indent="0" justifyLastLine="0" shrinkToFit="0" readingOrder="0"/>
    </dxf>
    <dxf>
      <font>
        <sz val="14"/>
      </font>
      <alignment horizontal="left" vertical="top" textRotation="0" wrapText="0" indent="0" justifyLastLine="0" shrinkToFit="0" readingOrder="0"/>
    </dxf>
    <dxf>
      <font>
        <sz val="14"/>
      </font>
      <alignment horizontal="left" vertical="top" textRotation="0" wrapText="0" indent="0" justifyLastLine="0" shrinkToFit="0" readingOrder="0"/>
    </dxf>
    <dxf>
      <font>
        <sz val="14"/>
      </font>
      <alignment horizontal="left" vertical="top" textRotation="0" wrapText="0" indent="0" justifyLastLine="0" shrinkToFit="0" readingOrder="0"/>
    </dxf>
    <dxf>
      <font>
        <sz val="14"/>
      </font>
      <alignment horizontal="left" vertical="top" textRotation="0" wrapText="1" indent="0" justifyLastLine="0" shrinkToFit="0" readingOrder="0"/>
    </dxf>
    <dxf>
      <font>
        <sz val="14"/>
      </font>
      <alignment horizontal="left" vertical="top" textRotation="0" wrapText="1" indent="0" justifyLastLine="0" shrinkToFit="0" readingOrder="0"/>
    </dxf>
    <dxf>
      <font>
        <sz val="14"/>
      </font>
      <alignment horizontal="left" vertical="top" textRotation="0" wrapText="1" indent="0" justifyLastLine="0" shrinkToFit="0" readingOrder="0"/>
    </dxf>
    <dxf>
      <font>
        <sz val="14"/>
      </font>
      <alignment horizontal="left" vertical="top" textRotation="0" wrapText="1" indent="0" justifyLastLine="0" shrinkToFit="0" readingOrder="0"/>
    </dxf>
    <dxf>
      <font>
        <sz val="14"/>
      </font>
      <alignment horizontal="left" vertical="top" textRotation="0" wrapText="1" indent="0" justifyLastLine="0" shrinkToFit="0" readingOrder="0"/>
    </dxf>
    <dxf>
      <font>
        <sz val="14"/>
      </font>
      <alignment horizontal="left" vertical="top" textRotation="0" wrapText="0" indent="0" justifyLastLine="0" shrinkToFit="0" readingOrder="0"/>
    </dxf>
    <dxf>
      <font>
        <sz val="14"/>
      </font>
      <alignment horizontal="left" vertical="top" textRotation="0" wrapText="0" indent="0" justifyLastLine="0" shrinkToFit="0" readingOrder="0"/>
    </dxf>
    <dxf>
      <font>
        <sz val="14"/>
      </font>
      <numFmt numFmtId="167" formatCode="ddd\,\ mmm\ dd\,\ yyyy"/>
      <alignment horizontal="left" vertical="top" textRotation="0" wrapText="0" indent="0" justifyLastLine="0" shrinkToFit="0" readingOrder="0"/>
    </dxf>
    <dxf>
      <font>
        <sz val="14"/>
      </font>
      <alignment horizontal="general" vertical="top" textRotation="0" wrapText="1" indent="0" justifyLastLine="0" shrinkToFit="0" readingOrder="0"/>
    </dxf>
    <dxf>
      <font>
        <sz val="14"/>
      </font>
      <numFmt numFmtId="170" formatCode="&quot;RISK&quot;0000####"/>
      <alignment horizontal="left" vertical="top" textRotation="0" wrapText="0" indent="0" justifyLastLine="0" shrinkToFit="0" readingOrder="0"/>
    </dxf>
    <dxf>
      <alignment horizontal="left" vertical="top" textRotation="0" wrapText="0" indent="0" justifyLastLine="0" shrinkToFit="0" readingOrder="0"/>
    </dxf>
    <dxf>
      <font>
        <strike val="0"/>
        <outline val="0"/>
        <shadow val="0"/>
        <u val="none"/>
        <vertAlign val="baseline"/>
        <sz val="14"/>
        <color theme="1"/>
        <name val="Calibri"/>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Spin" dx="31" fmlaLink="$M$3" max="31" min="1" page="10" val="4"/>
</file>

<file path=xl/ctrlProps/ctrlProp2.xml><?xml version="1.0" encoding="utf-8"?>
<formControlPr xmlns="http://schemas.microsoft.com/office/spreadsheetml/2009/9/main" objectType="Spin" dx="31" fmlaLink="$N$3" max="12" min="1" page="10" val="2"/>
</file>

<file path=xl/ctrlProps/ctrlProp3.xml><?xml version="1.0" encoding="utf-8"?>
<formControlPr xmlns="http://schemas.microsoft.com/office/spreadsheetml/2009/9/main" objectType="Spin" dx="31" fmlaLink="$O$3" max="2030" min="2020" page="10" val="2021"/>
</file>

<file path=xl/ctrlProps/ctrlProp4.xml><?xml version="1.0" encoding="utf-8"?>
<formControlPr xmlns="http://schemas.microsoft.com/office/spreadsheetml/2009/9/main" objectType="Spin" dx="31" fmlaLink="$G$3" max="31" min="1" page="10" val="29"/>
</file>

<file path=xl/ctrlProps/ctrlProp5.xml><?xml version="1.0" encoding="utf-8"?>
<formControlPr xmlns="http://schemas.microsoft.com/office/spreadsheetml/2009/9/main" objectType="Spin" dx="31" fmlaLink="$H$3" max="12" min="1" page="10"/>
</file>

<file path=xl/ctrlProps/ctrlProp6.xml><?xml version="1.0" encoding="utf-8"?>
<formControlPr xmlns="http://schemas.microsoft.com/office/spreadsheetml/2009/9/main" objectType="Spin" dx="31" fmlaLink="$I$3" max="2030" min="2020" page="10" val="202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495300</xdr:colOff>
          <xdr:row>2</xdr:row>
          <xdr:rowOff>0</xdr:rowOff>
        </xdr:from>
        <xdr:to>
          <xdr:col>12</xdr:col>
          <xdr:colOff>752475</xdr:colOff>
          <xdr:row>3</xdr:row>
          <xdr:rowOff>180975</xdr:rowOff>
        </xdr:to>
        <xdr:sp macro="" textlink="">
          <xdr:nvSpPr>
            <xdr:cNvPr id="8193" name="Spinner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266700</xdr:colOff>
          <xdr:row>2</xdr:row>
          <xdr:rowOff>0</xdr:rowOff>
        </xdr:from>
        <xdr:to>
          <xdr:col>13</xdr:col>
          <xdr:colOff>485775</xdr:colOff>
          <xdr:row>3</xdr:row>
          <xdr:rowOff>180975</xdr:rowOff>
        </xdr:to>
        <xdr:sp macro="" textlink="">
          <xdr:nvSpPr>
            <xdr:cNvPr id="8194" name="Spinner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790575</xdr:colOff>
          <xdr:row>2</xdr:row>
          <xdr:rowOff>9525</xdr:rowOff>
        </xdr:from>
        <xdr:to>
          <xdr:col>14</xdr:col>
          <xdr:colOff>1000125</xdr:colOff>
          <xdr:row>4</xdr:row>
          <xdr:rowOff>0</xdr:rowOff>
        </xdr:to>
        <xdr:sp macro="" textlink="">
          <xdr:nvSpPr>
            <xdr:cNvPr id="8195" name="Spinner 3" hidden="1">
              <a:extLst>
                <a:ext uri="{63B3BB69-23CF-44E3-9099-C40C66FF867C}">
                  <a14:compatExt spid="_x0000_s8195"/>
                </a:ext>
                <a:ext uri="{FF2B5EF4-FFF2-40B4-BE49-F238E27FC236}">
                  <a16:creationId xmlns:a16="http://schemas.microsoft.com/office/drawing/2014/main" id="{00000000-0008-0000-0000-000003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809625</xdr:colOff>
          <xdr:row>2</xdr:row>
          <xdr:rowOff>9525</xdr:rowOff>
        </xdr:from>
        <xdr:to>
          <xdr:col>6</xdr:col>
          <xdr:colOff>1057275</xdr:colOff>
          <xdr:row>3</xdr:row>
          <xdr:rowOff>161925</xdr:rowOff>
        </xdr:to>
        <xdr:sp macro="" textlink="">
          <xdr:nvSpPr>
            <xdr:cNvPr id="6150" name="Spinner 6" hidden="1">
              <a:extLst>
                <a:ext uri="{63B3BB69-23CF-44E3-9099-C40C66FF867C}">
                  <a14:compatExt spid="_x0000_s6150"/>
                </a:ext>
                <a:ext uri="{FF2B5EF4-FFF2-40B4-BE49-F238E27FC236}">
                  <a16:creationId xmlns:a16="http://schemas.microsoft.com/office/drawing/2014/main" id="{00000000-0008-0000-0100-000006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533400</xdr:colOff>
          <xdr:row>2</xdr:row>
          <xdr:rowOff>9525</xdr:rowOff>
        </xdr:from>
        <xdr:to>
          <xdr:col>8</xdr:col>
          <xdr:colOff>0</xdr:colOff>
          <xdr:row>3</xdr:row>
          <xdr:rowOff>161925</xdr:rowOff>
        </xdr:to>
        <xdr:sp macro="" textlink="">
          <xdr:nvSpPr>
            <xdr:cNvPr id="6151" name="Spinner 7" hidden="1">
              <a:extLst>
                <a:ext uri="{63B3BB69-23CF-44E3-9099-C40C66FF867C}">
                  <a14:compatExt spid="_x0000_s6151"/>
                </a:ext>
                <a:ext uri="{FF2B5EF4-FFF2-40B4-BE49-F238E27FC236}">
                  <a16:creationId xmlns:a16="http://schemas.microsoft.com/office/drawing/2014/main" id="{00000000-0008-0000-0100-000007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685800</xdr:colOff>
          <xdr:row>2</xdr:row>
          <xdr:rowOff>0</xdr:rowOff>
        </xdr:from>
        <xdr:to>
          <xdr:col>8</xdr:col>
          <xdr:colOff>847725</xdr:colOff>
          <xdr:row>3</xdr:row>
          <xdr:rowOff>152400</xdr:rowOff>
        </xdr:to>
        <xdr:sp macro="" textlink="">
          <xdr:nvSpPr>
            <xdr:cNvPr id="6152" name="Spinner 8" hidden="1">
              <a:extLst>
                <a:ext uri="{63B3BB69-23CF-44E3-9099-C40C66FF867C}">
                  <a14:compatExt spid="_x0000_s6152"/>
                </a:ext>
                <a:ext uri="{FF2B5EF4-FFF2-40B4-BE49-F238E27FC236}">
                  <a16:creationId xmlns:a16="http://schemas.microsoft.com/office/drawing/2014/main" id="{00000000-0008-0000-0100-000008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id="2" name="RiskTracker" displayName="RiskTracker" ref="A1:T16" totalsRowShown="0" headerRowDxfId="104" dataDxfId="103">
  <autoFilter ref="A1:T16"/>
  <tableColumns count="20">
    <tableColumn id="1" name="Risk Number" dataDxfId="102"/>
    <tableColumn id="19" name="Project Name" dataDxfId="101"/>
    <tableColumn id="2" name="Date Reported" dataDxfId="100"/>
    <tableColumn id="3" name="Category" dataDxfId="99"/>
    <tableColumn id="4" name="Visibility" dataDxfId="98"/>
    <tableColumn id="5" name="Title" dataDxfId="97"/>
    <tableColumn id="6" name="Description" dataDxfId="96"/>
    <tableColumn id="7" name="Risk Cause" dataDxfId="95"/>
    <tableColumn id="8" name="Risk Consequence" dataDxfId="94"/>
    <tableColumn id="9" name="Risk Owner" dataDxfId="93"/>
    <tableColumn id="10" name="Status" dataDxfId="92"/>
    <tableColumn id="11" name="Severity" dataDxfId="91"/>
    <tableColumn id="12" name="Probability" dataDxfId="90"/>
    <tableColumn id="13" name="Strategy" dataDxfId="89"/>
    <tableColumn id="14" name="Strategy Details" dataDxfId="88"/>
    <tableColumn id="15" name="Closed Date" dataDxfId="87"/>
    <tableColumn id="20" name="Duration (Days)" dataDxfId="86">
      <calculatedColumnFormula>IF(RiskTracker[[#This Row],[Date Reported]]="","",IF(RiskTracker[[#This Row],[Closed Date]]="",TODAY()-RiskTracker[[#This Row],[Date Reported]],RiskTracker[[#This Row],[Closed Date]]-RiskTracker[[#This Row],[Date Reported]]))</calculatedColumnFormula>
    </tableColumn>
    <tableColumn id="16" name="Additional Notes" dataDxfId="85"/>
    <tableColumn id="17" name="Helper" dataDxfId="84">
      <calculatedColumnFormula>IF(OR(RiskTracker[[#This Row],[Date Reported]]="",RiskTracker[[#This Row],[Closed Date]]&lt;&gt;""),"",IF(RiskTracker[[#This Row],[Date Reported]]&lt;=Mdate,IF(COUNTIF(S$1:S1,"*Y")=0,"1Y",COUNTIF(S$1:S1,"*Y")+1&amp;"Y"),"N"))</calculatedColumnFormula>
    </tableColumn>
    <tableColumn id="18" name="Helper1" dataDxfId="83">
      <calculatedColumnFormula>IF(OR(RiskTracker[[#This Row],[Date Reported]]="",RiskTracker[[#This Row],[Closed Date]]&lt;&gt;""),"",IF(RiskTracker[[#This Row],[Date Reported]]&lt;=CDate,IF(COUNTIF(S$1:S1,"*Y")=0,"1Y",COUNTIF(S$1:S1,"*Y")+1&amp;"Y"),"N"))</calculatedColumnFormula>
    </tableColumn>
  </tableColumns>
  <tableStyleInfo name="TableStyleMedium17" showFirstColumn="0" showLastColumn="0" showRowStripes="1" showColumnStripes="0"/>
</table>
</file>

<file path=xl/tables/table2.xml><?xml version="1.0" encoding="utf-8"?>
<table xmlns="http://schemas.openxmlformats.org/spreadsheetml/2006/main" id="4" name="IssueTracker" displayName="IssueTracker" ref="A1:R4" totalsRowShown="0" headerRowDxfId="82" dataDxfId="81">
  <autoFilter ref="A1:R4"/>
  <tableColumns count="18">
    <tableColumn id="1" name="Issue Number" dataDxfId="80"/>
    <tableColumn id="17" name="Project Name" dataDxfId="79"/>
    <tableColumn id="2" name="Date Reported" dataDxfId="78"/>
    <tableColumn id="3" name="Identified by" dataDxfId="77"/>
    <tableColumn id="4" name="Task Owner" dataDxfId="76"/>
    <tableColumn id="5" name="Due Date" dataDxfId="75"/>
    <tableColumn id="7" name="Title" dataDxfId="74"/>
    <tableColumn id="8" name="Description" dataDxfId="73"/>
    <tableColumn id="9" name="Issue Cause" dataDxfId="72"/>
    <tableColumn id="10" name="Impacts" dataDxfId="71"/>
    <tableColumn id="11" name="Status" dataDxfId="70"/>
    <tableColumn id="12" name="Severity" dataDxfId="69"/>
    <tableColumn id="13" name="Probability" dataDxfId="68"/>
    <tableColumn id="6" name="Resolution Date" dataDxfId="67"/>
    <tableColumn id="18" name="Duration (Days)" dataDxfId="66">
      <calculatedColumnFormula>IF(IssueTracker[[#This Row],[Date Reported]]="","",IF(IssueTracker[[#This Row],[Resolution Date]]="",TODAY()-IssueTracker[[#This Row],[Date Reported]],IssueTracker[[#This Row],[Resolution Date]]-IssueTracker[[#This Row],[Date Reported]]))</calculatedColumnFormula>
    </tableColumn>
    <tableColumn id="14" name="Additional Notes" dataDxfId="65"/>
    <tableColumn id="15" name="Helper" dataDxfId="64">
      <calculatedColumnFormula>IF(OR(IssueTracker[[#This Row],[Date Reported]]="",IssueTracker[[#This Row],[Resolution Date]]&lt;&gt;""),"",IF(IssueTracker[[#This Row],[Date Reported]]&lt;=Mdate,IF(COUNTIF(Q$1:Q1,"*Y")=0,"1Y",COUNTIF(Q$1:Q1,"*Y")+1&amp;"Y"),"N"))</calculatedColumnFormula>
    </tableColumn>
    <tableColumn id="16" name="Helper1" dataDxfId="63">
      <calculatedColumnFormula>IF(OR(IssueTracker[[#This Row],[Date Reported]]="",IssueTracker[[#This Row],[Resolution Date]]&lt;&gt;""),"",IF(IssueTracker[[#This Row],[Date Reported]]&lt;=CDate,IF(COUNTIF(Q$1:Q1,"*Y")=0,"1Y",COUNTIF(Q$1:Q1,"*Y")+1&amp;"Y"),"N"))</calculatedColumnFormula>
    </tableColumn>
  </tableColumns>
  <tableStyleInfo name="TableStyleMedium1" showFirstColumn="0" showLastColumn="0" showRowStripes="1" showColumnStripes="0"/>
</table>
</file>

<file path=xl/tables/table3.xml><?xml version="1.0" encoding="utf-8"?>
<table xmlns="http://schemas.openxmlformats.org/spreadsheetml/2006/main" id="6" name="ImpedTracker" displayName="ImpedTracker" ref="A1:R12" totalsRowShown="0" headerRowDxfId="62" dataDxfId="61">
  <autoFilter ref="A1:R12"/>
  <tableColumns count="18">
    <tableColumn id="1" name="Impediment Number" dataDxfId="60"/>
    <tableColumn id="17" name="Project Name" dataDxfId="59"/>
    <tableColumn id="2" name="Date Reported" dataDxfId="58"/>
    <tableColumn id="3" name="Identified by" dataDxfId="57"/>
    <tableColumn id="4" name="Action Owner" dataDxfId="56"/>
    <tableColumn id="5" name="Due Date" dataDxfId="55"/>
    <tableColumn id="7" name="Title" dataDxfId="54"/>
    <tableColumn id="8" name="Description" dataDxfId="53"/>
    <tableColumn id="9" name="Affected SOWs and Stories" dataDxfId="52"/>
    <tableColumn id="10" name="Delivery Sprint" dataDxfId="51"/>
    <tableColumn id="11" name="Category" dataDxfId="50"/>
    <tableColumn id="12" name="Status" dataDxfId="49"/>
    <tableColumn id="13" name="Severity" dataDxfId="48"/>
    <tableColumn id="6" name="Resolution Date" dataDxfId="47"/>
    <tableColumn id="18" name="Duration (Days)" dataDxfId="46">
      <calculatedColumnFormula>IF(ImpedTracker[[#This Row],[Date Reported]]="","",IF(ImpedTracker[[#This Row],[Resolution Date]]="",TODAY()-ImpedTracker[[#This Row],[Date Reported]],ImpedTracker[[#This Row],[Resolution Date]]-ImpedTracker[[#This Row],[Date Reported]]))</calculatedColumnFormula>
    </tableColumn>
    <tableColumn id="14" name="Additional Notes" dataDxfId="45"/>
    <tableColumn id="15" name="Helper" dataDxfId="44">
      <calculatedColumnFormula>IF(OR(ImpedTracker[[#This Row],[Date Reported]]="",ImpedTracker[[#This Row],[Resolution Date]]&lt;&gt;""),"",IF(ImpedTracker[[#This Row],[Date Reported]]&lt;=Mdate,IF(COUNTIF(Q$1:Q1,"*Y")=0,"1Y",COUNTIF(Q$1:Q1,"*Y")+1&amp;"Y"),"N"))</calculatedColumnFormula>
    </tableColumn>
    <tableColumn id="16" name="Helper1" dataDxfId="43">
      <calculatedColumnFormula>IF(OR(ImpedTracker[[#This Row],[Date Reported]]="",ImpedTracker[[#This Row],[Resolution Date]]&lt;&gt;""),"",IF(ImpedTracker[[#This Row],[Date Reported]]&lt;=CDate,IF(COUNTIF(Q$1:Q1,"*Y")=0,"1Y",COUNTIF(Q$1:Q1,"*Y")+1&amp;"Y"),"N"))</calculatedColumnFormula>
    </tableColumn>
  </tableColumns>
  <tableStyleInfo name="TableStyleMedium19" showFirstColumn="0" showLastColumn="0" showRowStripes="1" showColumnStripes="0"/>
</table>
</file>

<file path=xl/tables/table4.xml><?xml version="1.0" encoding="utf-8"?>
<table xmlns="http://schemas.openxmlformats.org/spreadsheetml/2006/main" id="8" name="DecisionLog" displayName="DecisionLog" ref="A1:P11" totalsRowShown="0" headerRowDxfId="42" dataDxfId="41">
  <autoFilter ref="A1:P11"/>
  <tableColumns count="16">
    <tableColumn id="1" name="Decision Number" dataDxfId="40"/>
    <tableColumn id="13" name="Project Name" dataDxfId="39"/>
    <tableColumn id="12" name="Visibility" dataDxfId="10"/>
    <tableColumn id="2" name="Date Reported" dataDxfId="38"/>
    <tableColumn id="3" name="Title" dataDxfId="17"/>
    <tableColumn id="4" name="Description" dataDxfId="16"/>
    <tableColumn id="16" name="Module" dataDxfId="9">
      <calculatedColumnFormula>IF(DecisionLog[[#This Row],[Visibility]]&lt;&gt;"Leadership Review","Not Applicable" )</calculatedColumnFormula>
    </tableColumn>
    <tableColumn id="15" name="Feature" dataDxfId="8">
      <calculatedColumnFormula>IF(DecisionLog[[#This Row],[Visibility]]&lt;&gt;"Leadership Review","Not Applicable" )</calculatedColumnFormula>
    </tableColumn>
    <tableColumn id="14" name="Functionality" dataDxfId="7">
      <calculatedColumnFormula>IF(DecisionLog[[#This Row],[Visibility]]&lt;&gt;"Leadership Review","Not Applicable" )</calculatedColumnFormula>
    </tableColumn>
    <tableColumn id="5" name="Decision Resolution" dataDxfId="14"/>
    <tableColumn id="6" name="Decision Maker" dataDxfId="15"/>
    <tableColumn id="7" name="Decision Date" dataDxfId="37"/>
    <tableColumn id="8" name="Status" dataDxfId="13"/>
    <tableColumn id="9" name="Decision Rationale" dataDxfId="11"/>
    <tableColumn id="10" name="Helper" dataDxfId="12">
      <calculatedColumnFormula>IF(DecisionLog[[#This Row],[Date Reported]]="","",IF(AND(Mdate-DecisionLog[[#This Row],[Date Reported]]&lt;=7,Mdate-DecisionLog[[#This Row],[Date Reported]]&gt;=0),IF(COUNTIF(O$1:O1,"*Y")=0,"1Y",COUNTIF(O$1:O1,"*Y")+1&amp;"Y"),"N"))</calculatedColumnFormula>
    </tableColumn>
    <tableColumn id="11" name="Helper1" dataDxfId="36">
      <calculatedColumnFormula>IF(DecisionLog[[#This Row],[Date Reported]]="","",IF(AND(CDate-DecisionLog[[#This Row],[Date Reported]]&lt;=7,CDate-DecisionLog[[#This Row],[Date Reported]]&gt;=0),IF(COUNTIF(O$1:O1,"*Y")=0,"1Y",COUNTIF(O$1:O1,"*Y")+1&amp;"Y"),"N"))</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id="9" name="ActionLog" displayName="ActionLog" ref="A1:P26" totalsRowShown="0" headerRowDxfId="35" dataDxfId="34">
  <autoFilter ref="A1:P26">
    <filterColumn colId="7">
      <filters blank="1">
        <filter val="In Progress"/>
        <filter val="Open"/>
        <filter val="Pending"/>
      </filters>
    </filterColumn>
  </autoFilter>
  <tableColumns count="16">
    <tableColumn id="1" name="Task Number" dataDxfId="33"/>
    <tableColumn id="17" name="Project Name" dataDxfId="32"/>
    <tableColumn id="2" name="Date Reported" dataDxfId="31"/>
    <tableColumn id="3" name="Task Owner" dataDxfId="30"/>
    <tableColumn id="4" name="Title" dataDxfId="29"/>
    <tableColumn id="5" name="Description" dataDxfId="28"/>
    <tableColumn id="6" name="Priority" dataDxfId="27"/>
    <tableColumn id="7" name="Task Status" dataDxfId="26"/>
    <tableColumn id="8" name="Target Due Date" dataDxfId="25"/>
    <tableColumn id="9" name="Actions Required" dataDxfId="24"/>
    <tableColumn id="10" name="Status Date" dataDxfId="23"/>
    <tableColumn id="11" name="Task Information" dataDxfId="22"/>
    <tableColumn id="12" name="Actual Resolution Date" dataDxfId="21"/>
    <tableColumn id="13" name="Additional Notes" dataDxfId="20"/>
    <tableColumn id="14" name="Helper" dataDxfId="19">
      <calculatedColumnFormula>IF(OR(ActionLog[[#This Row],[Date Reported]]="",ActionLog[[#This Row],[Actual Resolution Date]]&lt;&gt;""),"",IF(ActionLog[[#This Row],[Date Reported]]&lt;=Mdate,IF(COUNTIF(O$1:O1,"*Y")=0,"1Y",COUNTIF(O$1:O1,"*Y")+1&amp;"Y"),"N"))</calculatedColumnFormula>
    </tableColumn>
    <tableColumn id="15" name="Helper1" dataDxfId="18">
      <calculatedColumnFormula>IF(OR(ActionLog[[#This Row],[Date Reported]]="",ActionLog[[#This Row],[Actual Resolution Date]]&lt;&gt;""),"",IF(ActionLog[[#This Row],[Date Reported]]&lt;=CDate,IF(COUNTIF(O$1:O1,"*Y")=0,"1Y",COUNTIF(O$1:O1,"*Y")+1&amp;"Y"),"N"))</calculatedColumnFormula>
    </tableColumn>
  </tableColumns>
  <tableStyleInfo name="TableStyleMedium21" showFirstColumn="0" showLastColumn="0" showRowStripes="1" showColumnStripes="0"/>
</table>
</file>

<file path=xl/tables/table6.xml><?xml version="1.0" encoding="utf-8"?>
<table xmlns="http://schemas.openxmlformats.org/spreadsheetml/2006/main" id="1" name="Risk" displayName="Risk" ref="C1:G17" totalsRowShown="0">
  <autoFilter ref="C1:G17"/>
  <tableColumns count="5">
    <tableColumn id="1" name="Risk_Category"/>
    <tableColumn id="2" name="Risk_Status"/>
    <tableColumn id="3" name="Risk_Severity"/>
    <tableColumn id="4" name="Risk_Probability"/>
    <tableColumn id="5" name="Risk_Strategy"/>
  </tableColumns>
  <tableStyleInfo name="TableStyleMedium17" showFirstColumn="0" showLastColumn="0" showRowStripes="1" showColumnStripes="0"/>
</table>
</file>

<file path=xl/tables/table7.xml><?xml version="1.0" encoding="utf-8"?>
<table xmlns="http://schemas.openxmlformats.org/spreadsheetml/2006/main" id="3" name="Issue" displayName="Issue" ref="I1:K7" totalsRowShown="0">
  <autoFilter ref="I1:K7"/>
  <tableColumns count="3">
    <tableColumn id="1" name="Issue_Status"/>
    <tableColumn id="2" name="Issue_Severity"/>
    <tableColumn id="3" name="Issue_Probability"/>
  </tableColumns>
  <tableStyleInfo name="TableStyleMedium1" showFirstColumn="0" showLastColumn="0" showRowStripes="1" showColumnStripes="0"/>
</table>
</file>

<file path=xl/tables/table8.xml><?xml version="1.0" encoding="utf-8"?>
<table xmlns="http://schemas.openxmlformats.org/spreadsheetml/2006/main" id="5" name="Imped" displayName="Imped" ref="N1:P17" totalsRowShown="0">
  <autoFilter ref="N1:P17"/>
  <tableColumns count="3">
    <tableColumn id="1" name="Imped_Category"/>
    <tableColumn id="2" name="Imped_Status"/>
    <tableColumn id="3" name="Imped_Severity"/>
  </tableColumns>
  <tableStyleInfo name="TableStyleMedium19" showFirstColumn="0" showLastColumn="0" showRowStripes="1" showColumnStripes="0"/>
</table>
</file>

<file path=xl/tables/table9.xml><?xml version="1.0" encoding="utf-8"?>
<table xmlns="http://schemas.openxmlformats.org/spreadsheetml/2006/main" id="7" name="Decision" displayName="Decision" ref="I15:I24" totalsRowShown="0">
  <autoFilter ref="I15:I24"/>
  <tableColumns count="1">
    <tableColumn id="1" name="Decision_Status"/>
  </tableColumns>
  <tableStyleInfo name="TableStyleMedium2" showFirstColumn="0" showLastColumn="0" showRowStripes="1" showColumnStripes="0"/>
</table>
</file>

<file path=xl/tables/table10.xml><?xml version="1.0" encoding="utf-8"?>
<table xmlns="http://schemas.openxmlformats.org/spreadsheetml/2006/main" id="10" name="Action" displayName="Action" ref="K15:L22" totalsRowShown="0">
  <autoFilter ref="K15:L22"/>
  <tableColumns count="2">
    <tableColumn id="1" name="Action_Priority"/>
    <tableColumn id="2" name="Action_Status"/>
  </tableColumns>
  <tableStyleInfo name="TableStyleMedium21" showFirstColumn="0" showLastColumn="0" showRowStripes="1" showColumnStripes="0"/>
</table>
</file>

<file path=xl/tables/table11.xml><?xml version="1.0" encoding="utf-8"?>
<table xmlns="http://schemas.openxmlformats.org/spreadsheetml/2006/main" id="11" name="Projects" displayName="Projects" ref="A1:A6" totalsRowShown="0">
  <autoFilter ref="A1:A6"/>
  <tableColumns count="1">
    <tableColumn id="1" name="Project_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7030A0"/>
  </sheetPr>
  <dimension ref="A1:AE100"/>
  <sheetViews>
    <sheetView showGridLines="0" tabSelected="1" zoomScale="60" zoomScaleNormal="60" workbookViewId="0">
      <selection activeCell="J24" sqref="J24"/>
    </sheetView>
  </sheetViews>
  <sheetFormatPr defaultColWidth="8.85546875" defaultRowHeight="21" x14ac:dyDescent="0.35"/>
  <cols>
    <col min="1" max="1" width="2.42578125" style="3" customWidth="1"/>
    <col min="2" max="2" width="13.140625" style="66" customWidth="1"/>
    <col min="3" max="3" width="19.28515625" style="25" customWidth="1"/>
    <col min="4" max="4" width="30.85546875" style="3" customWidth="1"/>
    <col min="5" max="5" width="14" style="3" customWidth="1"/>
    <col min="6" max="6" width="13.85546875" style="3" bestFit="1" customWidth="1"/>
    <col min="7" max="7" width="13" style="3" bestFit="1" customWidth="1"/>
    <col min="8" max="8" width="5.140625" style="3" customWidth="1"/>
    <col min="9" max="9" width="12.28515625" style="66" customWidth="1"/>
    <col min="10" max="10" width="19.28515625" style="25" customWidth="1"/>
    <col min="11" max="11" width="30.85546875" style="25" customWidth="1"/>
    <col min="12" max="12" width="12.140625" style="3" customWidth="1"/>
    <col min="13" max="13" width="14.42578125" style="3" customWidth="1"/>
    <col min="14" max="14" width="12.85546875" style="3" customWidth="1"/>
    <col min="15" max="15" width="17.85546875" style="66" customWidth="1"/>
    <col min="16" max="16" width="19.28515625" style="25" customWidth="1"/>
    <col min="17" max="17" width="30.85546875" style="25" customWidth="1"/>
    <col min="18" max="18" width="19.5703125" style="3" bestFit="1" customWidth="1"/>
    <col min="19" max="19" width="16.5703125" style="3" bestFit="1" customWidth="1"/>
    <col min="20" max="20" width="22" style="28" bestFit="1" customWidth="1"/>
    <col min="21" max="21" width="13" style="3" bestFit="1" customWidth="1"/>
    <col min="22" max="22" width="5.7109375" style="3" customWidth="1"/>
    <col min="23" max="23" width="12.140625" style="66" customWidth="1"/>
    <col min="24" max="24" width="19.28515625" style="25" customWidth="1"/>
    <col min="25" max="25" width="30.85546875" style="3" customWidth="1"/>
    <col min="26" max="26" width="13.7109375" style="3" customWidth="1"/>
    <col min="27" max="27" width="8.85546875" style="3"/>
    <col min="28" max="28" width="13" style="66" customWidth="1"/>
    <col min="29" max="29" width="19.28515625" style="25" customWidth="1"/>
    <col min="30" max="30" width="30.85546875" style="3" customWidth="1"/>
    <col min="31" max="31" width="16.5703125" style="3" bestFit="1" customWidth="1"/>
    <col min="32" max="16384" width="8.85546875" style="3"/>
  </cols>
  <sheetData>
    <row r="1" spans="1:31" ht="23.25" x14ac:dyDescent="0.35">
      <c r="L1" s="120"/>
      <c r="M1" s="120"/>
      <c r="N1" s="120"/>
      <c r="O1" s="121"/>
      <c r="P1" s="122"/>
    </row>
    <row r="2" spans="1:31" ht="24" thickBot="1" x14ac:dyDescent="0.4">
      <c r="L2" s="120"/>
      <c r="M2" s="123" t="s">
        <v>97</v>
      </c>
      <c r="N2" s="124" t="s">
        <v>109</v>
      </c>
      <c r="O2" s="123" t="s">
        <v>99</v>
      </c>
      <c r="P2" s="125"/>
    </row>
    <row r="3" spans="1:31" ht="15" customHeight="1" x14ac:dyDescent="0.35">
      <c r="B3" s="4"/>
      <c r="C3" s="7"/>
      <c r="D3" s="4"/>
      <c r="E3" s="4"/>
      <c r="F3" s="4"/>
      <c r="L3" s="126"/>
      <c r="M3" s="135">
        <v>4</v>
      </c>
      <c r="N3" s="137">
        <v>2</v>
      </c>
      <c r="O3" s="139">
        <v>2021</v>
      </c>
      <c r="P3" s="127"/>
      <c r="Q3" s="7"/>
      <c r="R3" s="4"/>
      <c r="S3" s="4"/>
      <c r="T3" s="29"/>
      <c r="U3" s="4"/>
      <c r="V3" s="4"/>
    </row>
    <row r="4" spans="1:31" ht="15" customHeight="1" thickBot="1" x14ac:dyDescent="0.4">
      <c r="D4" s="4"/>
      <c r="E4" s="4"/>
      <c r="F4" s="4"/>
      <c r="L4" s="126"/>
      <c r="M4" s="136"/>
      <c r="N4" s="138"/>
      <c r="O4" s="140"/>
      <c r="P4" s="127"/>
      <c r="Q4" s="7"/>
      <c r="R4" s="4"/>
      <c r="S4" s="4"/>
      <c r="T4" s="29"/>
      <c r="U4" s="4"/>
      <c r="V4" s="4"/>
    </row>
    <row r="5" spans="1:31" s="6" customFormat="1" ht="23.25" x14ac:dyDescent="0.35">
      <c r="A5" s="3"/>
      <c r="B5" s="66"/>
      <c r="C5" s="25"/>
      <c r="D5" s="4"/>
      <c r="E5" s="4"/>
      <c r="F5" s="4"/>
      <c r="G5" s="3"/>
      <c r="H5" s="3"/>
      <c r="I5" s="66"/>
      <c r="J5" s="25"/>
      <c r="K5" s="25"/>
      <c r="L5" s="126"/>
      <c r="M5" s="128"/>
      <c r="N5" s="128"/>
      <c r="O5" s="129"/>
      <c r="P5" s="130"/>
      <c r="Q5" s="68"/>
      <c r="R5" s="5"/>
      <c r="S5" s="5"/>
      <c r="T5" s="30"/>
      <c r="U5" s="5"/>
      <c r="V5" s="5"/>
      <c r="W5" s="67"/>
      <c r="X5" s="69"/>
      <c r="AB5" s="67"/>
      <c r="AC5" s="69"/>
    </row>
    <row r="6" spans="1:31" ht="24.6" customHeight="1" thickBot="1" x14ac:dyDescent="0.4">
      <c r="L6" s="120"/>
      <c r="M6" s="134">
        <f>DATE($O$3,$N$3,$M$3)</f>
        <v>44231</v>
      </c>
      <c r="N6" s="134"/>
      <c r="O6" s="134"/>
      <c r="P6" s="131"/>
      <c r="Q6" s="7"/>
      <c r="R6" s="4"/>
      <c r="S6" s="4"/>
      <c r="T6" s="29"/>
      <c r="U6" s="4"/>
      <c r="V6" s="4"/>
    </row>
    <row r="7" spans="1:31" ht="22.5" thickTop="1" thickBot="1" x14ac:dyDescent="0.4">
      <c r="D7" s="4"/>
      <c r="E7" s="4"/>
      <c r="F7" s="4"/>
      <c r="G7" s="4"/>
      <c r="H7" s="4"/>
      <c r="I7" s="4"/>
      <c r="J7" s="7"/>
      <c r="K7" s="7"/>
      <c r="L7" s="4"/>
      <c r="M7" s="4"/>
      <c r="N7" s="4"/>
      <c r="O7" s="4"/>
      <c r="P7" s="7"/>
      <c r="Q7" s="7"/>
      <c r="R7" s="4"/>
      <c r="S7" s="4"/>
      <c r="T7" s="29"/>
      <c r="U7" s="4"/>
      <c r="V7" s="4"/>
    </row>
    <row r="8" spans="1:31" s="1" customFormat="1" ht="30" customHeight="1" thickBot="1" x14ac:dyDescent="0.45">
      <c r="B8" s="150" t="s">
        <v>96</v>
      </c>
      <c r="C8" s="151"/>
      <c r="D8" s="151"/>
      <c r="E8" s="151"/>
      <c r="F8" s="151"/>
      <c r="G8" s="152"/>
      <c r="H8" s="2"/>
      <c r="I8" s="153" t="s">
        <v>108</v>
      </c>
      <c r="J8" s="154"/>
      <c r="K8" s="154"/>
      <c r="L8" s="154"/>
      <c r="M8" s="155"/>
      <c r="N8" s="2"/>
      <c r="O8" s="147" t="s">
        <v>104</v>
      </c>
      <c r="P8" s="148"/>
      <c r="Q8" s="148"/>
      <c r="R8" s="148"/>
      <c r="S8" s="148"/>
      <c r="T8" s="148"/>
      <c r="U8" s="149"/>
      <c r="V8" s="2"/>
      <c r="W8" s="144" t="s">
        <v>112</v>
      </c>
      <c r="X8" s="145"/>
      <c r="Y8" s="145"/>
      <c r="Z8" s="146"/>
      <c r="AB8" s="141" t="s">
        <v>113</v>
      </c>
      <c r="AC8" s="142"/>
      <c r="AD8" s="142"/>
      <c r="AE8" s="143"/>
    </row>
    <row r="9" spans="1:31" s="7" customFormat="1" ht="39.950000000000003" customHeight="1" thickBot="1" x14ac:dyDescent="0.3">
      <c r="B9" s="8" t="s">
        <v>0</v>
      </c>
      <c r="C9" s="9" t="s">
        <v>119</v>
      </c>
      <c r="D9" s="10" t="s">
        <v>4</v>
      </c>
      <c r="E9" s="9" t="s">
        <v>2</v>
      </c>
      <c r="F9" s="9" t="s">
        <v>10</v>
      </c>
      <c r="G9" s="11" t="s">
        <v>121</v>
      </c>
      <c r="I9" s="8" t="s">
        <v>55</v>
      </c>
      <c r="J9" s="9" t="s">
        <v>119</v>
      </c>
      <c r="K9" s="10" t="s">
        <v>4</v>
      </c>
      <c r="L9" s="9" t="s">
        <v>10</v>
      </c>
      <c r="M9" s="11" t="s">
        <v>121</v>
      </c>
      <c r="O9" s="8" t="s">
        <v>68</v>
      </c>
      <c r="P9" s="9" t="s">
        <v>119</v>
      </c>
      <c r="Q9" s="10" t="s">
        <v>4</v>
      </c>
      <c r="R9" s="9" t="s">
        <v>2</v>
      </c>
      <c r="S9" s="9" t="s">
        <v>9</v>
      </c>
      <c r="T9" s="31" t="s">
        <v>58</v>
      </c>
      <c r="U9" s="11" t="s">
        <v>121</v>
      </c>
      <c r="W9" s="8" t="s">
        <v>75</v>
      </c>
      <c r="X9" s="12" t="s">
        <v>119</v>
      </c>
      <c r="Y9" s="10" t="s">
        <v>4</v>
      </c>
      <c r="Z9" s="11" t="s">
        <v>9</v>
      </c>
      <c r="AB9" s="8" t="s">
        <v>84</v>
      </c>
      <c r="AC9" s="12" t="s">
        <v>119</v>
      </c>
      <c r="AD9" s="10" t="s">
        <v>4</v>
      </c>
      <c r="AE9" s="11" t="s">
        <v>9</v>
      </c>
    </row>
    <row r="10" spans="1:31" s="13" customFormat="1" ht="39.950000000000003" customHeight="1" x14ac:dyDescent="0.25">
      <c r="B10" s="16">
        <f>IF(ROWS($A$10:$A10)&lt;=COUNTIF(RiskTracker[Helper],"*Y"),INDEX(RiskTracker[Risk Number],MATCH(ROWS($A$10:$A10)&amp;"Y",RiskTracker[Helper],0)),"")</f>
        <v>1787</v>
      </c>
      <c r="C10" s="15" t="str">
        <f>IF(ROWS($A$10:$A10)&lt;=COUNTIF(RiskTracker[Helper],"*Y"),INDEX(RiskTracker[Project Name],MATCH(ROWS($A$10:$A10)&amp;"Y",RiskTracker[Helper],0)),"")</f>
        <v>Small Business DCO</v>
      </c>
      <c r="D10" s="15" t="str">
        <f>IF(ROWS($A$10:$A10)&lt;=COUNTIF(RiskTracker[Helper],"*Y"),INDEX(RiskTracker[Title],MATCH(ROWS($A$10:$A10)&amp;"Y",RiskTracker[Helper],0)),"")</f>
        <v>Temenos' capacity for sprint completion may impact the overall delivery date.</v>
      </c>
      <c r="E10" s="14" t="str">
        <f>IF(ROWS($A$10:$A10)&lt;=COUNTIF(RiskTracker[Helper],"*Y"),INDEX(RiskTracker[Category],MATCH(ROWS($A$10:$A10)&amp;"Y",RiskTracker[Helper],0)),"")</f>
        <v>Vendor</v>
      </c>
      <c r="F10" s="14" t="str">
        <f>IF(ROWS($A$10:$A10)&lt;=COUNTIF(RiskTracker[Helper],"*Y"),INDEX(RiskTracker[Severity],MATCH(ROWS($A$10:$A10)&amp;"Y",RiskTracker[Helper],0)),"")</f>
        <v>High</v>
      </c>
      <c r="G10" s="16">
        <f ca="1">IF(ROWS($A$10:$A10)&lt;=COUNTIF(RiskTracker[Helper],"*Y"),INDEX(RiskTracker[Duration (Days)],MATCH(ROWS($A$10:$A10)&amp;"Y",RiskTracker[Helper],0)),"")</f>
        <v>17</v>
      </c>
      <c r="I10" s="16">
        <f>IF(ROWS($A$10:$A10)&lt;=COUNTIF(IssueTracker[Helper],"*Y"),INDEX(IssueTracker[Issue Number],MATCH(ROWS($A$10:$A10)&amp;"Y",IssueTracker[Helper],0)),"")</f>
        <v>1</v>
      </c>
      <c r="J10" s="15" t="str">
        <f>IF(ROWS($A$10:$A10)&lt;=COUNTIF(IssueTracker[Helper],"*Y"),INDEX(IssueTracker[Project Name],MATCH(ROWS($A$10:$A10)&amp;"Y",IssueTracker[Helper],0)),"")</f>
        <v>Small Business DCO</v>
      </c>
      <c r="K10" s="15" t="str">
        <f>IF(ROWS($A$10:$A10)&lt;=COUNTIF(IssueTracker[Helper],"*Y"),INDEX(IssueTracker[Title],MATCH(ROWS($A$10:$A10)&amp;"Y",IssueTracker[Helper],0)),"")</f>
        <v xml:space="preserve">Continually late with the requirements, and consequently Temenos will need to do the T24 review process for the services mid-sprint. </v>
      </c>
      <c r="L10" s="15" t="str">
        <f>IF(ROWS($A$10:$A10)&lt;=COUNTIF(IssueTracker[Helper],"*Y"),INDEX(IssueTracker[Severity],MATCH(ROWS($A$10:$A10)&amp;"Y",IssueTracker[Helper],0)),"")</f>
        <v>Moderate</v>
      </c>
      <c r="M10" s="16">
        <f ca="1">IF(ROWS($A$10:$A10)&lt;=COUNTIF(IssueTracker[Helper],"*Y"),INDEX(IssueTracker[Duration (Days)],MATCH(ROWS($A$10:$A10)&amp;"Y",IssueTracker[Helper],0)),"")</f>
        <v>0</v>
      </c>
      <c r="O10" s="16">
        <f>IF(ROWS($A$10:$A10)&lt;=COUNTIF(ImpedTracker[Helper],"*Y"),INDEX(ImpedTracker[Impediment Number],MATCH(ROWS($A$10:$A10)&amp;"Y",ImpedTracker[Helper],0)),"")</f>
        <v>1</v>
      </c>
      <c r="P10" s="15" t="str">
        <f>IF(ROWS($A$10:$A10)&lt;=COUNTIF(ImpedTracker[Helper],"*Y"),INDEX(ImpedTracker[Project Name],MATCH(ROWS($A$10:$A10)&amp;"Y",ImpedTracker[Helper],0)),"")</f>
        <v>Small Business DCO</v>
      </c>
      <c r="Q10" s="15" t="str">
        <f>IF(ROWS($A$10:$A10)&lt;=COUNTIF(ImpedTracker[Helper],"*Y"),INDEX(ImpedTracker[Title],MATCH(ROWS($A$10:$A10)&amp;"Y",ImpedTracker[Helper],0)),"")</f>
        <v>Blocked items in Sprint 6</v>
      </c>
      <c r="R10" s="14" t="str">
        <f>IF(ROWS($A$10:$A10)&lt;=COUNTIF(ImpedTracker[Helper],"*Y"),INDEX(ImpedTracker[Category],MATCH(ROWS($A$10:$A10)&amp;"Y",ImpedTracker[Helper],0)),"")</f>
        <v>Requirements</v>
      </c>
      <c r="S10" s="14" t="str">
        <f>IF(ROWS($A$10:$A10)&lt;=COUNTIF(ImpedTracker[Helper],"*Y"),INDEX(ImpedTracker[Status],MATCH(ROWS($A$10:$A10)&amp;"Y",ImpedTracker[Helper],0)),"")</f>
        <v>In Progress</v>
      </c>
      <c r="T10" s="32" t="str">
        <f>IF(ROWS($A$10:$A10)&lt;=COUNTIF(ImpedTracker[Helper],"*Y"),INDEX(ImpedTracker[Due Date],MATCH(ROWS($A$10:$A10)&amp;"Y",ImpedTracker[Helper],0)),"")</f>
        <v>Fri, Jan 29, 2021</v>
      </c>
      <c r="U10" s="17">
        <f ca="1">IF(ROWS($A$10:$A10)&lt;=COUNTIF(ImpedTracker[Helper],"*Y"),INDEX(ImpedTracker[Duration (Days)],MATCH(ROWS($A$10:$A10)&amp;"Y",ImpedTracker[Helper],0)),"")</f>
        <v>30</v>
      </c>
      <c r="W10" s="16">
        <f>IF(ROWS($A$10:$A10)&lt;=COUNTIF(DecisionLog[Helper],"*Y"),INDEX(DecisionLog[Decision Number],MATCH(ROWS($A$10:$A10)&amp;"Y",DecisionLog[Helper],0)),"")</f>
        <v>1</v>
      </c>
      <c r="X10" s="15" t="str">
        <f>IF(ROWS($A$10:$A10)&lt;=COUNTIF(DecisionLog[Helper],"*Y"),INDEX(DecisionLog[Project Name],MATCH(ROWS($A$10:$A10)&amp;"Y",DecisionLog[Helper],0)),"")</f>
        <v>Small Business DCO</v>
      </c>
      <c r="Y10" s="18" t="str">
        <f>IF(ROWS($A$10:$A10)&lt;=COUNTIF(DecisionLog[Helper],"*Y"),INDEX(DecisionLog[Title],MATCH(ROWS($A$10:$A10)&amp;"Y",DecisionLog[Helper],0)),"")</f>
        <v>Shifting story CWBSB-227 to Sprint 8</v>
      </c>
      <c r="Z10" s="14" t="str">
        <f>IF(ROWS($A$10:$A10)&lt;=COUNTIF(DecisionLog[Helper],"*Y"),INDEX(DecisionLog[Status],MATCH(ROWS($A$10:$A10)&amp;"Y",DecisionLog[Helper],0)),"")</f>
        <v>In Review</v>
      </c>
      <c r="AB10" s="16">
        <f>IF(ROWS($A$10:$A10)&lt;=COUNTIF(ActionLog[Helper],"*Y"),INDEX(ActionLog[Task Number],MATCH(ROWS($A$10:$A10)&amp;"Y",ActionLog[Helper],0)),"")</f>
        <v>4</v>
      </c>
      <c r="AC10" s="15" t="str">
        <f>IF(ROWS($A$10:$A10)&lt;=COUNTIF(ActionLog[Helper],"*Y"),INDEX(ActionLog[Project Name],MATCH(ROWS($A$10:$A10)&amp;"Y",ActionLog[Helper],0)),"")</f>
        <v>Small Business DCO</v>
      </c>
      <c r="AD10" s="18" t="str">
        <f>IF(ROWS($A$10:$A10)&lt;=COUNTIF(ActionLog[Helper],"*Y"),INDEX(ActionLog[Title],MATCH(ROWS($A$10:$A10)&amp;"Y",ActionLog[Helper],0)),"")</f>
        <v>Complete: Create Business CIF</v>
      </c>
      <c r="AE10" s="14" t="str">
        <f>IF(ROWS($A$10:$A10)&lt;=COUNTIF(ActionLog[Helper],"*Y"),INDEX(ActionLog[Task Status],MATCH(ROWS($A$10:$A10)&amp;"Y",ActionLog[Helper],0)),"")</f>
        <v>In Progress</v>
      </c>
    </row>
    <row r="11" spans="1:31" s="13" customFormat="1" ht="39.950000000000003" customHeight="1" x14ac:dyDescent="0.25">
      <c r="B11" s="16">
        <f>IF(ROWS($A$10:$A11)&lt;=COUNTIF(RiskTracker[Helper],"*Y"),INDEX(RiskTracker[Risk Number],MATCH(ROWS($A$10:$A11)&amp;"Y",RiskTracker[Helper],0)),"")</f>
        <v>1775</v>
      </c>
      <c r="C11" s="15" t="str">
        <f>IF(ROWS($A$10:$A11)&lt;=COUNTIF(RiskTracker[Helper],"*Y"),INDEX(RiskTracker[Project Name],MATCH(ROWS($A$10:$A11)&amp;"Y",RiskTracker[Helper],0)),"")</f>
        <v>Small Business DCO</v>
      </c>
      <c r="D11" s="15" t="str">
        <f>IF(ROWS($A$10:$A11)&lt;=COUNTIF(RiskTracker[Helper],"*Y"),INDEX(RiskTracker[Title],MATCH(ROWS($A$10:$A11)&amp;"Y",RiskTracker[Helper],0)),"")</f>
        <v>Defect Prioritization Plan yet to be received</v>
      </c>
      <c r="E11" s="14" t="str">
        <f>IF(ROWS($A$10:$A11)&lt;=COUNTIF(RiskTracker[Helper],"*Y"),INDEX(RiskTracker[Category],MATCH(ROWS($A$10:$A11)&amp;"Y",RiskTracker[Helper],0)),"")</f>
        <v>Vendor</v>
      </c>
      <c r="F11" s="14" t="str">
        <f>IF(ROWS($A$10:$A11)&lt;=COUNTIF(RiskTracker[Helper],"*Y"),INDEX(RiskTracker[Severity],MATCH(ROWS($A$10:$A11)&amp;"Y",RiskTracker[Helper],0)),"")</f>
        <v>Moderate</v>
      </c>
      <c r="G11" s="16">
        <f ca="1">IF(ROWS($A$10:$A11)&lt;=COUNTIF(RiskTracker[Helper],"*Y"),INDEX(RiskTracker[Duration (Days)],MATCH(ROWS($A$10:$A11)&amp;"Y",RiskTracker[Helper],0)),"")</f>
        <v>24</v>
      </c>
      <c r="I11" s="16">
        <f>IF(ROWS($A$10:$A11)&lt;=COUNTIF(IssueTracker[Helper],"*Y"),INDEX(IssueTracker[Issue Number],MATCH(ROWS($A$10:$A11)&amp;"Y",IssueTracker[Helper],0)),"")</f>
        <v>2</v>
      </c>
      <c r="J11" s="15" t="str">
        <f>IF(ROWS($A$10:$A11)&lt;=COUNTIF(IssueTracker[Helper],"*Y"),INDEX(IssueTracker[Project Name],MATCH(ROWS($A$10:$A11)&amp;"Y",IssueTracker[Helper],0)),"")</f>
        <v>Small Business DCO</v>
      </c>
      <c r="K11" s="15" t="str">
        <f>IF(ROWS($A$10:$A11)&lt;=COUNTIF(IssueTracker[Helper],"*Y"),INDEX(IssueTracker[Title],MATCH(ROWS($A$10:$A11)&amp;"Y",IssueTracker[Helper],0)),"")</f>
        <v xml:space="preserve">As requirements are late, they are constantly behind in developing the test cases, to be </v>
      </c>
      <c r="L11" s="15">
        <f>IF(ROWS($A$10:$A11)&lt;=COUNTIF(IssueTracker[Helper],"*Y"),INDEX(IssueTracker[Severity],MATCH(ROWS($A$10:$A11)&amp;"Y",IssueTracker[Helper],0)),"")</f>
        <v>0</v>
      </c>
      <c r="M11" s="14">
        <f ca="1">IF(ROWS($A$10:$A11)&lt;=COUNTIF(IssueTracker[Helper],"*Y"),INDEX(IssueTracker[Duration (Days)],MATCH(ROWS($A$10:$A11)&amp;"Y",IssueTracker[Helper],0)),"")</f>
        <v>0</v>
      </c>
      <c r="O11" s="16">
        <f>IF(ROWS($A$10:$A11)&lt;=COUNTIF(ImpedTracker[Helper],"*Y"),INDEX(ImpedTracker[Impediment Number],MATCH(ROWS($A$10:$A11)&amp;"Y",ImpedTracker[Helper],0)),"")</f>
        <v>2</v>
      </c>
      <c r="P11" s="15" t="str">
        <f>IF(ROWS($A$10:$A11)&lt;=COUNTIF(ImpedTracker[Helper],"*Y"),INDEX(ImpedTracker[Project Name],MATCH(ROWS($A$10:$A11)&amp;"Y",ImpedTracker[Helper],0)),"")</f>
        <v>Small Business DCO</v>
      </c>
      <c r="Q11" s="15" t="str">
        <f>IF(ROWS($A$10:$A11)&lt;=COUNTIF(ImpedTracker[Helper],"*Y"),INDEX(ImpedTracker[Title],MATCH(ROWS($A$10:$A11)&amp;"Y",ImpedTracker[Helper],0)),"")</f>
        <v>Blocked items for Sprint 7</v>
      </c>
      <c r="R11" s="14" t="str">
        <f>IF(ROWS($A$10:$A11)&lt;=COUNTIF(ImpedTracker[Helper],"*Y"),INDEX(ImpedTracker[Category],MATCH(ROWS($A$10:$A11)&amp;"Y",ImpedTracker[Helper],0)),"")</f>
        <v>Requirements</v>
      </c>
      <c r="S11" s="14" t="str">
        <f>IF(ROWS($A$10:$A11)&lt;=COUNTIF(ImpedTracker[Helper],"*Y"),INDEX(ImpedTracker[Status],MATCH(ROWS($A$10:$A11)&amp;"Y",ImpedTracker[Helper],0)),"")</f>
        <v>Closed</v>
      </c>
      <c r="T11" s="32" t="str">
        <f>IF(ROWS($A$10:$A11)&lt;=COUNTIF(ImpedTracker[Helper],"*Y"),INDEX(ImpedTracker[Due Date],MATCH(ROWS($A$10:$A11)&amp;"Y",ImpedTracker[Helper],0)),"")</f>
        <v>Tue, Feb 02, 2021</v>
      </c>
      <c r="U11" s="17">
        <f ca="1">IF(ROWS($A$10:$A11)&lt;=COUNTIF(ImpedTracker[Helper],"*Y"),INDEX(ImpedTracker[Duration (Days)],MATCH(ROWS($A$10:$A11)&amp;"Y",ImpedTracker[Helper],0)),"")</f>
        <v>16</v>
      </c>
      <c r="W11" s="4">
        <f>IF(ROWS($A$10:$A11)&lt;=COUNTIF(DecisionLog[Helper],"*Y"),INDEX(DecisionLog[Decision Number],MATCH(ROWS($A$10:$A11)&amp;"Y",DecisionLog[Helper],0)),"")</f>
        <v>1</v>
      </c>
      <c r="X11" s="15" t="str">
        <f>IF(ROWS($A$10:$A11)&lt;=COUNTIF(DecisionLog[Helper],"*Y"),INDEX(DecisionLog[Project Name],MATCH(ROWS($A$10:$A11)&amp;"Y",DecisionLog[Helper],0)),"")</f>
        <v>Small Business DCO</v>
      </c>
      <c r="Y11" s="19" t="str">
        <f>IF(ROWS($A$10:$A11)&lt;=COUNTIF(DecisionLog[Helper],"*Y"),INDEX(DecisionLog[Title],MATCH(ROWS($A$10:$A11)&amp;"Y",DecisionLog[Helper],0)),"")</f>
        <v>Me-to-Me Funding</v>
      </c>
      <c r="Z11" s="13" t="str">
        <f>IF(ROWS($A$10:$A11)&lt;=COUNTIF(DecisionLog[Helper],"*Y"),INDEX(DecisionLog[Status],MATCH(ROWS($A$10:$A11)&amp;"Y",DecisionLog[Helper],0)),"")</f>
        <v>In Review</v>
      </c>
      <c r="AB11" s="4">
        <f>IF(ROWS($A$10:$A11)&lt;=COUNTIF(ActionLog[Helper],"*Y"),INDEX(ActionLog[Task Number],MATCH(ROWS($A$10:$A11)&amp;"Y",ActionLog[Helper],0)),"")</f>
        <v>5</v>
      </c>
      <c r="AC11" s="15" t="str">
        <f>IF(ROWS($A$10:$A11)&lt;=COUNTIF(ActionLog[Helper],"*Y"),INDEX(ActionLog[Project Name],MATCH(ROWS($A$10:$A11)&amp;"Y",ActionLog[Helper],0)),"")</f>
        <v>Small Business DCO</v>
      </c>
      <c r="AD11" s="20" t="str">
        <f>IF(ROWS($A$10:$A11)&lt;=COUNTIF(ActionLog[Helper],"*Y"),INDEX(ActionLog[Title],MATCH(ROWS($A$10:$A11)&amp;"Y",ActionLog[Helper],0)),"")</f>
        <v>Complete: Create Personal CIF</v>
      </c>
      <c r="AE11" s="13" t="str">
        <f>IF(ROWS($A$10:$A11)&lt;=COUNTIF(ActionLog[Helper],"*Y"),INDEX(ActionLog[Task Status],MATCH(ROWS($A$10:$A11)&amp;"Y",ActionLog[Helper],0)),"")</f>
        <v>Closed</v>
      </c>
    </row>
    <row r="12" spans="1:31" s="13" customFormat="1" ht="39.950000000000003" customHeight="1" x14ac:dyDescent="0.25">
      <c r="B12" s="16">
        <f>IF(ROWS($A$10:$A12)&lt;=COUNTIF(RiskTracker[Helper],"*Y"),INDEX(RiskTracker[Risk Number],MATCH(ROWS($A$10:$A12)&amp;"Y",RiskTracker[Helper],0)),"")</f>
        <v>1780</v>
      </c>
      <c r="C12" s="15" t="str">
        <f>IF(ROWS($A$10:$A12)&lt;=COUNTIF(RiskTracker[Helper],"*Y"),INDEX(RiskTracker[Project Name],MATCH(ROWS($A$10:$A12)&amp;"Y",RiskTracker[Helper],0)),"")</f>
        <v>Small Business DCO</v>
      </c>
      <c r="D12" s="15" t="str">
        <f>IF(ROWS($A$10:$A12)&lt;=COUNTIF(RiskTracker[Helper],"*Y"),INDEX(RiskTracker[Title],MATCH(ROWS($A$10:$A12)&amp;"Y",RiskTracker[Helper],0)),"")</f>
        <v>Risk event: high volume of defects resulting in rework.</v>
      </c>
      <c r="E12" s="14" t="str">
        <f>IF(ROWS($A$10:$A12)&lt;=COUNTIF(RiskTracker[Helper],"*Y"),INDEX(RiskTracker[Category],MATCH(ROWS($A$10:$A12)&amp;"Y",RiskTracker[Helper],0)),"")</f>
        <v>Quality</v>
      </c>
      <c r="F12" s="14" t="str">
        <f>IF(ROWS($A$10:$A12)&lt;=COUNTIF(RiskTracker[Helper],"*Y"),INDEX(RiskTracker[Severity],MATCH(ROWS($A$10:$A12)&amp;"Y",RiskTracker[Helper],0)),"")</f>
        <v>Very High</v>
      </c>
      <c r="G12" s="16">
        <f ca="1">IF(ROWS($A$10:$A12)&lt;=COUNTIF(RiskTracker[Helper],"*Y"),INDEX(RiskTracker[Duration (Days)],MATCH(ROWS($A$10:$A12)&amp;"Y",RiskTracker[Helper],0)),"")</f>
        <v>31</v>
      </c>
      <c r="I12" s="16" t="str">
        <f>IF(ROWS($A$10:$A12)&lt;=COUNTIF(IssueTracker[Helper],"*Y"),INDEX(IssueTracker[Issue Number],MATCH(ROWS($A$10:$A12)&amp;"Y",IssueTracker[Helper],0)),"")</f>
        <v/>
      </c>
      <c r="J12" s="15" t="str">
        <f>IF(ROWS($A$10:$A12)&lt;=COUNTIF(IssueTracker[Helper],"*Y"),INDEX(IssueTracker[Project Name],MATCH(ROWS($A$10:$A12)&amp;"Y",IssueTracker[Helper],0)),"")</f>
        <v/>
      </c>
      <c r="K12" s="15" t="str">
        <f>IF(ROWS($A$10:$A12)&lt;=COUNTIF(IssueTracker[Helper],"*Y"),INDEX(IssueTracker[Title],MATCH(ROWS($A$10:$A12)&amp;"Y",IssueTracker[Helper],0)),"")</f>
        <v/>
      </c>
      <c r="L12" s="15" t="str">
        <f>IF(ROWS($A$10:$A12)&lt;=COUNTIF(IssueTracker[Helper],"*Y"),INDEX(IssueTracker[Severity],MATCH(ROWS($A$10:$A12)&amp;"Y",IssueTracker[Helper],0)),"")</f>
        <v/>
      </c>
      <c r="M12" s="14" t="str">
        <f>IF(ROWS($A$10:$A12)&lt;=COUNTIF(IssueTracker[Helper],"*Y"),INDEX(IssueTracker[Duration (Days)],MATCH(ROWS($A$10:$A12)&amp;"Y",IssueTracker[Helper],0)),"")</f>
        <v/>
      </c>
      <c r="O12" s="4">
        <f>IF(ROWS($A$10:$A12)&lt;=COUNTIF(ImpedTracker[Helper],"*Y"),INDEX(ImpedTracker[Impediment Number],MATCH(ROWS($A$10:$A12)&amp;"Y",ImpedTracker[Helper],0)),"")</f>
        <v>3</v>
      </c>
      <c r="P12" s="19" t="str">
        <f>IF(ROWS($A$10:$A12)&lt;=COUNTIF(ImpedTracker[Helper],"*Y"),INDEX(ImpedTracker[Project Name],MATCH(ROWS($A$10:$A12)&amp;"Y",ImpedTracker[Helper],0)),"")</f>
        <v>Small Business DCO</v>
      </c>
      <c r="Q12" s="19" t="str">
        <f>IF(ROWS($A$10:$A12)&lt;=COUNTIF(ImpedTracker[Helper],"*Y"),INDEX(ImpedTracker[Title],MATCH(ROWS($A$10:$A12)&amp;"Y",ImpedTracker[Helper],0)),"")</f>
        <v>Create Business CIF not working</v>
      </c>
      <c r="R12" s="13" t="str">
        <f>IF(ROWS($A$10:$A12)&lt;=COUNTIF(ImpedTracker[Helper],"*Y"),INDEX(ImpedTracker[Category],MATCH(ROWS($A$10:$A12)&amp;"Y",ImpedTracker[Helper],0)),"")</f>
        <v>Integration</v>
      </c>
      <c r="S12" s="13" t="str">
        <f>IF(ROWS($A$10:$A12)&lt;=COUNTIF(ImpedTracker[Helper],"*Y"),INDEX(ImpedTracker[Status],MATCH(ROWS($A$10:$A12)&amp;"Y",ImpedTracker[Helper],0)),"")</f>
        <v>In Progress</v>
      </c>
      <c r="T12" s="33" t="str">
        <f>IF(ROWS($A$10:$A12)&lt;=COUNTIF(ImpedTracker[Helper],"*Y"),INDEX(ImpedTracker[Due Date],MATCH(ROWS($A$10:$A12)&amp;"Y",ImpedTracker[Helper],0)),"")</f>
        <v>Fri, Jan 29, 2021</v>
      </c>
      <c r="U12" s="21">
        <f ca="1">IF(ROWS($A$10:$A12)&lt;=COUNTIF(ImpedTracker[Helper],"*Y"),INDEX(ImpedTracker[Duration (Days)],MATCH(ROWS($A$10:$A12)&amp;"Y",ImpedTracker[Helper],0)),"")</f>
        <v>8</v>
      </c>
      <c r="W12" s="4">
        <f>IF(ROWS($A$10:$A12)&lt;=COUNTIF(DecisionLog[Helper],"*Y"),INDEX(DecisionLog[Decision Number],MATCH(ROWS($A$10:$A12)&amp;"Y",DecisionLog[Helper],0)),"")</f>
        <v>1</v>
      </c>
      <c r="X12" s="15" t="str">
        <f>IF(ROWS($A$10:$A12)&lt;=COUNTIF(DecisionLog[Helper],"*Y"),INDEX(DecisionLog[Project Name],MATCH(ROWS($A$10:$A12)&amp;"Y",DecisionLog[Helper],0)),"")</f>
        <v>Small Business DCO</v>
      </c>
      <c r="Y12" s="19" t="str">
        <f>IF(ROWS($A$10:$A12)&lt;=COUNTIF(DecisionLog[Helper],"*Y"),INDEX(DecisionLog[Title],MATCH(ROWS($A$10:$A12)&amp;"Y",DecisionLog[Helper],0)),"")</f>
        <v>XML File for product selector</v>
      </c>
      <c r="Z12" s="13">
        <f>IF(ROWS($A$10:$A12)&lt;=COUNTIF(DecisionLog[Helper],"*Y"),INDEX(DecisionLog[Status],MATCH(ROWS($A$10:$A12)&amp;"Y",DecisionLog[Helper],0)),"")</f>
        <v>0</v>
      </c>
      <c r="AB12" s="4">
        <f>IF(ROWS($A$10:$A12)&lt;=COUNTIF(ActionLog[Helper],"*Y"),INDEX(ActionLog[Task Number],MATCH(ROWS($A$10:$A12)&amp;"Y",ActionLog[Helper],0)),"")</f>
        <v>6</v>
      </c>
      <c r="AC12" s="15" t="str">
        <f>IF(ROWS($A$10:$A12)&lt;=COUNTIF(ActionLog[Helper],"*Y"),INDEX(ActionLog[Project Name],MATCH(ROWS($A$10:$A12)&amp;"Y",ActionLog[Helper],0)),"")</f>
        <v>Small Business DCO</v>
      </c>
      <c r="AD12" s="20" t="str">
        <f>IF(ROWS($A$10:$A12)&lt;=COUNTIF(ActionLog[Helper],"*Y"),INDEX(ActionLog[Title],MATCH(ROWS($A$10:$A12)&amp;"Y",ActionLog[Helper],0)),"")</f>
        <v>Update about service availability</v>
      </c>
      <c r="AE12" s="13" t="str">
        <f>IF(ROWS($A$10:$A12)&lt;=COUNTIF(ActionLog[Helper],"*Y"),INDEX(ActionLog[Task Status],MATCH(ROWS($A$10:$A12)&amp;"Y",ActionLog[Helper],0)),"")</f>
        <v>In Progress</v>
      </c>
    </row>
    <row r="13" spans="1:31" s="13" customFormat="1" ht="39.950000000000003" customHeight="1" x14ac:dyDescent="0.25">
      <c r="B13" s="16">
        <f>IF(ROWS($A$10:$A13)&lt;=COUNTIF(RiskTracker[Helper],"*Y"),INDEX(RiskTracker[Risk Number],MATCH(ROWS($A$10:$A13)&amp;"Y",RiskTracker[Helper],0)),"")</f>
        <v>0</v>
      </c>
      <c r="C13" s="15" t="str">
        <f>IF(ROWS($A$10:$A13)&lt;=COUNTIF(RiskTracker[Helper],"*Y"),INDEX(RiskTracker[Project Name],MATCH(ROWS($A$10:$A13)&amp;"Y",RiskTracker[Helper],0)),"")</f>
        <v>Small Business DCO</v>
      </c>
      <c r="D13" s="15" t="str">
        <f>IF(ROWS($A$10:$A13)&lt;=COUNTIF(RiskTracker[Helper],"*Y"),INDEX(RiskTracker[Title],MATCH(ROWS($A$10:$A13)&amp;"Y",RiskTracker[Helper],0)),"")</f>
        <v>Ring-Fence unable to access CWB QADIG</v>
      </c>
      <c r="E13" s="14" t="str">
        <f>IF(ROWS($A$10:$A13)&lt;=COUNTIF(RiskTracker[Helper],"*Y"),INDEX(RiskTracker[Category],MATCH(ROWS($A$10:$A13)&amp;"Y",RiskTracker[Helper],0)),"")</f>
        <v>Integration</v>
      </c>
      <c r="F13" s="14" t="str">
        <f>IF(ROWS($A$10:$A13)&lt;=COUNTIF(RiskTracker[Helper],"*Y"),INDEX(RiskTracker[Severity],MATCH(ROWS($A$10:$A13)&amp;"Y",RiskTracker[Helper],0)),"")</f>
        <v>Moderate</v>
      </c>
      <c r="G13" s="16">
        <f ca="1">IF(ROWS($A$10:$A13)&lt;=COUNTIF(RiskTracker[Helper],"*Y"),INDEX(RiskTracker[Duration (Days)],MATCH(ROWS($A$10:$A13)&amp;"Y",RiskTracker[Helper],0)),"")</f>
        <v>8</v>
      </c>
      <c r="I13" s="16" t="str">
        <f>IF(ROWS($A$10:$A13)&lt;=COUNTIF(IssueTracker[Helper],"*Y"),INDEX(IssueTracker[Issue Number],MATCH(ROWS($A$10:$A13)&amp;"Y",IssueTracker[Helper],0)),"")</f>
        <v/>
      </c>
      <c r="J13" s="15" t="str">
        <f>IF(ROWS($A$10:$A13)&lt;=COUNTIF(IssueTracker[Helper],"*Y"),INDEX(IssueTracker[Project Name],MATCH(ROWS($A$10:$A13)&amp;"Y",IssueTracker[Helper],0)),"")</f>
        <v/>
      </c>
      <c r="K13" s="15" t="str">
        <f>IF(ROWS($A$10:$A13)&lt;=COUNTIF(IssueTracker[Helper],"*Y"),INDEX(IssueTracker[Title],MATCH(ROWS($A$10:$A13)&amp;"Y",IssueTracker[Helper],0)),"")</f>
        <v/>
      </c>
      <c r="L13" s="15" t="str">
        <f>IF(ROWS($A$10:$A13)&lt;=COUNTIF(IssueTracker[Helper],"*Y"),INDEX(IssueTracker[Severity],MATCH(ROWS($A$10:$A13)&amp;"Y",IssueTracker[Helper],0)),"")</f>
        <v/>
      </c>
      <c r="M13" s="14" t="str">
        <f>IF(ROWS($A$10:$A13)&lt;=COUNTIF(IssueTracker[Helper],"*Y"),INDEX(IssueTracker[Duration (Days)],MATCH(ROWS($A$10:$A13)&amp;"Y",IssueTracker[Helper],0)),"")</f>
        <v/>
      </c>
      <c r="O13" s="4" t="str">
        <f>IF(ROWS($A$10:$A13)&lt;=COUNTIF(ImpedTracker[Helper],"*Y"),INDEX(ImpedTracker[Impediment Number],MATCH(ROWS($A$10:$A13)&amp;"Y",ImpedTracker[Helper],0)),"")</f>
        <v/>
      </c>
      <c r="P13" s="19" t="str">
        <f>IF(ROWS($A$10:$A13)&lt;=COUNTIF(ImpedTracker[Helper],"*Y"),INDEX(ImpedTracker[Project Name],MATCH(ROWS($A$10:$A13)&amp;"Y",ImpedTracker[Helper],0)),"")</f>
        <v/>
      </c>
      <c r="Q13" s="19" t="str">
        <f>IF(ROWS($A$10:$A13)&lt;=COUNTIF(ImpedTracker[Helper],"*Y"),INDEX(ImpedTracker[Title],MATCH(ROWS($A$10:$A13)&amp;"Y",ImpedTracker[Helper],0)),"")</f>
        <v/>
      </c>
      <c r="R13" s="13" t="str">
        <f>IF(ROWS($A$10:$A13)&lt;=COUNTIF(ImpedTracker[Helper],"*Y"),INDEX(ImpedTracker[Category],MATCH(ROWS($A$10:$A13)&amp;"Y",ImpedTracker[Helper],0)),"")</f>
        <v/>
      </c>
      <c r="S13" s="13" t="str">
        <f>IF(ROWS($A$10:$A13)&lt;=COUNTIF(ImpedTracker[Helper],"*Y"),INDEX(ImpedTracker[Status],MATCH(ROWS($A$10:$A13)&amp;"Y",ImpedTracker[Helper],0)),"")</f>
        <v/>
      </c>
      <c r="T13" s="33" t="str">
        <f>IF(ROWS($A$10:$A13)&lt;=COUNTIF(ImpedTracker[Helper],"*Y"),INDEX(ImpedTracker[Due Date],MATCH(ROWS($A$10:$A13)&amp;"Y",ImpedTracker[Helper],0)),"")</f>
        <v/>
      </c>
      <c r="U13" s="21" t="str">
        <f>IF(ROWS($A$10:$A13)&lt;=COUNTIF(ImpedTracker[Helper],"*Y"),INDEX(ImpedTracker[Duration (Days)],MATCH(ROWS($A$10:$A13)&amp;"Y",ImpedTracker[Helper],0)),"")</f>
        <v/>
      </c>
      <c r="W13" s="4" t="str">
        <f>IF(ROWS($A$10:$A13)&lt;=COUNTIF(DecisionLog[Helper],"*Y"),INDEX(DecisionLog[Decision Number],MATCH(ROWS($A$10:$A13)&amp;"Y",DecisionLog[Helper],0)),"")</f>
        <v/>
      </c>
      <c r="X13" s="15" t="str">
        <f>IF(ROWS($A$10:$A13)&lt;=COUNTIF(DecisionLog[Helper],"*Y"),INDEX(DecisionLog[Project Name],MATCH(ROWS($A$10:$A13)&amp;"Y",DecisionLog[Helper],0)),"")</f>
        <v/>
      </c>
      <c r="Y13" s="19" t="str">
        <f>IF(ROWS($A$10:$A13)&lt;=COUNTIF(DecisionLog[Helper],"*Y"),INDEX(DecisionLog[Title],MATCH(ROWS($A$10:$A13)&amp;"Y",DecisionLog[Helper],0)),"")</f>
        <v/>
      </c>
      <c r="Z13" s="13" t="str">
        <f>IF(ROWS($A$10:$A13)&lt;=COUNTIF(DecisionLog[Helper],"*Y"),INDEX(DecisionLog[Status],MATCH(ROWS($A$10:$A13)&amp;"Y",DecisionLog[Helper],0)),"")</f>
        <v/>
      </c>
      <c r="AB13" s="4">
        <f>IF(ROWS($A$10:$A13)&lt;=COUNTIF(ActionLog[Helper],"*Y"),INDEX(ActionLog[Task Number],MATCH(ROWS($A$10:$A13)&amp;"Y",ActionLog[Helper],0)),"")</f>
        <v>9</v>
      </c>
      <c r="AC13" s="15" t="str">
        <f>IF(ROWS($A$10:$A13)&lt;=COUNTIF(ActionLog[Helper],"*Y"),INDEX(ActionLog[Project Name],MATCH(ROWS($A$10:$A13)&amp;"Y",ActionLog[Helper],0)),"")</f>
        <v>Small Business DCO</v>
      </c>
      <c r="AD13" s="20" t="str">
        <f>IF(ROWS($A$10:$A13)&lt;=COUNTIF(ActionLog[Helper],"*Y"),INDEX(ActionLog[Title],MATCH(ROWS($A$10:$A13)&amp;"Y",ActionLog[Helper],0)),"")</f>
        <v>Custom Navigation use cases</v>
      </c>
      <c r="AE13" s="13" t="str">
        <f>IF(ROWS($A$10:$A13)&lt;=COUNTIF(ActionLog[Helper],"*Y"),INDEX(ActionLog[Task Status],MATCH(ROWS($A$10:$A13)&amp;"Y",ActionLog[Helper],0)),"")</f>
        <v>In Progress</v>
      </c>
    </row>
    <row r="14" spans="1:31" s="13" customFormat="1" ht="39.950000000000003" customHeight="1" x14ac:dyDescent="0.25">
      <c r="B14" s="16">
        <f>IF(ROWS($A$10:$A14)&lt;=COUNTIF(RiskTracker[Helper],"*Y"),INDEX(RiskTracker[Risk Number],MATCH(ROWS($A$10:$A14)&amp;"Y",RiskTracker[Helper],0)),"")</f>
        <v>0</v>
      </c>
      <c r="C14" s="15" t="str">
        <f>IF(ROWS($A$10:$A14)&lt;=COUNTIF(RiskTracker[Helper],"*Y"),INDEX(RiskTracker[Project Name],MATCH(ROWS($A$10:$A14)&amp;"Y",RiskTracker[Helper],0)),"")</f>
        <v>Small Business DCO</v>
      </c>
      <c r="D14" s="15" t="str">
        <f>IF(ROWS($A$10:$A14)&lt;=COUNTIF(RiskTracker[Helper],"*Y"),INDEX(RiskTracker[Title],MATCH(ROWS($A$10:$A14)&amp;"Y",RiskTracker[Helper],0)),"")</f>
        <v>Unable to complete stories in Sprint 6</v>
      </c>
      <c r="E14" s="14" t="str">
        <f>IF(ROWS($A$10:$A14)&lt;=COUNTIF(RiskTracker[Helper],"*Y"),INDEX(RiskTracker[Category],MATCH(ROWS($A$10:$A14)&amp;"Y",RiskTracker[Helper],0)),"")</f>
        <v>Scope</v>
      </c>
      <c r="F14" s="14" t="str">
        <f>IF(ROWS($A$10:$A14)&lt;=COUNTIF(RiskTracker[Helper],"*Y"),INDEX(RiskTracker[Severity],MATCH(ROWS($A$10:$A14)&amp;"Y",RiskTracker[Helper],0)),"")</f>
        <v>High</v>
      </c>
      <c r="G14" s="16">
        <f ca="1">IF(ROWS($A$10:$A14)&lt;=COUNTIF(RiskTracker[Helper],"*Y"),INDEX(RiskTracker[Duration (Days)],MATCH(ROWS($A$10:$A14)&amp;"Y",RiskTracker[Helper],0)),"")</f>
        <v>8</v>
      </c>
      <c r="I14" s="16" t="str">
        <f>IF(ROWS($A$10:$A14)&lt;=COUNTIF(IssueTracker[Helper],"*Y"),INDEX(IssueTracker[Issue Number],MATCH(ROWS($A$10:$A14)&amp;"Y",IssueTracker[Helper],0)),"")</f>
        <v/>
      </c>
      <c r="J14" s="15" t="str">
        <f>IF(ROWS($A$10:$A14)&lt;=COUNTIF(IssueTracker[Helper],"*Y"),INDEX(IssueTracker[Project Name],MATCH(ROWS($A$10:$A14)&amp;"Y",IssueTracker[Helper],0)),"")</f>
        <v/>
      </c>
      <c r="K14" s="15" t="str">
        <f>IF(ROWS($A$10:$A14)&lt;=COUNTIF(IssueTracker[Helper],"*Y"),INDEX(IssueTracker[Title],MATCH(ROWS($A$10:$A14)&amp;"Y",IssueTracker[Helper],0)),"")</f>
        <v/>
      </c>
      <c r="L14" s="15" t="str">
        <f>IF(ROWS($A$10:$A14)&lt;=COUNTIF(IssueTracker[Helper],"*Y"),INDEX(IssueTracker[Severity],MATCH(ROWS($A$10:$A14)&amp;"Y",IssueTracker[Helper],0)),"")</f>
        <v/>
      </c>
      <c r="M14" s="14" t="str">
        <f>IF(ROWS($A$10:$A14)&lt;=COUNTIF(IssueTracker[Helper],"*Y"),INDEX(IssueTracker[Duration (Days)],MATCH(ROWS($A$10:$A14)&amp;"Y",IssueTracker[Helper],0)),"")</f>
        <v/>
      </c>
      <c r="O14" s="4" t="str">
        <f>IF(ROWS($A$10:$A14)&lt;=COUNTIF(ImpedTracker[Helper],"*Y"),INDEX(ImpedTracker[Impediment Number],MATCH(ROWS($A$10:$A14)&amp;"Y",ImpedTracker[Helper],0)),"")</f>
        <v/>
      </c>
      <c r="P14" s="19" t="str">
        <f>IF(ROWS($A$10:$A14)&lt;=COUNTIF(ImpedTracker[Helper],"*Y"),INDEX(ImpedTracker[Project Name],MATCH(ROWS($A$10:$A14)&amp;"Y",ImpedTracker[Helper],0)),"")</f>
        <v/>
      </c>
      <c r="Q14" s="19" t="str">
        <f>IF(ROWS($A$10:$A14)&lt;=COUNTIF(ImpedTracker[Helper],"*Y"),INDEX(ImpedTracker[Title],MATCH(ROWS($A$10:$A14)&amp;"Y",ImpedTracker[Helper],0)),"")</f>
        <v/>
      </c>
      <c r="R14" s="13" t="str">
        <f>IF(ROWS($A$10:$A14)&lt;=COUNTIF(ImpedTracker[Helper],"*Y"),INDEX(ImpedTracker[Category],MATCH(ROWS($A$10:$A14)&amp;"Y",ImpedTracker[Helper],0)),"")</f>
        <v/>
      </c>
      <c r="S14" s="13" t="str">
        <f>IF(ROWS($A$10:$A14)&lt;=COUNTIF(ImpedTracker[Helper],"*Y"),INDEX(ImpedTracker[Status],MATCH(ROWS($A$10:$A14)&amp;"Y",ImpedTracker[Helper],0)),"")</f>
        <v/>
      </c>
      <c r="T14" s="33" t="str">
        <f>IF(ROWS($A$10:$A14)&lt;=COUNTIF(ImpedTracker[Helper],"*Y"),INDEX(ImpedTracker[Due Date],MATCH(ROWS($A$10:$A14)&amp;"Y",ImpedTracker[Helper],0)),"")</f>
        <v/>
      </c>
      <c r="U14" s="21" t="str">
        <f>IF(ROWS($A$10:$A14)&lt;=COUNTIF(ImpedTracker[Helper],"*Y"),INDEX(ImpedTracker[Duration (Days)],MATCH(ROWS($A$10:$A14)&amp;"Y",ImpedTracker[Helper],0)),"")</f>
        <v/>
      </c>
      <c r="W14" s="4" t="str">
        <f>IF(ROWS($A$10:$A14)&lt;=COUNTIF(DecisionLog[Helper],"*Y"),INDEX(DecisionLog[Decision Number],MATCH(ROWS($A$10:$A14)&amp;"Y",DecisionLog[Helper],0)),"")</f>
        <v/>
      </c>
      <c r="X14" s="15" t="str">
        <f>IF(ROWS($A$10:$A14)&lt;=COUNTIF(DecisionLog[Helper],"*Y"),INDEX(DecisionLog[Project Name],MATCH(ROWS($A$10:$A14)&amp;"Y",DecisionLog[Helper],0)),"")</f>
        <v/>
      </c>
      <c r="Y14" s="19" t="str">
        <f>IF(ROWS($A$10:$A14)&lt;=COUNTIF(DecisionLog[Helper],"*Y"),INDEX(DecisionLog[Title],MATCH(ROWS($A$10:$A14)&amp;"Y",DecisionLog[Helper],0)),"")</f>
        <v/>
      </c>
      <c r="Z14" s="13" t="str">
        <f>IF(ROWS($A$10:$A14)&lt;=COUNTIF(DecisionLog[Helper],"*Y"),INDEX(DecisionLog[Status],MATCH(ROWS($A$10:$A14)&amp;"Y",DecisionLog[Helper],0)),"")</f>
        <v/>
      </c>
      <c r="AB14" s="4">
        <f>IF(ROWS($A$10:$A14)&lt;=COUNTIF(ActionLog[Helper],"*Y"),INDEX(ActionLog[Task Number],MATCH(ROWS($A$10:$A14)&amp;"Y",ActionLog[Helper],0)),"")</f>
        <v>11</v>
      </c>
      <c r="AC14" s="15" t="str">
        <f>IF(ROWS($A$10:$A14)&lt;=COUNTIF(ActionLog[Helper],"*Y"),INDEX(ActionLog[Project Name],MATCH(ROWS($A$10:$A14)&amp;"Y",ActionLog[Helper],0)),"")</f>
        <v>Small Business DCO</v>
      </c>
      <c r="AD14" s="20" t="str">
        <f>IF(ROWS($A$10:$A14)&lt;=COUNTIF(ActionLog[Helper],"*Y"),INDEX(ActionLog[Title],MATCH(ROWS($A$10:$A14)&amp;"Y",ActionLog[Helper],0)),"")</f>
        <v>Happy Path Test Users</v>
      </c>
      <c r="AE14" s="13" t="str">
        <f>IF(ROWS($A$10:$A14)&lt;=COUNTIF(ActionLog[Helper],"*Y"),INDEX(ActionLog[Task Status],MATCH(ROWS($A$10:$A14)&amp;"Y",ActionLog[Helper],0)),"")</f>
        <v>In Progress</v>
      </c>
    </row>
    <row r="15" spans="1:31" s="13" customFormat="1" ht="39.950000000000003" customHeight="1" x14ac:dyDescent="0.25">
      <c r="B15" s="16">
        <f>IF(ROWS($A$10:$A15)&lt;=COUNTIF(RiskTracker[Helper],"*Y"),INDEX(RiskTracker[Risk Number],MATCH(ROWS($A$10:$A15)&amp;"Y",RiskTracker[Helper],0)),"")</f>
        <v>0</v>
      </c>
      <c r="C15" s="15" t="str">
        <f>IF(ROWS($A$10:$A15)&lt;=COUNTIF(RiskTracker[Helper],"*Y"),INDEX(RiskTracker[Project Name],MATCH(ROWS($A$10:$A15)&amp;"Y",RiskTracker[Helper],0)),"")</f>
        <v>Small Business DCO</v>
      </c>
      <c r="D15" s="15" t="str">
        <f>IF(ROWS($A$10:$A15)&lt;=COUNTIF(RiskTracker[Helper],"*Y"),INDEX(RiskTracker[Title],MATCH(ROWS($A$10:$A15)&amp;"Y",RiskTracker[Helper],0)),"")</f>
        <v>Unable to complete stories in Sprint 7</v>
      </c>
      <c r="E15" s="14" t="str">
        <f>IF(ROWS($A$10:$A15)&lt;=COUNTIF(RiskTracker[Helper],"*Y"),INDEX(RiskTracker[Category],MATCH(ROWS($A$10:$A15)&amp;"Y",RiskTracker[Helper],0)),"")</f>
        <v>Scope</v>
      </c>
      <c r="F15" s="14" t="str">
        <f>IF(ROWS($A$10:$A15)&lt;=COUNTIF(RiskTracker[Helper],"*Y"),INDEX(RiskTracker[Severity],MATCH(ROWS($A$10:$A15)&amp;"Y",RiskTracker[Helper],0)),"")</f>
        <v>High</v>
      </c>
      <c r="G15" s="16">
        <f ca="1">IF(ROWS($A$10:$A15)&lt;=COUNTIF(RiskTracker[Helper],"*Y"),INDEX(RiskTracker[Duration (Days)],MATCH(ROWS($A$10:$A15)&amp;"Y",RiskTracker[Helper],0)),"")</f>
        <v>8</v>
      </c>
      <c r="I15" s="16" t="str">
        <f>IF(ROWS($A$10:$A15)&lt;=COUNTIF(IssueTracker[Helper],"*Y"),INDEX(IssueTracker[Issue Number],MATCH(ROWS($A$10:$A15)&amp;"Y",IssueTracker[Helper],0)),"")</f>
        <v/>
      </c>
      <c r="J15" s="15" t="str">
        <f>IF(ROWS($A$10:$A15)&lt;=COUNTIF(IssueTracker[Helper],"*Y"),INDEX(IssueTracker[Project Name],MATCH(ROWS($A$10:$A15)&amp;"Y",IssueTracker[Helper],0)),"")</f>
        <v/>
      </c>
      <c r="K15" s="15" t="str">
        <f>IF(ROWS($A$10:$A15)&lt;=COUNTIF(IssueTracker[Helper],"*Y"),INDEX(IssueTracker[Title],MATCH(ROWS($A$10:$A15)&amp;"Y",IssueTracker[Helper],0)),"")</f>
        <v/>
      </c>
      <c r="L15" s="15" t="str">
        <f>IF(ROWS($A$10:$A15)&lt;=COUNTIF(IssueTracker[Helper],"*Y"),INDEX(IssueTracker[Severity],MATCH(ROWS($A$10:$A15)&amp;"Y",IssueTracker[Helper],0)),"")</f>
        <v/>
      </c>
      <c r="M15" s="14" t="str">
        <f>IF(ROWS($A$10:$A15)&lt;=COUNTIF(IssueTracker[Helper],"*Y"),INDEX(IssueTracker[Duration (Days)],MATCH(ROWS($A$10:$A15)&amp;"Y",IssueTracker[Helper],0)),"")</f>
        <v/>
      </c>
      <c r="O15" s="4" t="str">
        <f>IF(ROWS($A$10:$A15)&lt;=COUNTIF(ImpedTracker[Helper],"*Y"),INDEX(ImpedTracker[Impediment Number],MATCH(ROWS($A$10:$A15)&amp;"Y",ImpedTracker[Helper],0)),"")</f>
        <v/>
      </c>
      <c r="P15" s="19" t="str">
        <f>IF(ROWS($A$10:$A15)&lt;=COUNTIF(ImpedTracker[Helper],"*Y"),INDEX(ImpedTracker[Project Name],MATCH(ROWS($A$10:$A15)&amp;"Y",ImpedTracker[Helper],0)),"")</f>
        <v/>
      </c>
      <c r="Q15" s="19" t="str">
        <f>IF(ROWS($A$10:$A15)&lt;=COUNTIF(ImpedTracker[Helper],"*Y"),INDEX(ImpedTracker[Title],MATCH(ROWS($A$10:$A15)&amp;"Y",ImpedTracker[Helper],0)),"")</f>
        <v/>
      </c>
      <c r="R15" s="13" t="str">
        <f>IF(ROWS($A$10:$A15)&lt;=COUNTIF(ImpedTracker[Helper],"*Y"),INDEX(ImpedTracker[Category],MATCH(ROWS($A$10:$A15)&amp;"Y",ImpedTracker[Helper],0)),"")</f>
        <v/>
      </c>
      <c r="S15" s="13" t="str">
        <f>IF(ROWS($A$10:$A15)&lt;=COUNTIF(ImpedTracker[Helper],"*Y"),INDEX(ImpedTracker[Status],MATCH(ROWS($A$10:$A15)&amp;"Y",ImpedTracker[Helper],0)),"")</f>
        <v/>
      </c>
      <c r="T15" s="33" t="str">
        <f>IF(ROWS($A$10:$A15)&lt;=COUNTIF(ImpedTracker[Helper],"*Y"),INDEX(ImpedTracker[Due Date],MATCH(ROWS($A$10:$A15)&amp;"Y",ImpedTracker[Helper],0)),"")</f>
        <v/>
      </c>
      <c r="U15" s="21" t="str">
        <f>IF(ROWS($A$10:$A15)&lt;=COUNTIF(ImpedTracker[Helper],"*Y"),INDEX(ImpedTracker[Duration (Days)],MATCH(ROWS($A$10:$A15)&amp;"Y",ImpedTracker[Helper],0)),"")</f>
        <v/>
      </c>
      <c r="W15" s="4" t="str">
        <f>IF(ROWS($A$10:$A15)&lt;=COUNTIF(DecisionLog[Helper],"*Y"),INDEX(DecisionLog[Decision Number],MATCH(ROWS($A$10:$A15)&amp;"Y",DecisionLog[Helper],0)),"")</f>
        <v/>
      </c>
      <c r="X15" s="15" t="str">
        <f>IF(ROWS($A$10:$A15)&lt;=COUNTIF(DecisionLog[Helper],"*Y"),INDEX(DecisionLog[Project Name],MATCH(ROWS($A$10:$A15)&amp;"Y",DecisionLog[Helper],0)),"")</f>
        <v/>
      </c>
      <c r="Y15" s="19" t="str">
        <f>IF(ROWS($A$10:$A15)&lt;=COUNTIF(DecisionLog[Helper],"*Y"),INDEX(DecisionLog[Title],MATCH(ROWS($A$10:$A15)&amp;"Y",DecisionLog[Helper],0)),"")</f>
        <v/>
      </c>
      <c r="Z15" s="13" t="str">
        <f>IF(ROWS($A$10:$A15)&lt;=COUNTIF(DecisionLog[Helper],"*Y"),INDEX(DecisionLog[Status],MATCH(ROWS($A$10:$A15)&amp;"Y",DecisionLog[Helper],0)),"")</f>
        <v/>
      </c>
      <c r="AB15" s="4">
        <f>IF(ROWS($A$10:$A15)&lt;=COUNTIF(ActionLog[Helper],"*Y"),INDEX(ActionLog[Task Number],MATCH(ROWS($A$10:$A15)&amp;"Y",ActionLog[Helper],0)),"")</f>
        <v>12</v>
      </c>
      <c r="AC15" s="15" t="str">
        <f>IF(ROWS($A$10:$A15)&lt;=COUNTIF(ActionLog[Helper],"*Y"),INDEX(ActionLog[Project Name],MATCH(ROWS($A$10:$A15)&amp;"Y",ActionLog[Helper],0)),"")</f>
        <v>Small Business DCO</v>
      </c>
      <c r="AD15" s="20" t="str">
        <f>IF(ROWS($A$10:$A15)&lt;=COUNTIF(ActionLog[Helper],"*Y"),INDEX(ActionLog[Title],MATCH(ROWS($A$10:$A15)&amp;"Y",ActionLog[Helper],0)),"")</f>
        <v>Non-Happy Path Test Users</v>
      </c>
      <c r="AE15" s="13" t="str">
        <f>IF(ROWS($A$10:$A15)&lt;=COUNTIF(ActionLog[Helper],"*Y"),INDEX(ActionLog[Task Status],MATCH(ROWS($A$10:$A15)&amp;"Y",ActionLog[Helper],0)),"")</f>
        <v>Open</v>
      </c>
    </row>
    <row r="16" spans="1:31" s="13" customFormat="1" ht="39.950000000000003" customHeight="1" x14ac:dyDescent="0.25">
      <c r="B16" s="16">
        <f>IF(ROWS($A$10:$A16)&lt;=COUNTIF(RiskTracker[Helper],"*Y"),INDEX(RiskTracker[Risk Number],MATCH(ROWS($A$10:$A16)&amp;"Y",RiskTracker[Helper],0)),"")</f>
        <v>0</v>
      </c>
      <c r="C16" s="15" t="str">
        <f>IF(ROWS($A$10:$A16)&lt;=COUNTIF(RiskTracker[Helper],"*Y"),INDEX(RiskTracker[Project Name],MATCH(ROWS($A$10:$A16)&amp;"Y",RiskTracker[Helper],0)),"")</f>
        <v>Small Business DCO</v>
      </c>
      <c r="D16" s="15" t="str">
        <f>IF(ROWS($A$10:$A16)&lt;=COUNTIF(RiskTracker[Helper],"*Y"),INDEX(RiskTracker[Title],MATCH(ROWS($A$10:$A16)&amp;"Y",RiskTracker[Helper],0)),"")</f>
        <v>Schedule impacts due to selected delivery methodology</v>
      </c>
      <c r="E16" s="14" t="str">
        <f>IF(ROWS($A$10:$A16)&lt;=COUNTIF(RiskTracker[Helper],"*Y"),INDEX(RiskTracker[Category],MATCH(ROWS($A$10:$A16)&amp;"Y",RiskTracker[Helper],0)),"")</f>
        <v>Schedule</v>
      </c>
      <c r="F16" s="14">
        <f>IF(ROWS($A$10:$A16)&lt;=COUNTIF(RiskTracker[Helper],"*Y"),INDEX(RiskTracker[Severity],MATCH(ROWS($A$10:$A16)&amp;"Y",RiskTracker[Helper],0)),"")</f>
        <v>0</v>
      </c>
      <c r="G16" s="16">
        <f ca="1">IF(ROWS($A$10:$A16)&lt;=COUNTIF(RiskTracker[Helper],"*Y"),INDEX(RiskTracker[Duration (Days)],MATCH(ROWS($A$10:$A16)&amp;"Y",RiskTracker[Helper],0)),"")</f>
        <v>7</v>
      </c>
      <c r="I16" s="16" t="str">
        <f>IF(ROWS($A$10:$A16)&lt;=COUNTIF(IssueTracker[Helper],"*Y"),INDEX(IssueTracker[Issue Number],MATCH(ROWS($A$10:$A16)&amp;"Y",IssueTracker[Helper],0)),"")</f>
        <v/>
      </c>
      <c r="J16" s="15" t="str">
        <f>IF(ROWS($A$10:$A16)&lt;=COUNTIF(IssueTracker[Helper],"*Y"),INDEX(IssueTracker[Project Name],MATCH(ROWS($A$10:$A16)&amp;"Y",IssueTracker[Helper],0)),"")</f>
        <v/>
      </c>
      <c r="K16" s="15" t="str">
        <f>IF(ROWS($A$10:$A16)&lt;=COUNTIF(IssueTracker[Helper],"*Y"),INDEX(IssueTracker[Title],MATCH(ROWS($A$10:$A16)&amp;"Y",IssueTracker[Helper],0)),"")</f>
        <v/>
      </c>
      <c r="L16" s="15" t="str">
        <f>IF(ROWS($A$10:$A16)&lt;=COUNTIF(IssueTracker[Helper],"*Y"),INDEX(IssueTracker[Severity],MATCH(ROWS($A$10:$A16)&amp;"Y",IssueTracker[Helper],0)),"")</f>
        <v/>
      </c>
      <c r="M16" s="14" t="str">
        <f>IF(ROWS($A$10:$A16)&lt;=COUNTIF(IssueTracker[Helper],"*Y"),INDEX(IssueTracker[Duration (Days)],MATCH(ROWS($A$10:$A16)&amp;"Y",IssueTracker[Helper],0)),"")</f>
        <v/>
      </c>
      <c r="O16" s="4" t="str">
        <f>IF(ROWS($A$10:$A16)&lt;=COUNTIF(ImpedTracker[Helper],"*Y"),INDEX(ImpedTracker[Impediment Number],MATCH(ROWS($A$10:$A16)&amp;"Y",ImpedTracker[Helper],0)),"")</f>
        <v/>
      </c>
      <c r="P16" s="19" t="str">
        <f>IF(ROWS($A$10:$A16)&lt;=COUNTIF(ImpedTracker[Helper],"*Y"),INDEX(ImpedTracker[Project Name],MATCH(ROWS($A$10:$A16)&amp;"Y",ImpedTracker[Helper],0)),"")</f>
        <v/>
      </c>
      <c r="Q16" s="19" t="str">
        <f>IF(ROWS($A$10:$A16)&lt;=COUNTIF(ImpedTracker[Helper],"*Y"),INDEX(ImpedTracker[Title],MATCH(ROWS($A$10:$A16)&amp;"Y",ImpedTracker[Helper],0)),"")</f>
        <v/>
      </c>
      <c r="R16" s="13" t="str">
        <f>IF(ROWS($A$10:$A16)&lt;=COUNTIF(ImpedTracker[Helper],"*Y"),INDEX(ImpedTracker[Category],MATCH(ROWS($A$10:$A16)&amp;"Y",ImpedTracker[Helper],0)),"")</f>
        <v/>
      </c>
      <c r="S16" s="13" t="str">
        <f>IF(ROWS($A$10:$A16)&lt;=COUNTIF(ImpedTracker[Helper],"*Y"),INDEX(ImpedTracker[Status],MATCH(ROWS($A$10:$A16)&amp;"Y",ImpedTracker[Helper],0)),"")</f>
        <v/>
      </c>
      <c r="T16" s="33" t="str">
        <f>IF(ROWS($A$10:$A16)&lt;=COUNTIF(ImpedTracker[Helper],"*Y"),INDEX(ImpedTracker[Due Date],MATCH(ROWS($A$10:$A16)&amp;"Y",ImpedTracker[Helper],0)),"")</f>
        <v/>
      </c>
      <c r="U16" s="21" t="str">
        <f>IF(ROWS($A$10:$A16)&lt;=COUNTIF(ImpedTracker[Helper],"*Y"),INDEX(ImpedTracker[Duration (Days)],MATCH(ROWS($A$10:$A16)&amp;"Y",ImpedTracker[Helper],0)),"")</f>
        <v/>
      </c>
      <c r="W16" s="4" t="str">
        <f>IF(ROWS($A$10:$A16)&lt;=COUNTIF(DecisionLog[Helper],"*Y"),INDEX(DecisionLog[Decision Number],MATCH(ROWS($A$10:$A16)&amp;"Y",DecisionLog[Helper],0)),"")</f>
        <v/>
      </c>
      <c r="X16" s="15" t="str">
        <f>IF(ROWS($A$10:$A16)&lt;=COUNTIF(DecisionLog[Helper],"*Y"),INDEX(DecisionLog[Project Name],MATCH(ROWS($A$10:$A16)&amp;"Y",DecisionLog[Helper],0)),"")</f>
        <v/>
      </c>
      <c r="Y16" s="19" t="str">
        <f>IF(ROWS($A$10:$A16)&lt;=COUNTIF(DecisionLog[Helper],"*Y"),INDEX(DecisionLog[Title],MATCH(ROWS($A$10:$A16)&amp;"Y",DecisionLog[Helper],0)),"")</f>
        <v/>
      </c>
      <c r="Z16" s="13" t="str">
        <f>IF(ROWS($A$10:$A16)&lt;=COUNTIF(DecisionLog[Helper],"*Y"),INDEX(DecisionLog[Status],MATCH(ROWS($A$10:$A16)&amp;"Y",DecisionLog[Helper],0)),"")</f>
        <v/>
      </c>
      <c r="AB16" s="4">
        <f>IF(ROWS($A$10:$A16)&lt;=COUNTIF(ActionLog[Helper],"*Y"),INDEX(ActionLog[Task Number],MATCH(ROWS($A$10:$A16)&amp;"Y",ActionLog[Helper],0)),"")</f>
        <v>13</v>
      </c>
      <c r="AC16" s="15" t="str">
        <f>IF(ROWS($A$10:$A16)&lt;=COUNTIF(ActionLog[Helper],"*Y"),INDEX(ActionLog[Project Name],MATCH(ROWS($A$10:$A16)&amp;"Y",ActionLog[Helper],0)),"")</f>
        <v>Small Business DCO</v>
      </c>
      <c r="AD16" s="20" t="str">
        <f>IF(ROWS($A$10:$A16)&lt;=COUNTIF(ActionLog[Helper],"*Y"),INDEX(ActionLog[Title],MATCH(ROWS($A$10:$A16)&amp;"Y",ActionLog[Helper],0)),"")</f>
        <v>Okta Integration</v>
      </c>
      <c r="AE16" s="13" t="str">
        <f>IF(ROWS($A$10:$A16)&lt;=COUNTIF(ActionLog[Helper],"*Y"),INDEX(ActionLog[Task Status],MATCH(ROWS($A$10:$A16)&amp;"Y",ActionLog[Helper],0)),"")</f>
        <v>Pending</v>
      </c>
    </row>
    <row r="17" spans="2:31" s="13" customFormat="1" ht="39.950000000000003" customHeight="1" x14ac:dyDescent="0.25">
      <c r="B17" s="16">
        <f>IF(ROWS($A$10:$A17)&lt;=COUNTIF(RiskTracker[Helper],"*Y"),INDEX(RiskTracker[Risk Number],MATCH(ROWS($A$10:$A17)&amp;"Y",RiskTracker[Helper],0)),"")</f>
        <v>0</v>
      </c>
      <c r="C17" s="15" t="str">
        <f>IF(ROWS($A$10:$A17)&lt;=COUNTIF(RiskTracker[Helper],"*Y"),INDEX(RiskTracker[Project Name],MATCH(ROWS($A$10:$A17)&amp;"Y",RiskTracker[Helper],0)),"")</f>
        <v>Small Business DCO</v>
      </c>
      <c r="D17" s="15" t="str">
        <f>IF(ROWS($A$10:$A17)&lt;=COUNTIF(RiskTracker[Helper],"*Y"),INDEX(RiskTracker[Title],MATCH(ROWS($A$10:$A17)&amp;"Y",RiskTracker[Helper],0)),"")</f>
        <v>Additional Scope items impacting delivery timelines</v>
      </c>
      <c r="E17" s="14" t="str">
        <f>IF(ROWS($A$10:$A17)&lt;=COUNTIF(RiskTracker[Helper],"*Y"),INDEX(RiskTracker[Category],MATCH(ROWS($A$10:$A17)&amp;"Y",RiskTracker[Helper],0)),"")</f>
        <v>Scope</v>
      </c>
      <c r="F17" s="14">
        <f>IF(ROWS($A$10:$A17)&lt;=COUNTIF(RiskTracker[Helper],"*Y"),INDEX(RiskTracker[Severity],MATCH(ROWS($A$10:$A17)&amp;"Y",RiskTracker[Helper],0)),"")</f>
        <v>0</v>
      </c>
      <c r="G17" s="16">
        <f ca="1">IF(ROWS($A$10:$A17)&lt;=COUNTIF(RiskTracker[Helper],"*Y"),INDEX(RiskTracker[Duration (Days)],MATCH(ROWS($A$10:$A17)&amp;"Y",RiskTracker[Helper],0)),"")</f>
        <v>7</v>
      </c>
      <c r="I17" s="16" t="str">
        <f>IF(ROWS($A$10:$A17)&lt;=COUNTIF(IssueTracker[Helper],"*Y"),INDEX(IssueTracker[Issue Number],MATCH(ROWS($A$10:$A17)&amp;"Y",IssueTracker[Helper],0)),"")</f>
        <v/>
      </c>
      <c r="J17" s="15" t="str">
        <f>IF(ROWS($A$10:$A17)&lt;=COUNTIF(IssueTracker[Helper],"*Y"),INDEX(IssueTracker[Project Name],MATCH(ROWS($A$10:$A17)&amp;"Y",IssueTracker[Helper],0)),"")</f>
        <v/>
      </c>
      <c r="K17" s="15" t="str">
        <f>IF(ROWS($A$10:$A17)&lt;=COUNTIF(IssueTracker[Helper],"*Y"),INDEX(IssueTracker[Title],MATCH(ROWS($A$10:$A17)&amp;"Y",IssueTracker[Helper],0)),"")</f>
        <v/>
      </c>
      <c r="L17" s="15" t="str">
        <f>IF(ROWS($A$10:$A17)&lt;=COUNTIF(IssueTracker[Helper],"*Y"),INDEX(IssueTracker[Severity],MATCH(ROWS($A$10:$A17)&amp;"Y",IssueTracker[Helper],0)),"")</f>
        <v/>
      </c>
      <c r="M17" s="14" t="str">
        <f>IF(ROWS($A$10:$A17)&lt;=COUNTIF(IssueTracker[Helper],"*Y"),INDEX(IssueTracker[Duration (Days)],MATCH(ROWS($A$10:$A17)&amp;"Y",IssueTracker[Helper],0)),"")</f>
        <v/>
      </c>
      <c r="O17" s="4" t="str">
        <f>IF(ROWS($A$10:$A17)&lt;=COUNTIF(ImpedTracker[Helper],"*Y"),INDEX(ImpedTracker[Impediment Number],MATCH(ROWS($A$10:$A17)&amp;"Y",ImpedTracker[Helper],0)),"")</f>
        <v/>
      </c>
      <c r="P17" s="19" t="str">
        <f>IF(ROWS($A$10:$A17)&lt;=COUNTIF(ImpedTracker[Helper],"*Y"),INDEX(ImpedTracker[Project Name],MATCH(ROWS($A$10:$A17)&amp;"Y",ImpedTracker[Helper],0)),"")</f>
        <v/>
      </c>
      <c r="Q17" s="19" t="str">
        <f>IF(ROWS($A$10:$A17)&lt;=COUNTIF(ImpedTracker[Helper],"*Y"),INDEX(ImpedTracker[Title],MATCH(ROWS($A$10:$A17)&amp;"Y",ImpedTracker[Helper],0)),"")</f>
        <v/>
      </c>
      <c r="R17" s="13" t="str">
        <f>IF(ROWS($A$10:$A17)&lt;=COUNTIF(ImpedTracker[Helper],"*Y"),INDEX(ImpedTracker[Category],MATCH(ROWS($A$10:$A17)&amp;"Y",ImpedTracker[Helper],0)),"")</f>
        <v/>
      </c>
      <c r="S17" s="13" t="str">
        <f>IF(ROWS($A$10:$A17)&lt;=COUNTIF(ImpedTracker[Helper],"*Y"),INDEX(ImpedTracker[Status],MATCH(ROWS($A$10:$A17)&amp;"Y",ImpedTracker[Helper],0)),"")</f>
        <v/>
      </c>
      <c r="T17" s="33" t="str">
        <f>IF(ROWS($A$10:$A17)&lt;=COUNTIF(ImpedTracker[Helper],"*Y"),INDEX(ImpedTracker[Due Date],MATCH(ROWS($A$10:$A17)&amp;"Y",ImpedTracker[Helper],0)),"")</f>
        <v/>
      </c>
      <c r="U17" s="21" t="str">
        <f>IF(ROWS($A$10:$A17)&lt;=COUNTIF(ImpedTracker[Helper],"*Y"),INDEX(ImpedTracker[Duration (Days)],MATCH(ROWS($A$10:$A17)&amp;"Y",ImpedTracker[Helper],0)),"")</f>
        <v/>
      </c>
      <c r="W17" s="4" t="str">
        <f>IF(ROWS($A$10:$A17)&lt;=COUNTIF(DecisionLog[Helper],"*Y"),INDEX(DecisionLog[Decision Number],MATCH(ROWS($A$10:$A17)&amp;"Y",DecisionLog[Helper],0)),"")</f>
        <v/>
      </c>
      <c r="X17" s="15" t="str">
        <f>IF(ROWS($A$10:$A17)&lt;=COUNTIF(DecisionLog[Helper],"*Y"),INDEX(DecisionLog[Project Name],MATCH(ROWS($A$10:$A17)&amp;"Y",DecisionLog[Helper],0)),"")</f>
        <v/>
      </c>
      <c r="Y17" s="19" t="str">
        <f>IF(ROWS($A$10:$A17)&lt;=COUNTIF(DecisionLog[Helper],"*Y"),INDEX(DecisionLog[Title],MATCH(ROWS($A$10:$A17)&amp;"Y",DecisionLog[Helper],0)),"")</f>
        <v/>
      </c>
      <c r="Z17" s="13" t="str">
        <f>IF(ROWS($A$10:$A17)&lt;=COUNTIF(DecisionLog[Helper],"*Y"),INDEX(DecisionLog[Status],MATCH(ROWS($A$10:$A17)&amp;"Y",DecisionLog[Helper],0)),"")</f>
        <v/>
      </c>
      <c r="AB17" s="4">
        <f>IF(ROWS($A$10:$A17)&lt;=COUNTIF(ActionLog[Helper],"*Y"),INDEX(ActionLog[Task Number],MATCH(ROWS($A$10:$A17)&amp;"Y",ActionLog[Helper],0)),"")</f>
        <v>14</v>
      </c>
      <c r="AC17" s="15" t="str">
        <f>IF(ROWS($A$10:$A17)&lt;=COUNTIF(ActionLog[Helper],"*Y"),INDEX(ActionLog[Project Name],MATCH(ROWS($A$10:$A17)&amp;"Y",ActionLog[Helper],0)),"")</f>
        <v>Small Business DCO</v>
      </c>
      <c r="AD17" s="20" t="str">
        <f>IF(ROWS($A$10:$A17)&lt;=COUNTIF(ActionLog[Helper],"*Y"),INDEX(ActionLog[Title],MATCH(ROWS($A$10:$A17)&amp;"Y",ActionLog[Helper],0)),"")</f>
        <v>Sprint 7 blockers: Requirements</v>
      </c>
      <c r="AE17" s="13" t="str">
        <f>IF(ROWS($A$10:$A17)&lt;=COUNTIF(ActionLog[Helper],"*Y"),INDEX(ActionLog[Task Status],MATCH(ROWS($A$10:$A17)&amp;"Y",ActionLog[Helper],0)),"")</f>
        <v>Closed</v>
      </c>
    </row>
    <row r="18" spans="2:31" s="13" customFormat="1" ht="39.950000000000003" customHeight="1" x14ac:dyDescent="0.25">
      <c r="B18" s="16">
        <f>IF(ROWS($A$10:$A18)&lt;=COUNTIF(RiskTracker[Helper],"*Y"),INDEX(RiskTracker[Risk Number],MATCH(ROWS($A$10:$A18)&amp;"Y",RiskTracker[Helper],0)),"")</f>
        <v>0</v>
      </c>
      <c r="C18" s="15" t="str">
        <f>IF(ROWS($A$10:$A18)&lt;=COUNTIF(RiskTracker[Helper],"*Y"),INDEX(RiskTracker[Project Name],MATCH(ROWS($A$10:$A18)&amp;"Y",RiskTracker[Helper],0)),"")</f>
        <v>Small Business DCO</v>
      </c>
      <c r="D18" s="15" t="str">
        <f>IF(ROWS($A$10:$A18)&lt;=COUNTIF(RiskTracker[Helper],"*Y"),INDEX(RiskTracker[Title],MATCH(ROWS($A$10:$A18)&amp;"Y",RiskTracker[Helper],0)),"")</f>
        <v>Reporting requirements</v>
      </c>
      <c r="E18" s="14" t="str">
        <f>IF(ROWS($A$10:$A18)&lt;=COUNTIF(RiskTracker[Helper],"*Y"),INDEX(RiskTracker[Category],MATCH(ROWS($A$10:$A18)&amp;"Y",RiskTracker[Helper],0)),"")</f>
        <v>Scope</v>
      </c>
      <c r="F18" s="14">
        <f>IF(ROWS($A$10:$A18)&lt;=COUNTIF(RiskTracker[Helper],"*Y"),INDEX(RiskTracker[Severity],MATCH(ROWS($A$10:$A18)&amp;"Y",RiskTracker[Helper],0)),"")</f>
        <v>0</v>
      </c>
      <c r="G18" s="16">
        <f ca="1">IF(ROWS($A$10:$A18)&lt;=COUNTIF(RiskTracker[Helper],"*Y"),INDEX(RiskTracker[Duration (Days)],MATCH(ROWS($A$10:$A18)&amp;"Y",RiskTracker[Helper],0)),"")</f>
        <v>7</v>
      </c>
      <c r="I18" s="16" t="str">
        <f>IF(ROWS($A$10:$A18)&lt;=COUNTIF(IssueTracker[Helper],"*Y"),INDEX(IssueTracker[Issue Number],MATCH(ROWS($A$10:$A18)&amp;"Y",IssueTracker[Helper],0)),"")</f>
        <v/>
      </c>
      <c r="J18" s="15" t="str">
        <f>IF(ROWS($A$10:$A18)&lt;=COUNTIF(IssueTracker[Helper],"*Y"),INDEX(IssueTracker[Project Name],MATCH(ROWS($A$10:$A18)&amp;"Y",IssueTracker[Helper],0)),"")</f>
        <v/>
      </c>
      <c r="K18" s="15" t="str">
        <f>IF(ROWS($A$10:$A18)&lt;=COUNTIF(IssueTracker[Helper],"*Y"),INDEX(IssueTracker[Title],MATCH(ROWS($A$10:$A18)&amp;"Y",IssueTracker[Helper],0)),"")</f>
        <v/>
      </c>
      <c r="L18" s="15" t="str">
        <f>IF(ROWS($A$10:$A18)&lt;=COUNTIF(IssueTracker[Helper],"*Y"),INDEX(IssueTracker[Severity],MATCH(ROWS($A$10:$A18)&amp;"Y",IssueTracker[Helper],0)),"")</f>
        <v/>
      </c>
      <c r="M18" s="14" t="str">
        <f>IF(ROWS($A$10:$A18)&lt;=COUNTIF(IssueTracker[Helper],"*Y"),INDEX(IssueTracker[Duration (Days)],MATCH(ROWS($A$10:$A18)&amp;"Y",IssueTracker[Helper],0)),"")</f>
        <v/>
      </c>
      <c r="O18" s="4" t="str">
        <f>IF(ROWS($A$10:$A18)&lt;=COUNTIF(ImpedTracker[Helper],"*Y"),INDEX(ImpedTracker[Impediment Number],MATCH(ROWS($A$10:$A18)&amp;"Y",ImpedTracker[Helper],0)),"")</f>
        <v/>
      </c>
      <c r="P18" s="19" t="str">
        <f>IF(ROWS($A$10:$A18)&lt;=COUNTIF(ImpedTracker[Helper],"*Y"),INDEX(ImpedTracker[Project Name],MATCH(ROWS($A$10:$A18)&amp;"Y",ImpedTracker[Helper],0)),"")</f>
        <v/>
      </c>
      <c r="Q18" s="19" t="str">
        <f>IF(ROWS($A$10:$A18)&lt;=COUNTIF(ImpedTracker[Helper],"*Y"),INDEX(ImpedTracker[Title],MATCH(ROWS($A$10:$A18)&amp;"Y",ImpedTracker[Helper],0)),"")</f>
        <v/>
      </c>
      <c r="R18" s="13" t="str">
        <f>IF(ROWS($A$10:$A18)&lt;=COUNTIF(ImpedTracker[Helper],"*Y"),INDEX(ImpedTracker[Category],MATCH(ROWS($A$10:$A18)&amp;"Y",ImpedTracker[Helper],0)),"")</f>
        <v/>
      </c>
      <c r="S18" s="13" t="str">
        <f>IF(ROWS($A$10:$A18)&lt;=COUNTIF(ImpedTracker[Helper],"*Y"),INDEX(ImpedTracker[Status],MATCH(ROWS($A$10:$A18)&amp;"Y",ImpedTracker[Helper],0)),"")</f>
        <v/>
      </c>
      <c r="T18" s="33" t="str">
        <f>IF(ROWS($A$10:$A18)&lt;=COUNTIF(ImpedTracker[Helper],"*Y"),INDEX(ImpedTracker[Due Date],MATCH(ROWS($A$10:$A18)&amp;"Y",ImpedTracker[Helper],0)),"")</f>
        <v/>
      </c>
      <c r="U18" s="21" t="str">
        <f>IF(ROWS($A$10:$A18)&lt;=COUNTIF(ImpedTracker[Helper],"*Y"),INDEX(ImpedTracker[Duration (Days)],MATCH(ROWS($A$10:$A18)&amp;"Y",ImpedTracker[Helper],0)),"")</f>
        <v/>
      </c>
      <c r="W18" s="4" t="str">
        <f>IF(ROWS($A$10:$A18)&lt;=COUNTIF(DecisionLog[Helper],"*Y"),INDEX(DecisionLog[Decision Number],MATCH(ROWS($A$10:$A18)&amp;"Y",DecisionLog[Helper],0)),"")</f>
        <v/>
      </c>
      <c r="X18" s="15" t="str">
        <f>IF(ROWS($A$10:$A18)&lt;=COUNTIF(DecisionLog[Helper],"*Y"),INDEX(DecisionLog[Project Name],MATCH(ROWS($A$10:$A18)&amp;"Y",DecisionLog[Helper],0)),"")</f>
        <v/>
      </c>
      <c r="Y18" s="19" t="str">
        <f>IF(ROWS($A$10:$A18)&lt;=COUNTIF(DecisionLog[Helper],"*Y"),INDEX(DecisionLog[Title],MATCH(ROWS($A$10:$A18)&amp;"Y",DecisionLog[Helper],0)),"")</f>
        <v/>
      </c>
      <c r="Z18" s="13" t="str">
        <f>IF(ROWS($A$10:$A18)&lt;=COUNTIF(DecisionLog[Helper],"*Y"),INDEX(DecisionLog[Status],MATCH(ROWS($A$10:$A18)&amp;"Y",DecisionLog[Helper],0)),"")</f>
        <v/>
      </c>
      <c r="AB18" s="4">
        <f>IF(ROWS($A$10:$A18)&lt;=COUNTIF(ActionLog[Helper],"*Y"),INDEX(ActionLog[Task Number],MATCH(ROWS($A$10:$A18)&amp;"Y",ActionLog[Helper],0)),"")</f>
        <v>16</v>
      </c>
      <c r="AC18" s="15" t="str">
        <f>IF(ROWS($A$10:$A18)&lt;=COUNTIF(ActionLog[Helper],"*Y"),INDEX(ActionLog[Project Name],MATCH(ROWS($A$10:$A18)&amp;"Y",ActionLog[Helper],0)),"")</f>
        <v>Small Business DCO</v>
      </c>
      <c r="AD18" s="20" t="str">
        <f>IF(ROWS($A$10:$A18)&lt;=COUNTIF(ActionLog[Helper],"*Y"),INDEX(ActionLog[Title],MATCH(ROWS($A$10:$A18)&amp;"Y",ActionLog[Helper],0)),"")</f>
        <v>Sprint 7 Blockers: UX</v>
      </c>
      <c r="AE18" s="13" t="str">
        <f>IF(ROWS($A$10:$A18)&lt;=COUNTIF(ActionLog[Helper],"*Y"),INDEX(ActionLog[Task Status],MATCH(ROWS($A$10:$A18)&amp;"Y",ActionLog[Helper],0)),"")</f>
        <v>Closed</v>
      </c>
    </row>
    <row r="19" spans="2:31" s="13" customFormat="1" ht="39.950000000000003" customHeight="1" x14ac:dyDescent="0.25">
      <c r="B19" s="16">
        <f>IF(ROWS($A$10:$A19)&lt;=COUNTIF(RiskTracker[Helper],"*Y"),INDEX(RiskTracker[Risk Number],MATCH(ROWS($A$10:$A19)&amp;"Y",RiskTracker[Helper],0)),"")</f>
        <v>0</v>
      </c>
      <c r="C19" s="15" t="str">
        <f>IF(ROWS($A$10:$A19)&lt;=COUNTIF(RiskTracker[Helper],"*Y"),INDEX(RiskTracker[Project Name],MATCH(ROWS($A$10:$A19)&amp;"Y",RiskTracker[Helper],0)),"")</f>
        <v>Small Business DCO</v>
      </c>
      <c r="D19" s="15" t="str">
        <f>IF(ROWS($A$10:$A19)&lt;=COUNTIF(RiskTracker[Helper],"*Y"),INDEX(RiskTracker[Title],MATCH(ROWS($A$10:$A19)&amp;"Y",RiskTracker[Helper],0)),"")</f>
        <v>Small Business Lending Scope</v>
      </c>
      <c r="E19" s="14" t="str">
        <f>IF(ROWS($A$10:$A19)&lt;=COUNTIF(RiskTracker[Helper],"*Y"),INDEX(RiskTracker[Category],MATCH(ROWS($A$10:$A19)&amp;"Y",RiskTracker[Helper],0)),"")</f>
        <v>Scope</v>
      </c>
      <c r="F19" s="14">
        <f>IF(ROWS($A$10:$A19)&lt;=COUNTIF(RiskTracker[Helper],"*Y"),INDEX(RiskTracker[Severity],MATCH(ROWS($A$10:$A19)&amp;"Y",RiskTracker[Helper],0)),"")</f>
        <v>0</v>
      </c>
      <c r="G19" s="16">
        <f ca="1">IF(ROWS($A$10:$A19)&lt;=COUNTIF(RiskTracker[Helper],"*Y"),INDEX(RiskTracker[Duration (Days)],MATCH(ROWS($A$10:$A19)&amp;"Y",RiskTracker[Helper],0)),"")</f>
        <v>7</v>
      </c>
      <c r="I19" s="16" t="str">
        <f>IF(ROWS($A$10:$A19)&lt;=COUNTIF(IssueTracker[Helper],"*Y"),INDEX(IssueTracker[Issue Number],MATCH(ROWS($A$10:$A19)&amp;"Y",IssueTracker[Helper],0)),"")</f>
        <v/>
      </c>
      <c r="J19" s="15" t="str">
        <f>IF(ROWS($A$10:$A19)&lt;=COUNTIF(IssueTracker[Helper],"*Y"),INDEX(IssueTracker[Project Name],MATCH(ROWS($A$10:$A19)&amp;"Y",IssueTracker[Helper],0)),"")</f>
        <v/>
      </c>
      <c r="K19" s="15" t="str">
        <f>IF(ROWS($A$10:$A19)&lt;=COUNTIF(IssueTracker[Helper],"*Y"),INDEX(IssueTracker[Title],MATCH(ROWS($A$10:$A19)&amp;"Y",IssueTracker[Helper],0)),"")</f>
        <v/>
      </c>
      <c r="L19" s="15" t="str">
        <f>IF(ROWS($A$10:$A19)&lt;=COUNTIF(IssueTracker[Helper],"*Y"),INDEX(IssueTracker[Severity],MATCH(ROWS($A$10:$A19)&amp;"Y",IssueTracker[Helper],0)),"")</f>
        <v/>
      </c>
      <c r="M19" s="14" t="str">
        <f>IF(ROWS($A$10:$A19)&lt;=COUNTIF(IssueTracker[Helper],"*Y"),INDEX(IssueTracker[Duration (Days)],MATCH(ROWS($A$10:$A19)&amp;"Y",IssueTracker[Helper],0)),"")</f>
        <v/>
      </c>
      <c r="O19" s="4" t="str">
        <f>IF(ROWS($A$10:$A19)&lt;=COUNTIF(ImpedTracker[Helper],"*Y"),INDEX(ImpedTracker[Impediment Number],MATCH(ROWS($A$10:$A19)&amp;"Y",ImpedTracker[Helper],0)),"")</f>
        <v/>
      </c>
      <c r="P19" s="19" t="str">
        <f>IF(ROWS($A$10:$A19)&lt;=COUNTIF(ImpedTracker[Helper],"*Y"),INDEX(ImpedTracker[Project Name],MATCH(ROWS($A$10:$A19)&amp;"Y",ImpedTracker[Helper],0)),"")</f>
        <v/>
      </c>
      <c r="Q19" s="19" t="str">
        <f>IF(ROWS($A$10:$A19)&lt;=COUNTIF(ImpedTracker[Helper],"*Y"),INDEX(ImpedTracker[Title],MATCH(ROWS($A$10:$A19)&amp;"Y",ImpedTracker[Helper],0)),"")</f>
        <v/>
      </c>
      <c r="R19" s="13" t="str">
        <f>IF(ROWS($A$10:$A19)&lt;=COUNTIF(ImpedTracker[Helper],"*Y"),INDEX(ImpedTracker[Category],MATCH(ROWS($A$10:$A19)&amp;"Y",ImpedTracker[Helper],0)),"")</f>
        <v/>
      </c>
      <c r="S19" s="13" t="str">
        <f>IF(ROWS($A$10:$A19)&lt;=COUNTIF(ImpedTracker[Helper],"*Y"),INDEX(ImpedTracker[Status],MATCH(ROWS($A$10:$A19)&amp;"Y",ImpedTracker[Helper],0)),"")</f>
        <v/>
      </c>
      <c r="T19" s="33" t="str">
        <f>IF(ROWS($A$10:$A19)&lt;=COUNTIF(ImpedTracker[Helper],"*Y"),INDEX(ImpedTracker[Due Date],MATCH(ROWS($A$10:$A19)&amp;"Y",ImpedTracker[Helper],0)),"")</f>
        <v/>
      </c>
      <c r="U19" s="21" t="str">
        <f>IF(ROWS($A$10:$A19)&lt;=COUNTIF(ImpedTracker[Helper],"*Y"),INDEX(ImpedTracker[Duration (Days)],MATCH(ROWS($A$10:$A19)&amp;"Y",ImpedTracker[Helper],0)),"")</f>
        <v/>
      </c>
      <c r="W19" s="4" t="str">
        <f>IF(ROWS($A$10:$A19)&lt;=COUNTIF(DecisionLog[Helper],"*Y"),INDEX(DecisionLog[Decision Number],MATCH(ROWS($A$10:$A19)&amp;"Y",DecisionLog[Helper],0)),"")</f>
        <v/>
      </c>
      <c r="X19" s="15" t="str">
        <f>IF(ROWS($A$10:$A19)&lt;=COUNTIF(DecisionLog[Helper],"*Y"),INDEX(DecisionLog[Project Name],MATCH(ROWS($A$10:$A19)&amp;"Y",DecisionLog[Helper],0)),"")</f>
        <v/>
      </c>
      <c r="Y19" s="19" t="str">
        <f>IF(ROWS($A$10:$A19)&lt;=COUNTIF(DecisionLog[Helper],"*Y"),INDEX(DecisionLog[Title],MATCH(ROWS($A$10:$A19)&amp;"Y",DecisionLog[Helper],0)),"")</f>
        <v/>
      </c>
      <c r="Z19" s="13" t="str">
        <f>IF(ROWS($A$10:$A19)&lt;=COUNTIF(DecisionLog[Helper],"*Y"),INDEX(DecisionLog[Status],MATCH(ROWS($A$10:$A19)&amp;"Y",DecisionLog[Helper],0)),"")</f>
        <v/>
      </c>
      <c r="AB19" s="4">
        <f>IF(ROWS($A$10:$A19)&lt;=COUNTIF(ActionLog[Helper],"*Y"),INDEX(ActionLog[Task Number],MATCH(ROWS($A$10:$A19)&amp;"Y",ActionLog[Helper],0)),"")</f>
        <v>17</v>
      </c>
      <c r="AC19" s="15" t="str">
        <f>IF(ROWS($A$10:$A19)&lt;=COUNTIF(ActionLog[Helper],"*Y"),INDEX(ActionLog[Project Name],MATCH(ROWS($A$10:$A19)&amp;"Y",ActionLog[Helper],0)),"")</f>
        <v>Small Business DCO</v>
      </c>
      <c r="AD19" s="20" t="str">
        <f>IF(ROWS($A$10:$A19)&lt;=COUNTIF(ActionLog[Helper],"*Y"),INDEX(ActionLog[Title],MATCH(ROWS($A$10:$A19)&amp;"Y",ActionLog[Helper],0)),"")</f>
        <v>Field Spec to Mule API mapping</v>
      </c>
      <c r="AE19" s="13" t="str">
        <f>IF(ROWS($A$10:$A19)&lt;=COUNTIF(ActionLog[Helper],"*Y"),INDEX(ActionLog[Task Status],MATCH(ROWS($A$10:$A19)&amp;"Y",ActionLog[Helper],0)),"")</f>
        <v>Open</v>
      </c>
    </row>
    <row r="20" spans="2:31" s="13" customFormat="1" ht="39.950000000000003" customHeight="1" x14ac:dyDescent="0.25">
      <c r="B20" s="16">
        <f>IF(ROWS($A$10:$A20)&lt;=COUNTIF(RiskTracker[Helper],"*Y"),INDEX(RiskTracker[Risk Number],MATCH(ROWS($A$10:$A20)&amp;"Y",RiskTracker[Helper],0)),"")</f>
        <v>0</v>
      </c>
      <c r="C20" s="15" t="str">
        <f>IF(ROWS($A$10:$A20)&lt;=COUNTIF(RiskTracker[Helper],"*Y"),INDEX(RiskTracker[Project Name],MATCH(ROWS($A$10:$A20)&amp;"Y",RiskTracker[Helper],0)),"")</f>
        <v>Small Business DCO</v>
      </c>
      <c r="D20" s="15" t="str">
        <f>IF(ROWS($A$10:$A20)&lt;=COUNTIF(RiskTracker[Helper],"*Y"),INDEX(RiskTracker[Title],MATCH(ROWS($A$10:$A20)&amp;"Y",RiskTracker[Helper],0)),"")</f>
        <v>OCM Resourcing</v>
      </c>
      <c r="E20" s="14" t="str">
        <f>IF(ROWS($A$10:$A20)&lt;=COUNTIF(RiskTracker[Helper],"*Y"),INDEX(RiskTracker[Category],MATCH(ROWS($A$10:$A20)&amp;"Y",RiskTracker[Helper],0)),"")</f>
        <v>OCM</v>
      </c>
      <c r="F20" s="14">
        <f>IF(ROWS($A$10:$A20)&lt;=COUNTIF(RiskTracker[Helper],"*Y"),INDEX(RiskTracker[Severity],MATCH(ROWS($A$10:$A20)&amp;"Y",RiskTracker[Helper],0)),"")</f>
        <v>0</v>
      </c>
      <c r="G20" s="16">
        <f ca="1">IF(ROWS($A$10:$A20)&lt;=COUNTIF(RiskTracker[Helper],"*Y"),INDEX(RiskTracker[Duration (Days)],MATCH(ROWS($A$10:$A20)&amp;"Y",RiskTracker[Helper],0)),"")</f>
        <v>3</v>
      </c>
      <c r="I20" s="16" t="str">
        <f>IF(ROWS($A$10:$A20)&lt;=COUNTIF(IssueTracker[Helper],"*Y"),INDEX(IssueTracker[Issue Number],MATCH(ROWS($A$10:$A20)&amp;"Y",IssueTracker[Helper],0)),"")</f>
        <v/>
      </c>
      <c r="J20" s="15" t="str">
        <f>IF(ROWS($A$10:$A20)&lt;=COUNTIF(IssueTracker[Helper],"*Y"),INDEX(IssueTracker[Project Name],MATCH(ROWS($A$10:$A20)&amp;"Y",IssueTracker[Helper],0)),"")</f>
        <v/>
      </c>
      <c r="K20" s="15" t="str">
        <f>IF(ROWS($A$10:$A20)&lt;=COUNTIF(IssueTracker[Helper],"*Y"),INDEX(IssueTracker[Title],MATCH(ROWS($A$10:$A20)&amp;"Y",IssueTracker[Helper],0)),"")</f>
        <v/>
      </c>
      <c r="L20" s="15" t="str">
        <f>IF(ROWS($A$10:$A20)&lt;=COUNTIF(IssueTracker[Helper],"*Y"),INDEX(IssueTracker[Severity],MATCH(ROWS($A$10:$A20)&amp;"Y",IssueTracker[Helper],0)),"")</f>
        <v/>
      </c>
      <c r="M20" s="14" t="str">
        <f>IF(ROWS($A$10:$A20)&lt;=COUNTIF(IssueTracker[Helper],"*Y"),INDEX(IssueTracker[Duration (Days)],MATCH(ROWS($A$10:$A20)&amp;"Y",IssueTracker[Helper],0)),"")</f>
        <v/>
      </c>
      <c r="O20" s="4" t="str">
        <f>IF(ROWS($A$10:$A20)&lt;=COUNTIF(ImpedTracker[Helper],"*Y"),INDEX(ImpedTracker[Impediment Number],MATCH(ROWS($A$10:$A20)&amp;"Y",ImpedTracker[Helper],0)),"")</f>
        <v/>
      </c>
      <c r="P20" s="19" t="str">
        <f>IF(ROWS($A$10:$A20)&lt;=COUNTIF(ImpedTracker[Helper],"*Y"),INDEX(ImpedTracker[Project Name],MATCH(ROWS($A$10:$A20)&amp;"Y",ImpedTracker[Helper],0)),"")</f>
        <v/>
      </c>
      <c r="Q20" s="19" t="str">
        <f>IF(ROWS($A$10:$A20)&lt;=COUNTIF(ImpedTracker[Helper],"*Y"),INDEX(ImpedTracker[Title],MATCH(ROWS($A$10:$A20)&amp;"Y",ImpedTracker[Helper],0)),"")</f>
        <v/>
      </c>
      <c r="R20" s="13" t="str">
        <f>IF(ROWS($A$10:$A20)&lt;=COUNTIF(ImpedTracker[Helper],"*Y"),INDEX(ImpedTracker[Category],MATCH(ROWS($A$10:$A20)&amp;"Y",ImpedTracker[Helper],0)),"")</f>
        <v/>
      </c>
      <c r="S20" s="13" t="str">
        <f>IF(ROWS($A$10:$A20)&lt;=COUNTIF(ImpedTracker[Helper],"*Y"),INDEX(ImpedTracker[Status],MATCH(ROWS($A$10:$A20)&amp;"Y",ImpedTracker[Helper],0)),"")</f>
        <v/>
      </c>
      <c r="T20" s="33" t="str">
        <f>IF(ROWS($A$10:$A20)&lt;=COUNTIF(ImpedTracker[Helper],"*Y"),INDEX(ImpedTracker[Due Date],MATCH(ROWS($A$10:$A20)&amp;"Y",ImpedTracker[Helper],0)),"")</f>
        <v/>
      </c>
      <c r="U20" s="21" t="str">
        <f>IF(ROWS($A$10:$A20)&lt;=COUNTIF(ImpedTracker[Helper],"*Y"),INDEX(ImpedTracker[Duration (Days)],MATCH(ROWS($A$10:$A20)&amp;"Y",ImpedTracker[Helper],0)),"")</f>
        <v/>
      </c>
      <c r="W20" s="4" t="str">
        <f>IF(ROWS($A$10:$A20)&lt;=COUNTIF(DecisionLog[Helper],"*Y"),INDEX(DecisionLog[Decision Number],MATCH(ROWS($A$10:$A20)&amp;"Y",DecisionLog[Helper],0)),"")</f>
        <v/>
      </c>
      <c r="X20" s="15" t="str">
        <f>IF(ROWS($A$10:$A20)&lt;=COUNTIF(DecisionLog[Helper],"*Y"),INDEX(DecisionLog[Project Name],MATCH(ROWS($A$10:$A20)&amp;"Y",DecisionLog[Helper],0)),"")</f>
        <v/>
      </c>
      <c r="Y20" s="19" t="str">
        <f>IF(ROWS($A$10:$A20)&lt;=COUNTIF(DecisionLog[Helper],"*Y"),INDEX(DecisionLog[Title],MATCH(ROWS($A$10:$A20)&amp;"Y",DecisionLog[Helper],0)),"")</f>
        <v/>
      </c>
      <c r="Z20" s="13" t="str">
        <f>IF(ROWS($A$10:$A20)&lt;=COUNTIF(DecisionLog[Helper],"*Y"),INDEX(DecisionLog[Status],MATCH(ROWS($A$10:$A20)&amp;"Y",DecisionLog[Helper],0)),"")</f>
        <v/>
      </c>
      <c r="AB20" s="4">
        <f>IF(ROWS($A$10:$A20)&lt;=COUNTIF(ActionLog[Helper],"*Y"),INDEX(ActionLog[Task Number],MATCH(ROWS($A$10:$A20)&amp;"Y",ActionLog[Helper],0)),"")</f>
        <v>18</v>
      </c>
      <c r="AC20" s="15" t="str">
        <f>IF(ROWS($A$10:$A20)&lt;=COUNTIF(ActionLog[Helper],"*Y"),INDEX(ActionLog[Project Name],MATCH(ROWS($A$10:$A20)&amp;"Y",ActionLog[Helper],0)),"")</f>
        <v>Small Business DCO</v>
      </c>
      <c r="AD20" s="20" t="str">
        <f>IF(ROWS($A$10:$A20)&lt;=COUNTIF(ActionLog[Helper],"*Y"),INDEX(ActionLog[Title],MATCH(ROWS($A$10:$A20)&amp;"Y",ActionLog[Helper],0)),"")</f>
        <v>Codat Integration Meeting</v>
      </c>
      <c r="AE20" s="13">
        <f>IF(ROWS($A$10:$A20)&lt;=COUNTIF(ActionLog[Helper],"*Y"),INDEX(ActionLog[Task Status],MATCH(ROWS($A$10:$A20)&amp;"Y",ActionLog[Helper],0)),"")</f>
        <v>0</v>
      </c>
    </row>
    <row r="21" spans="2:31" s="13" customFormat="1" ht="39.950000000000003" customHeight="1" x14ac:dyDescent="0.25">
      <c r="B21" s="16">
        <f>IF(ROWS($A$10:$A21)&lt;=COUNTIF(RiskTracker[Helper],"*Y"),INDEX(RiskTracker[Risk Number],MATCH(ROWS($A$10:$A21)&amp;"Y",RiskTracker[Helper],0)),"")</f>
        <v>0</v>
      </c>
      <c r="C21" s="15" t="str">
        <f>IF(ROWS($A$10:$A21)&lt;=COUNTIF(RiskTracker[Helper],"*Y"),INDEX(RiskTracker[Project Name],MATCH(ROWS($A$10:$A21)&amp;"Y",RiskTracker[Helper],0)),"")</f>
        <v>Small Business DCO</v>
      </c>
      <c r="D21" s="15" t="str">
        <f>IF(ROWS($A$10:$A21)&lt;=COUNTIF(RiskTracker[Helper],"*Y"),INDEX(RiskTracker[Title],MATCH(ROWS($A$10:$A21)&amp;"Y",RiskTracker[Helper],0)),"")</f>
        <v>QA Resourcing</v>
      </c>
      <c r="E21" s="14">
        <f>IF(ROWS($A$10:$A21)&lt;=COUNTIF(RiskTracker[Helper],"*Y"),INDEX(RiskTracker[Category],MATCH(ROWS($A$10:$A21)&amp;"Y",RiskTracker[Helper],0)),"")</f>
        <v>0</v>
      </c>
      <c r="F21" s="14">
        <f>IF(ROWS($A$10:$A21)&lt;=COUNTIF(RiskTracker[Helper],"*Y"),INDEX(RiskTracker[Severity],MATCH(ROWS($A$10:$A21)&amp;"Y",RiskTracker[Helper],0)),"")</f>
        <v>0</v>
      </c>
      <c r="G21" s="16">
        <f ca="1">IF(ROWS($A$10:$A21)&lt;=COUNTIF(RiskTracker[Helper],"*Y"),INDEX(RiskTracker[Duration (Days)],MATCH(ROWS($A$10:$A21)&amp;"Y",RiskTracker[Helper],0)),"")</f>
        <v>23</v>
      </c>
      <c r="I21" s="16" t="str">
        <f>IF(ROWS($A$10:$A21)&lt;=COUNTIF(IssueTracker[Helper],"*Y"),INDEX(IssueTracker[Issue Number],MATCH(ROWS($A$10:$A21)&amp;"Y",IssueTracker[Helper],0)),"")</f>
        <v/>
      </c>
      <c r="J21" s="15" t="str">
        <f>IF(ROWS($A$10:$A21)&lt;=COUNTIF(IssueTracker[Helper],"*Y"),INDEX(IssueTracker[Project Name],MATCH(ROWS($A$10:$A21)&amp;"Y",IssueTracker[Helper],0)),"")</f>
        <v/>
      </c>
      <c r="K21" s="15" t="str">
        <f>IF(ROWS($A$10:$A21)&lt;=COUNTIF(IssueTracker[Helper],"*Y"),INDEX(IssueTracker[Title],MATCH(ROWS($A$10:$A21)&amp;"Y",IssueTracker[Helper],0)),"")</f>
        <v/>
      </c>
      <c r="L21" s="15" t="str">
        <f>IF(ROWS($A$10:$A21)&lt;=COUNTIF(IssueTracker[Helper],"*Y"),INDEX(IssueTracker[Severity],MATCH(ROWS($A$10:$A21)&amp;"Y",IssueTracker[Helper],0)),"")</f>
        <v/>
      </c>
      <c r="M21" s="14" t="str">
        <f>IF(ROWS($A$10:$A21)&lt;=COUNTIF(IssueTracker[Helper],"*Y"),INDEX(IssueTracker[Duration (Days)],MATCH(ROWS($A$10:$A21)&amp;"Y",IssueTracker[Helper],0)),"")</f>
        <v/>
      </c>
      <c r="O21" s="4" t="str">
        <f>IF(ROWS($A$10:$A21)&lt;=COUNTIF(ImpedTracker[Helper],"*Y"),INDEX(ImpedTracker[Impediment Number],MATCH(ROWS($A$10:$A21)&amp;"Y",ImpedTracker[Helper],0)),"")</f>
        <v/>
      </c>
      <c r="P21" s="19" t="str">
        <f>IF(ROWS($A$10:$A21)&lt;=COUNTIF(ImpedTracker[Helper],"*Y"),INDEX(ImpedTracker[Project Name],MATCH(ROWS($A$10:$A21)&amp;"Y",ImpedTracker[Helper],0)),"")</f>
        <v/>
      </c>
      <c r="Q21" s="19" t="str">
        <f>IF(ROWS($A$10:$A21)&lt;=COUNTIF(ImpedTracker[Helper],"*Y"),INDEX(ImpedTracker[Title],MATCH(ROWS($A$10:$A21)&amp;"Y",ImpedTracker[Helper],0)),"")</f>
        <v/>
      </c>
      <c r="R21" s="13" t="str">
        <f>IF(ROWS($A$10:$A21)&lt;=COUNTIF(ImpedTracker[Helper],"*Y"),INDEX(ImpedTracker[Category],MATCH(ROWS($A$10:$A21)&amp;"Y",ImpedTracker[Helper],0)),"")</f>
        <v/>
      </c>
      <c r="S21" s="13" t="str">
        <f>IF(ROWS($A$10:$A21)&lt;=COUNTIF(ImpedTracker[Helper],"*Y"),INDEX(ImpedTracker[Status],MATCH(ROWS($A$10:$A21)&amp;"Y",ImpedTracker[Helper],0)),"")</f>
        <v/>
      </c>
      <c r="T21" s="33" t="str">
        <f>IF(ROWS($A$10:$A21)&lt;=COUNTIF(ImpedTracker[Helper],"*Y"),INDEX(ImpedTracker[Due Date],MATCH(ROWS($A$10:$A21)&amp;"Y",ImpedTracker[Helper],0)),"")</f>
        <v/>
      </c>
      <c r="U21" s="21" t="str">
        <f>IF(ROWS($A$10:$A21)&lt;=COUNTIF(ImpedTracker[Helper],"*Y"),INDEX(ImpedTracker[Duration (Days)],MATCH(ROWS($A$10:$A21)&amp;"Y",ImpedTracker[Helper],0)),"")</f>
        <v/>
      </c>
      <c r="W21" s="4" t="str">
        <f>IF(ROWS($A$10:$A21)&lt;=COUNTIF(DecisionLog[Helper],"*Y"),INDEX(DecisionLog[Decision Number],MATCH(ROWS($A$10:$A21)&amp;"Y",DecisionLog[Helper],0)),"")</f>
        <v/>
      </c>
      <c r="X21" s="15" t="str">
        <f>IF(ROWS($A$10:$A21)&lt;=COUNTIF(DecisionLog[Helper],"*Y"),INDEX(DecisionLog[Project Name],MATCH(ROWS($A$10:$A21)&amp;"Y",DecisionLog[Helper],0)),"")</f>
        <v/>
      </c>
      <c r="Y21" s="19" t="str">
        <f>IF(ROWS($A$10:$A21)&lt;=COUNTIF(DecisionLog[Helper],"*Y"),INDEX(DecisionLog[Title],MATCH(ROWS($A$10:$A21)&amp;"Y",DecisionLog[Helper],0)),"")</f>
        <v/>
      </c>
      <c r="Z21" s="13" t="str">
        <f>IF(ROWS($A$10:$A21)&lt;=COUNTIF(DecisionLog[Helper],"*Y"),INDEX(DecisionLog[Status],MATCH(ROWS($A$10:$A21)&amp;"Y",DecisionLog[Helper],0)),"")</f>
        <v/>
      </c>
      <c r="AB21" s="4">
        <f>IF(ROWS($A$10:$A21)&lt;=COUNTIF(ActionLog[Helper],"*Y"),INDEX(ActionLog[Task Number],MATCH(ROWS($A$10:$A21)&amp;"Y",ActionLog[Helper],0)),"")</f>
        <v>19</v>
      </c>
      <c r="AC21" s="15" t="str">
        <f>IF(ROWS($A$10:$A21)&lt;=COUNTIF(ActionLog[Helper],"*Y"),INDEX(ActionLog[Project Name],MATCH(ROWS($A$10:$A21)&amp;"Y",ActionLog[Helper],0)),"")</f>
        <v>Small Business DCO</v>
      </c>
      <c r="AD21" s="20" t="str">
        <f>IF(ROWS($A$10:$A21)&lt;=COUNTIF(ActionLog[Helper],"*Y"),INDEX(ActionLog[Title],MATCH(ROWS($A$10:$A21)&amp;"Y",ActionLog[Helper],0)),"")</f>
        <v>Avoka Mapping Questions</v>
      </c>
      <c r="AE21" s="13" t="str">
        <f>IF(ROWS($A$10:$A21)&lt;=COUNTIF(ActionLog[Helper],"*Y"),INDEX(ActionLog[Task Status],MATCH(ROWS($A$10:$A21)&amp;"Y",ActionLog[Helper],0)),"")</f>
        <v>In Progress</v>
      </c>
    </row>
    <row r="22" spans="2:31" s="13" customFormat="1" ht="39.950000000000003" customHeight="1" x14ac:dyDescent="0.25">
      <c r="B22" s="16">
        <f>IF(ROWS($A$10:$A22)&lt;=COUNTIF(RiskTracker[Helper],"*Y"),INDEX(RiskTracker[Risk Number],MATCH(ROWS($A$10:$A22)&amp;"Y",RiskTracker[Helper],0)),"")</f>
        <v>0</v>
      </c>
      <c r="C22" s="15" t="str">
        <f>IF(ROWS($A$10:$A22)&lt;=COUNTIF(RiskTracker[Helper],"*Y"),INDEX(RiskTracker[Project Name],MATCH(ROWS($A$10:$A22)&amp;"Y",RiskTracker[Helper],0)),"")</f>
        <v>Small Business DCO</v>
      </c>
      <c r="D22" s="15" t="str">
        <f>IF(ROWS($A$10:$A22)&lt;=COUNTIF(RiskTracker[Helper],"*Y"),INDEX(RiskTracker[Title],MATCH(ROWS($A$10:$A22)&amp;"Y",RiskTracker[Helper],0)),"")</f>
        <v>PM resourcing</v>
      </c>
      <c r="E22" s="14">
        <f>IF(ROWS($A$10:$A22)&lt;=COUNTIF(RiskTracker[Helper],"*Y"),INDEX(RiskTracker[Category],MATCH(ROWS($A$10:$A22)&amp;"Y",RiskTracker[Helper],0)),"")</f>
        <v>0</v>
      </c>
      <c r="F22" s="14">
        <f>IF(ROWS($A$10:$A22)&lt;=COUNTIF(RiskTracker[Helper],"*Y"),INDEX(RiskTracker[Severity],MATCH(ROWS($A$10:$A22)&amp;"Y",RiskTracker[Helper],0)),"")</f>
        <v>0</v>
      </c>
      <c r="G22" s="16">
        <f ca="1">IF(ROWS($A$10:$A22)&lt;=COUNTIF(RiskTracker[Helper],"*Y"),INDEX(RiskTracker[Duration (Days)],MATCH(ROWS($A$10:$A22)&amp;"Y",RiskTracker[Helper],0)),"")</f>
        <v>20</v>
      </c>
      <c r="I22" s="16" t="str">
        <f>IF(ROWS($A$10:$A22)&lt;=COUNTIF(IssueTracker[Helper],"*Y"),INDEX(IssueTracker[Issue Number],MATCH(ROWS($A$10:$A22)&amp;"Y",IssueTracker[Helper],0)),"")</f>
        <v/>
      </c>
      <c r="J22" s="15" t="str">
        <f>IF(ROWS($A$10:$A22)&lt;=COUNTIF(IssueTracker[Helper],"*Y"),INDEX(IssueTracker[Project Name],MATCH(ROWS($A$10:$A22)&amp;"Y",IssueTracker[Helper],0)),"")</f>
        <v/>
      </c>
      <c r="K22" s="15" t="str">
        <f>IF(ROWS($A$10:$A22)&lt;=COUNTIF(IssueTracker[Helper],"*Y"),INDEX(IssueTracker[Title],MATCH(ROWS($A$10:$A22)&amp;"Y",IssueTracker[Helper],0)),"")</f>
        <v/>
      </c>
      <c r="L22" s="15" t="str">
        <f>IF(ROWS($A$10:$A22)&lt;=COUNTIF(IssueTracker[Helper],"*Y"),INDEX(IssueTracker[Severity],MATCH(ROWS($A$10:$A22)&amp;"Y",IssueTracker[Helper],0)),"")</f>
        <v/>
      </c>
      <c r="M22" s="14" t="str">
        <f>IF(ROWS($A$10:$A22)&lt;=COUNTIF(IssueTracker[Helper],"*Y"),INDEX(IssueTracker[Duration (Days)],MATCH(ROWS($A$10:$A22)&amp;"Y",IssueTracker[Helper],0)),"")</f>
        <v/>
      </c>
      <c r="O22" s="4" t="str">
        <f>IF(ROWS($A$10:$A22)&lt;=COUNTIF(ImpedTracker[Helper],"*Y"),INDEX(ImpedTracker[Impediment Number],MATCH(ROWS($A$10:$A22)&amp;"Y",ImpedTracker[Helper],0)),"")</f>
        <v/>
      </c>
      <c r="P22" s="19" t="str">
        <f>IF(ROWS($A$10:$A22)&lt;=COUNTIF(ImpedTracker[Helper],"*Y"),INDEX(ImpedTracker[Project Name],MATCH(ROWS($A$10:$A22)&amp;"Y",ImpedTracker[Helper],0)),"")</f>
        <v/>
      </c>
      <c r="Q22" s="19" t="str">
        <f>IF(ROWS($A$10:$A22)&lt;=COUNTIF(ImpedTracker[Helper],"*Y"),INDEX(ImpedTracker[Title],MATCH(ROWS($A$10:$A22)&amp;"Y",ImpedTracker[Helper],0)),"")</f>
        <v/>
      </c>
      <c r="R22" s="13" t="str">
        <f>IF(ROWS($A$10:$A22)&lt;=COUNTIF(ImpedTracker[Helper],"*Y"),INDEX(ImpedTracker[Category],MATCH(ROWS($A$10:$A22)&amp;"Y",ImpedTracker[Helper],0)),"")</f>
        <v/>
      </c>
      <c r="S22" s="13" t="str">
        <f>IF(ROWS($A$10:$A22)&lt;=COUNTIF(ImpedTracker[Helper],"*Y"),INDEX(ImpedTracker[Status],MATCH(ROWS($A$10:$A22)&amp;"Y",ImpedTracker[Helper],0)),"")</f>
        <v/>
      </c>
      <c r="T22" s="33" t="str">
        <f>IF(ROWS($A$10:$A22)&lt;=COUNTIF(ImpedTracker[Helper],"*Y"),INDEX(ImpedTracker[Due Date],MATCH(ROWS($A$10:$A22)&amp;"Y",ImpedTracker[Helper],0)),"")</f>
        <v/>
      </c>
      <c r="U22" s="21" t="str">
        <f>IF(ROWS($A$10:$A22)&lt;=COUNTIF(ImpedTracker[Helper],"*Y"),INDEX(ImpedTracker[Duration (Days)],MATCH(ROWS($A$10:$A22)&amp;"Y",ImpedTracker[Helper],0)),"")</f>
        <v/>
      </c>
      <c r="W22" s="4" t="str">
        <f>IF(ROWS($A$10:$A22)&lt;=COUNTIF(DecisionLog[Helper],"*Y"),INDEX(DecisionLog[Decision Number],MATCH(ROWS($A$10:$A22)&amp;"Y",DecisionLog[Helper],0)),"")</f>
        <v/>
      </c>
      <c r="X22" s="15" t="str">
        <f>IF(ROWS($A$10:$A22)&lt;=COUNTIF(DecisionLog[Helper],"*Y"),INDEX(DecisionLog[Project Name],MATCH(ROWS($A$10:$A22)&amp;"Y",DecisionLog[Helper],0)),"")</f>
        <v/>
      </c>
      <c r="Y22" s="19" t="str">
        <f>IF(ROWS($A$10:$A22)&lt;=COUNTIF(DecisionLog[Helper],"*Y"),INDEX(DecisionLog[Title],MATCH(ROWS($A$10:$A22)&amp;"Y",DecisionLog[Helper],0)),"")</f>
        <v/>
      </c>
      <c r="Z22" s="13" t="str">
        <f>IF(ROWS($A$10:$A22)&lt;=COUNTIF(DecisionLog[Helper],"*Y"),INDEX(DecisionLog[Status],MATCH(ROWS($A$10:$A22)&amp;"Y",DecisionLog[Helper],0)),"")</f>
        <v/>
      </c>
      <c r="AB22" s="4">
        <f>IF(ROWS($A$10:$A22)&lt;=COUNTIF(ActionLog[Helper],"*Y"),INDEX(ActionLog[Task Number],MATCH(ROWS($A$10:$A22)&amp;"Y",ActionLog[Helper],0)),"")</f>
        <v>20</v>
      </c>
      <c r="AC22" s="15" t="str">
        <f>IF(ROWS($A$10:$A22)&lt;=COUNTIF(ActionLog[Helper],"*Y"),INDEX(ActionLog[Project Name],MATCH(ROWS($A$10:$A22)&amp;"Y",ActionLog[Helper],0)),"")</f>
        <v>Small Business DCO</v>
      </c>
      <c r="AD22" s="20" t="str">
        <f>IF(ROWS($A$10:$A22)&lt;=COUNTIF(ActionLog[Helper],"*Y"),INDEX(ActionLog[Title],MATCH(ROWS($A$10:$A22)&amp;"Y",ActionLog[Helper],0)),"")</f>
        <v>Supporting BIG on SBDCO service questions</v>
      </c>
      <c r="AE22" s="13">
        <f>IF(ROWS($A$10:$A22)&lt;=COUNTIF(ActionLog[Helper],"*Y"),INDEX(ActionLog[Task Status],MATCH(ROWS($A$10:$A22)&amp;"Y",ActionLog[Helper],0)),"")</f>
        <v>0</v>
      </c>
    </row>
    <row r="23" spans="2:31" s="13" customFormat="1" ht="39.950000000000003" customHeight="1" x14ac:dyDescent="0.25">
      <c r="B23" s="16">
        <f>IF(ROWS($A$10:$A23)&lt;=COUNTIF(RiskTracker[Helper],"*Y"),INDEX(RiskTracker[Risk Number],MATCH(ROWS($A$10:$A23)&amp;"Y",RiskTracker[Helper],0)),"")</f>
        <v>0</v>
      </c>
      <c r="C23" s="15" t="str">
        <f>IF(ROWS($A$10:$A23)&lt;=COUNTIF(RiskTracker[Helper],"*Y"),INDEX(RiskTracker[Project Name],MATCH(ROWS($A$10:$A23)&amp;"Y",RiskTracker[Helper],0)),"")</f>
        <v>Small Business DCO</v>
      </c>
      <c r="D23" s="15" t="str">
        <f>IF(ROWS($A$10:$A23)&lt;=COUNTIF(RiskTracker[Helper],"*Y"),INDEX(RiskTracker[Title],MATCH(ROWS($A$10:$A23)&amp;"Y",RiskTracker[Helper],0)),"")</f>
        <v>Timeline</v>
      </c>
      <c r="E23" s="14">
        <f>IF(ROWS($A$10:$A23)&lt;=COUNTIF(RiskTracker[Helper],"*Y"),INDEX(RiskTracker[Category],MATCH(ROWS($A$10:$A23)&amp;"Y",RiskTracker[Helper],0)),"")</f>
        <v>0</v>
      </c>
      <c r="F23" s="14">
        <f>IF(ROWS($A$10:$A23)&lt;=COUNTIF(RiskTracker[Helper],"*Y"),INDEX(RiskTracker[Severity],MATCH(ROWS($A$10:$A23)&amp;"Y",RiskTracker[Helper],0)),"")</f>
        <v>0</v>
      </c>
      <c r="G23" s="16">
        <f ca="1">IF(ROWS($A$10:$A23)&lt;=COUNTIF(RiskTracker[Helper],"*Y"),INDEX(RiskTracker[Duration (Days)],MATCH(ROWS($A$10:$A23)&amp;"Y",RiskTracker[Helper],0)),"")</f>
        <v>0</v>
      </c>
      <c r="I23" s="16" t="str">
        <f>IF(ROWS($A$10:$A23)&lt;=COUNTIF(IssueTracker[Helper],"*Y"),INDEX(IssueTracker[Issue Number],MATCH(ROWS($A$10:$A23)&amp;"Y",IssueTracker[Helper],0)),"")</f>
        <v/>
      </c>
      <c r="J23" s="15" t="str">
        <f>IF(ROWS($A$10:$A23)&lt;=COUNTIF(IssueTracker[Helper],"*Y"),INDEX(IssueTracker[Project Name],MATCH(ROWS($A$10:$A23)&amp;"Y",IssueTracker[Helper],0)),"")</f>
        <v/>
      </c>
      <c r="K23" s="15" t="str">
        <f>IF(ROWS($A$10:$A23)&lt;=COUNTIF(IssueTracker[Helper],"*Y"),INDEX(IssueTracker[Title],MATCH(ROWS($A$10:$A23)&amp;"Y",IssueTracker[Helper],0)),"")</f>
        <v/>
      </c>
      <c r="L23" s="15" t="str">
        <f>IF(ROWS($A$10:$A23)&lt;=COUNTIF(IssueTracker[Helper],"*Y"),INDEX(IssueTracker[Severity],MATCH(ROWS($A$10:$A23)&amp;"Y",IssueTracker[Helper],0)),"")</f>
        <v/>
      </c>
      <c r="M23" s="14" t="str">
        <f>IF(ROWS($A$10:$A23)&lt;=COUNTIF(IssueTracker[Helper],"*Y"),INDEX(IssueTracker[Duration (Days)],MATCH(ROWS($A$10:$A23)&amp;"Y",IssueTracker[Helper],0)),"")</f>
        <v/>
      </c>
      <c r="O23" s="4" t="str">
        <f>IF(ROWS($A$10:$A23)&lt;=COUNTIF(ImpedTracker[Helper],"*Y"),INDEX(ImpedTracker[Impediment Number],MATCH(ROWS($A$10:$A23)&amp;"Y",ImpedTracker[Helper],0)),"")</f>
        <v/>
      </c>
      <c r="P23" s="19" t="str">
        <f>IF(ROWS($A$10:$A23)&lt;=COUNTIF(ImpedTracker[Helper],"*Y"),INDEX(ImpedTracker[Project Name],MATCH(ROWS($A$10:$A23)&amp;"Y",ImpedTracker[Helper],0)),"")</f>
        <v/>
      </c>
      <c r="Q23" s="19" t="str">
        <f>IF(ROWS($A$10:$A23)&lt;=COUNTIF(ImpedTracker[Helper],"*Y"),INDEX(ImpedTracker[Title],MATCH(ROWS($A$10:$A23)&amp;"Y",ImpedTracker[Helper],0)),"")</f>
        <v/>
      </c>
      <c r="R23" s="13" t="str">
        <f>IF(ROWS($A$10:$A23)&lt;=COUNTIF(ImpedTracker[Helper],"*Y"),INDEX(ImpedTracker[Category],MATCH(ROWS($A$10:$A23)&amp;"Y",ImpedTracker[Helper],0)),"")</f>
        <v/>
      </c>
      <c r="S23" s="13" t="str">
        <f>IF(ROWS($A$10:$A23)&lt;=COUNTIF(ImpedTracker[Helper],"*Y"),INDEX(ImpedTracker[Status],MATCH(ROWS($A$10:$A23)&amp;"Y",ImpedTracker[Helper],0)),"")</f>
        <v/>
      </c>
      <c r="T23" s="33" t="str">
        <f>IF(ROWS($A$10:$A23)&lt;=COUNTIF(ImpedTracker[Helper],"*Y"),INDEX(ImpedTracker[Due Date],MATCH(ROWS($A$10:$A23)&amp;"Y",ImpedTracker[Helper],0)),"")</f>
        <v/>
      </c>
      <c r="U23" s="21" t="str">
        <f>IF(ROWS($A$10:$A23)&lt;=COUNTIF(ImpedTracker[Helper],"*Y"),INDEX(ImpedTracker[Duration (Days)],MATCH(ROWS($A$10:$A23)&amp;"Y",ImpedTracker[Helper],0)),"")</f>
        <v/>
      </c>
      <c r="W23" s="4" t="str">
        <f>IF(ROWS($A$10:$A23)&lt;=COUNTIF(DecisionLog[Helper],"*Y"),INDEX(DecisionLog[Decision Number],MATCH(ROWS($A$10:$A23)&amp;"Y",DecisionLog[Helper],0)),"")</f>
        <v/>
      </c>
      <c r="X23" s="15" t="str">
        <f>IF(ROWS($A$10:$A23)&lt;=COUNTIF(DecisionLog[Helper],"*Y"),INDEX(DecisionLog[Project Name],MATCH(ROWS($A$10:$A23)&amp;"Y",DecisionLog[Helper],0)),"")</f>
        <v/>
      </c>
      <c r="Y23" s="19" t="str">
        <f>IF(ROWS($A$10:$A23)&lt;=COUNTIF(DecisionLog[Helper],"*Y"),INDEX(DecisionLog[Title],MATCH(ROWS($A$10:$A23)&amp;"Y",DecisionLog[Helper],0)),"")</f>
        <v/>
      </c>
      <c r="Z23" s="13" t="str">
        <f>IF(ROWS($A$10:$A23)&lt;=COUNTIF(DecisionLog[Helper],"*Y"),INDEX(DecisionLog[Status],MATCH(ROWS($A$10:$A23)&amp;"Y",DecisionLog[Helper],0)),"")</f>
        <v/>
      </c>
      <c r="AB23" s="4">
        <f>IF(ROWS($A$10:$A23)&lt;=COUNTIF(ActionLog[Helper],"*Y"),INDEX(ActionLog[Task Number],MATCH(ROWS($A$10:$A23)&amp;"Y",ActionLog[Helper],0)),"")</f>
        <v>22</v>
      </c>
      <c r="AC23" s="15" t="str">
        <f>IF(ROWS($A$10:$A23)&lt;=COUNTIF(ActionLog[Helper],"*Y"),INDEX(ActionLog[Project Name],MATCH(ROWS($A$10:$A23)&amp;"Y",ActionLog[Helper],0)),"")</f>
        <v>Small Business DCO</v>
      </c>
      <c r="AD23" s="20" t="str">
        <f>IF(ROWS($A$10:$A23)&lt;=COUNTIF(ActionLog[Helper],"*Y"),INDEX(ActionLog[Title],MATCH(ROWS($A$10:$A23)&amp;"Y",ActionLog[Helper],0)),"")</f>
        <v>Create Business Account</v>
      </c>
      <c r="AE23" s="13">
        <f>IF(ROWS($A$10:$A23)&lt;=COUNTIF(ActionLog[Helper],"*Y"),INDEX(ActionLog[Task Status],MATCH(ROWS($A$10:$A23)&amp;"Y",ActionLog[Helper],0)),"")</f>
        <v>0</v>
      </c>
    </row>
    <row r="24" spans="2:31" s="13" customFormat="1" ht="39.950000000000003" customHeight="1" x14ac:dyDescent="0.25">
      <c r="B24" s="16" t="str">
        <f>IF(ROWS($A$10:$A24)&lt;=COUNTIF(RiskTracker[Helper],"*Y"),INDEX(RiskTracker[Risk Number],MATCH(ROWS($A$10:$A24)&amp;"Y",RiskTracker[Helper],0)),"")</f>
        <v/>
      </c>
      <c r="C24" s="15" t="str">
        <f>IF(ROWS($A$10:$A24)&lt;=COUNTIF(RiskTracker[Helper],"*Y"),INDEX(RiskTracker[Project Name],MATCH(ROWS($A$10:$A24)&amp;"Y",RiskTracker[Helper],0)),"")</f>
        <v/>
      </c>
      <c r="D24" s="15" t="str">
        <f>IF(ROWS($A$10:$A24)&lt;=COUNTIF(RiskTracker[Helper],"*Y"),INDEX(RiskTracker[Title],MATCH(ROWS($A$10:$A24)&amp;"Y",RiskTracker[Helper],0)),"")</f>
        <v/>
      </c>
      <c r="E24" s="14" t="str">
        <f>IF(ROWS($A$10:$A24)&lt;=COUNTIF(RiskTracker[Helper],"*Y"),INDEX(RiskTracker[Category],MATCH(ROWS($A$10:$A24)&amp;"Y",RiskTracker[Helper],0)),"")</f>
        <v/>
      </c>
      <c r="F24" s="14" t="str">
        <f>IF(ROWS($A$10:$A24)&lt;=COUNTIF(RiskTracker[Helper],"*Y"),INDEX(RiskTracker[Severity],MATCH(ROWS($A$10:$A24)&amp;"Y",RiskTracker[Helper],0)),"")</f>
        <v/>
      </c>
      <c r="G24" s="16" t="str">
        <f>IF(ROWS($A$10:$A24)&lt;=COUNTIF(RiskTracker[Helper],"*Y"),INDEX(RiskTracker[Duration (Days)],MATCH(ROWS($A$10:$A24)&amp;"Y",RiskTracker[Helper],0)),"")</f>
        <v/>
      </c>
      <c r="I24" s="16" t="str">
        <f>IF(ROWS($A$10:$A24)&lt;=COUNTIF(IssueTracker[Helper],"*Y"),INDEX(IssueTracker[Issue Number],MATCH(ROWS($A$10:$A24)&amp;"Y",IssueTracker[Helper],0)),"")</f>
        <v/>
      </c>
      <c r="J24" s="15" t="str">
        <f>IF(ROWS($A$10:$A24)&lt;=COUNTIF(IssueTracker[Helper],"*Y"),INDEX(IssueTracker[Project Name],MATCH(ROWS($A$10:$A24)&amp;"Y",IssueTracker[Helper],0)),"")</f>
        <v/>
      </c>
      <c r="K24" s="15" t="str">
        <f>IF(ROWS($A$10:$A24)&lt;=COUNTIF(IssueTracker[Helper],"*Y"),INDEX(IssueTracker[Title],MATCH(ROWS($A$10:$A24)&amp;"Y",IssueTracker[Helper],0)),"")</f>
        <v/>
      </c>
      <c r="L24" s="15" t="str">
        <f>IF(ROWS($A$10:$A24)&lt;=COUNTIF(IssueTracker[Helper],"*Y"),INDEX(IssueTracker[Severity],MATCH(ROWS($A$10:$A24)&amp;"Y",IssueTracker[Helper],0)),"")</f>
        <v/>
      </c>
      <c r="M24" s="14" t="str">
        <f>IF(ROWS($A$10:$A24)&lt;=COUNTIF(IssueTracker[Helper],"*Y"),INDEX(IssueTracker[Duration (Days)],MATCH(ROWS($A$10:$A24)&amp;"Y",IssueTracker[Helper],0)),"")</f>
        <v/>
      </c>
      <c r="O24" s="4" t="str">
        <f>IF(ROWS($A$10:$A24)&lt;=COUNTIF(ImpedTracker[Helper],"*Y"),INDEX(ImpedTracker[Impediment Number],MATCH(ROWS($A$10:$A24)&amp;"Y",ImpedTracker[Helper],0)),"")</f>
        <v/>
      </c>
      <c r="P24" s="19" t="str">
        <f>IF(ROWS($A$10:$A24)&lt;=COUNTIF(ImpedTracker[Helper],"*Y"),INDEX(ImpedTracker[Project Name],MATCH(ROWS($A$10:$A24)&amp;"Y",ImpedTracker[Helper],0)),"")</f>
        <v/>
      </c>
      <c r="Q24" s="19" t="str">
        <f>IF(ROWS($A$10:$A24)&lt;=COUNTIF(ImpedTracker[Helper],"*Y"),INDEX(ImpedTracker[Title],MATCH(ROWS($A$10:$A24)&amp;"Y",ImpedTracker[Helper],0)),"")</f>
        <v/>
      </c>
      <c r="R24" s="13" t="str">
        <f>IF(ROWS($A$10:$A24)&lt;=COUNTIF(ImpedTracker[Helper],"*Y"),INDEX(ImpedTracker[Category],MATCH(ROWS($A$10:$A24)&amp;"Y",ImpedTracker[Helper],0)),"")</f>
        <v/>
      </c>
      <c r="S24" s="13" t="str">
        <f>IF(ROWS($A$10:$A24)&lt;=COUNTIF(ImpedTracker[Helper],"*Y"),INDEX(ImpedTracker[Status],MATCH(ROWS($A$10:$A24)&amp;"Y",ImpedTracker[Helper],0)),"")</f>
        <v/>
      </c>
      <c r="T24" s="33" t="str">
        <f>IF(ROWS($A$10:$A24)&lt;=COUNTIF(ImpedTracker[Helper],"*Y"),INDEX(ImpedTracker[Due Date],MATCH(ROWS($A$10:$A24)&amp;"Y",ImpedTracker[Helper],0)),"")</f>
        <v/>
      </c>
      <c r="U24" s="21" t="str">
        <f>IF(ROWS($A$10:$A24)&lt;=COUNTIF(ImpedTracker[Helper],"*Y"),INDEX(ImpedTracker[Duration (Days)],MATCH(ROWS($A$10:$A24)&amp;"Y",ImpedTracker[Helper],0)),"")</f>
        <v/>
      </c>
      <c r="W24" s="4" t="str">
        <f>IF(ROWS($A$10:$A24)&lt;=COUNTIF(DecisionLog[Helper],"*Y"),INDEX(DecisionLog[Decision Number],MATCH(ROWS($A$10:$A24)&amp;"Y",DecisionLog[Helper],0)),"")</f>
        <v/>
      </c>
      <c r="X24" s="15" t="str">
        <f>IF(ROWS($A$10:$A24)&lt;=COUNTIF(DecisionLog[Helper],"*Y"),INDEX(DecisionLog[Project Name],MATCH(ROWS($A$10:$A24)&amp;"Y",DecisionLog[Helper],0)),"")</f>
        <v/>
      </c>
      <c r="Y24" s="19" t="str">
        <f>IF(ROWS($A$10:$A24)&lt;=COUNTIF(DecisionLog[Helper],"*Y"),INDEX(DecisionLog[Title],MATCH(ROWS($A$10:$A24)&amp;"Y",DecisionLog[Helper],0)),"")</f>
        <v/>
      </c>
      <c r="Z24" s="13" t="str">
        <f>IF(ROWS($A$10:$A24)&lt;=COUNTIF(DecisionLog[Helper],"*Y"),INDEX(DecisionLog[Status],MATCH(ROWS($A$10:$A24)&amp;"Y",DecisionLog[Helper],0)),"")</f>
        <v/>
      </c>
      <c r="AB24" s="4">
        <f>IF(ROWS($A$10:$A24)&lt;=COUNTIF(ActionLog[Helper],"*Y"),INDEX(ActionLog[Task Number],MATCH(ROWS($A$10:$A24)&amp;"Y",ActionLog[Helper],0)),"")</f>
        <v>23</v>
      </c>
      <c r="AC24" s="15" t="str">
        <f>IF(ROWS($A$10:$A24)&lt;=COUNTIF(ActionLog[Helper],"*Y"),INDEX(ActionLog[Project Name],MATCH(ROWS($A$10:$A24)&amp;"Y",ActionLog[Helper],0)),"")</f>
        <v>Small Business DCO</v>
      </c>
      <c r="AD24" s="20" t="str">
        <f>IF(ROWS($A$10:$A24)&lt;=COUNTIF(ActionLog[Helper],"*Y"),INDEX(ActionLog[Title],MATCH(ROWS($A$10:$A24)&amp;"Y",ActionLog[Helper],0)),"")</f>
        <v>Product Selector landing page</v>
      </c>
      <c r="AE24" s="13">
        <f>IF(ROWS($A$10:$A24)&lt;=COUNTIF(ActionLog[Helper],"*Y"),INDEX(ActionLog[Task Status],MATCH(ROWS($A$10:$A24)&amp;"Y",ActionLog[Helper],0)),"")</f>
        <v>0</v>
      </c>
    </row>
    <row r="25" spans="2:31" s="13" customFormat="1" ht="39.950000000000003" customHeight="1" x14ac:dyDescent="0.25">
      <c r="B25" s="16" t="str">
        <f>IF(ROWS($A$10:$A25)&lt;=COUNTIF(RiskTracker[Helper],"*Y"),INDEX(RiskTracker[Risk Number],MATCH(ROWS($A$10:$A25)&amp;"Y",RiskTracker[Helper],0)),"")</f>
        <v/>
      </c>
      <c r="C25" s="15" t="str">
        <f>IF(ROWS($A$10:$A25)&lt;=COUNTIF(RiskTracker[Helper],"*Y"),INDEX(RiskTracker[Project Name],MATCH(ROWS($A$10:$A25)&amp;"Y",RiskTracker[Helper],0)),"")</f>
        <v/>
      </c>
      <c r="D25" s="15" t="str">
        <f>IF(ROWS($A$10:$A25)&lt;=COUNTIF(RiskTracker[Helper],"*Y"),INDEX(RiskTracker[Title],MATCH(ROWS($A$10:$A25)&amp;"Y",RiskTracker[Helper],0)),"")</f>
        <v/>
      </c>
      <c r="E25" s="14" t="str">
        <f>IF(ROWS($A$10:$A25)&lt;=COUNTIF(RiskTracker[Helper],"*Y"),INDEX(RiskTracker[Category],MATCH(ROWS($A$10:$A25)&amp;"Y",RiskTracker[Helper],0)),"")</f>
        <v/>
      </c>
      <c r="F25" s="14" t="str">
        <f>IF(ROWS($A$10:$A25)&lt;=COUNTIF(RiskTracker[Helper],"*Y"),INDEX(RiskTracker[Severity],MATCH(ROWS($A$10:$A25)&amp;"Y",RiskTracker[Helper],0)),"")</f>
        <v/>
      </c>
      <c r="G25" s="16" t="str">
        <f>IF(ROWS($A$10:$A25)&lt;=COUNTIF(RiskTracker[Helper],"*Y"),INDEX(RiskTracker[Duration (Days)],MATCH(ROWS($A$10:$A25)&amp;"Y",RiskTracker[Helper],0)),"")</f>
        <v/>
      </c>
      <c r="I25" s="16" t="str">
        <f>IF(ROWS($A$10:$A25)&lt;=COUNTIF(IssueTracker[Helper],"*Y"),INDEX(IssueTracker[Issue Number],MATCH(ROWS($A$10:$A25)&amp;"Y",IssueTracker[Helper],0)),"")</f>
        <v/>
      </c>
      <c r="J25" s="15" t="str">
        <f>IF(ROWS($A$10:$A25)&lt;=COUNTIF(IssueTracker[Helper],"*Y"),INDEX(IssueTracker[Project Name],MATCH(ROWS($A$10:$A25)&amp;"Y",IssueTracker[Helper],0)),"")</f>
        <v/>
      </c>
      <c r="K25" s="15" t="str">
        <f>IF(ROWS($A$10:$A25)&lt;=COUNTIF(IssueTracker[Helper],"*Y"),INDEX(IssueTracker[Title],MATCH(ROWS($A$10:$A25)&amp;"Y",IssueTracker[Helper],0)),"")</f>
        <v/>
      </c>
      <c r="L25" s="15" t="str">
        <f>IF(ROWS($A$10:$A25)&lt;=COUNTIF(IssueTracker[Helper],"*Y"),INDEX(IssueTracker[Severity],MATCH(ROWS($A$10:$A25)&amp;"Y",IssueTracker[Helper],0)),"")</f>
        <v/>
      </c>
      <c r="M25" s="14" t="str">
        <f>IF(ROWS($A$10:$A25)&lt;=COUNTIF(IssueTracker[Helper],"*Y"),INDEX(IssueTracker[Duration (Days)],MATCH(ROWS($A$10:$A25)&amp;"Y",IssueTracker[Helper],0)),"")</f>
        <v/>
      </c>
      <c r="O25" s="4" t="str">
        <f>IF(ROWS($A$10:$A25)&lt;=COUNTIF(ImpedTracker[Helper],"*Y"),INDEX(ImpedTracker[Impediment Number],MATCH(ROWS($A$10:$A25)&amp;"Y",ImpedTracker[Helper],0)),"")</f>
        <v/>
      </c>
      <c r="P25" s="19" t="str">
        <f>IF(ROWS($A$10:$A25)&lt;=COUNTIF(ImpedTracker[Helper],"*Y"),INDEX(ImpedTracker[Project Name],MATCH(ROWS($A$10:$A25)&amp;"Y",ImpedTracker[Helper],0)),"")</f>
        <v/>
      </c>
      <c r="Q25" s="19" t="str">
        <f>IF(ROWS($A$10:$A25)&lt;=COUNTIF(ImpedTracker[Helper],"*Y"),INDEX(ImpedTracker[Title],MATCH(ROWS($A$10:$A25)&amp;"Y",ImpedTracker[Helper],0)),"")</f>
        <v/>
      </c>
      <c r="R25" s="13" t="str">
        <f>IF(ROWS($A$10:$A25)&lt;=COUNTIF(ImpedTracker[Helper],"*Y"),INDEX(ImpedTracker[Category],MATCH(ROWS($A$10:$A25)&amp;"Y",ImpedTracker[Helper],0)),"")</f>
        <v/>
      </c>
      <c r="S25" s="13" t="str">
        <f>IF(ROWS($A$10:$A25)&lt;=COUNTIF(ImpedTracker[Helper],"*Y"),INDEX(ImpedTracker[Status],MATCH(ROWS($A$10:$A25)&amp;"Y",ImpedTracker[Helper],0)),"")</f>
        <v/>
      </c>
      <c r="T25" s="33" t="str">
        <f>IF(ROWS($A$10:$A25)&lt;=COUNTIF(ImpedTracker[Helper],"*Y"),INDEX(ImpedTracker[Due Date],MATCH(ROWS($A$10:$A25)&amp;"Y",ImpedTracker[Helper],0)),"")</f>
        <v/>
      </c>
      <c r="U25" s="21" t="str">
        <f>IF(ROWS($A$10:$A25)&lt;=COUNTIF(ImpedTracker[Helper],"*Y"),INDEX(ImpedTracker[Duration (Days)],MATCH(ROWS($A$10:$A25)&amp;"Y",ImpedTracker[Helper],0)),"")</f>
        <v/>
      </c>
      <c r="W25" s="4" t="str">
        <f>IF(ROWS($A$10:$A25)&lt;=COUNTIF(DecisionLog[Helper],"*Y"),INDEX(DecisionLog[Decision Number],MATCH(ROWS($A$10:$A25)&amp;"Y",DecisionLog[Helper],0)),"")</f>
        <v/>
      </c>
      <c r="X25" s="15" t="str">
        <f>IF(ROWS($A$10:$A25)&lt;=COUNTIF(DecisionLog[Helper],"*Y"),INDEX(DecisionLog[Project Name],MATCH(ROWS($A$10:$A25)&amp;"Y",DecisionLog[Helper],0)),"")</f>
        <v/>
      </c>
      <c r="Y25" s="19" t="str">
        <f>IF(ROWS($A$10:$A25)&lt;=COUNTIF(DecisionLog[Helper],"*Y"),INDEX(DecisionLog[Title],MATCH(ROWS($A$10:$A25)&amp;"Y",DecisionLog[Helper],0)),"")</f>
        <v/>
      </c>
      <c r="Z25" s="13" t="str">
        <f>IF(ROWS($A$10:$A25)&lt;=COUNTIF(DecisionLog[Helper],"*Y"),INDEX(DecisionLog[Status],MATCH(ROWS($A$10:$A25)&amp;"Y",DecisionLog[Helper],0)),"")</f>
        <v/>
      </c>
      <c r="AB25" s="4">
        <f>IF(ROWS($A$10:$A25)&lt;=COUNTIF(ActionLog[Helper],"*Y"),INDEX(ActionLog[Task Number],MATCH(ROWS($A$10:$A25)&amp;"Y",ActionLog[Helper],0)),"")</f>
        <v>24</v>
      </c>
      <c r="AC25" s="15" t="str">
        <f>IF(ROWS($A$10:$A25)&lt;=COUNTIF(ActionLog[Helper],"*Y"),INDEX(ActionLog[Project Name],MATCH(ROWS($A$10:$A25)&amp;"Y",ActionLog[Helper],0)),"")</f>
        <v>Small Business DCO</v>
      </c>
      <c r="AD25" s="20" t="str">
        <f>IF(ROWS($A$10:$A25)&lt;=COUNTIF(ActionLog[Helper],"*Y"),INDEX(ActionLog[Title],MATCH(ROWS($A$10:$A25)&amp;"Y",ActionLog[Helper],0)),"")</f>
        <v>Wireframes for guided experience for Product Selector (questions asked to clients to offer a product)</v>
      </c>
      <c r="AE25" s="13">
        <f>IF(ROWS($A$10:$A25)&lt;=COUNTIF(ActionLog[Helper],"*Y"),INDEX(ActionLog[Task Status],MATCH(ROWS($A$10:$A25)&amp;"Y",ActionLog[Helper],0)),"")</f>
        <v>0</v>
      </c>
    </row>
    <row r="26" spans="2:31" s="13" customFormat="1" ht="39.950000000000003" customHeight="1" x14ac:dyDescent="0.25">
      <c r="B26" s="16" t="str">
        <f>IF(ROWS($A$10:$A26)&lt;=COUNTIF(RiskTracker[Helper],"*Y"),INDEX(RiskTracker[Risk Number],MATCH(ROWS($A$10:$A26)&amp;"Y",RiskTracker[Helper],0)),"")</f>
        <v/>
      </c>
      <c r="C26" s="15" t="str">
        <f>IF(ROWS($A$10:$A26)&lt;=COUNTIF(RiskTracker[Helper],"*Y"),INDEX(RiskTracker[Project Name],MATCH(ROWS($A$10:$A26)&amp;"Y",RiskTracker[Helper],0)),"")</f>
        <v/>
      </c>
      <c r="D26" s="15" t="str">
        <f>IF(ROWS($A$10:$A26)&lt;=COUNTIF(RiskTracker[Helper],"*Y"),INDEX(RiskTracker[Title],MATCH(ROWS($A$10:$A26)&amp;"Y",RiskTracker[Helper],0)),"")</f>
        <v/>
      </c>
      <c r="E26" s="14" t="str">
        <f>IF(ROWS($A$10:$A26)&lt;=COUNTIF(RiskTracker[Helper],"*Y"),INDEX(RiskTracker[Category],MATCH(ROWS($A$10:$A26)&amp;"Y",RiskTracker[Helper],0)),"")</f>
        <v/>
      </c>
      <c r="F26" s="14" t="str">
        <f>IF(ROWS($A$10:$A26)&lt;=COUNTIF(RiskTracker[Helper],"*Y"),INDEX(RiskTracker[Severity],MATCH(ROWS($A$10:$A26)&amp;"Y",RiskTracker[Helper],0)),"")</f>
        <v/>
      </c>
      <c r="G26" s="16" t="str">
        <f>IF(ROWS($A$10:$A26)&lt;=COUNTIF(RiskTracker[Helper],"*Y"),INDEX(RiskTracker[Duration (Days)],MATCH(ROWS($A$10:$A26)&amp;"Y",RiskTracker[Helper],0)),"")</f>
        <v/>
      </c>
      <c r="I26" s="16" t="str">
        <f>IF(ROWS($A$10:$A26)&lt;=COUNTIF(IssueTracker[Helper],"*Y"),INDEX(IssueTracker[Issue Number],MATCH(ROWS($A$10:$A26)&amp;"Y",IssueTracker[Helper],0)),"")</f>
        <v/>
      </c>
      <c r="J26" s="15" t="str">
        <f>IF(ROWS($A$10:$A26)&lt;=COUNTIF(IssueTracker[Helper],"*Y"),INDEX(IssueTracker[Project Name],MATCH(ROWS($A$10:$A26)&amp;"Y",IssueTracker[Helper],0)),"")</f>
        <v/>
      </c>
      <c r="K26" s="15" t="str">
        <f>IF(ROWS($A$10:$A26)&lt;=COUNTIF(IssueTracker[Helper],"*Y"),INDEX(IssueTracker[Title],MATCH(ROWS($A$10:$A26)&amp;"Y",IssueTracker[Helper],0)),"")</f>
        <v/>
      </c>
      <c r="L26" s="15" t="str">
        <f>IF(ROWS($A$10:$A26)&lt;=COUNTIF(IssueTracker[Helper],"*Y"),INDEX(IssueTracker[Severity],MATCH(ROWS($A$10:$A26)&amp;"Y",IssueTracker[Helper],0)),"")</f>
        <v/>
      </c>
      <c r="M26" s="14" t="str">
        <f>IF(ROWS($A$10:$A26)&lt;=COUNTIF(IssueTracker[Helper],"*Y"),INDEX(IssueTracker[Duration (Days)],MATCH(ROWS($A$10:$A26)&amp;"Y",IssueTracker[Helper],0)),"")</f>
        <v/>
      </c>
      <c r="O26" s="4" t="str">
        <f>IF(ROWS($A$10:$A26)&lt;=COUNTIF(ImpedTracker[Helper],"*Y"),INDEX(ImpedTracker[Impediment Number],MATCH(ROWS($A$10:$A26)&amp;"Y",ImpedTracker[Helper],0)),"")</f>
        <v/>
      </c>
      <c r="P26" s="19" t="str">
        <f>IF(ROWS($A$10:$A26)&lt;=COUNTIF(ImpedTracker[Helper],"*Y"),INDEX(ImpedTracker[Project Name],MATCH(ROWS($A$10:$A26)&amp;"Y",ImpedTracker[Helper],0)),"")</f>
        <v/>
      </c>
      <c r="Q26" s="19" t="str">
        <f>IF(ROWS($A$10:$A26)&lt;=COUNTIF(ImpedTracker[Helper],"*Y"),INDEX(ImpedTracker[Title],MATCH(ROWS($A$10:$A26)&amp;"Y",ImpedTracker[Helper],0)),"")</f>
        <v/>
      </c>
      <c r="R26" s="13" t="str">
        <f>IF(ROWS($A$10:$A26)&lt;=COUNTIF(ImpedTracker[Helper],"*Y"),INDEX(ImpedTracker[Category],MATCH(ROWS($A$10:$A26)&amp;"Y",ImpedTracker[Helper],0)),"")</f>
        <v/>
      </c>
      <c r="S26" s="13" t="str">
        <f>IF(ROWS($A$10:$A26)&lt;=COUNTIF(ImpedTracker[Helper],"*Y"),INDEX(ImpedTracker[Status],MATCH(ROWS($A$10:$A26)&amp;"Y",ImpedTracker[Helper],0)),"")</f>
        <v/>
      </c>
      <c r="T26" s="33" t="str">
        <f>IF(ROWS($A$10:$A26)&lt;=COUNTIF(ImpedTracker[Helper],"*Y"),INDEX(ImpedTracker[Due Date],MATCH(ROWS($A$10:$A26)&amp;"Y",ImpedTracker[Helper],0)),"")</f>
        <v/>
      </c>
      <c r="U26" s="21" t="str">
        <f>IF(ROWS($A$10:$A26)&lt;=COUNTIF(ImpedTracker[Helper],"*Y"),INDEX(ImpedTracker[Duration (Days)],MATCH(ROWS($A$10:$A26)&amp;"Y",ImpedTracker[Helper],0)),"")</f>
        <v/>
      </c>
      <c r="W26" s="4" t="str">
        <f>IF(ROWS($A$10:$A26)&lt;=COUNTIF(DecisionLog[Helper],"*Y"),INDEX(DecisionLog[Decision Number],MATCH(ROWS($A$10:$A26)&amp;"Y",DecisionLog[Helper],0)),"")</f>
        <v/>
      </c>
      <c r="X26" s="15" t="str">
        <f>IF(ROWS($A$10:$A26)&lt;=COUNTIF(DecisionLog[Helper],"*Y"),INDEX(DecisionLog[Project Name],MATCH(ROWS($A$10:$A26)&amp;"Y",DecisionLog[Helper],0)),"")</f>
        <v/>
      </c>
      <c r="Y26" s="19" t="str">
        <f>IF(ROWS($A$10:$A26)&lt;=COUNTIF(DecisionLog[Helper],"*Y"),INDEX(DecisionLog[Title],MATCH(ROWS($A$10:$A26)&amp;"Y",DecisionLog[Helper],0)),"")</f>
        <v/>
      </c>
      <c r="Z26" s="13" t="str">
        <f>IF(ROWS($A$10:$A26)&lt;=COUNTIF(DecisionLog[Helper],"*Y"),INDEX(DecisionLog[Status],MATCH(ROWS($A$10:$A26)&amp;"Y",DecisionLog[Helper],0)),"")</f>
        <v/>
      </c>
      <c r="AB26" s="4">
        <f>IF(ROWS($A$10:$A26)&lt;=COUNTIF(ActionLog[Helper],"*Y"),INDEX(ActionLog[Task Number],MATCH(ROWS($A$10:$A26)&amp;"Y",ActionLog[Helper],0)),"")</f>
        <v>25</v>
      </c>
      <c r="AC26" s="15" t="str">
        <f>IF(ROWS($A$10:$A26)&lt;=COUNTIF(ActionLog[Helper],"*Y"),INDEX(ActionLog[Project Name],MATCH(ROWS($A$10:$A26)&amp;"Y",ActionLog[Helper],0)),"")</f>
        <v>Small Business DCO</v>
      </c>
      <c r="AD26" s="20" t="str">
        <f>IF(ROWS($A$10:$A26)&lt;=COUNTIF(ActionLog[Helper],"*Y"),INDEX(ActionLog[Title],MATCH(ROWS($A$10:$A26)&amp;"Y",ActionLog[Helper],0)),"")</f>
        <v>Lessons Learned sessions</v>
      </c>
      <c r="AE26" s="13">
        <f>IF(ROWS($A$10:$A26)&lt;=COUNTIF(ActionLog[Helper],"*Y"),INDEX(ActionLog[Task Status],MATCH(ROWS($A$10:$A26)&amp;"Y",ActionLog[Helper],0)),"")</f>
        <v>0</v>
      </c>
    </row>
    <row r="27" spans="2:31" s="13" customFormat="1" ht="39.950000000000003" customHeight="1" x14ac:dyDescent="0.25">
      <c r="B27" s="16" t="str">
        <f>IF(ROWS($A$10:$A27)&lt;=COUNTIF(RiskTracker[Helper],"*Y"),INDEX(RiskTracker[Risk Number],MATCH(ROWS($A$10:$A27)&amp;"Y",RiskTracker[Helper],0)),"")</f>
        <v/>
      </c>
      <c r="C27" s="15" t="str">
        <f>IF(ROWS($A$10:$A27)&lt;=COUNTIF(RiskTracker[Helper],"*Y"),INDEX(RiskTracker[Project Name],MATCH(ROWS($A$10:$A27)&amp;"Y",RiskTracker[Helper],0)),"")</f>
        <v/>
      </c>
      <c r="D27" s="15" t="str">
        <f>IF(ROWS($A$10:$A27)&lt;=COUNTIF(RiskTracker[Helper],"*Y"),INDEX(RiskTracker[Title],MATCH(ROWS($A$10:$A27)&amp;"Y",RiskTracker[Helper],0)),"")</f>
        <v/>
      </c>
      <c r="E27" s="14" t="str">
        <f>IF(ROWS($A$10:$A27)&lt;=COUNTIF(RiskTracker[Helper],"*Y"),INDEX(RiskTracker[Category],MATCH(ROWS($A$10:$A27)&amp;"Y",RiskTracker[Helper],0)),"")</f>
        <v/>
      </c>
      <c r="F27" s="14" t="str">
        <f>IF(ROWS($A$10:$A27)&lt;=COUNTIF(RiskTracker[Helper],"*Y"),INDEX(RiskTracker[Severity],MATCH(ROWS($A$10:$A27)&amp;"Y",RiskTracker[Helper],0)),"")</f>
        <v/>
      </c>
      <c r="G27" s="16" t="str">
        <f>IF(ROWS($A$10:$A27)&lt;=COUNTIF(RiskTracker[Helper],"*Y"),INDEX(RiskTracker[Duration (Days)],MATCH(ROWS($A$10:$A27)&amp;"Y",RiskTracker[Helper],0)),"")</f>
        <v/>
      </c>
      <c r="I27" s="16" t="str">
        <f>IF(ROWS($A$10:$A27)&lt;=COUNTIF(IssueTracker[Helper],"*Y"),INDEX(IssueTracker[Issue Number],MATCH(ROWS($A$10:$A27)&amp;"Y",IssueTracker[Helper],0)),"")</f>
        <v/>
      </c>
      <c r="J27" s="15" t="str">
        <f>IF(ROWS($A$10:$A27)&lt;=COUNTIF(IssueTracker[Helper],"*Y"),INDEX(IssueTracker[Project Name],MATCH(ROWS($A$10:$A27)&amp;"Y",IssueTracker[Helper],0)),"")</f>
        <v/>
      </c>
      <c r="K27" s="15" t="str">
        <f>IF(ROWS($A$10:$A27)&lt;=COUNTIF(IssueTracker[Helper],"*Y"),INDEX(IssueTracker[Title],MATCH(ROWS($A$10:$A27)&amp;"Y",IssueTracker[Helper],0)),"")</f>
        <v/>
      </c>
      <c r="L27" s="15" t="str">
        <f>IF(ROWS($A$10:$A27)&lt;=COUNTIF(IssueTracker[Helper],"*Y"),INDEX(IssueTracker[Severity],MATCH(ROWS($A$10:$A27)&amp;"Y",IssueTracker[Helper],0)),"")</f>
        <v/>
      </c>
      <c r="M27" s="14" t="str">
        <f>IF(ROWS($A$10:$A27)&lt;=COUNTIF(IssueTracker[Helper],"*Y"),INDEX(IssueTracker[Duration (Days)],MATCH(ROWS($A$10:$A27)&amp;"Y",IssueTracker[Helper],0)),"")</f>
        <v/>
      </c>
      <c r="O27" s="4" t="str">
        <f>IF(ROWS($A$10:$A27)&lt;=COUNTIF(ImpedTracker[Helper],"*Y"),INDEX(ImpedTracker[Impediment Number],MATCH(ROWS($A$10:$A27)&amp;"Y",ImpedTracker[Helper],0)),"")</f>
        <v/>
      </c>
      <c r="P27" s="19" t="str">
        <f>IF(ROWS($A$10:$A27)&lt;=COUNTIF(ImpedTracker[Helper],"*Y"),INDEX(ImpedTracker[Project Name],MATCH(ROWS($A$10:$A27)&amp;"Y",ImpedTracker[Helper],0)),"")</f>
        <v/>
      </c>
      <c r="Q27" s="19" t="str">
        <f>IF(ROWS($A$10:$A27)&lt;=COUNTIF(ImpedTracker[Helper],"*Y"),INDEX(ImpedTracker[Title],MATCH(ROWS($A$10:$A27)&amp;"Y",ImpedTracker[Helper],0)),"")</f>
        <v/>
      </c>
      <c r="R27" s="13" t="str">
        <f>IF(ROWS($A$10:$A27)&lt;=COUNTIF(ImpedTracker[Helper],"*Y"),INDEX(ImpedTracker[Category],MATCH(ROWS($A$10:$A27)&amp;"Y",ImpedTracker[Helper],0)),"")</f>
        <v/>
      </c>
      <c r="S27" s="13" t="str">
        <f>IF(ROWS($A$10:$A27)&lt;=COUNTIF(ImpedTracker[Helper],"*Y"),INDEX(ImpedTracker[Status],MATCH(ROWS($A$10:$A27)&amp;"Y",ImpedTracker[Helper],0)),"")</f>
        <v/>
      </c>
      <c r="T27" s="33" t="str">
        <f>IF(ROWS($A$10:$A27)&lt;=COUNTIF(ImpedTracker[Helper],"*Y"),INDEX(ImpedTracker[Due Date],MATCH(ROWS($A$10:$A27)&amp;"Y",ImpedTracker[Helper],0)),"")</f>
        <v/>
      </c>
      <c r="U27" s="21" t="str">
        <f>IF(ROWS($A$10:$A27)&lt;=COUNTIF(ImpedTracker[Helper],"*Y"),INDEX(ImpedTracker[Duration (Days)],MATCH(ROWS($A$10:$A27)&amp;"Y",ImpedTracker[Helper],0)),"")</f>
        <v/>
      </c>
      <c r="W27" s="4" t="str">
        <f>IF(ROWS($A$10:$A27)&lt;=COUNTIF(DecisionLog[Helper],"*Y"),INDEX(DecisionLog[Decision Number],MATCH(ROWS($A$10:$A27)&amp;"Y",DecisionLog[Helper],0)),"")</f>
        <v/>
      </c>
      <c r="X27" s="15" t="str">
        <f>IF(ROWS($A$10:$A27)&lt;=COUNTIF(DecisionLog[Helper],"*Y"),INDEX(DecisionLog[Project Name],MATCH(ROWS($A$10:$A27)&amp;"Y",DecisionLog[Helper],0)),"")</f>
        <v/>
      </c>
      <c r="Y27" s="19" t="str">
        <f>IF(ROWS($A$10:$A27)&lt;=COUNTIF(DecisionLog[Helper],"*Y"),INDEX(DecisionLog[Title],MATCH(ROWS($A$10:$A27)&amp;"Y",DecisionLog[Helper],0)),"")</f>
        <v/>
      </c>
      <c r="Z27" s="13" t="str">
        <f>IF(ROWS($A$10:$A27)&lt;=COUNTIF(DecisionLog[Helper],"*Y"),INDEX(DecisionLog[Status],MATCH(ROWS($A$10:$A27)&amp;"Y",DecisionLog[Helper],0)),"")</f>
        <v/>
      </c>
      <c r="AB27" s="4" t="str">
        <f>IF(ROWS($A$10:$A27)&lt;=COUNTIF(ActionLog[Helper],"*Y"),INDEX(ActionLog[Task Number],MATCH(ROWS($A$10:$A27)&amp;"Y",ActionLog[Helper],0)),"")</f>
        <v/>
      </c>
      <c r="AC27" s="15" t="str">
        <f>IF(ROWS($A$10:$A27)&lt;=COUNTIF(ActionLog[Helper],"*Y"),INDEX(ActionLog[Project Name],MATCH(ROWS($A$10:$A27)&amp;"Y",ActionLog[Helper],0)),"")</f>
        <v/>
      </c>
      <c r="AD27" s="20" t="str">
        <f>IF(ROWS($A$10:$A27)&lt;=COUNTIF(ActionLog[Helper],"*Y"),INDEX(ActionLog[Title],MATCH(ROWS($A$10:$A27)&amp;"Y",ActionLog[Helper],0)),"")</f>
        <v/>
      </c>
      <c r="AE27" s="13" t="str">
        <f>IF(ROWS($A$10:$A27)&lt;=COUNTIF(ActionLog[Helper],"*Y"),INDEX(ActionLog[Task Status],MATCH(ROWS($A$10:$A27)&amp;"Y",ActionLog[Helper],0)),"")</f>
        <v/>
      </c>
    </row>
    <row r="28" spans="2:31" s="13" customFormat="1" ht="39.950000000000003" customHeight="1" x14ac:dyDescent="0.25">
      <c r="B28" s="16" t="str">
        <f>IF(ROWS($A$10:$A28)&lt;=COUNTIF(RiskTracker[Helper],"*Y"),INDEX(RiskTracker[Risk Number],MATCH(ROWS($A$10:$A28)&amp;"Y",RiskTracker[Helper],0)),"")</f>
        <v/>
      </c>
      <c r="C28" s="15" t="str">
        <f>IF(ROWS($A$10:$A28)&lt;=COUNTIF(RiskTracker[Helper],"*Y"),INDEX(RiskTracker[Project Name],MATCH(ROWS($A$10:$A28)&amp;"Y",RiskTracker[Helper],0)),"")</f>
        <v/>
      </c>
      <c r="D28" s="15" t="str">
        <f>IF(ROWS($A$10:$A28)&lt;=COUNTIF(RiskTracker[Helper],"*Y"),INDEX(RiskTracker[Title],MATCH(ROWS($A$10:$A28)&amp;"Y",RiskTracker[Helper],0)),"")</f>
        <v/>
      </c>
      <c r="E28" s="14" t="str">
        <f>IF(ROWS($A$10:$A28)&lt;=COUNTIF(RiskTracker[Helper],"*Y"),INDEX(RiskTracker[Category],MATCH(ROWS($A$10:$A28)&amp;"Y",RiskTracker[Helper],0)),"")</f>
        <v/>
      </c>
      <c r="F28" s="14" t="str">
        <f>IF(ROWS($A$10:$A28)&lt;=COUNTIF(RiskTracker[Helper],"*Y"),INDEX(RiskTracker[Severity],MATCH(ROWS($A$10:$A28)&amp;"Y",RiskTracker[Helper],0)),"")</f>
        <v/>
      </c>
      <c r="G28" s="16" t="str">
        <f>IF(ROWS($A$10:$A28)&lt;=COUNTIF(RiskTracker[Helper],"*Y"),INDEX(RiskTracker[Duration (Days)],MATCH(ROWS($A$10:$A28)&amp;"Y",RiskTracker[Helper],0)),"")</f>
        <v/>
      </c>
      <c r="I28" s="16" t="str">
        <f>IF(ROWS($A$10:$A28)&lt;=COUNTIF(IssueTracker[Helper],"*Y"),INDEX(IssueTracker[Issue Number],MATCH(ROWS($A$10:$A28)&amp;"Y",IssueTracker[Helper],0)),"")</f>
        <v/>
      </c>
      <c r="J28" s="15" t="str">
        <f>IF(ROWS($A$10:$A28)&lt;=COUNTIF(IssueTracker[Helper],"*Y"),INDEX(IssueTracker[Project Name],MATCH(ROWS($A$10:$A28)&amp;"Y",IssueTracker[Helper],0)),"")</f>
        <v/>
      </c>
      <c r="K28" s="15" t="str">
        <f>IF(ROWS($A$10:$A28)&lt;=COUNTIF(IssueTracker[Helper],"*Y"),INDEX(IssueTracker[Title],MATCH(ROWS($A$10:$A28)&amp;"Y",IssueTracker[Helper],0)),"")</f>
        <v/>
      </c>
      <c r="L28" s="15" t="str">
        <f>IF(ROWS($A$10:$A28)&lt;=COUNTIF(IssueTracker[Helper],"*Y"),INDEX(IssueTracker[Severity],MATCH(ROWS($A$10:$A28)&amp;"Y",IssueTracker[Helper],0)),"")</f>
        <v/>
      </c>
      <c r="M28" s="14" t="str">
        <f>IF(ROWS($A$10:$A28)&lt;=COUNTIF(IssueTracker[Helper],"*Y"),INDEX(IssueTracker[Duration (Days)],MATCH(ROWS($A$10:$A28)&amp;"Y",IssueTracker[Helper],0)),"")</f>
        <v/>
      </c>
      <c r="O28" s="4" t="str">
        <f>IF(ROWS($A$10:$A28)&lt;=COUNTIF(ImpedTracker[Helper],"*Y"),INDEX(ImpedTracker[Impediment Number],MATCH(ROWS($A$10:$A28)&amp;"Y",ImpedTracker[Helper],0)),"")</f>
        <v/>
      </c>
      <c r="P28" s="19" t="str">
        <f>IF(ROWS($A$10:$A28)&lt;=COUNTIF(ImpedTracker[Helper],"*Y"),INDEX(ImpedTracker[Project Name],MATCH(ROWS($A$10:$A28)&amp;"Y",ImpedTracker[Helper],0)),"")</f>
        <v/>
      </c>
      <c r="Q28" s="19" t="str">
        <f>IF(ROWS($A$10:$A28)&lt;=COUNTIF(ImpedTracker[Helper],"*Y"),INDEX(ImpedTracker[Title],MATCH(ROWS($A$10:$A28)&amp;"Y",ImpedTracker[Helper],0)),"")</f>
        <v/>
      </c>
      <c r="R28" s="13" t="str">
        <f>IF(ROWS($A$10:$A28)&lt;=COUNTIF(ImpedTracker[Helper],"*Y"),INDEX(ImpedTracker[Category],MATCH(ROWS($A$10:$A28)&amp;"Y",ImpedTracker[Helper],0)),"")</f>
        <v/>
      </c>
      <c r="S28" s="13" t="str">
        <f>IF(ROWS($A$10:$A28)&lt;=COUNTIF(ImpedTracker[Helper],"*Y"),INDEX(ImpedTracker[Status],MATCH(ROWS($A$10:$A28)&amp;"Y",ImpedTracker[Helper],0)),"")</f>
        <v/>
      </c>
      <c r="T28" s="33" t="str">
        <f>IF(ROWS($A$10:$A28)&lt;=COUNTIF(ImpedTracker[Helper],"*Y"),INDEX(ImpedTracker[Due Date],MATCH(ROWS($A$10:$A28)&amp;"Y",ImpedTracker[Helper],0)),"")</f>
        <v/>
      </c>
      <c r="U28" s="21" t="str">
        <f>IF(ROWS($A$10:$A28)&lt;=COUNTIF(ImpedTracker[Helper],"*Y"),INDEX(ImpedTracker[Duration (Days)],MATCH(ROWS($A$10:$A28)&amp;"Y",ImpedTracker[Helper],0)),"")</f>
        <v/>
      </c>
      <c r="W28" s="4" t="str">
        <f>IF(ROWS($A$10:$A28)&lt;=COUNTIF(DecisionLog[Helper],"*Y"),INDEX(DecisionLog[Decision Number],MATCH(ROWS($A$10:$A28)&amp;"Y",DecisionLog[Helper],0)),"")</f>
        <v/>
      </c>
      <c r="X28" s="15" t="str">
        <f>IF(ROWS($A$10:$A28)&lt;=COUNTIF(DecisionLog[Helper],"*Y"),INDEX(DecisionLog[Project Name],MATCH(ROWS($A$10:$A28)&amp;"Y",DecisionLog[Helper],0)),"")</f>
        <v/>
      </c>
      <c r="Y28" s="19" t="str">
        <f>IF(ROWS($A$10:$A28)&lt;=COUNTIF(DecisionLog[Helper],"*Y"),INDEX(DecisionLog[Title],MATCH(ROWS($A$10:$A28)&amp;"Y",DecisionLog[Helper],0)),"")</f>
        <v/>
      </c>
      <c r="Z28" s="13" t="str">
        <f>IF(ROWS($A$10:$A28)&lt;=COUNTIF(DecisionLog[Helper],"*Y"),INDEX(DecisionLog[Status],MATCH(ROWS($A$10:$A28)&amp;"Y",DecisionLog[Helper],0)),"")</f>
        <v/>
      </c>
      <c r="AB28" s="4" t="str">
        <f>IF(ROWS($A$10:$A28)&lt;=COUNTIF(ActionLog[Helper],"*Y"),INDEX(ActionLog[Task Number],MATCH(ROWS($A$10:$A28)&amp;"Y",ActionLog[Helper],0)),"")</f>
        <v/>
      </c>
      <c r="AC28" s="15" t="str">
        <f>IF(ROWS($A$10:$A28)&lt;=COUNTIF(ActionLog[Helper],"*Y"),INDEX(ActionLog[Project Name],MATCH(ROWS($A$10:$A28)&amp;"Y",ActionLog[Helper],0)),"")</f>
        <v/>
      </c>
      <c r="AD28" s="20" t="str">
        <f>IF(ROWS($A$10:$A28)&lt;=COUNTIF(ActionLog[Helper],"*Y"),INDEX(ActionLog[Title],MATCH(ROWS($A$10:$A28)&amp;"Y",ActionLog[Helper],0)),"")</f>
        <v/>
      </c>
      <c r="AE28" s="13" t="str">
        <f>IF(ROWS($A$10:$A28)&lt;=COUNTIF(ActionLog[Helper],"*Y"),INDEX(ActionLog[Task Status],MATCH(ROWS($A$10:$A28)&amp;"Y",ActionLog[Helper],0)),"")</f>
        <v/>
      </c>
    </row>
    <row r="29" spans="2:31" s="13" customFormat="1" ht="39.950000000000003" customHeight="1" x14ac:dyDescent="0.25">
      <c r="B29" s="16" t="str">
        <f>IF(ROWS($A$10:$A29)&lt;=COUNTIF(RiskTracker[Helper],"*Y"),INDEX(RiskTracker[Risk Number],MATCH(ROWS($A$10:$A29)&amp;"Y",RiskTracker[Helper],0)),"")</f>
        <v/>
      </c>
      <c r="C29" s="15" t="str">
        <f>IF(ROWS($A$10:$A29)&lt;=COUNTIF(RiskTracker[Helper],"*Y"),INDEX(RiskTracker[Project Name],MATCH(ROWS($A$10:$A29)&amp;"Y",RiskTracker[Helper],0)),"")</f>
        <v/>
      </c>
      <c r="D29" s="15" t="str">
        <f>IF(ROWS($A$10:$A29)&lt;=COUNTIF(RiskTracker[Helper],"*Y"),INDEX(RiskTracker[Title],MATCH(ROWS($A$10:$A29)&amp;"Y",RiskTracker[Helper],0)),"")</f>
        <v/>
      </c>
      <c r="E29" s="14" t="str">
        <f>IF(ROWS($A$10:$A29)&lt;=COUNTIF(RiskTracker[Helper],"*Y"),INDEX(RiskTracker[Category],MATCH(ROWS($A$10:$A29)&amp;"Y",RiskTracker[Helper],0)),"")</f>
        <v/>
      </c>
      <c r="F29" s="14" t="str">
        <f>IF(ROWS($A$10:$A29)&lt;=COUNTIF(RiskTracker[Helper],"*Y"),INDEX(RiskTracker[Severity],MATCH(ROWS($A$10:$A29)&amp;"Y",RiskTracker[Helper],0)),"")</f>
        <v/>
      </c>
      <c r="G29" s="16" t="str">
        <f>IF(ROWS($A$10:$A29)&lt;=COUNTIF(RiskTracker[Helper],"*Y"),INDEX(RiskTracker[Duration (Days)],MATCH(ROWS($A$10:$A29)&amp;"Y",RiskTracker[Helper],0)),"")</f>
        <v/>
      </c>
      <c r="I29" s="16" t="str">
        <f>IF(ROWS($A$10:$A29)&lt;=COUNTIF(IssueTracker[Helper],"*Y"),INDEX(IssueTracker[Issue Number],MATCH(ROWS($A$10:$A29)&amp;"Y",IssueTracker[Helper],0)),"")</f>
        <v/>
      </c>
      <c r="J29" s="15" t="str">
        <f>IF(ROWS($A$10:$A29)&lt;=COUNTIF(IssueTracker[Helper],"*Y"),INDEX(IssueTracker[Project Name],MATCH(ROWS($A$10:$A29)&amp;"Y",IssueTracker[Helper],0)),"")</f>
        <v/>
      </c>
      <c r="K29" s="15" t="str">
        <f>IF(ROWS($A$10:$A29)&lt;=COUNTIF(IssueTracker[Helper],"*Y"),INDEX(IssueTracker[Title],MATCH(ROWS($A$10:$A29)&amp;"Y",IssueTracker[Helper],0)),"")</f>
        <v/>
      </c>
      <c r="L29" s="15" t="str">
        <f>IF(ROWS($A$10:$A29)&lt;=COUNTIF(IssueTracker[Helper],"*Y"),INDEX(IssueTracker[Severity],MATCH(ROWS($A$10:$A29)&amp;"Y",IssueTracker[Helper],0)),"")</f>
        <v/>
      </c>
      <c r="M29" s="14" t="str">
        <f>IF(ROWS($A$10:$A29)&lt;=COUNTIF(IssueTracker[Helper],"*Y"),INDEX(IssueTracker[Duration (Days)],MATCH(ROWS($A$10:$A29)&amp;"Y",IssueTracker[Helper],0)),"")</f>
        <v/>
      </c>
      <c r="O29" s="4" t="str">
        <f>IF(ROWS($A$10:$A29)&lt;=COUNTIF(ImpedTracker[Helper],"*Y"),INDEX(ImpedTracker[Impediment Number],MATCH(ROWS($A$10:$A29)&amp;"Y",ImpedTracker[Helper],0)),"")</f>
        <v/>
      </c>
      <c r="P29" s="19" t="str">
        <f>IF(ROWS($A$10:$A29)&lt;=COUNTIF(ImpedTracker[Helper],"*Y"),INDEX(ImpedTracker[Project Name],MATCH(ROWS($A$10:$A29)&amp;"Y",ImpedTracker[Helper],0)),"")</f>
        <v/>
      </c>
      <c r="Q29" s="19" t="str">
        <f>IF(ROWS($A$10:$A29)&lt;=COUNTIF(ImpedTracker[Helper],"*Y"),INDEX(ImpedTracker[Title],MATCH(ROWS($A$10:$A29)&amp;"Y",ImpedTracker[Helper],0)),"")</f>
        <v/>
      </c>
      <c r="R29" s="13" t="str">
        <f>IF(ROWS($A$10:$A29)&lt;=COUNTIF(ImpedTracker[Helper],"*Y"),INDEX(ImpedTracker[Category],MATCH(ROWS($A$10:$A29)&amp;"Y",ImpedTracker[Helper],0)),"")</f>
        <v/>
      </c>
      <c r="S29" s="13" t="str">
        <f>IF(ROWS($A$10:$A29)&lt;=COUNTIF(ImpedTracker[Helper],"*Y"),INDEX(ImpedTracker[Status],MATCH(ROWS($A$10:$A29)&amp;"Y",ImpedTracker[Helper],0)),"")</f>
        <v/>
      </c>
      <c r="T29" s="33" t="str">
        <f>IF(ROWS($A$10:$A29)&lt;=COUNTIF(ImpedTracker[Helper],"*Y"),INDEX(ImpedTracker[Due Date],MATCH(ROWS($A$10:$A29)&amp;"Y",ImpedTracker[Helper],0)),"")</f>
        <v/>
      </c>
      <c r="U29" s="21" t="str">
        <f>IF(ROWS($A$10:$A29)&lt;=COUNTIF(ImpedTracker[Helper],"*Y"),INDEX(ImpedTracker[Duration (Days)],MATCH(ROWS($A$10:$A29)&amp;"Y",ImpedTracker[Helper],0)),"")</f>
        <v/>
      </c>
      <c r="W29" s="4" t="str">
        <f>IF(ROWS($A$10:$A29)&lt;=COUNTIF(DecisionLog[Helper],"*Y"),INDEX(DecisionLog[Decision Number],MATCH(ROWS($A$10:$A29)&amp;"Y",DecisionLog[Helper],0)),"")</f>
        <v/>
      </c>
      <c r="X29" s="15" t="str">
        <f>IF(ROWS($A$10:$A29)&lt;=COUNTIF(DecisionLog[Helper],"*Y"),INDEX(DecisionLog[Project Name],MATCH(ROWS($A$10:$A29)&amp;"Y",DecisionLog[Helper],0)),"")</f>
        <v/>
      </c>
      <c r="Y29" s="19" t="str">
        <f>IF(ROWS($A$10:$A29)&lt;=COUNTIF(DecisionLog[Helper],"*Y"),INDEX(DecisionLog[Title],MATCH(ROWS($A$10:$A29)&amp;"Y",DecisionLog[Helper],0)),"")</f>
        <v/>
      </c>
      <c r="Z29" s="13" t="str">
        <f>IF(ROWS($A$10:$A29)&lt;=COUNTIF(DecisionLog[Helper],"*Y"),INDEX(DecisionLog[Status],MATCH(ROWS($A$10:$A29)&amp;"Y",DecisionLog[Helper],0)),"")</f>
        <v/>
      </c>
      <c r="AB29" s="4" t="str">
        <f>IF(ROWS($A$10:$A29)&lt;=COUNTIF(ActionLog[Helper],"*Y"),INDEX(ActionLog[Task Number],MATCH(ROWS($A$10:$A29)&amp;"Y",ActionLog[Helper],0)),"")</f>
        <v/>
      </c>
      <c r="AC29" s="15" t="str">
        <f>IF(ROWS($A$10:$A29)&lt;=COUNTIF(ActionLog[Helper],"*Y"),INDEX(ActionLog[Project Name],MATCH(ROWS($A$10:$A29)&amp;"Y",ActionLog[Helper],0)),"")</f>
        <v/>
      </c>
      <c r="AD29" s="20" t="str">
        <f>IF(ROWS($A$10:$A29)&lt;=COUNTIF(ActionLog[Helper],"*Y"),INDEX(ActionLog[Title],MATCH(ROWS($A$10:$A29)&amp;"Y",ActionLog[Helper],0)),"")</f>
        <v/>
      </c>
      <c r="AE29" s="13" t="str">
        <f>IF(ROWS($A$10:$A29)&lt;=COUNTIF(ActionLog[Helper],"*Y"),INDEX(ActionLog[Task Status],MATCH(ROWS($A$10:$A29)&amp;"Y",ActionLog[Helper],0)),"")</f>
        <v/>
      </c>
    </row>
    <row r="30" spans="2:31" s="13" customFormat="1" ht="39.950000000000003" customHeight="1" x14ac:dyDescent="0.25">
      <c r="B30" s="16" t="str">
        <f>IF(ROWS($A$10:$A30)&lt;=COUNTIF(RiskTracker[Helper],"*Y"),INDEX(RiskTracker[Risk Number],MATCH(ROWS($A$10:$A30)&amp;"Y",RiskTracker[Helper],0)),"")</f>
        <v/>
      </c>
      <c r="C30" s="15" t="str">
        <f>IF(ROWS($A$10:$A30)&lt;=COUNTIF(RiskTracker[Helper],"*Y"),INDEX(RiskTracker[Project Name],MATCH(ROWS($A$10:$A30)&amp;"Y",RiskTracker[Helper],0)),"")</f>
        <v/>
      </c>
      <c r="D30" s="15" t="str">
        <f>IF(ROWS($A$10:$A30)&lt;=COUNTIF(RiskTracker[Helper],"*Y"),INDEX(RiskTracker[Title],MATCH(ROWS($A$10:$A30)&amp;"Y",RiskTracker[Helper],0)),"")</f>
        <v/>
      </c>
      <c r="E30" s="14" t="str">
        <f>IF(ROWS($A$10:$A30)&lt;=COUNTIF(RiskTracker[Helper],"*Y"),INDEX(RiskTracker[Category],MATCH(ROWS($A$10:$A30)&amp;"Y",RiskTracker[Helper],0)),"")</f>
        <v/>
      </c>
      <c r="F30" s="14" t="str">
        <f>IF(ROWS($A$10:$A30)&lt;=COUNTIF(RiskTracker[Helper],"*Y"),INDEX(RiskTracker[Severity],MATCH(ROWS($A$10:$A30)&amp;"Y",RiskTracker[Helper],0)),"")</f>
        <v/>
      </c>
      <c r="G30" s="16" t="str">
        <f>IF(ROWS($A$10:$A30)&lt;=COUNTIF(RiskTracker[Helper],"*Y"),INDEX(RiskTracker[Duration (Days)],MATCH(ROWS($A$10:$A30)&amp;"Y",RiskTracker[Helper],0)),"")</f>
        <v/>
      </c>
      <c r="I30" s="16" t="str">
        <f>IF(ROWS($A$10:$A30)&lt;=COUNTIF(IssueTracker[Helper],"*Y"),INDEX(IssueTracker[Issue Number],MATCH(ROWS($A$10:$A30)&amp;"Y",IssueTracker[Helper],0)),"")</f>
        <v/>
      </c>
      <c r="J30" s="15" t="str">
        <f>IF(ROWS($A$10:$A30)&lt;=COUNTIF(IssueTracker[Helper],"*Y"),INDEX(IssueTracker[Project Name],MATCH(ROWS($A$10:$A30)&amp;"Y",IssueTracker[Helper],0)),"")</f>
        <v/>
      </c>
      <c r="K30" s="15" t="str">
        <f>IF(ROWS($A$10:$A30)&lt;=COUNTIF(IssueTracker[Helper],"*Y"),INDEX(IssueTracker[Title],MATCH(ROWS($A$10:$A30)&amp;"Y",IssueTracker[Helper],0)),"")</f>
        <v/>
      </c>
      <c r="L30" s="15" t="str">
        <f>IF(ROWS($A$10:$A30)&lt;=COUNTIF(IssueTracker[Helper],"*Y"),INDEX(IssueTracker[Severity],MATCH(ROWS($A$10:$A30)&amp;"Y",IssueTracker[Helper],0)),"")</f>
        <v/>
      </c>
      <c r="M30" s="14" t="str">
        <f>IF(ROWS($A$10:$A30)&lt;=COUNTIF(IssueTracker[Helper],"*Y"),INDEX(IssueTracker[Duration (Days)],MATCH(ROWS($A$10:$A30)&amp;"Y",IssueTracker[Helper],0)),"")</f>
        <v/>
      </c>
      <c r="O30" s="4" t="str">
        <f>IF(ROWS($A$10:$A30)&lt;=COUNTIF(ImpedTracker[Helper],"*Y"),INDEX(ImpedTracker[Impediment Number],MATCH(ROWS($A$10:$A30)&amp;"Y",ImpedTracker[Helper],0)),"")</f>
        <v/>
      </c>
      <c r="P30" s="19" t="str">
        <f>IF(ROWS($A$10:$A30)&lt;=COUNTIF(ImpedTracker[Helper],"*Y"),INDEX(ImpedTracker[Project Name],MATCH(ROWS($A$10:$A30)&amp;"Y",ImpedTracker[Helper],0)),"")</f>
        <v/>
      </c>
      <c r="Q30" s="19" t="str">
        <f>IF(ROWS($A$10:$A30)&lt;=COUNTIF(ImpedTracker[Helper],"*Y"),INDEX(ImpedTracker[Title],MATCH(ROWS($A$10:$A30)&amp;"Y",ImpedTracker[Helper],0)),"")</f>
        <v/>
      </c>
      <c r="R30" s="13" t="str">
        <f>IF(ROWS($A$10:$A30)&lt;=COUNTIF(ImpedTracker[Helper],"*Y"),INDEX(ImpedTracker[Category],MATCH(ROWS($A$10:$A30)&amp;"Y",ImpedTracker[Helper],0)),"")</f>
        <v/>
      </c>
      <c r="S30" s="13" t="str">
        <f>IF(ROWS($A$10:$A30)&lt;=COUNTIF(ImpedTracker[Helper],"*Y"),INDEX(ImpedTracker[Status],MATCH(ROWS($A$10:$A30)&amp;"Y",ImpedTracker[Helper],0)),"")</f>
        <v/>
      </c>
      <c r="T30" s="33" t="str">
        <f>IF(ROWS($A$10:$A30)&lt;=COUNTIF(ImpedTracker[Helper],"*Y"),INDEX(ImpedTracker[Due Date],MATCH(ROWS($A$10:$A30)&amp;"Y",ImpedTracker[Helper],0)),"")</f>
        <v/>
      </c>
      <c r="U30" s="21" t="str">
        <f>IF(ROWS($A$10:$A30)&lt;=COUNTIF(ImpedTracker[Helper],"*Y"),INDEX(ImpedTracker[Duration (Days)],MATCH(ROWS($A$10:$A30)&amp;"Y",ImpedTracker[Helper],0)),"")</f>
        <v/>
      </c>
      <c r="W30" s="4" t="str">
        <f>IF(ROWS($A$10:$A30)&lt;=COUNTIF(DecisionLog[Helper],"*Y"),INDEX(DecisionLog[Decision Number],MATCH(ROWS($A$10:$A30)&amp;"Y",DecisionLog[Helper],0)),"")</f>
        <v/>
      </c>
      <c r="X30" s="15" t="str">
        <f>IF(ROWS($A$10:$A30)&lt;=COUNTIF(DecisionLog[Helper],"*Y"),INDEX(DecisionLog[Project Name],MATCH(ROWS($A$10:$A30)&amp;"Y",DecisionLog[Helper],0)),"")</f>
        <v/>
      </c>
      <c r="Y30" s="19" t="str">
        <f>IF(ROWS($A$10:$A30)&lt;=COUNTIF(DecisionLog[Helper],"*Y"),INDEX(DecisionLog[Title],MATCH(ROWS($A$10:$A30)&amp;"Y",DecisionLog[Helper],0)),"")</f>
        <v/>
      </c>
      <c r="Z30" s="13" t="str">
        <f>IF(ROWS($A$10:$A30)&lt;=COUNTIF(DecisionLog[Helper],"*Y"),INDEX(DecisionLog[Status],MATCH(ROWS($A$10:$A30)&amp;"Y",DecisionLog[Helper],0)),"")</f>
        <v/>
      </c>
      <c r="AB30" s="4" t="str">
        <f>IF(ROWS($A$10:$A30)&lt;=COUNTIF(ActionLog[Helper],"*Y"),INDEX(ActionLog[Task Number],MATCH(ROWS($A$10:$A30)&amp;"Y",ActionLog[Helper],0)),"")</f>
        <v/>
      </c>
      <c r="AC30" s="15" t="str">
        <f>IF(ROWS($A$10:$A30)&lt;=COUNTIF(ActionLog[Helper],"*Y"),INDEX(ActionLog[Project Name],MATCH(ROWS($A$10:$A30)&amp;"Y",ActionLog[Helper],0)),"")</f>
        <v/>
      </c>
      <c r="AD30" s="20" t="str">
        <f>IF(ROWS($A$10:$A30)&lt;=COUNTIF(ActionLog[Helper],"*Y"),INDEX(ActionLog[Title],MATCH(ROWS($A$10:$A30)&amp;"Y",ActionLog[Helper],0)),"")</f>
        <v/>
      </c>
      <c r="AE30" s="13" t="str">
        <f>IF(ROWS($A$10:$A30)&lt;=COUNTIF(ActionLog[Helper],"*Y"),INDEX(ActionLog[Task Status],MATCH(ROWS($A$10:$A30)&amp;"Y",ActionLog[Helper],0)),"")</f>
        <v/>
      </c>
    </row>
    <row r="31" spans="2:31" s="13" customFormat="1" ht="39.950000000000003" customHeight="1" x14ac:dyDescent="0.25">
      <c r="B31" s="16" t="str">
        <f>IF(ROWS($A$10:$A31)&lt;=COUNTIF(RiskTracker[Helper],"*Y"),INDEX(RiskTracker[Risk Number],MATCH(ROWS($A$10:$A31)&amp;"Y",RiskTracker[Helper],0)),"")</f>
        <v/>
      </c>
      <c r="C31" s="15" t="str">
        <f>IF(ROWS($A$10:$A31)&lt;=COUNTIF(RiskTracker[Helper],"*Y"),INDEX(RiskTracker[Project Name],MATCH(ROWS($A$10:$A31)&amp;"Y",RiskTracker[Helper],0)),"")</f>
        <v/>
      </c>
      <c r="D31" s="15" t="str">
        <f>IF(ROWS($A$10:$A31)&lt;=COUNTIF(RiskTracker[Helper],"*Y"),INDEX(RiskTracker[Title],MATCH(ROWS($A$10:$A31)&amp;"Y",RiskTracker[Helper],0)),"")</f>
        <v/>
      </c>
      <c r="E31" s="14" t="str">
        <f>IF(ROWS($A$10:$A31)&lt;=COUNTIF(RiskTracker[Helper],"*Y"),INDEX(RiskTracker[Category],MATCH(ROWS($A$10:$A31)&amp;"Y",RiskTracker[Helper],0)),"")</f>
        <v/>
      </c>
      <c r="F31" s="14" t="str">
        <f>IF(ROWS($A$10:$A31)&lt;=COUNTIF(RiskTracker[Helper],"*Y"),INDEX(RiskTracker[Severity],MATCH(ROWS($A$10:$A31)&amp;"Y",RiskTracker[Helper],0)),"")</f>
        <v/>
      </c>
      <c r="G31" s="16" t="str">
        <f>IF(ROWS($A$10:$A31)&lt;=COUNTIF(RiskTracker[Helper],"*Y"),INDEX(RiskTracker[Duration (Days)],MATCH(ROWS($A$10:$A31)&amp;"Y",RiskTracker[Helper],0)),"")</f>
        <v/>
      </c>
      <c r="I31" s="16" t="str">
        <f>IF(ROWS($A$10:$A31)&lt;=COUNTIF(IssueTracker[Helper],"*Y"),INDEX(IssueTracker[Issue Number],MATCH(ROWS($A$10:$A31)&amp;"Y",IssueTracker[Helper],0)),"")</f>
        <v/>
      </c>
      <c r="J31" s="15" t="str">
        <f>IF(ROWS($A$10:$A31)&lt;=COUNTIF(IssueTracker[Helper],"*Y"),INDEX(IssueTracker[Project Name],MATCH(ROWS($A$10:$A31)&amp;"Y",IssueTracker[Helper],0)),"")</f>
        <v/>
      </c>
      <c r="K31" s="15" t="str">
        <f>IF(ROWS($A$10:$A31)&lt;=COUNTIF(IssueTracker[Helper],"*Y"),INDEX(IssueTracker[Title],MATCH(ROWS($A$10:$A31)&amp;"Y",IssueTracker[Helper],0)),"")</f>
        <v/>
      </c>
      <c r="L31" s="15" t="str">
        <f>IF(ROWS($A$10:$A31)&lt;=COUNTIF(IssueTracker[Helper],"*Y"),INDEX(IssueTracker[Severity],MATCH(ROWS($A$10:$A31)&amp;"Y",IssueTracker[Helper],0)),"")</f>
        <v/>
      </c>
      <c r="M31" s="14" t="str">
        <f>IF(ROWS($A$10:$A31)&lt;=COUNTIF(IssueTracker[Helper],"*Y"),INDEX(IssueTracker[Duration (Days)],MATCH(ROWS($A$10:$A31)&amp;"Y",IssueTracker[Helper],0)),"")</f>
        <v/>
      </c>
      <c r="O31" s="4" t="str">
        <f>IF(ROWS($A$10:$A31)&lt;=COUNTIF(ImpedTracker[Helper],"*Y"),INDEX(ImpedTracker[Impediment Number],MATCH(ROWS($A$10:$A31)&amp;"Y",ImpedTracker[Helper],0)),"")</f>
        <v/>
      </c>
      <c r="P31" s="19" t="str">
        <f>IF(ROWS($A$10:$A31)&lt;=COUNTIF(ImpedTracker[Helper],"*Y"),INDEX(ImpedTracker[Project Name],MATCH(ROWS($A$10:$A31)&amp;"Y",ImpedTracker[Helper],0)),"")</f>
        <v/>
      </c>
      <c r="Q31" s="19" t="str">
        <f>IF(ROWS($A$10:$A31)&lt;=COUNTIF(ImpedTracker[Helper],"*Y"),INDEX(ImpedTracker[Title],MATCH(ROWS($A$10:$A31)&amp;"Y",ImpedTracker[Helper],0)),"")</f>
        <v/>
      </c>
      <c r="R31" s="13" t="str">
        <f>IF(ROWS($A$10:$A31)&lt;=COUNTIF(ImpedTracker[Helper],"*Y"),INDEX(ImpedTracker[Category],MATCH(ROWS($A$10:$A31)&amp;"Y",ImpedTracker[Helper],0)),"")</f>
        <v/>
      </c>
      <c r="S31" s="13" t="str">
        <f>IF(ROWS($A$10:$A31)&lt;=COUNTIF(ImpedTracker[Helper],"*Y"),INDEX(ImpedTracker[Status],MATCH(ROWS($A$10:$A31)&amp;"Y",ImpedTracker[Helper],0)),"")</f>
        <v/>
      </c>
      <c r="T31" s="33" t="str">
        <f>IF(ROWS($A$10:$A31)&lt;=COUNTIF(ImpedTracker[Helper],"*Y"),INDEX(ImpedTracker[Due Date],MATCH(ROWS($A$10:$A31)&amp;"Y",ImpedTracker[Helper],0)),"")</f>
        <v/>
      </c>
      <c r="U31" s="21" t="str">
        <f>IF(ROWS($A$10:$A31)&lt;=COUNTIF(ImpedTracker[Helper],"*Y"),INDEX(ImpedTracker[Duration (Days)],MATCH(ROWS($A$10:$A31)&amp;"Y",ImpedTracker[Helper],0)),"")</f>
        <v/>
      </c>
      <c r="W31" s="4" t="str">
        <f>IF(ROWS($A$10:$A31)&lt;=COUNTIF(DecisionLog[Helper],"*Y"),INDEX(DecisionLog[Decision Number],MATCH(ROWS($A$10:$A31)&amp;"Y",DecisionLog[Helper],0)),"")</f>
        <v/>
      </c>
      <c r="X31" s="15" t="str">
        <f>IF(ROWS($A$10:$A31)&lt;=COUNTIF(DecisionLog[Helper],"*Y"),INDEX(DecisionLog[Project Name],MATCH(ROWS($A$10:$A31)&amp;"Y",DecisionLog[Helper],0)),"")</f>
        <v/>
      </c>
      <c r="Y31" s="19" t="str">
        <f>IF(ROWS($A$10:$A31)&lt;=COUNTIF(DecisionLog[Helper],"*Y"),INDEX(DecisionLog[Title],MATCH(ROWS($A$10:$A31)&amp;"Y",DecisionLog[Helper],0)),"")</f>
        <v/>
      </c>
      <c r="Z31" s="13" t="str">
        <f>IF(ROWS($A$10:$A31)&lt;=COUNTIF(DecisionLog[Helper],"*Y"),INDEX(DecisionLog[Status],MATCH(ROWS($A$10:$A31)&amp;"Y",DecisionLog[Helper],0)),"")</f>
        <v/>
      </c>
      <c r="AB31" s="4" t="str">
        <f>IF(ROWS($A$10:$A31)&lt;=COUNTIF(ActionLog[Helper],"*Y"),INDEX(ActionLog[Task Number],MATCH(ROWS($A$10:$A31)&amp;"Y",ActionLog[Helper],0)),"")</f>
        <v/>
      </c>
      <c r="AC31" s="15" t="str">
        <f>IF(ROWS($A$10:$A31)&lt;=COUNTIF(ActionLog[Helper],"*Y"),INDEX(ActionLog[Project Name],MATCH(ROWS($A$10:$A31)&amp;"Y",ActionLog[Helper],0)),"")</f>
        <v/>
      </c>
      <c r="AD31" s="20" t="str">
        <f>IF(ROWS($A$10:$A31)&lt;=COUNTIF(ActionLog[Helper],"*Y"),INDEX(ActionLog[Title],MATCH(ROWS($A$10:$A31)&amp;"Y",ActionLog[Helper],0)),"")</f>
        <v/>
      </c>
      <c r="AE31" s="13" t="str">
        <f>IF(ROWS($A$10:$A31)&lt;=COUNTIF(ActionLog[Helper],"*Y"),INDEX(ActionLog[Task Status],MATCH(ROWS($A$10:$A31)&amp;"Y",ActionLog[Helper],0)),"")</f>
        <v/>
      </c>
    </row>
    <row r="32" spans="2:31" s="13" customFormat="1" ht="39.950000000000003" customHeight="1" x14ac:dyDescent="0.25">
      <c r="B32" s="16" t="str">
        <f>IF(ROWS($A$10:$A32)&lt;=COUNTIF(RiskTracker[Helper],"*Y"),INDEX(RiskTracker[Risk Number],MATCH(ROWS($A$10:$A32)&amp;"Y",RiskTracker[Helper],0)),"")</f>
        <v/>
      </c>
      <c r="C32" s="15" t="str">
        <f>IF(ROWS($A$10:$A32)&lt;=COUNTIF(RiskTracker[Helper],"*Y"),INDEX(RiskTracker[Project Name],MATCH(ROWS($A$10:$A32)&amp;"Y",RiskTracker[Helper],0)),"")</f>
        <v/>
      </c>
      <c r="D32" s="15" t="str">
        <f>IF(ROWS($A$10:$A32)&lt;=COUNTIF(RiskTracker[Helper],"*Y"),INDEX(RiskTracker[Title],MATCH(ROWS($A$10:$A32)&amp;"Y",RiskTracker[Helper],0)),"")</f>
        <v/>
      </c>
      <c r="E32" s="14" t="str">
        <f>IF(ROWS($A$10:$A32)&lt;=COUNTIF(RiskTracker[Helper],"*Y"),INDEX(RiskTracker[Category],MATCH(ROWS($A$10:$A32)&amp;"Y",RiskTracker[Helper],0)),"")</f>
        <v/>
      </c>
      <c r="F32" s="14" t="str">
        <f>IF(ROWS($A$10:$A32)&lt;=COUNTIF(RiskTracker[Helper],"*Y"),INDEX(RiskTracker[Severity],MATCH(ROWS($A$10:$A32)&amp;"Y",RiskTracker[Helper],0)),"")</f>
        <v/>
      </c>
      <c r="G32" s="16" t="str">
        <f>IF(ROWS($A$10:$A32)&lt;=COUNTIF(RiskTracker[Helper],"*Y"),INDEX(RiskTracker[Duration (Days)],MATCH(ROWS($A$10:$A32)&amp;"Y",RiskTracker[Helper],0)),"")</f>
        <v/>
      </c>
      <c r="I32" s="16" t="str">
        <f>IF(ROWS($A$10:$A32)&lt;=COUNTIF(IssueTracker[Helper],"*Y"),INDEX(IssueTracker[Issue Number],MATCH(ROWS($A$10:$A32)&amp;"Y",IssueTracker[Helper],0)),"")</f>
        <v/>
      </c>
      <c r="J32" s="15" t="str">
        <f>IF(ROWS($A$10:$A32)&lt;=COUNTIF(IssueTracker[Helper],"*Y"),INDEX(IssueTracker[Project Name],MATCH(ROWS($A$10:$A32)&amp;"Y",IssueTracker[Helper],0)),"")</f>
        <v/>
      </c>
      <c r="K32" s="15" t="str">
        <f>IF(ROWS($A$10:$A32)&lt;=COUNTIF(IssueTracker[Helper],"*Y"),INDEX(IssueTracker[Title],MATCH(ROWS($A$10:$A32)&amp;"Y",IssueTracker[Helper],0)),"")</f>
        <v/>
      </c>
      <c r="L32" s="15" t="str">
        <f>IF(ROWS($A$10:$A32)&lt;=COUNTIF(IssueTracker[Helper],"*Y"),INDEX(IssueTracker[Severity],MATCH(ROWS($A$10:$A32)&amp;"Y",IssueTracker[Helper],0)),"")</f>
        <v/>
      </c>
      <c r="M32" s="14" t="str">
        <f>IF(ROWS($A$10:$A32)&lt;=COUNTIF(IssueTracker[Helper],"*Y"),INDEX(IssueTracker[Duration (Days)],MATCH(ROWS($A$10:$A32)&amp;"Y",IssueTracker[Helper],0)),"")</f>
        <v/>
      </c>
      <c r="O32" s="4" t="str">
        <f>IF(ROWS($A$10:$A32)&lt;=COUNTIF(ImpedTracker[Helper],"*Y"),INDEX(ImpedTracker[Impediment Number],MATCH(ROWS($A$10:$A32)&amp;"Y",ImpedTracker[Helper],0)),"")</f>
        <v/>
      </c>
      <c r="P32" s="19" t="str">
        <f>IF(ROWS($A$10:$A32)&lt;=COUNTIF(ImpedTracker[Helper],"*Y"),INDEX(ImpedTracker[Project Name],MATCH(ROWS($A$10:$A32)&amp;"Y",ImpedTracker[Helper],0)),"")</f>
        <v/>
      </c>
      <c r="Q32" s="19" t="str">
        <f>IF(ROWS($A$10:$A32)&lt;=COUNTIF(ImpedTracker[Helper],"*Y"),INDEX(ImpedTracker[Title],MATCH(ROWS($A$10:$A32)&amp;"Y",ImpedTracker[Helper],0)),"")</f>
        <v/>
      </c>
      <c r="R32" s="13" t="str">
        <f>IF(ROWS($A$10:$A32)&lt;=COUNTIF(ImpedTracker[Helper],"*Y"),INDEX(ImpedTracker[Category],MATCH(ROWS($A$10:$A32)&amp;"Y",ImpedTracker[Helper],0)),"")</f>
        <v/>
      </c>
      <c r="S32" s="13" t="str">
        <f>IF(ROWS($A$10:$A32)&lt;=COUNTIF(ImpedTracker[Helper],"*Y"),INDEX(ImpedTracker[Status],MATCH(ROWS($A$10:$A32)&amp;"Y",ImpedTracker[Helper],0)),"")</f>
        <v/>
      </c>
      <c r="T32" s="33" t="str">
        <f>IF(ROWS($A$10:$A32)&lt;=COUNTIF(ImpedTracker[Helper],"*Y"),INDEX(ImpedTracker[Due Date],MATCH(ROWS($A$10:$A32)&amp;"Y",ImpedTracker[Helper],0)),"")</f>
        <v/>
      </c>
      <c r="U32" s="21" t="str">
        <f>IF(ROWS($A$10:$A32)&lt;=COUNTIF(ImpedTracker[Helper],"*Y"),INDEX(ImpedTracker[Duration (Days)],MATCH(ROWS($A$10:$A32)&amp;"Y",ImpedTracker[Helper],0)),"")</f>
        <v/>
      </c>
      <c r="W32" s="4" t="str">
        <f>IF(ROWS($A$10:$A32)&lt;=COUNTIF(DecisionLog[Helper],"*Y"),INDEX(DecisionLog[Decision Number],MATCH(ROWS($A$10:$A32)&amp;"Y",DecisionLog[Helper],0)),"")</f>
        <v/>
      </c>
      <c r="X32" s="15" t="str">
        <f>IF(ROWS($A$10:$A32)&lt;=COUNTIF(DecisionLog[Helper],"*Y"),INDEX(DecisionLog[Project Name],MATCH(ROWS($A$10:$A32)&amp;"Y",DecisionLog[Helper],0)),"")</f>
        <v/>
      </c>
      <c r="Y32" s="19" t="str">
        <f>IF(ROWS($A$10:$A32)&lt;=COUNTIF(DecisionLog[Helper],"*Y"),INDEX(DecisionLog[Title],MATCH(ROWS($A$10:$A32)&amp;"Y",DecisionLog[Helper],0)),"")</f>
        <v/>
      </c>
      <c r="Z32" s="13" t="str">
        <f>IF(ROWS($A$10:$A32)&lt;=COUNTIF(DecisionLog[Helper],"*Y"),INDEX(DecisionLog[Status],MATCH(ROWS($A$10:$A32)&amp;"Y",DecisionLog[Helper],0)),"")</f>
        <v/>
      </c>
      <c r="AB32" s="4" t="str">
        <f>IF(ROWS($A$10:$A32)&lt;=COUNTIF(ActionLog[Helper],"*Y"),INDEX(ActionLog[Task Number],MATCH(ROWS($A$10:$A32)&amp;"Y",ActionLog[Helper],0)),"")</f>
        <v/>
      </c>
      <c r="AC32" s="15" t="str">
        <f>IF(ROWS($A$10:$A32)&lt;=COUNTIF(ActionLog[Helper],"*Y"),INDEX(ActionLog[Project Name],MATCH(ROWS($A$10:$A32)&amp;"Y",ActionLog[Helper],0)),"")</f>
        <v/>
      </c>
      <c r="AD32" s="20" t="str">
        <f>IF(ROWS($A$10:$A32)&lt;=COUNTIF(ActionLog[Helper],"*Y"),INDEX(ActionLog[Title],MATCH(ROWS($A$10:$A32)&amp;"Y",ActionLog[Helper],0)),"")</f>
        <v/>
      </c>
      <c r="AE32" s="13" t="str">
        <f>IF(ROWS($A$10:$A32)&lt;=COUNTIF(ActionLog[Helper],"*Y"),INDEX(ActionLog[Task Status],MATCH(ROWS($A$10:$A32)&amp;"Y",ActionLog[Helper],0)),"")</f>
        <v/>
      </c>
    </row>
    <row r="33" spans="2:31" ht="39.950000000000003" customHeight="1" x14ac:dyDescent="0.35">
      <c r="B33" s="24" t="str">
        <f>IF(ROWS($A$10:$A33)&lt;=COUNTIF(RiskTracker[Helper],"*Y"),INDEX(RiskTracker[Risk Number],MATCH(ROWS($A$10:$A33)&amp;"Y",RiskTracker[Helper],0)),"")</f>
        <v/>
      </c>
      <c r="C33" s="15" t="str">
        <f>IF(ROWS($A$10:$A33)&lt;=COUNTIF(RiskTracker[Helper],"*Y"),INDEX(RiskTracker[Project Name],MATCH(ROWS($A$10:$A33)&amp;"Y",RiskTracker[Helper],0)),"")</f>
        <v/>
      </c>
      <c r="D33" s="23" t="str">
        <f>IF(ROWS($A$10:$A33)&lt;=COUNTIF(RiskTracker[Helper],"*Y"),INDEX(RiskTracker[Title],MATCH(ROWS($A$10:$A33)&amp;"Y",RiskTracker[Helper],0)),"")</f>
        <v/>
      </c>
      <c r="E33" s="22" t="str">
        <f>IF(ROWS($A$10:$A33)&lt;=COUNTIF(RiskTracker[Helper],"*Y"),INDEX(RiskTracker[Category],MATCH(ROWS($A$10:$A33)&amp;"Y",RiskTracker[Helper],0)),"")</f>
        <v/>
      </c>
      <c r="F33" s="14" t="str">
        <f>IF(ROWS($A$10:$A33)&lt;=COUNTIF(RiskTracker[Helper],"*Y"),INDEX(RiskTracker[Severity],MATCH(ROWS($A$10:$A33)&amp;"Y",RiskTracker[Helper],0)),"")</f>
        <v/>
      </c>
      <c r="G33" s="24" t="str">
        <f>IF(ROWS($A$10:$A33)&lt;=COUNTIF(RiskTracker[Helper],"*Y"),INDEX(RiskTracker[Duration (Days)],MATCH(ROWS($A$10:$A33)&amp;"Y",RiskTracker[Helper],0)),"")</f>
        <v/>
      </c>
      <c r="I33" s="24" t="str">
        <f>IF(ROWS($A$10:$A33)&lt;=COUNTIF(IssueTracker[Helper],"*Y"),INDEX(IssueTracker[Issue Number],MATCH(ROWS($A$10:$A33)&amp;"Y",IssueTracker[Helper],0)),"")</f>
        <v/>
      </c>
      <c r="J33" s="23" t="str">
        <f>IF(ROWS($A$10:$A33)&lt;=COUNTIF(IssueTracker[Helper],"*Y"),INDEX(IssueTracker[Project Name],MATCH(ROWS($A$10:$A33)&amp;"Y",IssueTracker[Helper],0)),"")</f>
        <v/>
      </c>
      <c r="K33" s="23" t="str">
        <f>IF(ROWS($A$10:$A33)&lt;=COUNTIF(IssueTracker[Helper],"*Y"),INDEX(IssueTracker[Title],MATCH(ROWS($A$10:$A33)&amp;"Y",IssueTracker[Helper],0)),"")</f>
        <v/>
      </c>
      <c r="L33" s="23" t="str">
        <f>IF(ROWS($A$10:$A33)&lt;=COUNTIF(IssueTracker[Helper],"*Y"),INDEX(IssueTracker[Severity],MATCH(ROWS($A$10:$A33)&amp;"Y",IssueTracker[Helper],0)),"")</f>
        <v/>
      </c>
      <c r="M33" s="22" t="str">
        <f>IF(ROWS($A$10:$A33)&lt;=COUNTIF(IssueTracker[Helper],"*Y"),INDEX(IssueTracker[Duration (Days)],MATCH(ROWS($A$10:$A33)&amp;"Y",IssueTracker[Helper],0)),"")</f>
        <v/>
      </c>
      <c r="O33" s="66" t="str">
        <f>IF(ROWS($A$10:$A33)&lt;=COUNTIF(ImpedTracker[Helper],"*Y"),INDEX(ImpedTracker[Impediment Number],MATCH(ROWS($A$10:$A33)&amp;"Y",ImpedTracker[Helper],0)),"")</f>
        <v/>
      </c>
      <c r="P33" s="25" t="str">
        <f>IF(ROWS($A$10:$A33)&lt;=COUNTIF(ImpedTracker[Helper],"*Y"),INDEX(ImpedTracker[Project Name],MATCH(ROWS($A$10:$A33)&amp;"Y",ImpedTracker[Helper],0)),"")</f>
        <v/>
      </c>
      <c r="Q33" s="25" t="str">
        <f>IF(ROWS($A$10:$A33)&lt;=COUNTIF(ImpedTracker[Helper],"*Y"),INDEX(ImpedTracker[Title],MATCH(ROWS($A$10:$A33)&amp;"Y",ImpedTracker[Helper],0)),"")</f>
        <v/>
      </c>
      <c r="R33" s="3" t="str">
        <f>IF(ROWS($A$10:$A33)&lt;=COUNTIF(ImpedTracker[Helper],"*Y"),INDEX(ImpedTracker[Category],MATCH(ROWS($A$10:$A33)&amp;"Y",ImpedTracker[Helper],0)),"")</f>
        <v/>
      </c>
      <c r="S33" s="3" t="str">
        <f>IF(ROWS($A$10:$A33)&lt;=COUNTIF(ImpedTracker[Helper],"*Y"),INDEX(ImpedTracker[Status],MATCH(ROWS($A$10:$A33)&amp;"Y",ImpedTracker[Helper],0)),"")</f>
        <v/>
      </c>
      <c r="T33" s="28" t="str">
        <f>IF(ROWS($A$10:$A33)&lt;=COUNTIF(ImpedTracker[Helper],"*Y"),INDEX(ImpedTracker[Due Date],MATCH(ROWS($A$10:$A33)&amp;"Y",ImpedTracker[Helper],0)),"")</f>
        <v/>
      </c>
      <c r="U33" s="26" t="str">
        <f>IF(ROWS($A$10:$A33)&lt;=COUNTIF(ImpedTracker[Helper],"*Y"),INDEX(ImpedTracker[Duration (Days)],MATCH(ROWS($A$10:$A33)&amp;"Y",ImpedTracker[Helper],0)),"")</f>
        <v/>
      </c>
      <c r="W33" s="66" t="str">
        <f>IF(ROWS($A$10:$A33)&lt;=COUNTIF(DecisionLog[Helper],"*Y"),INDEX(DecisionLog[Decision Number],MATCH(ROWS($A$10:$A33)&amp;"Y",DecisionLog[Helper],0)),"")</f>
        <v/>
      </c>
      <c r="X33" s="15" t="str">
        <f>IF(ROWS($A$10:$A33)&lt;=COUNTIF(DecisionLog[Helper],"*Y"),INDEX(DecisionLog[Project Name],MATCH(ROWS($A$10:$A33)&amp;"Y",DecisionLog[Helper],0)),"")</f>
        <v/>
      </c>
      <c r="Y33" s="25" t="str">
        <f>IF(ROWS($A$10:$A33)&lt;=COUNTIF(DecisionLog[Helper],"*Y"),INDEX(DecisionLog[Title],MATCH(ROWS($A$10:$A33)&amp;"Y",DecisionLog[Helper],0)),"")</f>
        <v/>
      </c>
      <c r="Z33" s="3" t="str">
        <f>IF(ROWS($A$10:$A33)&lt;=COUNTIF(DecisionLog[Helper],"*Y"),INDEX(DecisionLog[Status],MATCH(ROWS($A$10:$A33)&amp;"Y",DecisionLog[Helper],0)),"")</f>
        <v/>
      </c>
      <c r="AB33" s="66" t="str">
        <f>IF(ROWS($A$10:$A33)&lt;=COUNTIF(ActionLog[Helper],"*Y"),INDEX(ActionLog[Task Number],MATCH(ROWS($A$10:$A33)&amp;"Y",ActionLog[Helper],0)),"")</f>
        <v/>
      </c>
      <c r="AC33" s="15" t="str">
        <f>IF(ROWS($A$10:$A33)&lt;=COUNTIF(ActionLog[Helper],"*Y"),INDEX(ActionLog[Project Name],MATCH(ROWS($A$10:$A33)&amp;"Y",ActionLog[Helper],0)),"")</f>
        <v/>
      </c>
      <c r="AD33" s="27" t="str">
        <f>IF(ROWS($A$10:$A33)&lt;=COUNTIF(ActionLog[Helper],"*Y"),INDEX(ActionLog[Title],MATCH(ROWS($A$10:$A33)&amp;"Y",ActionLog[Helper],0)),"")</f>
        <v/>
      </c>
      <c r="AE33" s="3" t="str">
        <f>IF(ROWS($A$10:$A33)&lt;=COUNTIF(ActionLog[Helper],"*Y"),INDEX(ActionLog[Task Status],MATCH(ROWS($A$10:$A33)&amp;"Y",ActionLog[Helper],0)),"")</f>
        <v/>
      </c>
    </row>
    <row r="34" spans="2:31" ht="39.950000000000003" customHeight="1" x14ac:dyDescent="0.35">
      <c r="B34" s="24" t="str">
        <f>IF(ROWS($A$10:$A34)&lt;=COUNTIF(RiskTracker[Helper],"*Y"),INDEX(RiskTracker[Risk Number],MATCH(ROWS($A$10:$A34)&amp;"Y",RiskTracker[Helper],0)),"")</f>
        <v/>
      </c>
      <c r="C34" s="15" t="str">
        <f>IF(ROWS($A$10:$A34)&lt;=COUNTIF(RiskTracker[Helper],"*Y"),INDEX(RiskTracker[Project Name],MATCH(ROWS($A$10:$A34)&amp;"Y",RiskTracker[Helper],0)),"")</f>
        <v/>
      </c>
      <c r="D34" s="23" t="str">
        <f>IF(ROWS($A$10:$A34)&lt;=COUNTIF(RiskTracker[Helper],"*Y"),INDEX(RiskTracker[Title],MATCH(ROWS($A$10:$A34)&amp;"Y",RiskTracker[Helper],0)),"")</f>
        <v/>
      </c>
      <c r="E34" s="22" t="str">
        <f>IF(ROWS($A$10:$A34)&lt;=COUNTIF(RiskTracker[Helper],"*Y"),INDEX(RiskTracker[Category],MATCH(ROWS($A$10:$A34)&amp;"Y",RiskTracker[Helper],0)),"")</f>
        <v/>
      </c>
      <c r="F34" s="14" t="str">
        <f>IF(ROWS($A$10:$A34)&lt;=COUNTIF(RiskTracker[Helper],"*Y"),INDEX(RiskTracker[Severity],MATCH(ROWS($A$10:$A34)&amp;"Y",RiskTracker[Helper],0)),"")</f>
        <v/>
      </c>
      <c r="G34" s="24" t="str">
        <f>IF(ROWS($A$10:$A34)&lt;=COUNTIF(RiskTracker[Helper],"*Y"),INDEX(RiskTracker[Duration (Days)],MATCH(ROWS($A$10:$A34)&amp;"Y",RiskTracker[Helper],0)),"")</f>
        <v/>
      </c>
      <c r="I34" s="24" t="str">
        <f>IF(ROWS($A$10:$A34)&lt;=COUNTIF(IssueTracker[Helper],"*Y"),INDEX(IssueTracker[Issue Number],MATCH(ROWS($A$10:$A34)&amp;"Y",IssueTracker[Helper],0)),"")</f>
        <v/>
      </c>
      <c r="J34" s="23" t="str">
        <f>IF(ROWS($A$10:$A34)&lt;=COUNTIF(IssueTracker[Helper],"*Y"),INDEX(IssueTracker[Project Name],MATCH(ROWS($A$10:$A34)&amp;"Y",IssueTracker[Helper],0)),"")</f>
        <v/>
      </c>
      <c r="K34" s="23" t="str">
        <f>IF(ROWS($A$10:$A34)&lt;=COUNTIF(IssueTracker[Helper],"*Y"),INDEX(IssueTracker[Title],MATCH(ROWS($A$10:$A34)&amp;"Y",IssueTracker[Helper],0)),"")</f>
        <v/>
      </c>
      <c r="L34" s="23" t="str">
        <f>IF(ROWS($A$10:$A34)&lt;=COUNTIF(IssueTracker[Helper],"*Y"),INDEX(IssueTracker[Severity],MATCH(ROWS($A$10:$A34)&amp;"Y",IssueTracker[Helper],0)),"")</f>
        <v/>
      </c>
      <c r="M34" s="22" t="str">
        <f>IF(ROWS($A$10:$A34)&lt;=COUNTIF(IssueTracker[Helper],"*Y"),INDEX(IssueTracker[Duration (Days)],MATCH(ROWS($A$10:$A34)&amp;"Y",IssueTracker[Helper],0)),"")</f>
        <v/>
      </c>
      <c r="O34" s="66" t="str">
        <f>IF(ROWS($A$10:$A34)&lt;=COUNTIF(ImpedTracker[Helper],"*Y"),INDEX(ImpedTracker[Impediment Number],MATCH(ROWS($A$10:$A34)&amp;"Y",ImpedTracker[Helper],0)),"")</f>
        <v/>
      </c>
      <c r="P34" s="25" t="str">
        <f>IF(ROWS($A$10:$A34)&lt;=COUNTIF(ImpedTracker[Helper],"*Y"),INDEX(ImpedTracker[Project Name],MATCH(ROWS($A$10:$A34)&amp;"Y",ImpedTracker[Helper],0)),"")</f>
        <v/>
      </c>
      <c r="Q34" s="25" t="str">
        <f>IF(ROWS($A$10:$A34)&lt;=COUNTIF(ImpedTracker[Helper],"*Y"),INDEX(ImpedTracker[Title],MATCH(ROWS($A$10:$A34)&amp;"Y",ImpedTracker[Helper],0)),"")</f>
        <v/>
      </c>
      <c r="R34" s="3" t="str">
        <f>IF(ROWS($A$10:$A34)&lt;=COUNTIF(ImpedTracker[Helper],"*Y"),INDEX(ImpedTracker[Category],MATCH(ROWS($A$10:$A34)&amp;"Y",ImpedTracker[Helper],0)),"")</f>
        <v/>
      </c>
      <c r="S34" s="3" t="str">
        <f>IF(ROWS($A$10:$A34)&lt;=COUNTIF(ImpedTracker[Helper],"*Y"),INDEX(ImpedTracker[Status],MATCH(ROWS($A$10:$A34)&amp;"Y",ImpedTracker[Helper],0)),"")</f>
        <v/>
      </c>
      <c r="T34" s="28" t="str">
        <f>IF(ROWS($A$10:$A34)&lt;=COUNTIF(ImpedTracker[Helper],"*Y"),INDEX(ImpedTracker[Due Date],MATCH(ROWS($A$10:$A34)&amp;"Y",ImpedTracker[Helper],0)),"")</f>
        <v/>
      </c>
      <c r="U34" s="26" t="str">
        <f>IF(ROWS($A$10:$A34)&lt;=COUNTIF(ImpedTracker[Helper],"*Y"),INDEX(ImpedTracker[Duration (Days)],MATCH(ROWS($A$10:$A34)&amp;"Y",ImpedTracker[Helper],0)),"")</f>
        <v/>
      </c>
      <c r="W34" s="66" t="str">
        <f>IF(ROWS($A$10:$A34)&lt;=COUNTIF(DecisionLog[Helper],"*Y"),INDEX(DecisionLog[Decision Number],MATCH(ROWS($A$10:$A34)&amp;"Y",DecisionLog[Helper],0)),"")</f>
        <v/>
      </c>
      <c r="X34" s="15" t="str">
        <f>IF(ROWS($A$10:$A34)&lt;=COUNTIF(DecisionLog[Helper],"*Y"),INDEX(DecisionLog[Project Name],MATCH(ROWS($A$10:$A34)&amp;"Y",DecisionLog[Helper],0)),"")</f>
        <v/>
      </c>
      <c r="Y34" s="25" t="str">
        <f>IF(ROWS($A$10:$A34)&lt;=COUNTIF(DecisionLog[Helper],"*Y"),INDEX(DecisionLog[Title],MATCH(ROWS($A$10:$A34)&amp;"Y",DecisionLog[Helper],0)),"")</f>
        <v/>
      </c>
      <c r="Z34" s="3" t="str">
        <f>IF(ROWS($A$10:$A34)&lt;=COUNTIF(DecisionLog[Helper],"*Y"),INDEX(DecisionLog[Status],MATCH(ROWS($A$10:$A34)&amp;"Y",DecisionLog[Helper],0)),"")</f>
        <v/>
      </c>
      <c r="AB34" s="66" t="str">
        <f>IF(ROWS($A$10:$A34)&lt;=COUNTIF(ActionLog[Helper],"*Y"),INDEX(ActionLog[Task Number],MATCH(ROWS($A$10:$A34)&amp;"Y",ActionLog[Helper],0)),"")</f>
        <v/>
      </c>
      <c r="AC34" s="15" t="str">
        <f>IF(ROWS($A$10:$A34)&lt;=COUNTIF(ActionLog[Helper],"*Y"),INDEX(ActionLog[Project Name],MATCH(ROWS($A$10:$A34)&amp;"Y",ActionLog[Helper],0)),"")</f>
        <v/>
      </c>
      <c r="AD34" s="27" t="str">
        <f>IF(ROWS($A$10:$A34)&lt;=COUNTIF(ActionLog[Helper],"*Y"),INDEX(ActionLog[Title],MATCH(ROWS($A$10:$A34)&amp;"Y",ActionLog[Helper],0)),"")</f>
        <v/>
      </c>
      <c r="AE34" s="3" t="str">
        <f>IF(ROWS($A$10:$A34)&lt;=COUNTIF(ActionLog[Helper],"*Y"),INDEX(ActionLog[Task Status],MATCH(ROWS($A$10:$A34)&amp;"Y",ActionLog[Helper],0)),"")</f>
        <v/>
      </c>
    </row>
    <row r="35" spans="2:31" ht="39.950000000000003" customHeight="1" x14ac:dyDescent="0.35">
      <c r="B35" s="24" t="str">
        <f>IF(ROWS($A$10:$A35)&lt;=COUNTIF(RiskTracker[Helper],"*Y"),INDEX(RiskTracker[Risk Number],MATCH(ROWS($A$10:$A35)&amp;"Y",RiskTracker[Helper],0)),"")</f>
        <v/>
      </c>
      <c r="C35" s="15" t="str">
        <f>IF(ROWS($A$10:$A35)&lt;=COUNTIF(RiskTracker[Helper],"*Y"),INDEX(RiskTracker[Project Name],MATCH(ROWS($A$10:$A35)&amp;"Y",RiskTracker[Helper],0)),"")</f>
        <v/>
      </c>
      <c r="D35" s="23" t="str">
        <f>IF(ROWS($A$10:$A35)&lt;=COUNTIF(RiskTracker[Helper],"*Y"),INDEX(RiskTracker[Title],MATCH(ROWS($A$10:$A35)&amp;"Y",RiskTracker[Helper],0)),"")</f>
        <v/>
      </c>
      <c r="E35" s="22" t="str">
        <f>IF(ROWS($A$10:$A35)&lt;=COUNTIF(RiskTracker[Helper],"*Y"),INDEX(RiskTracker[Category],MATCH(ROWS($A$10:$A35)&amp;"Y",RiskTracker[Helper],0)),"")</f>
        <v/>
      </c>
      <c r="F35" s="14" t="str">
        <f>IF(ROWS($A$10:$A35)&lt;=COUNTIF(RiskTracker[Helper],"*Y"),INDEX(RiskTracker[Severity],MATCH(ROWS($A$10:$A35)&amp;"Y",RiskTracker[Helper],0)),"")</f>
        <v/>
      </c>
      <c r="G35" s="24" t="str">
        <f>IF(ROWS($A$10:$A35)&lt;=COUNTIF(RiskTracker[Helper],"*Y"),INDEX(RiskTracker[Duration (Days)],MATCH(ROWS($A$10:$A35)&amp;"Y",RiskTracker[Helper],0)),"")</f>
        <v/>
      </c>
      <c r="I35" s="24" t="str">
        <f>IF(ROWS($A$10:$A35)&lt;=COUNTIF(IssueTracker[Helper],"*Y"),INDEX(IssueTracker[Issue Number],MATCH(ROWS($A$10:$A35)&amp;"Y",IssueTracker[Helper],0)),"")</f>
        <v/>
      </c>
      <c r="J35" s="23" t="str">
        <f>IF(ROWS($A$10:$A35)&lt;=COUNTIF(IssueTracker[Helper],"*Y"),INDEX(IssueTracker[Project Name],MATCH(ROWS($A$10:$A35)&amp;"Y",IssueTracker[Helper],0)),"")</f>
        <v/>
      </c>
      <c r="K35" s="23" t="str">
        <f>IF(ROWS($A$10:$A35)&lt;=COUNTIF(IssueTracker[Helper],"*Y"),INDEX(IssueTracker[Title],MATCH(ROWS($A$10:$A35)&amp;"Y",IssueTracker[Helper],0)),"")</f>
        <v/>
      </c>
      <c r="L35" s="23" t="str">
        <f>IF(ROWS($A$10:$A35)&lt;=COUNTIF(IssueTracker[Helper],"*Y"),INDEX(IssueTracker[Severity],MATCH(ROWS($A$10:$A35)&amp;"Y",IssueTracker[Helper],0)),"")</f>
        <v/>
      </c>
      <c r="M35" s="22" t="str">
        <f>IF(ROWS($A$10:$A35)&lt;=COUNTIF(IssueTracker[Helper],"*Y"),INDEX(IssueTracker[Duration (Days)],MATCH(ROWS($A$10:$A35)&amp;"Y",IssueTracker[Helper],0)),"")</f>
        <v/>
      </c>
      <c r="O35" s="66" t="str">
        <f>IF(ROWS($A$10:$A35)&lt;=COUNTIF(ImpedTracker[Helper],"*Y"),INDEX(ImpedTracker[Impediment Number],MATCH(ROWS($A$10:$A35)&amp;"Y",ImpedTracker[Helper],0)),"")</f>
        <v/>
      </c>
      <c r="P35" s="25" t="str">
        <f>IF(ROWS($A$10:$A35)&lt;=COUNTIF(ImpedTracker[Helper],"*Y"),INDEX(ImpedTracker[Project Name],MATCH(ROWS($A$10:$A35)&amp;"Y",ImpedTracker[Helper],0)),"")</f>
        <v/>
      </c>
      <c r="Q35" s="25" t="str">
        <f>IF(ROWS($A$10:$A35)&lt;=COUNTIF(ImpedTracker[Helper],"*Y"),INDEX(ImpedTracker[Title],MATCH(ROWS($A$10:$A35)&amp;"Y",ImpedTracker[Helper],0)),"")</f>
        <v/>
      </c>
      <c r="R35" s="3" t="str">
        <f>IF(ROWS($A$10:$A35)&lt;=COUNTIF(ImpedTracker[Helper],"*Y"),INDEX(ImpedTracker[Category],MATCH(ROWS($A$10:$A35)&amp;"Y",ImpedTracker[Helper],0)),"")</f>
        <v/>
      </c>
      <c r="S35" s="3" t="str">
        <f>IF(ROWS($A$10:$A35)&lt;=COUNTIF(ImpedTracker[Helper],"*Y"),INDEX(ImpedTracker[Status],MATCH(ROWS($A$10:$A35)&amp;"Y",ImpedTracker[Helper],0)),"")</f>
        <v/>
      </c>
      <c r="T35" s="28" t="str">
        <f>IF(ROWS($A$10:$A35)&lt;=COUNTIF(ImpedTracker[Helper],"*Y"),INDEX(ImpedTracker[Due Date],MATCH(ROWS($A$10:$A35)&amp;"Y",ImpedTracker[Helper],0)),"")</f>
        <v/>
      </c>
      <c r="U35" s="26" t="str">
        <f>IF(ROWS($A$10:$A35)&lt;=COUNTIF(ImpedTracker[Helper],"*Y"),INDEX(ImpedTracker[Duration (Days)],MATCH(ROWS($A$10:$A35)&amp;"Y",ImpedTracker[Helper],0)),"")</f>
        <v/>
      </c>
      <c r="W35" s="66" t="str">
        <f>IF(ROWS($A$10:$A35)&lt;=COUNTIF(DecisionLog[Helper],"*Y"),INDEX(DecisionLog[Decision Number],MATCH(ROWS($A$10:$A35)&amp;"Y",DecisionLog[Helper],0)),"")</f>
        <v/>
      </c>
      <c r="X35" s="15" t="str">
        <f>IF(ROWS($A$10:$A35)&lt;=COUNTIF(DecisionLog[Helper],"*Y"),INDEX(DecisionLog[Project Name],MATCH(ROWS($A$10:$A35)&amp;"Y",DecisionLog[Helper],0)),"")</f>
        <v/>
      </c>
      <c r="Y35" s="25" t="str">
        <f>IF(ROWS($A$10:$A35)&lt;=COUNTIF(DecisionLog[Helper],"*Y"),INDEX(DecisionLog[Title],MATCH(ROWS($A$10:$A35)&amp;"Y",DecisionLog[Helper],0)),"")</f>
        <v/>
      </c>
      <c r="Z35" s="3" t="str">
        <f>IF(ROWS($A$10:$A35)&lt;=COUNTIF(DecisionLog[Helper],"*Y"),INDEX(DecisionLog[Status],MATCH(ROWS($A$10:$A35)&amp;"Y",DecisionLog[Helper],0)),"")</f>
        <v/>
      </c>
      <c r="AB35" s="66" t="str">
        <f>IF(ROWS($A$10:$A35)&lt;=COUNTIF(ActionLog[Helper],"*Y"),INDEX(ActionLog[Task Number],MATCH(ROWS($A$10:$A35)&amp;"Y",ActionLog[Helper],0)),"")</f>
        <v/>
      </c>
      <c r="AC35" s="15" t="str">
        <f>IF(ROWS($A$10:$A35)&lt;=COUNTIF(ActionLog[Helper],"*Y"),INDEX(ActionLog[Project Name],MATCH(ROWS($A$10:$A35)&amp;"Y",ActionLog[Helper],0)),"")</f>
        <v/>
      </c>
      <c r="AD35" s="27" t="str">
        <f>IF(ROWS($A$10:$A35)&lt;=COUNTIF(ActionLog[Helper],"*Y"),INDEX(ActionLog[Title],MATCH(ROWS($A$10:$A35)&amp;"Y",ActionLog[Helper],0)),"")</f>
        <v/>
      </c>
      <c r="AE35" s="3" t="str">
        <f>IF(ROWS($A$10:$A35)&lt;=COUNTIF(ActionLog[Helper],"*Y"),INDEX(ActionLog[Task Status],MATCH(ROWS($A$10:$A35)&amp;"Y",ActionLog[Helper],0)),"")</f>
        <v/>
      </c>
    </row>
    <row r="36" spans="2:31" ht="39.950000000000003" customHeight="1" x14ac:dyDescent="0.35">
      <c r="B36" s="24" t="str">
        <f>IF(ROWS($A$10:$A36)&lt;=COUNTIF(RiskTracker[Helper],"*Y"),INDEX(RiskTracker[Risk Number],MATCH(ROWS($A$10:$A36)&amp;"Y",RiskTracker[Helper],0)),"")</f>
        <v/>
      </c>
      <c r="C36" s="15" t="str">
        <f>IF(ROWS($A$10:$A36)&lt;=COUNTIF(RiskTracker[Helper],"*Y"),INDEX(RiskTracker[Project Name],MATCH(ROWS($A$10:$A36)&amp;"Y",RiskTracker[Helper],0)),"")</f>
        <v/>
      </c>
      <c r="D36" s="23" t="str">
        <f>IF(ROWS($A$10:$A36)&lt;=COUNTIF(RiskTracker[Helper],"*Y"),INDEX(RiskTracker[Title],MATCH(ROWS($A$10:$A36)&amp;"Y",RiskTracker[Helper],0)),"")</f>
        <v/>
      </c>
      <c r="E36" s="22" t="str">
        <f>IF(ROWS($A$10:$A36)&lt;=COUNTIF(RiskTracker[Helper],"*Y"),INDEX(RiskTracker[Category],MATCH(ROWS($A$10:$A36)&amp;"Y",RiskTracker[Helper],0)),"")</f>
        <v/>
      </c>
      <c r="F36" s="14" t="str">
        <f>IF(ROWS($A$10:$A36)&lt;=COUNTIF(RiskTracker[Helper],"*Y"),INDEX(RiskTracker[Severity],MATCH(ROWS($A$10:$A36)&amp;"Y",RiskTracker[Helper],0)),"")</f>
        <v/>
      </c>
      <c r="G36" s="24" t="str">
        <f>IF(ROWS($A$10:$A36)&lt;=COUNTIF(RiskTracker[Helper],"*Y"),INDEX(RiskTracker[Duration (Days)],MATCH(ROWS($A$10:$A36)&amp;"Y",RiskTracker[Helper],0)),"")</f>
        <v/>
      </c>
      <c r="I36" s="24" t="str">
        <f>IF(ROWS($A$10:$A36)&lt;=COUNTIF(IssueTracker[Helper],"*Y"),INDEX(IssueTracker[Issue Number],MATCH(ROWS($A$10:$A36)&amp;"Y",IssueTracker[Helper],0)),"")</f>
        <v/>
      </c>
      <c r="J36" s="23" t="str">
        <f>IF(ROWS($A$10:$A36)&lt;=COUNTIF(IssueTracker[Helper],"*Y"),INDEX(IssueTracker[Project Name],MATCH(ROWS($A$10:$A36)&amp;"Y",IssueTracker[Helper],0)),"")</f>
        <v/>
      </c>
      <c r="K36" s="23" t="str">
        <f>IF(ROWS($A$10:$A36)&lt;=COUNTIF(IssueTracker[Helper],"*Y"),INDEX(IssueTracker[Title],MATCH(ROWS($A$10:$A36)&amp;"Y",IssueTracker[Helper],0)),"")</f>
        <v/>
      </c>
      <c r="L36" s="23" t="str">
        <f>IF(ROWS($A$10:$A36)&lt;=COUNTIF(IssueTracker[Helper],"*Y"),INDEX(IssueTracker[Severity],MATCH(ROWS($A$10:$A36)&amp;"Y",IssueTracker[Helper],0)),"")</f>
        <v/>
      </c>
      <c r="M36" s="22" t="str">
        <f>IF(ROWS($A$10:$A36)&lt;=COUNTIF(IssueTracker[Helper],"*Y"),INDEX(IssueTracker[Duration (Days)],MATCH(ROWS($A$10:$A36)&amp;"Y",IssueTracker[Helper],0)),"")</f>
        <v/>
      </c>
      <c r="O36" s="66" t="str">
        <f>IF(ROWS($A$10:$A36)&lt;=COUNTIF(ImpedTracker[Helper],"*Y"),INDEX(ImpedTracker[Impediment Number],MATCH(ROWS($A$10:$A36)&amp;"Y",ImpedTracker[Helper],0)),"")</f>
        <v/>
      </c>
      <c r="P36" s="25" t="str">
        <f>IF(ROWS($A$10:$A36)&lt;=COUNTIF(ImpedTracker[Helper],"*Y"),INDEX(ImpedTracker[Project Name],MATCH(ROWS($A$10:$A36)&amp;"Y",ImpedTracker[Helper],0)),"")</f>
        <v/>
      </c>
      <c r="Q36" s="25" t="str">
        <f>IF(ROWS($A$10:$A36)&lt;=COUNTIF(ImpedTracker[Helper],"*Y"),INDEX(ImpedTracker[Title],MATCH(ROWS($A$10:$A36)&amp;"Y",ImpedTracker[Helper],0)),"")</f>
        <v/>
      </c>
      <c r="R36" s="3" t="str">
        <f>IF(ROWS($A$10:$A36)&lt;=COUNTIF(ImpedTracker[Helper],"*Y"),INDEX(ImpedTracker[Category],MATCH(ROWS($A$10:$A36)&amp;"Y",ImpedTracker[Helper],0)),"")</f>
        <v/>
      </c>
      <c r="S36" s="3" t="str">
        <f>IF(ROWS($A$10:$A36)&lt;=COUNTIF(ImpedTracker[Helper],"*Y"),INDEX(ImpedTracker[Status],MATCH(ROWS($A$10:$A36)&amp;"Y",ImpedTracker[Helper],0)),"")</f>
        <v/>
      </c>
      <c r="T36" s="28" t="str">
        <f>IF(ROWS($A$10:$A36)&lt;=COUNTIF(ImpedTracker[Helper],"*Y"),INDEX(ImpedTracker[Due Date],MATCH(ROWS($A$10:$A36)&amp;"Y",ImpedTracker[Helper],0)),"")</f>
        <v/>
      </c>
      <c r="U36" s="26" t="str">
        <f>IF(ROWS($A$10:$A36)&lt;=COUNTIF(ImpedTracker[Helper],"*Y"),INDEX(ImpedTracker[Duration (Days)],MATCH(ROWS($A$10:$A36)&amp;"Y",ImpedTracker[Helper],0)),"")</f>
        <v/>
      </c>
      <c r="W36" s="66" t="str">
        <f>IF(ROWS($A$10:$A36)&lt;=COUNTIF(DecisionLog[Helper],"*Y"),INDEX(DecisionLog[Decision Number],MATCH(ROWS($A$10:$A36)&amp;"Y",DecisionLog[Helper],0)),"")</f>
        <v/>
      </c>
      <c r="X36" s="15" t="str">
        <f>IF(ROWS($A$10:$A36)&lt;=COUNTIF(DecisionLog[Helper],"*Y"),INDEX(DecisionLog[Project Name],MATCH(ROWS($A$10:$A36)&amp;"Y",DecisionLog[Helper],0)),"")</f>
        <v/>
      </c>
      <c r="Y36" s="25" t="str">
        <f>IF(ROWS($A$10:$A36)&lt;=COUNTIF(DecisionLog[Helper],"*Y"),INDEX(DecisionLog[Title],MATCH(ROWS($A$10:$A36)&amp;"Y",DecisionLog[Helper],0)),"")</f>
        <v/>
      </c>
      <c r="Z36" s="3" t="str">
        <f>IF(ROWS($A$10:$A36)&lt;=COUNTIF(DecisionLog[Helper],"*Y"),INDEX(DecisionLog[Status],MATCH(ROWS($A$10:$A36)&amp;"Y",DecisionLog[Helper],0)),"")</f>
        <v/>
      </c>
      <c r="AB36" s="66" t="str">
        <f>IF(ROWS($A$10:$A36)&lt;=COUNTIF(ActionLog[Helper],"*Y"),INDEX(ActionLog[Task Number],MATCH(ROWS($A$10:$A36)&amp;"Y",ActionLog[Helper],0)),"")</f>
        <v/>
      </c>
      <c r="AC36" s="15" t="str">
        <f>IF(ROWS($A$10:$A36)&lt;=COUNTIF(ActionLog[Helper],"*Y"),INDEX(ActionLog[Project Name],MATCH(ROWS($A$10:$A36)&amp;"Y",ActionLog[Helper],0)),"")</f>
        <v/>
      </c>
      <c r="AD36" s="27" t="str">
        <f>IF(ROWS($A$10:$A36)&lt;=COUNTIF(ActionLog[Helper],"*Y"),INDEX(ActionLog[Title],MATCH(ROWS($A$10:$A36)&amp;"Y",ActionLog[Helper],0)),"")</f>
        <v/>
      </c>
      <c r="AE36" s="3" t="str">
        <f>IF(ROWS($A$10:$A36)&lt;=COUNTIF(ActionLog[Helper],"*Y"),INDEX(ActionLog[Task Status],MATCH(ROWS($A$10:$A36)&amp;"Y",ActionLog[Helper],0)),"")</f>
        <v/>
      </c>
    </row>
    <row r="37" spans="2:31" ht="39.950000000000003" customHeight="1" x14ac:dyDescent="0.35">
      <c r="B37" s="24" t="str">
        <f>IF(ROWS($A$10:$A37)&lt;=COUNTIF(RiskTracker[Helper],"*Y"),INDEX(RiskTracker[Risk Number],MATCH(ROWS($A$10:$A37)&amp;"Y",RiskTracker[Helper],0)),"")</f>
        <v/>
      </c>
      <c r="C37" s="15" t="str">
        <f>IF(ROWS($A$10:$A37)&lt;=COUNTIF(RiskTracker[Helper],"*Y"),INDEX(RiskTracker[Project Name],MATCH(ROWS($A$10:$A37)&amp;"Y",RiskTracker[Helper],0)),"")</f>
        <v/>
      </c>
      <c r="D37" s="23" t="str">
        <f>IF(ROWS($A$10:$A37)&lt;=COUNTIF(RiskTracker[Helper],"*Y"),INDEX(RiskTracker[Title],MATCH(ROWS($A$10:$A37)&amp;"Y",RiskTracker[Helper],0)),"")</f>
        <v/>
      </c>
      <c r="E37" s="22" t="str">
        <f>IF(ROWS($A$10:$A37)&lt;=COUNTIF(RiskTracker[Helper],"*Y"),INDEX(RiskTracker[Category],MATCH(ROWS($A$10:$A37)&amp;"Y",RiskTracker[Helper],0)),"")</f>
        <v/>
      </c>
      <c r="F37" s="14" t="str">
        <f>IF(ROWS($A$10:$A37)&lt;=COUNTIF(RiskTracker[Helper],"*Y"),INDEX(RiskTracker[Severity],MATCH(ROWS($A$10:$A37)&amp;"Y",RiskTracker[Helper],0)),"")</f>
        <v/>
      </c>
      <c r="G37" s="24" t="str">
        <f>IF(ROWS($A$10:$A37)&lt;=COUNTIF(RiskTracker[Helper],"*Y"),INDEX(RiskTracker[Duration (Days)],MATCH(ROWS($A$10:$A37)&amp;"Y",RiskTracker[Helper],0)),"")</f>
        <v/>
      </c>
      <c r="I37" s="24" t="str">
        <f>IF(ROWS($A$10:$A37)&lt;=COUNTIF(IssueTracker[Helper],"*Y"),INDEX(IssueTracker[Issue Number],MATCH(ROWS($A$10:$A37)&amp;"Y",IssueTracker[Helper],0)),"")</f>
        <v/>
      </c>
      <c r="J37" s="23" t="str">
        <f>IF(ROWS($A$10:$A37)&lt;=COUNTIF(IssueTracker[Helper],"*Y"),INDEX(IssueTracker[Project Name],MATCH(ROWS($A$10:$A37)&amp;"Y",IssueTracker[Helper],0)),"")</f>
        <v/>
      </c>
      <c r="K37" s="23" t="str">
        <f>IF(ROWS($A$10:$A37)&lt;=COUNTIF(IssueTracker[Helper],"*Y"),INDEX(IssueTracker[Title],MATCH(ROWS($A$10:$A37)&amp;"Y",IssueTracker[Helper],0)),"")</f>
        <v/>
      </c>
      <c r="L37" s="23" t="str">
        <f>IF(ROWS($A$10:$A37)&lt;=COUNTIF(IssueTracker[Helper],"*Y"),INDEX(IssueTracker[Severity],MATCH(ROWS($A$10:$A37)&amp;"Y",IssueTracker[Helper],0)),"")</f>
        <v/>
      </c>
      <c r="M37" s="22" t="str">
        <f>IF(ROWS($A$10:$A37)&lt;=COUNTIF(IssueTracker[Helper],"*Y"),INDEX(IssueTracker[Duration (Days)],MATCH(ROWS($A$10:$A37)&amp;"Y",IssueTracker[Helper],0)),"")</f>
        <v/>
      </c>
      <c r="O37" s="66" t="str">
        <f>IF(ROWS($A$10:$A37)&lt;=COUNTIF(ImpedTracker[Helper],"*Y"),INDEX(ImpedTracker[Impediment Number],MATCH(ROWS($A$10:$A37)&amp;"Y",ImpedTracker[Helper],0)),"")</f>
        <v/>
      </c>
      <c r="P37" s="25" t="str">
        <f>IF(ROWS($A$10:$A37)&lt;=COUNTIF(ImpedTracker[Helper],"*Y"),INDEX(ImpedTracker[Project Name],MATCH(ROWS($A$10:$A37)&amp;"Y",ImpedTracker[Helper],0)),"")</f>
        <v/>
      </c>
      <c r="Q37" s="25" t="str">
        <f>IF(ROWS($A$10:$A37)&lt;=COUNTIF(ImpedTracker[Helper],"*Y"),INDEX(ImpedTracker[Title],MATCH(ROWS($A$10:$A37)&amp;"Y",ImpedTracker[Helper],0)),"")</f>
        <v/>
      </c>
      <c r="R37" s="3" t="str">
        <f>IF(ROWS($A$10:$A37)&lt;=COUNTIF(ImpedTracker[Helper],"*Y"),INDEX(ImpedTracker[Category],MATCH(ROWS($A$10:$A37)&amp;"Y",ImpedTracker[Helper],0)),"")</f>
        <v/>
      </c>
      <c r="S37" s="3" t="str">
        <f>IF(ROWS($A$10:$A37)&lt;=COUNTIF(ImpedTracker[Helper],"*Y"),INDEX(ImpedTracker[Status],MATCH(ROWS($A$10:$A37)&amp;"Y",ImpedTracker[Helper],0)),"")</f>
        <v/>
      </c>
      <c r="T37" s="28" t="str">
        <f>IF(ROWS($A$10:$A37)&lt;=COUNTIF(ImpedTracker[Helper],"*Y"),INDEX(ImpedTracker[Due Date],MATCH(ROWS($A$10:$A37)&amp;"Y",ImpedTracker[Helper],0)),"")</f>
        <v/>
      </c>
      <c r="U37" s="26" t="str">
        <f>IF(ROWS($A$10:$A37)&lt;=COUNTIF(ImpedTracker[Helper],"*Y"),INDEX(ImpedTracker[Duration (Days)],MATCH(ROWS($A$10:$A37)&amp;"Y",ImpedTracker[Helper],0)),"")</f>
        <v/>
      </c>
      <c r="W37" s="66" t="str">
        <f>IF(ROWS($A$10:$A37)&lt;=COUNTIF(DecisionLog[Helper],"*Y"),INDEX(DecisionLog[Decision Number],MATCH(ROWS($A$10:$A37)&amp;"Y",DecisionLog[Helper],0)),"")</f>
        <v/>
      </c>
      <c r="X37" s="15" t="str">
        <f>IF(ROWS($A$10:$A37)&lt;=COUNTIF(DecisionLog[Helper],"*Y"),INDEX(DecisionLog[Project Name],MATCH(ROWS($A$10:$A37)&amp;"Y",DecisionLog[Helper],0)),"")</f>
        <v/>
      </c>
      <c r="Y37" s="25" t="str">
        <f>IF(ROWS($A$10:$A37)&lt;=COUNTIF(DecisionLog[Helper],"*Y"),INDEX(DecisionLog[Title],MATCH(ROWS($A$10:$A37)&amp;"Y",DecisionLog[Helper],0)),"")</f>
        <v/>
      </c>
      <c r="Z37" s="3" t="str">
        <f>IF(ROWS($A$10:$A37)&lt;=COUNTIF(DecisionLog[Helper],"*Y"),INDEX(DecisionLog[Status],MATCH(ROWS($A$10:$A37)&amp;"Y",DecisionLog[Helper],0)),"")</f>
        <v/>
      </c>
      <c r="AB37" s="66" t="str">
        <f>IF(ROWS($A$10:$A37)&lt;=COUNTIF(ActionLog[Helper],"*Y"),INDEX(ActionLog[Task Number],MATCH(ROWS($A$10:$A37)&amp;"Y",ActionLog[Helper],0)),"")</f>
        <v/>
      </c>
      <c r="AC37" s="15" t="str">
        <f>IF(ROWS($A$10:$A37)&lt;=COUNTIF(ActionLog[Helper],"*Y"),INDEX(ActionLog[Project Name],MATCH(ROWS($A$10:$A37)&amp;"Y",ActionLog[Helper],0)),"")</f>
        <v/>
      </c>
      <c r="AD37" s="27" t="str">
        <f>IF(ROWS($A$10:$A37)&lt;=COUNTIF(ActionLog[Helper],"*Y"),INDEX(ActionLog[Title],MATCH(ROWS($A$10:$A37)&amp;"Y",ActionLog[Helper],0)),"")</f>
        <v/>
      </c>
      <c r="AE37" s="3" t="str">
        <f>IF(ROWS($A$10:$A37)&lt;=COUNTIF(ActionLog[Helper],"*Y"),INDEX(ActionLog[Task Status],MATCH(ROWS($A$10:$A37)&amp;"Y",ActionLog[Helper],0)),"")</f>
        <v/>
      </c>
    </row>
    <row r="38" spans="2:31" ht="39.950000000000003" customHeight="1" x14ac:dyDescent="0.35">
      <c r="B38" s="24" t="str">
        <f>IF(ROWS($A$10:$A38)&lt;=COUNTIF(RiskTracker[Helper],"*Y"),INDEX(RiskTracker[Risk Number],MATCH(ROWS($A$10:$A38)&amp;"Y",RiskTracker[Helper],0)),"")</f>
        <v/>
      </c>
      <c r="C38" s="15" t="str">
        <f>IF(ROWS($A$10:$A38)&lt;=COUNTIF(RiskTracker[Helper],"*Y"),INDEX(RiskTracker[Project Name],MATCH(ROWS($A$10:$A38)&amp;"Y",RiskTracker[Helper],0)),"")</f>
        <v/>
      </c>
      <c r="D38" s="23" t="str">
        <f>IF(ROWS($A$10:$A38)&lt;=COUNTIF(RiskTracker[Helper],"*Y"),INDEX(RiskTracker[Title],MATCH(ROWS($A$10:$A38)&amp;"Y",RiskTracker[Helper],0)),"")</f>
        <v/>
      </c>
      <c r="E38" s="22" t="str">
        <f>IF(ROWS($A$10:$A38)&lt;=COUNTIF(RiskTracker[Helper],"*Y"),INDEX(RiskTracker[Category],MATCH(ROWS($A$10:$A38)&amp;"Y",RiskTracker[Helper],0)),"")</f>
        <v/>
      </c>
      <c r="F38" s="14" t="str">
        <f>IF(ROWS($A$10:$A38)&lt;=COUNTIF(RiskTracker[Helper],"*Y"),INDEX(RiskTracker[Severity],MATCH(ROWS($A$10:$A38)&amp;"Y",RiskTracker[Helper],0)),"")</f>
        <v/>
      </c>
      <c r="G38" s="24" t="str">
        <f>IF(ROWS($A$10:$A38)&lt;=COUNTIF(RiskTracker[Helper],"*Y"),INDEX(RiskTracker[Duration (Days)],MATCH(ROWS($A$10:$A38)&amp;"Y",RiskTracker[Helper],0)),"")</f>
        <v/>
      </c>
      <c r="I38" s="24" t="str">
        <f>IF(ROWS($A$10:$A38)&lt;=COUNTIF(IssueTracker[Helper],"*Y"),INDEX(IssueTracker[Issue Number],MATCH(ROWS($A$10:$A38)&amp;"Y",IssueTracker[Helper],0)),"")</f>
        <v/>
      </c>
      <c r="J38" s="23" t="str">
        <f>IF(ROWS($A$10:$A38)&lt;=COUNTIF(IssueTracker[Helper],"*Y"),INDEX(IssueTracker[Project Name],MATCH(ROWS($A$10:$A38)&amp;"Y",IssueTracker[Helper],0)),"")</f>
        <v/>
      </c>
      <c r="K38" s="23" t="str">
        <f>IF(ROWS($A$10:$A38)&lt;=COUNTIF(IssueTracker[Helper],"*Y"),INDEX(IssueTracker[Title],MATCH(ROWS($A$10:$A38)&amp;"Y",IssueTracker[Helper],0)),"")</f>
        <v/>
      </c>
      <c r="L38" s="23" t="str">
        <f>IF(ROWS($A$10:$A38)&lt;=COUNTIF(IssueTracker[Helper],"*Y"),INDEX(IssueTracker[Severity],MATCH(ROWS($A$10:$A38)&amp;"Y",IssueTracker[Helper],0)),"")</f>
        <v/>
      </c>
      <c r="M38" s="22" t="str">
        <f>IF(ROWS($A$10:$A38)&lt;=COUNTIF(IssueTracker[Helper],"*Y"),INDEX(IssueTracker[Duration (Days)],MATCH(ROWS($A$10:$A38)&amp;"Y",IssueTracker[Helper],0)),"")</f>
        <v/>
      </c>
      <c r="O38" s="66" t="str">
        <f>IF(ROWS($A$10:$A38)&lt;=COUNTIF(ImpedTracker[Helper],"*Y"),INDEX(ImpedTracker[Impediment Number],MATCH(ROWS($A$10:$A38)&amp;"Y",ImpedTracker[Helper],0)),"")</f>
        <v/>
      </c>
      <c r="P38" s="25" t="str">
        <f>IF(ROWS($A$10:$A38)&lt;=COUNTIF(ImpedTracker[Helper],"*Y"),INDEX(ImpedTracker[Project Name],MATCH(ROWS($A$10:$A38)&amp;"Y",ImpedTracker[Helper],0)),"")</f>
        <v/>
      </c>
      <c r="Q38" s="25" t="str">
        <f>IF(ROWS($A$10:$A38)&lt;=COUNTIF(ImpedTracker[Helper],"*Y"),INDEX(ImpedTracker[Title],MATCH(ROWS($A$10:$A38)&amp;"Y",ImpedTracker[Helper],0)),"")</f>
        <v/>
      </c>
      <c r="R38" s="3" t="str">
        <f>IF(ROWS($A$10:$A38)&lt;=COUNTIF(ImpedTracker[Helper],"*Y"),INDEX(ImpedTracker[Category],MATCH(ROWS($A$10:$A38)&amp;"Y",ImpedTracker[Helper],0)),"")</f>
        <v/>
      </c>
      <c r="S38" s="3" t="str">
        <f>IF(ROWS($A$10:$A38)&lt;=COUNTIF(ImpedTracker[Helper],"*Y"),INDEX(ImpedTracker[Status],MATCH(ROWS($A$10:$A38)&amp;"Y",ImpedTracker[Helper],0)),"")</f>
        <v/>
      </c>
      <c r="T38" s="28" t="str">
        <f>IF(ROWS($A$10:$A38)&lt;=COUNTIF(ImpedTracker[Helper],"*Y"),INDEX(ImpedTracker[Due Date],MATCH(ROWS($A$10:$A38)&amp;"Y",ImpedTracker[Helper],0)),"")</f>
        <v/>
      </c>
      <c r="U38" s="26" t="str">
        <f>IF(ROWS($A$10:$A38)&lt;=COUNTIF(ImpedTracker[Helper],"*Y"),INDEX(ImpedTracker[Duration (Days)],MATCH(ROWS($A$10:$A38)&amp;"Y",ImpedTracker[Helper],0)),"")</f>
        <v/>
      </c>
      <c r="W38" s="66" t="str">
        <f>IF(ROWS($A$10:$A38)&lt;=COUNTIF(DecisionLog[Helper],"*Y"),INDEX(DecisionLog[Decision Number],MATCH(ROWS($A$10:$A38)&amp;"Y",DecisionLog[Helper],0)),"")</f>
        <v/>
      </c>
      <c r="X38" s="15" t="str">
        <f>IF(ROWS($A$10:$A38)&lt;=COUNTIF(DecisionLog[Helper],"*Y"),INDEX(DecisionLog[Project Name],MATCH(ROWS($A$10:$A38)&amp;"Y",DecisionLog[Helper],0)),"")</f>
        <v/>
      </c>
      <c r="Y38" s="25" t="str">
        <f>IF(ROWS($A$10:$A38)&lt;=COUNTIF(DecisionLog[Helper],"*Y"),INDEX(DecisionLog[Title],MATCH(ROWS($A$10:$A38)&amp;"Y",DecisionLog[Helper],0)),"")</f>
        <v/>
      </c>
      <c r="Z38" s="3" t="str">
        <f>IF(ROWS($A$10:$A38)&lt;=COUNTIF(DecisionLog[Helper],"*Y"),INDEX(DecisionLog[Status],MATCH(ROWS($A$10:$A38)&amp;"Y",DecisionLog[Helper],0)),"")</f>
        <v/>
      </c>
      <c r="AB38" s="66" t="str">
        <f>IF(ROWS($A$10:$A38)&lt;=COUNTIF(ActionLog[Helper],"*Y"),INDEX(ActionLog[Task Number],MATCH(ROWS($A$10:$A38)&amp;"Y",ActionLog[Helper],0)),"")</f>
        <v/>
      </c>
      <c r="AC38" s="15" t="str">
        <f>IF(ROWS($A$10:$A38)&lt;=COUNTIF(ActionLog[Helper],"*Y"),INDEX(ActionLog[Project Name],MATCH(ROWS($A$10:$A38)&amp;"Y",ActionLog[Helper],0)),"")</f>
        <v/>
      </c>
      <c r="AD38" s="27" t="str">
        <f>IF(ROWS($A$10:$A38)&lt;=COUNTIF(ActionLog[Helper],"*Y"),INDEX(ActionLog[Title],MATCH(ROWS($A$10:$A38)&amp;"Y",ActionLog[Helper],0)),"")</f>
        <v/>
      </c>
      <c r="AE38" s="3" t="str">
        <f>IF(ROWS($A$10:$A38)&lt;=COUNTIF(ActionLog[Helper],"*Y"),INDEX(ActionLog[Task Status],MATCH(ROWS($A$10:$A38)&amp;"Y",ActionLog[Helper],0)),"")</f>
        <v/>
      </c>
    </row>
    <row r="39" spans="2:31" ht="39.950000000000003" customHeight="1" x14ac:dyDescent="0.35">
      <c r="B39" s="24" t="str">
        <f>IF(ROWS($A$10:$A39)&lt;=COUNTIF(RiskTracker[Helper],"*Y"),INDEX(RiskTracker[Risk Number],MATCH(ROWS($A$10:$A39)&amp;"Y",RiskTracker[Helper],0)),"")</f>
        <v/>
      </c>
      <c r="C39" s="15" t="str">
        <f>IF(ROWS($A$10:$A39)&lt;=COUNTIF(RiskTracker[Helper],"*Y"),INDEX(RiskTracker[Project Name],MATCH(ROWS($A$10:$A39)&amp;"Y",RiskTracker[Helper],0)),"")</f>
        <v/>
      </c>
      <c r="D39" s="23" t="str">
        <f>IF(ROWS($A$10:$A39)&lt;=COUNTIF(RiskTracker[Helper],"*Y"),INDEX(RiskTracker[Title],MATCH(ROWS($A$10:$A39)&amp;"Y",RiskTracker[Helper],0)),"")</f>
        <v/>
      </c>
      <c r="E39" s="22" t="str">
        <f>IF(ROWS($A$10:$A39)&lt;=COUNTIF(RiskTracker[Helper],"*Y"),INDEX(RiskTracker[Category],MATCH(ROWS($A$10:$A39)&amp;"Y",RiskTracker[Helper],0)),"")</f>
        <v/>
      </c>
      <c r="F39" s="14" t="str">
        <f>IF(ROWS($A$10:$A39)&lt;=COUNTIF(RiskTracker[Helper],"*Y"),INDEX(RiskTracker[Severity],MATCH(ROWS($A$10:$A39)&amp;"Y",RiskTracker[Helper],0)),"")</f>
        <v/>
      </c>
      <c r="G39" s="24" t="str">
        <f>IF(ROWS($A$10:$A39)&lt;=COUNTIF(RiskTracker[Helper],"*Y"),INDEX(RiskTracker[Duration (Days)],MATCH(ROWS($A$10:$A39)&amp;"Y",RiskTracker[Helper],0)),"")</f>
        <v/>
      </c>
      <c r="I39" s="24" t="str">
        <f>IF(ROWS($A$10:$A39)&lt;=COUNTIF(IssueTracker[Helper],"*Y"),INDEX(IssueTracker[Issue Number],MATCH(ROWS($A$10:$A39)&amp;"Y",IssueTracker[Helper],0)),"")</f>
        <v/>
      </c>
      <c r="J39" s="23" t="str">
        <f>IF(ROWS($A$10:$A39)&lt;=COUNTIF(IssueTracker[Helper],"*Y"),INDEX(IssueTracker[Project Name],MATCH(ROWS($A$10:$A39)&amp;"Y",IssueTracker[Helper],0)),"")</f>
        <v/>
      </c>
      <c r="K39" s="23" t="str">
        <f>IF(ROWS($A$10:$A39)&lt;=COUNTIF(IssueTracker[Helper],"*Y"),INDEX(IssueTracker[Title],MATCH(ROWS($A$10:$A39)&amp;"Y",IssueTracker[Helper],0)),"")</f>
        <v/>
      </c>
      <c r="L39" s="23" t="str">
        <f>IF(ROWS($A$10:$A39)&lt;=COUNTIF(IssueTracker[Helper],"*Y"),INDEX(IssueTracker[Severity],MATCH(ROWS($A$10:$A39)&amp;"Y",IssueTracker[Helper],0)),"")</f>
        <v/>
      </c>
      <c r="M39" s="22" t="str">
        <f>IF(ROWS($A$10:$A39)&lt;=COUNTIF(IssueTracker[Helper],"*Y"),INDEX(IssueTracker[Duration (Days)],MATCH(ROWS($A$10:$A39)&amp;"Y",IssueTracker[Helper],0)),"")</f>
        <v/>
      </c>
      <c r="O39" s="66" t="str">
        <f>IF(ROWS($A$10:$A39)&lt;=COUNTIF(ImpedTracker[Helper],"*Y"),INDEX(ImpedTracker[Impediment Number],MATCH(ROWS($A$10:$A39)&amp;"Y",ImpedTracker[Helper],0)),"")</f>
        <v/>
      </c>
      <c r="P39" s="25" t="str">
        <f>IF(ROWS($A$10:$A39)&lt;=COUNTIF(ImpedTracker[Helper],"*Y"),INDEX(ImpedTracker[Project Name],MATCH(ROWS($A$10:$A39)&amp;"Y",ImpedTracker[Helper],0)),"")</f>
        <v/>
      </c>
      <c r="Q39" s="25" t="str">
        <f>IF(ROWS($A$10:$A39)&lt;=COUNTIF(ImpedTracker[Helper],"*Y"),INDEX(ImpedTracker[Title],MATCH(ROWS($A$10:$A39)&amp;"Y",ImpedTracker[Helper],0)),"")</f>
        <v/>
      </c>
      <c r="R39" s="3" t="str">
        <f>IF(ROWS($A$10:$A39)&lt;=COUNTIF(ImpedTracker[Helper],"*Y"),INDEX(ImpedTracker[Category],MATCH(ROWS($A$10:$A39)&amp;"Y",ImpedTracker[Helper],0)),"")</f>
        <v/>
      </c>
      <c r="S39" s="3" t="str">
        <f>IF(ROWS($A$10:$A39)&lt;=COUNTIF(ImpedTracker[Helper],"*Y"),INDEX(ImpedTracker[Status],MATCH(ROWS($A$10:$A39)&amp;"Y",ImpedTracker[Helper],0)),"")</f>
        <v/>
      </c>
      <c r="T39" s="28" t="str">
        <f>IF(ROWS($A$10:$A39)&lt;=COUNTIF(ImpedTracker[Helper],"*Y"),INDEX(ImpedTracker[Due Date],MATCH(ROWS($A$10:$A39)&amp;"Y",ImpedTracker[Helper],0)),"")</f>
        <v/>
      </c>
      <c r="U39" s="26" t="str">
        <f>IF(ROWS($A$10:$A39)&lt;=COUNTIF(ImpedTracker[Helper],"*Y"),INDEX(ImpedTracker[Duration (Days)],MATCH(ROWS($A$10:$A39)&amp;"Y",ImpedTracker[Helper],0)),"")</f>
        <v/>
      </c>
      <c r="W39" s="66" t="str">
        <f>IF(ROWS($A$10:$A39)&lt;=COUNTIF(DecisionLog[Helper],"*Y"),INDEX(DecisionLog[Decision Number],MATCH(ROWS($A$10:$A39)&amp;"Y",DecisionLog[Helper],0)),"")</f>
        <v/>
      </c>
      <c r="X39" s="15" t="str">
        <f>IF(ROWS($A$10:$A39)&lt;=COUNTIF(DecisionLog[Helper],"*Y"),INDEX(DecisionLog[Project Name],MATCH(ROWS($A$10:$A39)&amp;"Y",DecisionLog[Helper],0)),"")</f>
        <v/>
      </c>
      <c r="Y39" s="25" t="str">
        <f>IF(ROWS($A$10:$A39)&lt;=COUNTIF(DecisionLog[Helper],"*Y"),INDEX(DecisionLog[Title],MATCH(ROWS($A$10:$A39)&amp;"Y",DecisionLog[Helper],0)),"")</f>
        <v/>
      </c>
      <c r="Z39" s="3" t="str">
        <f>IF(ROWS($A$10:$A39)&lt;=COUNTIF(DecisionLog[Helper],"*Y"),INDEX(DecisionLog[Status],MATCH(ROWS($A$10:$A39)&amp;"Y",DecisionLog[Helper],0)),"")</f>
        <v/>
      </c>
      <c r="AB39" s="66" t="str">
        <f>IF(ROWS($A$10:$A39)&lt;=COUNTIF(ActionLog[Helper],"*Y"),INDEX(ActionLog[Task Number],MATCH(ROWS($A$10:$A39)&amp;"Y",ActionLog[Helper],0)),"")</f>
        <v/>
      </c>
      <c r="AC39" s="15" t="str">
        <f>IF(ROWS($A$10:$A39)&lt;=COUNTIF(ActionLog[Helper],"*Y"),INDEX(ActionLog[Project Name],MATCH(ROWS($A$10:$A39)&amp;"Y",ActionLog[Helper],0)),"")</f>
        <v/>
      </c>
      <c r="AD39" s="27" t="str">
        <f>IF(ROWS($A$10:$A39)&lt;=COUNTIF(ActionLog[Helper],"*Y"),INDEX(ActionLog[Title],MATCH(ROWS($A$10:$A39)&amp;"Y",ActionLog[Helper],0)),"")</f>
        <v/>
      </c>
      <c r="AE39" s="3" t="str">
        <f>IF(ROWS($A$10:$A39)&lt;=COUNTIF(ActionLog[Helper],"*Y"),INDEX(ActionLog[Task Status],MATCH(ROWS($A$10:$A39)&amp;"Y",ActionLog[Helper],0)),"")</f>
        <v/>
      </c>
    </row>
    <row r="40" spans="2:31" ht="39.950000000000003" customHeight="1" x14ac:dyDescent="0.35">
      <c r="B40" s="24" t="str">
        <f>IF(ROWS($A$10:$A40)&lt;=COUNTIF(RiskTracker[Helper],"*Y"),INDEX(RiskTracker[Risk Number],MATCH(ROWS($A$10:$A40)&amp;"Y",RiskTracker[Helper],0)),"")</f>
        <v/>
      </c>
      <c r="C40" s="15" t="str">
        <f>IF(ROWS($A$10:$A40)&lt;=COUNTIF(RiskTracker[Helper],"*Y"),INDEX(RiskTracker[Project Name],MATCH(ROWS($A$10:$A40)&amp;"Y",RiskTracker[Helper],0)),"")</f>
        <v/>
      </c>
      <c r="D40" s="23" t="str">
        <f>IF(ROWS($A$10:$A40)&lt;=COUNTIF(RiskTracker[Helper],"*Y"),INDEX(RiskTracker[Title],MATCH(ROWS($A$10:$A40)&amp;"Y",RiskTracker[Helper],0)),"")</f>
        <v/>
      </c>
      <c r="E40" s="22" t="str">
        <f>IF(ROWS($A$10:$A40)&lt;=COUNTIF(RiskTracker[Helper],"*Y"),INDEX(RiskTracker[Category],MATCH(ROWS($A$10:$A40)&amp;"Y",RiskTracker[Helper],0)),"")</f>
        <v/>
      </c>
      <c r="F40" s="14" t="str">
        <f>IF(ROWS($A$10:$A40)&lt;=COUNTIF(RiskTracker[Helper],"*Y"),INDEX(RiskTracker[Severity],MATCH(ROWS($A$10:$A40)&amp;"Y",RiskTracker[Helper],0)),"")</f>
        <v/>
      </c>
      <c r="G40" s="24" t="str">
        <f>IF(ROWS($A$10:$A40)&lt;=COUNTIF(RiskTracker[Helper],"*Y"),INDEX(RiskTracker[Duration (Days)],MATCH(ROWS($A$10:$A40)&amp;"Y",RiskTracker[Helper],0)),"")</f>
        <v/>
      </c>
      <c r="I40" s="24" t="str">
        <f>IF(ROWS($A$10:$A40)&lt;=COUNTIF(IssueTracker[Helper],"*Y"),INDEX(IssueTracker[Issue Number],MATCH(ROWS($A$10:$A40)&amp;"Y",IssueTracker[Helper],0)),"")</f>
        <v/>
      </c>
      <c r="J40" s="23" t="str">
        <f>IF(ROWS($A$10:$A40)&lt;=COUNTIF(IssueTracker[Helper],"*Y"),INDEX(IssueTracker[Project Name],MATCH(ROWS($A$10:$A40)&amp;"Y",IssueTracker[Helper],0)),"")</f>
        <v/>
      </c>
      <c r="K40" s="23" t="str">
        <f>IF(ROWS($A$10:$A40)&lt;=COUNTIF(IssueTracker[Helper],"*Y"),INDEX(IssueTracker[Title],MATCH(ROWS($A$10:$A40)&amp;"Y",IssueTracker[Helper],0)),"")</f>
        <v/>
      </c>
      <c r="L40" s="23" t="str">
        <f>IF(ROWS($A$10:$A40)&lt;=COUNTIF(IssueTracker[Helper],"*Y"),INDEX(IssueTracker[Severity],MATCH(ROWS($A$10:$A40)&amp;"Y",IssueTracker[Helper],0)),"")</f>
        <v/>
      </c>
      <c r="M40" s="22" t="str">
        <f>IF(ROWS($A$10:$A40)&lt;=COUNTIF(IssueTracker[Helper],"*Y"),INDEX(IssueTracker[Duration (Days)],MATCH(ROWS($A$10:$A40)&amp;"Y",IssueTracker[Helper],0)),"")</f>
        <v/>
      </c>
      <c r="O40" s="66" t="str">
        <f>IF(ROWS($A$10:$A40)&lt;=COUNTIF(ImpedTracker[Helper],"*Y"),INDEX(ImpedTracker[Impediment Number],MATCH(ROWS($A$10:$A40)&amp;"Y",ImpedTracker[Helper],0)),"")</f>
        <v/>
      </c>
      <c r="P40" s="25" t="str">
        <f>IF(ROWS($A$10:$A40)&lt;=COUNTIF(ImpedTracker[Helper],"*Y"),INDEX(ImpedTracker[Project Name],MATCH(ROWS($A$10:$A40)&amp;"Y",ImpedTracker[Helper],0)),"")</f>
        <v/>
      </c>
      <c r="Q40" s="25" t="str">
        <f>IF(ROWS($A$10:$A40)&lt;=COUNTIF(ImpedTracker[Helper],"*Y"),INDEX(ImpedTracker[Title],MATCH(ROWS($A$10:$A40)&amp;"Y",ImpedTracker[Helper],0)),"")</f>
        <v/>
      </c>
      <c r="R40" s="3" t="str">
        <f>IF(ROWS($A$10:$A40)&lt;=COUNTIF(ImpedTracker[Helper],"*Y"),INDEX(ImpedTracker[Category],MATCH(ROWS($A$10:$A40)&amp;"Y",ImpedTracker[Helper],0)),"")</f>
        <v/>
      </c>
      <c r="S40" s="3" t="str">
        <f>IF(ROWS($A$10:$A40)&lt;=COUNTIF(ImpedTracker[Helper],"*Y"),INDEX(ImpedTracker[Status],MATCH(ROWS($A$10:$A40)&amp;"Y",ImpedTracker[Helper],0)),"")</f>
        <v/>
      </c>
      <c r="T40" s="28" t="str">
        <f>IF(ROWS($A$10:$A40)&lt;=COUNTIF(ImpedTracker[Helper],"*Y"),INDEX(ImpedTracker[Due Date],MATCH(ROWS($A$10:$A40)&amp;"Y",ImpedTracker[Helper],0)),"")</f>
        <v/>
      </c>
      <c r="U40" s="26" t="str">
        <f>IF(ROWS($A$10:$A40)&lt;=COUNTIF(ImpedTracker[Helper],"*Y"),INDEX(ImpedTracker[Duration (Days)],MATCH(ROWS($A$10:$A40)&amp;"Y",ImpedTracker[Helper],0)),"")</f>
        <v/>
      </c>
      <c r="W40" s="66" t="str">
        <f>IF(ROWS($A$10:$A40)&lt;=COUNTIF(DecisionLog[Helper],"*Y"),INDEX(DecisionLog[Decision Number],MATCH(ROWS($A$10:$A40)&amp;"Y",DecisionLog[Helper],0)),"")</f>
        <v/>
      </c>
      <c r="X40" s="15" t="str">
        <f>IF(ROWS($A$10:$A40)&lt;=COUNTIF(DecisionLog[Helper],"*Y"),INDEX(DecisionLog[Project Name],MATCH(ROWS($A$10:$A40)&amp;"Y",DecisionLog[Helper],0)),"")</f>
        <v/>
      </c>
      <c r="Y40" s="25" t="str">
        <f>IF(ROWS($A$10:$A40)&lt;=COUNTIF(DecisionLog[Helper],"*Y"),INDEX(DecisionLog[Title],MATCH(ROWS($A$10:$A40)&amp;"Y",DecisionLog[Helper],0)),"")</f>
        <v/>
      </c>
      <c r="Z40" s="3" t="str">
        <f>IF(ROWS($A$10:$A40)&lt;=COUNTIF(DecisionLog[Helper],"*Y"),INDEX(DecisionLog[Status],MATCH(ROWS($A$10:$A40)&amp;"Y",DecisionLog[Helper],0)),"")</f>
        <v/>
      </c>
      <c r="AB40" s="66" t="str">
        <f>IF(ROWS($A$10:$A40)&lt;=COUNTIF(ActionLog[Helper],"*Y"),INDEX(ActionLog[Task Number],MATCH(ROWS($A$10:$A40)&amp;"Y",ActionLog[Helper],0)),"")</f>
        <v/>
      </c>
      <c r="AC40" s="15" t="str">
        <f>IF(ROWS($A$10:$A40)&lt;=COUNTIF(ActionLog[Helper],"*Y"),INDEX(ActionLog[Project Name],MATCH(ROWS($A$10:$A40)&amp;"Y",ActionLog[Helper],0)),"")</f>
        <v/>
      </c>
      <c r="AD40" s="27" t="str">
        <f>IF(ROWS($A$10:$A40)&lt;=COUNTIF(ActionLog[Helper],"*Y"),INDEX(ActionLog[Title],MATCH(ROWS($A$10:$A40)&amp;"Y",ActionLog[Helper],0)),"")</f>
        <v/>
      </c>
      <c r="AE40" s="3" t="str">
        <f>IF(ROWS($A$10:$A40)&lt;=COUNTIF(ActionLog[Helper],"*Y"),INDEX(ActionLog[Task Status],MATCH(ROWS($A$10:$A40)&amp;"Y",ActionLog[Helper],0)),"")</f>
        <v/>
      </c>
    </row>
    <row r="41" spans="2:31" ht="39.950000000000003" customHeight="1" x14ac:dyDescent="0.35">
      <c r="B41" s="24" t="str">
        <f>IF(ROWS($A$10:$A41)&lt;=COUNTIF(RiskTracker[Helper],"*Y"),INDEX(RiskTracker[Risk Number],MATCH(ROWS($A$10:$A41)&amp;"Y",RiskTracker[Helper],0)),"")</f>
        <v/>
      </c>
      <c r="C41" s="15" t="str">
        <f>IF(ROWS($A$10:$A41)&lt;=COUNTIF(RiskTracker[Helper],"*Y"),INDEX(RiskTracker[Project Name],MATCH(ROWS($A$10:$A41)&amp;"Y",RiskTracker[Helper],0)),"")</f>
        <v/>
      </c>
      <c r="D41" s="23" t="str">
        <f>IF(ROWS($A$10:$A41)&lt;=COUNTIF(RiskTracker[Helper],"*Y"),INDEX(RiskTracker[Title],MATCH(ROWS($A$10:$A41)&amp;"Y",RiskTracker[Helper],0)),"")</f>
        <v/>
      </c>
      <c r="E41" s="22" t="str">
        <f>IF(ROWS($A$10:$A41)&lt;=COUNTIF(RiskTracker[Helper],"*Y"),INDEX(RiskTracker[Category],MATCH(ROWS($A$10:$A41)&amp;"Y",RiskTracker[Helper],0)),"")</f>
        <v/>
      </c>
      <c r="F41" s="14" t="str">
        <f>IF(ROWS($A$10:$A41)&lt;=COUNTIF(RiskTracker[Helper],"*Y"),INDEX(RiskTracker[Severity],MATCH(ROWS($A$10:$A41)&amp;"Y",RiskTracker[Helper],0)),"")</f>
        <v/>
      </c>
      <c r="G41" s="24" t="str">
        <f>IF(ROWS($A$10:$A41)&lt;=COUNTIF(RiskTracker[Helper],"*Y"),INDEX(RiskTracker[Duration (Days)],MATCH(ROWS($A$10:$A41)&amp;"Y",RiskTracker[Helper],0)),"")</f>
        <v/>
      </c>
      <c r="I41" s="24" t="str">
        <f>IF(ROWS($A$10:$A41)&lt;=COUNTIF(IssueTracker[Helper],"*Y"),INDEX(IssueTracker[Issue Number],MATCH(ROWS($A$10:$A41)&amp;"Y",IssueTracker[Helper],0)),"")</f>
        <v/>
      </c>
      <c r="J41" s="23" t="str">
        <f>IF(ROWS($A$10:$A41)&lt;=COUNTIF(IssueTracker[Helper],"*Y"),INDEX(IssueTracker[Project Name],MATCH(ROWS($A$10:$A41)&amp;"Y",IssueTracker[Helper],0)),"")</f>
        <v/>
      </c>
      <c r="K41" s="23" t="str">
        <f>IF(ROWS($A$10:$A41)&lt;=COUNTIF(IssueTracker[Helper],"*Y"),INDEX(IssueTracker[Title],MATCH(ROWS($A$10:$A41)&amp;"Y",IssueTracker[Helper],0)),"")</f>
        <v/>
      </c>
      <c r="L41" s="23" t="str">
        <f>IF(ROWS($A$10:$A41)&lt;=COUNTIF(IssueTracker[Helper],"*Y"),INDEX(IssueTracker[Severity],MATCH(ROWS($A$10:$A41)&amp;"Y",IssueTracker[Helper],0)),"")</f>
        <v/>
      </c>
      <c r="M41" s="22" t="str">
        <f>IF(ROWS($A$10:$A41)&lt;=COUNTIF(IssueTracker[Helper],"*Y"),INDEX(IssueTracker[Duration (Days)],MATCH(ROWS($A$10:$A41)&amp;"Y",IssueTracker[Helper],0)),"")</f>
        <v/>
      </c>
      <c r="O41" s="66" t="str">
        <f>IF(ROWS($A$10:$A41)&lt;=COUNTIF(ImpedTracker[Helper],"*Y"),INDEX(ImpedTracker[Impediment Number],MATCH(ROWS($A$10:$A41)&amp;"Y",ImpedTracker[Helper],0)),"")</f>
        <v/>
      </c>
      <c r="P41" s="25" t="str">
        <f>IF(ROWS($A$10:$A41)&lt;=COUNTIF(ImpedTracker[Helper],"*Y"),INDEX(ImpedTracker[Project Name],MATCH(ROWS($A$10:$A41)&amp;"Y",ImpedTracker[Helper],0)),"")</f>
        <v/>
      </c>
      <c r="Q41" s="25" t="str">
        <f>IF(ROWS($A$10:$A41)&lt;=COUNTIF(ImpedTracker[Helper],"*Y"),INDEX(ImpedTracker[Title],MATCH(ROWS($A$10:$A41)&amp;"Y",ImpedTracker[Helper],0)),"")</f>
        <v/>
      </c>
      <c r="R41" s="3" t="str">
        <f>IF(ROWS($A$10:$A41)&lt;=COUNTIF(ImpedTracker[Helper],"*Y"),INDEX(ImpedTracker[Category],MATCH(ROWS($A$10:$A41)&amp;"Y",ImpedTracker[Helper],0)),"")</f>
        <v/>
      </c>
      <c r="S41" s="3" t="str">
        <f>IF(ROWS($A$10:$A41)&lt;=COUNTIF(ImpedTracker[Helper],"*Y"),INDEX(ImpedTracker[Status],MATCH(ROWS($A$10:$A41)&amp;"Y",ImpedTracker[Helper],0)),"")</f>
        <v/>
      </c>
      <c r="T41" s="28" t="str">
        <f>IF(ROWS($A$10:$A41)&lt;=COUNTIF(ImpedTracker[Helper],"*Y"),INDEX(ImpedTracker[Due Date],MATCH(ROWS($A$10:$A41)&amp;"Y",ImpedTracker[Helper],0)),"")</f>
        <v/>
      </c>
      <c r="U41" s="26" t="str">
        <f>IF(ROWS($A$10:$A41)&lt;=COUNTIF(ImpedTracker[Helper],"*Y"),INDEX(ImpedTracker[Duration (Days)],MATCH(ROWS($A$10:$A41)&amp;"Y",ImpedTracker[Helper],0)),"")</f>
        <v/>
      </c>
      <c r="W41" s="66" t="str">
        <f>IF(ROWS($A$10:$A41)&lt;=COUNTIF(DecisionLog[Helper],"*Y"),INDEX(DecisionLog[Decision Number],MATCH(ROWS($A$10:$A41)&amp;"Y",DecisionLog[Helper],0)),"")</f>
        <v/>
      </c>
      <c r="X41" s="15" t="str">
        <f>IF(ROWS($A$10:$A41)&lt;=COUNTIF(DecisionLog[Helper],"*Y"),INDEX(DecisionLog[Project Name],MATCH(ROWS($A$10:$A41)&amp;"Y",DecisionLog[Helper],0)),"")</f>
        <v/>
      </c>
      <c r="Y41" s="25" t="str">
        <f>IF(ROWS($A$10:$A41)&lt;=COUNTIF(DecisionLog[Helper],"*Y"),INDEX(DecisionLog[Title],MATCH(ROWS($A$10:$A41)&amp;"Y",DecisionLog[Helper],0)),"")</f>
        <v/>
      </c>
      <c r="Z41" s="3" t="str">
        <f>IF(ROWS($A$10:$A41)&lt;=COUNTIF(DecisionLog[Helper],"*Y"),INDEX(DecisionLog[Status],MATCH(ROWS($A$10:$A41)&amp;"Y",DecisionLog[Helper],0)),"")</f>
        <v/>
      </c>
      <c r="AB41" s="66" t="str">
        <f>IF(ROWS($A$10:$A41)&lt;=COUNTIF(ActionLog[Helper],"*Y"),INDEX(ActionLog[Task Number],MATCH(ROWS($A$10:$A41)&amp;"Y",ActionLog[Helper],0)),"")</f>
        <v/>
      </c>
      <c r="AC41" s="15" t="str">
        <f>IF(ROWS($A$10:$A41)&lt;=COUNTIF(ActionLog[Helper],"*Y"),INDEX(ActionLog[Project Name],MATCH(ROWS($A$10:$A41)&amp;"Y",ActionLog[Helper],0)),"")</f>
        <v/>
      </c>
      <c r="AD41" s="27" t="str">
        <f>IF(ROWS($A$10:$A41)&lt;=COUNTIF(ActionLog[Helper],"*Y"),INDEX(ActionLog[Title],MATCH(ROWS($A$10:$A41)&amp;"Y",ActionLog[Helper],0)),"")</f>
        <v/>
      </c>
      <c r="AE41" s="3" t="str">
        <f>IF(ROWS($A$10:$A41)&lt;=COUNTIF(ActionLog[Helper],"*Y"),INDEX(ActionLog[Task Status],MATCH(ROWS($A$10:$A41)&amp;"Y",ActionLog[Helper],0)),"")</f>
        <v/>
      </c>
    </row>
    <row r="42" spans="2:31" ht="39.950000000000003" customHeight="1" x14ac:dyDescent="0.35">
      <c r="B42" s="24" t="str">
        <f>IF(ROWS($A$10:$A42)&lt;=COUNTIF(RiskTracker[Helper],"*Y"),INDEX(RiskTracker[Risk Number],MATCH(ROWS($A$10:$A42)&amp;"Y",RiskTracker[Helper],0)),"")</f>
        <v/>
      </c>
      <c r="C42" s="15" t="str">
        <f>IF(ROWS($A$10:$A42)&lt;=COUNTIF(RiskTracker[Helper],"*Y"),INDEX(RiskTracker[Project Name],MATCH(ROWS($A$10:$A42)&amp;"Y",RiskTracker[Helper],0)),"")</f>
        <v/>
      </c>
      <c r="D42" s="23" t="str">
        <f>IF(ROWS($A$10:$A42)&lt;=COUNTIF(RiskTracker[Helper],"*Y"),INDEX(RiskTracker[Title],MATCH(ROWS($A$10:$A42)&amp;"Y",RiskTracker[Helper],0)),"")</f>
        <v/>
      </c>
      <c r="E42" s="22" t="str">
        <f>IF(ROWS($A$10:$A42)&lt;=COUNTIF(RiskTracker[Helper],"*Y"),INDEX(RiskTracker[Category],MATCH(ROWS($A$10:$A42)&amp;"Y",RiskTracker[Helper],0)),"")</f>
        <v/>
      </c>
      <c r="F42" s="14" t="str">
        <f>IF(ROWS($A$10:$A42)&lt;=COUNTIF(RiskTracker[Helper],"*Y"),INDEX(RiskTracker[Severity],MATCH(ROWS($A$10:$A42)&amp;"Y",RiskTracker[Helper],0)),"")</f>
        <v/>
      </c>
      <c r="G42" s="24" t="str">
        <f>IF(ROWS($A$10:$A42)&lt;=COUNTIF(RiskTracker[Helper],"*Y"),INDEX(RiskTracker[Duration (Days)],MATCH(ROWS($A$10:$A42)&amp;"Y",RiskTracker[Helper],0)),"")</f>
        <v/>
      </c>
      <c r="I42" s="24" t="str">
        <f>IF(ROWS($A$10:$A42)&lt;=COUNTIF(IssueTracker[Helper],"*Y"),INDEX(IssueTracker[Issue Number],MATCH(ROWS($A$10:$A42)&amp;"Y",IssueTracker[Helper],0)),"")</f>
        <v/>
      </c>
      <c r="J42" s="23" t="str">
        <f>IF(ROWS($A$10:$A42)&lt;=COUNTIF(IssueTracker[Helper],"*Y"),INDEX(IssueTracker[Project Name],MATCH(ROWS($A$10:$A42)&amp;"Y",IssueTracker[Helper],0)),"")</f>
        <v/>
      </c>
      <c r="K42" s="23" t="str">
        <f>IF(ROWS($A$10:$A42)&lt;=COUNTIF(IssueTracker[Helper],"*Y"),INDEX(IssueTracker[Title],MATCH(ROWS($A$10:$A42)&amp;"Y",IssueTracker[Helper],0)),"")</f>
        <v/>
      </c>
      <c r="L42" s="23" t="str">
        <f>IF(ROWS($A$10:$A42)&lt;=COUNTIF(IssueTracker[Helper],"*Y"),INDEX(IssueTracker[Severity],MATCH(ROWS($A$10:$A42)&amp;"Y",IssueTracker[Helper],0)),"")</f>
        <v/>
      </c>
      <c r="M42" s="22" t="str">
        <f>IF(ROWS($A$10:$A42)&lt;=COUNTIF(IssueTracker[Helper],"*Y"),INDEX(IssueTracker[Duration (Days)],MATCH(ROWS($A$10:$A42)&amp;"Y",IssueTracker[Helper],0)),"")</f>
        <v/>
      </c>
      <c r="O42" s="66" t="str">
        <f>IF(ROWS($A$10:$A42)&lt;=COUNTIF(ImpedTracker[Helper],"*Y"),INDEX(ImpedTracker[Impediment Number],MATCH(ROWS($A$10:$A42)&amp;"Y",ImpedTracker[Helper],0)),"")</f>
        <v/>
      </c>
      <c r="P42" s="25" t="str">
        <f>IF(ROWS($A$10:$A42)&lt;=COUNTIF(ImpedTracker[Helper],"*Y"),INDEX(ImpedTracker[Project Name],MATCH(ROWS($A$10:$A42)&amp;"Y",ImpedTracker[Helper],0)),"")</f>
        <v/>
      </c>
      <c r="Q42" s="25" t="str">
        <f>IF(ROWS($A$10:$A42)&lt;=COUNTIF(ImpedTracker[Helper],"*Y"),INDEX(ImpedTracker[Title],MATCH(ROWS($A$10:$A42)&amp;"Y",ImpedTracker[Helper],0)),"")</f>
        <v/>
      </c>
      <c r="R42" s="3" t="str">
        <f>IF(ROWS($A$10:$A42)&lt;=COUNTIF(ImpedTracker[Helper],"*Y"),INDEX(ImpedTracker[Category],MATCH(ROWS($A$10:$A42)&amp;"Y",ImpedTracker[Helper],0)),"")</f>
        <v/>
      </c>
      <c r="S42" s="3" t="str">
        <f>IF(ROWS($A$10:$A42)&lt;=COUNTIF(ImpedTracker[Helper],"*Y"),INDEX(ImpedTracker[Status],MATCH(ROWS($A$10:$A42)&amp;"Y",ImpedTracker[Helper],0)),"")</f>
        <v/>
      </c>
      <c r="T42" s="28" t="str">
        <f>IF(ROWS($A$10:$A42)&lt;=COUNTIF(ImpedTracker[Helper],"*Y"),INDEX(ImpedTracker[Due Date],MATCH(ROWS($A$10:$A42)&amp;"Y",ImpedTracker[Helper],0)),"")</f>
        <v/>
      </c>
      <c r="U42" s="26" t="str">
        <f>IF(ROWS($A$10:$A42)&lt;=COUNTIF(ImpedTracker[Helper],"*Y"),INDEX(ImpedTracker[Duration (Days)],MATCH(ROWS($A$10:$A42)&amp;"Y",ImpedTracker[Helper],0)),"")</f>
        <v/>
      </c>
      <c r="W42" s="66" t="str">
        <f>IF(ROWS($A$10:$A42)&lt;=COUNTIF(DecisionLog[Helper],"*Y"),INDEX(DecisionLog[Decision Number],MATCH(ROWS($A$10:$A42)&amp;"Y",DecisionLog[Helper],0)),"")</f>
        <v/>
      </c>
      <c r="X42" s="15" t="str">
        <f>IF(ROWS($A$10:$A42)&lt;=COUNTIF(DecisionLog[Helper],"*Y"),INDEX(DecisionLog[Project Name],MATCH(ROWS($A$10:$A42)&amp;"Y",DecisionLog[Helper],0)),"")</f>
        <v/>
      </c>
      <c r="Y42" s="25" t="str">
        <f>IF(ROWS($A$10:$A42)&lt;=COUNTIF(DecisionLog[Helper],"*Y"),INDEX(DecisionLog[Title],MATCH(ROWS($A$10:$A42)&amp;"Y",DecisionLog[Helper],0)),"")</f>
        <v/>
      </c>
      <c r="Z42" s="3" t="str">
        <f>IF(ROWS($A$10:$A42)&lt;=COUNTIF(DecisionLog[Helper],"*Y"),INDEX(DecisionLog[Status],MATCH(ROWS($A$10:$A42)&amp;"Y",DecisionLog[Helper],0)),"")</f>
        <v/>
      </c>
      <c r="AB42" s="66" t="str">
        <f>IF(ROWS($A$10:$A42)&lt;=COUNTIF(ActionLog[Helper],"*Y"),INDEX(ActionLog[Task Number],MATCH(ROWS($A$10:$A42)&amp;"Y",ActionLog[Helper],0)),"")</f>
        <v/>
      </c>
      <c r="AC42" s="15" t="str">
        <f>IF(ROWS($A$10:$A42)&lt;=COUNTIF(ActionLog[Helper],"*Y"),INDEX(ActionLog[Project Name],MATCH(ROWS($A$10:$A42)&amp;"Y",ActionLog[Helper],0)),"")</f>
        <v/>
      </c>
      <c r="AD42" s="27" t="str">
        <f>IF(ROWS($A$10:$A42)&lt;=COUNTIF(ActionLog[Helper],"*Y"),INDEX(ActionLog[Title],MATCH(ROWS($A$10:$A42)&amp;"Y",ActionLog[Helper],0)),"")</f>
        <v/>
      </c>
      <c r="AE42" s="3" t="str">
        <f>IF(ROWS($A$10:$A42)&lt;=COUNTIF(ActionLog[Helper],"*Y"),INDEX(ActionLog[Task Status],MATCH(ROWS($A$10:$A42)&amp;"Y",ActionLog[Helper],0)),"")</f>
        <v/>
      </c>
    </row>
    <row r="43" spans="2:31" ht="39.950000000000003" customHeight="1" x14ac:dyDescent="0.35">
      <c r="B43" s="24" t="str">
        <f>IF(ROWS($A$10:$A43)&lt;=COUNTIF(RiskTracker[Helper],"*Y"),INDEX(RiskTracker[Risk Number],MATCH(ROWS($A$10:$A43)&amp;"Y",RiskTracker[Helper],0)),"")</f>
        <v/>
      </c>
      <c r="C43" s="15" t="str">
        <f>IF(ROWS($A$10:$A43)&lt;=COUNTIF(RiskTracker[Helper],"*Y"),INDEX(RiskTracker[Project Name],MATCH(ROWS($A$10:$A43)&amp;"Y",RiskTracker[Helper],0)),"")</f>
        <v/>
      </c>
      <c r="D43" s="23" t="str">
        <f>IF(ROWS($A$10:$A43)&lt;=COUNTIF(RiskTracker[Helper],"*Y"),INDEX(RiskTracker[Title],MATCH(ROWS($A$10:$A43)&amp;"Y",RiskTracker[Helper],0)),"")</f>
        <v/>
      </c>
      <c r="E43" s="22" t="str">
        <f>IF(ROWS($A$10:$A43)&lt;=COUNTIF(RiskTracker[Helper],"*Y"),INDEX(RiskTracker[Category],MATCH(ROWS($A$10:$A43)&amp;"Y",RiskTracker[Helper],0)),"")</f>
        <v/>
      </c>
      <c r="F43" s="14" t="str">
        <f>IF(ROWS($A$10:$A43)&lt;=COUNTIF(RiskTracker[Helper],"*Y"),INDEX(RiskTracker[Severity],MATCH(ROWS($A$10:$A43)&amp;"Y",RiskTracker[Helper],0)),"")</f>
        <v/>
      </c>
      <c r="G43" s="24" t="str">
        <f>IF(ROWS($A$10:$A43)&lt;=COUNTIF(RiskTracker[Helper],"*Y"),INDEX(RiskTracker[Duration (Days)],MATCH(ROWS($A$10:$A43)&amp;"Y",RiskTracker[Helper],0)),"")</f>
        <v/>
      </c>
      <c r="I43" s="24" t="str">
        <f>IF(ROWS($A$10:$A43)&lt;=COUNTIF(IssueTracker[Helper],"*Y"),INDEX(IssueTracker[Issue Number],MATCH(ROWS($A$10:$A43)&amp;"Y",IssueTracker[Helper],0)),"")</f>
        <v/>
      </c>
      <c r="J43" s="23" t="str">
        <f>IF(ROWS($A$10:$A43)&lt;=COUNTIF(IssueTracker[Helper],"*Y"),INDEX(IssueTracker[Project Name],MATCH(ROWS($A$10:$A43)&amp;"Y",IssueTracker[Helper],0)),"")</f>
        <v/>
      </c>
      <c r="K43" s="23" t="str">
        <f>IF(ROWS($A$10:$A43)&lt;=COUNTIF(IssueTracker[Helper],"*Y"),INDEX(IssueTracker[Title],MATCH(ROWS($A$10:$A43)&amp;"Y",IssueTracker[Helper],0)),"")</f>
        <v/>
      </c>
      <c r="L43" s="23" t="str">
        <f>IF(ROWS($A$10:$A43)&lt;=COUNTIF(IssueTracker[Helper],"*Y"),INDEX(IssueTracker[Severity],MATCH(ROWS($A$10:$A43)&amp;"Y",IssueTracker[Helper],0)),"")</f>
        <v/>
      </c>
      <c r="M43" s="22" t="str">
        <f>IF(ROWS($A$10:$A43)&lt;=COUNTIF(IssueTracker[Helper],"*Y"),INDEX(IssueTracker[Duration (Days)],MATCH(ROWS($A$10:$A43)&amp;"Y",IssueTracker[Helper],0)),"")</f>
        <v/>
      </c>
      <c r="O43" s="66" t="str">
        <f>IF(ROWS($A$10:$A43)&lt;=COUNTIF(ImpedTracker[Helper],"*Y"),INDEX(ImpedTracker[Impediment Number],MATCH(ROWS($A$10:$A43)&amp;"Y",ImpedTracker[Helper],0)),"")</f>
        <v/>
      </c>
      <c r="P43" s="25" t="str">
        <f>IF(ROWS($A$10:$A43)&lt;=COUNTIF(ImpedTracker[Helper],"*Y"),INDEX(ImpedTracker[Project Name],MATCH(ROWS($A$10:$A43)&amp;"Y",ImpedTracker[Helper],0)),"")</f>
        <v/>
      </c>
      <c r="Q43" s="25" t="str">
        <f>IF(ROWS($A$10:$A43)&lt;=COUNTIF(ImpedTracker[Helper],"*Y"),INDEX(ImpedTracker[Title],MATCH(ROWS($A$10:$A43)&amp;"Y",ImpedTracker[Helper],0)),"")</f>
        <v/>
      </c>
      <c r="R43" s="3" t="str">
        <f>IF(ROWS($A$10:$A43)&lt;=COUNTIF(ImpedTracker[Helper],"*Y"),INDEX(ImpedTracker[Category],MATCH(ROWS($A$10:$A43)&amp;"Y",ImpedTracker[Helper],0)),"")</f>
        <v/>
      </c>
      <c r="S43" s="3" t="str">
        <f>IF(ROWS($A$10:$A43)&lt;=COUNTIF(ImpedTracker[Helper],"*Y"),INDEX(ImpedTracker[Status],MATCH(ROWS($A$10:$A43)&amp;"Y",ImpedTracker[Helper],0)),"")</f>
        <v/>
      </c>
      <c r="T43" s="28" t="str">
        <f>IF(ROWS($A$10:$A43)&lt;=COUNTIF(ImpedTracker[Helper],"*Y"),INDEX(ImpedTracker[Due Date],MATCH(ROWS($A$10:$A43)&amp;"Y",ImpedTracker[Helper],0)),"")</f>
        <v/>
      </c>
      <c r="U43" s="26" t="str">
        <f>IF(ROWS($A$10:$A43)&lt;=COUNTIF(ImpedTracker[Helper],"*Y"),INDEX(ImpedTracker[Duration (Days)],MATCH(ROWS($A$10:$A43)&amp;"Y",ImpedTracker[Helper],0)),"")</f>
        <v/>
      </c>
      <c r="W43" s="66" t="str">
        <f>IF(ROWS($A$10:$A43)&lt;=COUNTIF(DecisionLog[Helper],"*Y"),INDEX(DecisionLog[Decision Number],MATCH(ROWS($A$10:$A43)&amp;"Y",DecisionLog[Helper],0)),"")</f>
        <v/>
      </c>
      <c r="X43" s="15" t="str">
        <f>IF(ROWS($A$10:$A43)&lt;=COUNTIF(DecisionLog[Helper],"*Y"),INDEX(DecisionLog[Project Name],MATCH(ROWS($A$10:$A43)&amp;"Y",DecisionLog[Helper],0)),"")</f>
        <v/>
      </c>
      <c r="Y43" s="25" t="str">
        <f>IF(ROWS($A$10:$A43)&lt;=COUNTIF(DecisionLog[Helper],"*Y"),INDEX(DecisionLog[Title],MATCH(ROWS($A$10:$A43)&amp;"Y",DecisionLog[Helper],0)),"")</f>
        <v/>
      </c>
      <c r="Z43" s="3" t="str">
        <f>IF(ROWS($A$10:$A43)&lt;=COUNTIF(DecisionLog[Helper],"*Y"),INDEX(DecisionLog[Status],MATCH(ROWS($A$10:$A43)&amp;"Y",DecisionLog[Helper],0)),"")</f>
        <v/>
      </c>
      <c r="AB43" s="66" t="str">
        <f>IF(ROWS($A$10:$A43)&lt;=COUNTIF(ActionLog[Helper],"*Y"),INDEX(ActionLog[Task Number],MATCH(ROWS($A$10:$A43)&amp;"Y",ActionLog[Helper],0)),"")</f>
        <v/>
      </c>
      <c r="AC43" s="15" t="str">
        <f>IF(ROWS($A$10:$A43)&lt;=COUNTIF(ActionLog[Helper],"*Y"),INDEX(ActionLog[Project Name],MATCH(ROWS($A$10:$A43)&amp;"Y",ActionLog[Helper],0)),"")</f>
        <v/>
      </c>
      <c r="AD43" s="27" t="str">
        <f>IF(ROWS($A$10:$A43)&lt;=COUNTIF(ActionLog[Helper],"*Y"),INDEX(ActionLog[Title],MATCH(ROWS($A$10:$A43)&amp;"Y",ActionLog[Helper],0)),"")</f>
        <v/>
      </c>
      <c r="AE43" s="3" t="str">
        <f>IF(ROWS($A$10:$A43)&lt;=COUNTIF(ActionLog[Helper],"*Y"),INDEX(ActionLog[Task Status],MATCH(ROWS($A$10:$A43)&amp;"Y",ActionLog[Helper],0)),"")</f>
        <v/>
      </c>
    </row>
    <row r="44" spans="2:31" ht="39.950000000000003" customHeight="1" x14ac:dyDescent="0.35">
      <c r="B44" s="24" t="str">
        <f>IF(ROWS($A$10:$A44)&lt;=COUNTIF(RiskTracker[Helper],"*Y"),INDEX(RiskTracker[Risk Number],MATCH(ROWS($A$10:$A44)&amp;"Y",RiskTracker[Helper],0)),"")</f>
        <v/>
      </c>
      <c r="C44" s="15" t="str">
        <f>IF(ROWS($A$10:$A44)&lt;=COUNTIF(RiskTracker[Helper],"*Y"),INDEX(RiskTracker[Project Name],MATCH(ROWS($A$10:$A44)&amp;"Y",RiskTracker[Helper],0)),"")</f>
        <v/>
      </c>
      <c r="D44" s="23" t="str">
        <f>IF(ROWS($A$10:$A44)&lt;=COUNTIF(RiskTracker[Helper],"*Y"),INDEX(RiskTracker[Title],MATCH(ROWS($A$10:$A44)&amp;"Y",RiskTracker[Helper],0)),"")</f>
        <v/>
      </c>
      <c r="E44" s="22" t="str">
        <f>IF(ROWS($A$10:$A44)&lt;=COUNTIF(RiskTracker[Helper],"*Y"),INDEX(RiskTracker[Category],MATCH(ROWS($A$10:$A44)&amp;"Y",RiskTracker[Helper],0)),"")</f>
        <v/>
      </c>
      <c r="F44" s="14" t="str">
        <f>IF(ROWS($A$10:$A44)&lt;=COUNTIF(RiskTracker[Helper],"*Y"),INDEX(RiskTracker[Severity],MATCH(ROWS($A$10:$A44)&amp;"Y",RiskTracker[Helper],0)),"")</f>
        <v/>
      </c>
      <c r="G44" s="24" t="str">
        <f>IF(ROWS($A$10:$A44)&lt;=COUNTIF(RiskTracker[Helper],"*Y"),INDEX(RiskTracker[Duration (Days)],MATCH(ROWS($A$10:$A44)&amp;"Y",RiskTracker[Helper],0)),"")</f>
        <v/>
      </c>
      <c r="I44" s="24" t="str">
        <f>IF(ROWS($A$10:$A44)&lt;=COUNTIF(IssueTracker[Helper],"*Y"),INDEX(IssueTracker[Issue Number],MATCH(ROWS($A$10:$A44)&amp;"Y",IssueTracker[Helper],0)),"")</f>
        <v/>
      </c>
      <c r="J44" s="23" t="str">
        <f>IF(ROWS($A$10:$A44)&lt;=COUNTIF(IssueTracker[Helper],"*Y"),INDEX(IssueTracker[Project Name],MATCH(ROWS($A$10:$A44)&amp;"Y",IssueTracker[Helper],0)),"")</f>
        <v/>
      </c>
      <c r="K44" s="23" t="str">
        <f>IF(ROWS($A$10:$A44)&lt;=COUNTIF(IssueTracker[Helper],"*Y"),INDEX(IssueTracker[Title],MATCH(ROWS($A$10:$A44)&amp;"Y",IssueTracker[Helper],0)),"")</f>
        <v/>
      </c>
      <c r="L44" s="23" t="str">
        <f>IF(ROWS($A$10:$A44)&lt;=COUNTIF(IssueTracker[Helper],"*Y"),INDEX(IssueTracker[Severity],MATCH(ROWS($A$10:$A44)&amp;"Y",IssueTracker[Helper],0)),"")</f>
        <v/>
      </c>
      <c r="M44" s="22" t="str">
        <f>IF(ROWS($A$10:$A44)&lt;=COUNTIF(IssueTracker[Helper],"*Y"),INDEX(IssueTracker[Duration (Days)],MATCH(ROWS($A$10:$A44)&amp;"Y",IssueTracker[Helper],0)),"")</f>
        <v/>
      </c>
      <c r="O44" s="66" t="str">
        <f>IF(ROWS($A$10:$A44)&lt;=COUNTIF(ImpedTracker[Helper],"*Y"),INDEX(ImpedTracker[Impediment Number],MATCH(ROWS($A$10:$A44)&amp;"Y",ImpedTracker[Helper],0)),"")</f>
        <v/>
      </c>
      <c r="P44" s="25" t="str">
        <f>IF(ROWS($A$10:$A44)&lt;=COUNTIF(ImpedTracker[Helper],"*Y"),INDEX(ImpedTracker[Project Name],MATCH(ROWS($A$10:$A44)&amp;"Y",ImpedTracker[Helper],0)),"")</f>
        <v/>
      </c>
      <c r="Q44" s="25" t="str">
        <f>IF(ROWS($A$10:$A44)&lt;=COUNTIF(ImpedTracker[Helper],"*Y"),INDEX(ImpedTracker[Title],MATCH(ROWS($A$10:$A44)&amp;"Y",ImpedTracker[Helper],0)),"")</f>
        <v/>
      </c>
      <c r="R44" s="3" t="str">
        <f>IF(ROWS($A$10:$A44)&lt;=COUNTIF(ImpedTracker[Helper],"*Y"),INDEX(ImpedTracker[Category],MATCH(ROWS($A$10:$A44)&amp;"Y",ImpedTracker[Helper],0)),"")</f>
        <v/>
      </c>
      <c r="S44" s="3" t="str">
        <f>IF(ROWS($A$10:$A44)&lt;=COUNTIF(ImpedTracker[Helper],"*Y"),INDEX(ImpedTracker[Status],MATCH(ROWS($A$10:$A44)&amp;"Y",ImpedTracker[Helper],0)),"")</f>
        <v/>
      </c>
      <c r="T44" s="28" t="str">
        <f>IF(ROWS($A$10:$A44)&lt;=COUNTIF(ImpedTracker[Helper],"*Y"),INDEX(ImpedTracker[Due Date],MATCH(ROWS($A$10:$A44)&amp;"Y",ImpedTracker[Helper],0)),"")</f>
        <v/>
      </c>
      <c r="U44" s="26" t="str">
        <f>IF(ROWS($A$10:$A44)&lt;=COUNTIF(ImpedTracker[Helper],"*Y"),INDEX(ImpedTracker[Duration (Days)],MATCH(ROWS($A$10:$A44)&amp;"Y",ImpedTracker[Helper],0)),"")</f>
        <v/>
      </c>
      <c r="W44" s="66" t="str">
        <f>IF(ROWS($A$10:$A44)&lt;=COUNTIF(DecisionLog[Helper],"*Y"),INDEX(DecisionLog[Decision Number],MATCH(ROWS($A$10:$A44)&amp;"Y",DecisionLog[Helper],0)),"")</f>
        <v/>
      </c>
      <c r="X44" s="15" t="str">
        <f>IF(ROWS($A$10:$A44)&lt;=COUNTIF(DecisionLog[Helper],"*Y"),INDEX(DecisionLog[Project Name],MATCH(ROWS($A$10:$A44)&amp;"Y",DecisionLog[Helper],0)),"")</f>
        <v/>
      </c>
      <c r="Y44" s="25" t="str">
        <f>IF(ROWS($A$10:$A44)&lt;=COUNTIF(DecisionLog[Helper],"*Y"),INDEX(DecisionLog[Title],MATCH(ROWS($A$10:$A44)&amp;"Y",DecisionLog[Helper],0)),"")</f>
        <v/>
      </c>
      <c r="Z44" s="3" t="str">
        <f>IF(ROWS($A$10:$A44)&lt;=COUNTIF(DecisionLog[Helper],"*Y"),INDEX(DecisionLog[Status],MATCH(ROWS($A$10:$A44)&amp;"Y",DecisionLog[Helper],0)),"")</f>
        <v/>
      </c>
      <c r="AB44" s="66" t="str">
        <f>IF(ROWS($A$10:$A44)&lt;=COUNTIF(ActionLog[Helper],"*Y"),INDEX(ActionLog[Task Number],MATCH(ROWS($A$10:$A44)&amp;"Y",ActionLog[Helper],0)),"")</f>
        <v/>
      </c>
      <c r="AC44" s="15" t="str">
        <f>IF(ROWS($A$10:$A44)&lt;=COUNTIF(ActionLog[Helper],"*Y"),INDEX(ActionLog[Project Name],MATCH(ROWS($A$10:$A44)&amp;"Y",ActionLog[Helper],0)),"")</f>
        <v/>
      </c>
      <c r="AD44" s="27" t="str">
        <f>IF(ROWS($A$10:$A44)&lt;=COUNTIF(ActionLog[Helper],"*Y"),INDEX(ActionLog[Title],MATCH(ROWS($A$10:$A44)&amp;"Y",ActionLog[Helper],0)),"")</f>
        <v/>
      </c>
      <c r="AE44" s="3" t="str">
        <f>IF(ROWS($A$10:$A44)&lt;=COUNTIF(ActionLog[Helper],"*Y"),INDEX(ActionLog[Task Status],MATCH(ROWS($A$10:$A44)&amp;"Y",ActionLog[Helper],0)),"")</f>
        <v/>
      </c>
    </row>
    <row r="45" spans="2:31" ht="39.950000000000003" customHeight="1" x14ac:dyDescent="0.35">
      <c r="B45" s="24" t="str">
        <f>IF(ROWS($A$10:$A45)&lt;=COUNTIF(RiskTracker[Helper],"*Y"),INDEX(RiskTracker[Risk Number],MATCH(ROWS($A$10:$A45)&amp;"Y",RiskTracker[Helper],0)),"")</f>
        <v/>
      </c>
      <c r="C45" s="15" t="str">
        <f>IF(ROWS($A$10:$A45)&lt;=COUNTIF(RiskTracker[Helper],"*Y"),INDEX(RiskTracker[Project Name],MATCH(ROWS($A$10:$A45)&amp;"Y",RiskTracker[Helper],0)),"")</f>
        <v/>
      </c>
      <c r="D45" s="23" t="str">
        <f>IF(ROWS($A$10:$A45)&lt;=COUNTIF(RiskTracker[Helper],"*Y"),INDEX(RiskTracker[Title],MATCH(ROWS($A$10:$A45)&amp;"Y",RiskTracker[Helper],0)),"")</f>
        <v/>
      </c>
      <c r="E45" s="22" t="str">
        <f>IF(ROWS($A$10:$A45)&lt;=COUNTIF(RiskTracker[Helper],"*Y"),INDEX(RiskTracker[Category],MATCH(ROWS($A$10:$A45)&amp;"Y",RiskTracker[Helper],0)),"")</f>
        <v/>
      </c>
      <c r="F45" s="14" t="str">
        <f>IF(ROWS($A$10:$A45)&lt;=COUNTIF(RiskTracker[Helper],"*Y"),INDEX(RiskTracker[Severity],MATCH(ROWS($A$10:$A45)&amp;"Y",RiskTracker[Helper],0)),"")</f>
        <v/>
      </c>
      <c r="G45" s="24" t="str">
        <f>IF(ROWS($A$10:$A45)&lt;=COUNTIF(RiskTracker[Helper],"*Y"),INDEX(RiskTracker[Duration (Days)],MATCH(ROWS($A$10:$A45)&amp;"Y",RiskTracker[Helper],0)),"")</f>
        <v/>
      </c>
      <c r="I45" s="24" t="str">
        <f>IF(ROWS($A$10:$A45)&lt;=COUNTIF(IssueTracker[Helper],"*Y"),INDEX(IssueTracker[Issue Number],MATCH(ROWS($A$10:$A45)&amp;"Y",IssueTracker[Helper],0)),"")</f>
        <v/>
      </c>
      <c r="J45" s="23" t="str">
        <f>IF(ROWS($A$10:$A45)&lt;=COUNTIF(IssueTracker[Helper],"*Y"),INDEX(IssueTracker[Project Name],MATCH(ROWS($A$10:$A45)&amp;"Y",IssueTracker[Helper],0)),"")</f>
        <v/>
      </c>
      <c r="K45" s="23" t="str">
        <f>IF(ROWS($A$10:$A45)&lt;=COUNTIF(IssueTracker[Helper],"*Y"),INDEX(IssueTracker[Title],MATCH(ROWS($A$10:$A45)&amp;"Y",IssueTracker[Helper],0)),"")</f>
        <v/>
      </c>
      <c r="L45" s="23" t="str">
        <f>IF(ROWS($A$10:$A45)&lt;=COUNTIF(IssueTracker[Helper],"*Y"),INDEX(IssueTracker[Severity],MATCH(ROWS($A$10:$A45)&amp;"Y",IssueTracker[Helper],0)),"")</f>
        <v/>
      </c>
      <c r="M45" s="22" t="str">
        <f>IF(ROWS($A$10:$A45)&lt;=COUNTIF(IssueTracker[Helper],"*Y"),INDEX(IssueTracker[Duration (Days)],MATCH(ROWS($A$10:$A45)&amp;"Y",IssueTracker[Helper],0)),"")</f>
        <v/>
      </c>
      <c r="O45" s="66" t="str">
        <f>IF(ROWS($A$10:$A45)&lt;=COUNTIF(ImpedTracker[Helper],"*Y"),INDEX(ImpedTracker[Impediment Number],MATCH(ROWS($A$10:$A45)&amp;"Y",ImpedTracker[Helper],0)),"")</f>
        <v/>
      </c>
      <c r="P45" s="25" t="str">
        <f>IF(ROWS($A$10:$A45)&lt;=COUNTIF(ImpedTracker[Helper],"*Y"),INDEX(ImpedTracker[Project Name],MATCH(ROWS($A$10:$A45)&amp;"Y",ImpedTracker[Helper],0)),"")</f>
        <v/>
      </c>
      <c r="Q45" s="25" t="str">
        <f>IF(ROWS($A$10:$A45)&lt;=COUNTIF(ImpedTracker[Helper],"*Y"),INDEX(ImpedTracker[Title],MATCH(ROWS($A$10:$A45)&amp;"Y",ImpedTracker[Helper],0)),"")</f>
        <v/>
      </c>
      <c r="R45" s="3" t="str">
        <f>IF(ROWS($A$10:$A45)&lt;=COUNTIF(ImpedTracker[Helper],"*Y"),INDEX(ImpedTracker[Category],MATCH(ROWS($A$10:$A45)&amp;"Y",ImpedTracker[Helper],0)),"")</f>
        <v/>
      </c>
      <c r="S45" s="3" t="str">
        <f>IF(ROWS($A$10:$A45)&lt;=COUNTIF(ImpedTracker[Helper],"*Y"),INDEX(ImpedTracker[Status],MATCH(ROWS($A$10:$A45)&amp;"Y",ImpedTracker[Helper],0)),"")</f>
        <v/>
      </c>
      <c r="T45" s="28" t="str">
        <f>IF(ROWS($A$10:$A45)&lt;=COUNTIF(ImpedTracker[Helper],"*Y"),INDEX(ImpedTracker[Due Date],MATCH(ROWS($A$10:$A45)&amp;"Y",ImpedTracker[Helper],0)),"")</f>
        <v/>
      </c>
      <c r="U45" s="26" t="str">
        <f>IF(ROWS($A$10:$A45)&lt;=COUNTIF(ImpedTracker[Helper],"*Y"),INDEX(ImpedTracker[Duration (Days)],MATCH(ROWS($A$10:$A45)&amp;"Y",ImpedTracker[Helper],0)),"")</f>
        <v/>
      </c>
      <c r="W45" s="66" t="str">
        <f>IF(ROWS($A$10:$A45)&lt;=COUNTIF(DecisionLog[Helper],"*Y"),INDEX(DecisionLog[Decision Number],MATCH(ROWS($A$10:$A45)&amp;"Y",DecisionLog[Helper],0)),"")</f>
        <v/>
      </c>
      <c r="X45" s="15" t="str">
        <f>IF(ROWS($A$10:$A45)&lt;=COUNTIF(DecisionLog[Helper],"*Y"),INDEX(DecisionLog[Project Name],MATCH(ROWS($A$10:$A45)&amp;"Y",DecisionLog[Helper],0)),"")</f>
        <v/>
      </c>
      <c r="Y45" s="25" t="str">
        <f>IF(ROWS($A$10:$A45)&lt;=COUNTIF(DecisionLog[Helper],"*Y"),INDEX(DecisionLog[Title],MATCH(ROWS($A$10:$A45)&amp;"Y",DecisionLog[Helper],0)),"")</f>
        <v/>
      </c>
      <c r="Z45" s="3" t="str">
        <f>IF(ROWS($A$10:$A45)&lt;=COUNTIF(DecisionLog[Helper],"*Y"),INDEX(DecisionLog[Status],MATCH(ROWS($A$10:$A45)&amp;"Y",DecisionLog[Helper],0)),"")</f>
        <v/>
      </c>
      <c r="AB45" s="66" t="str">
        <f>IF(ROWS($A$10:$A45)&lt;=COUNTIF(ActionLog[Helper],"*Y"),INDEX(ActionLog[Task Number],MATCH(ROWS($A$10:$A45)&amp;"Y",ActionLog[Helper],0)),"")</f>
        <v/>
      </c>
      <c r="AC45" s="15" t="str">
        <f>IF(ROWS($A$10:$A45)&lt;=COUNTIF(ActionLog[Helper],"*Y"),INDEX(ActionLog[Project Name],MATCH(ROWS($A$10:$A45)&amp;"Y",ActionLog[Helper],0)),"")</f>
        <v/>
      </c>
      <c r="AD45" s="27" t="str">
        <f>IF(ROWS($A$10:$A45)&lt;=COUNTIF(ActionLog[Helper],"*Y"),INDEX(ActionLog[Title],MATCH(ROWS($A$10:$A45)&amp;"Y",ActionLog[Helper],0)),"")</f>
        <v/>
      </c>
      <c r="AE45" s="3" t="str">
        <f>IF(ROWS($A$10:$A45)&lt;=COUNTIF(ActionLog[Helper],"*Y"),INDEX(ActionLog[Task Status],MATCH(ROWS($A$10:$A45)&amp;"Y",ActionLog[Helper],0)),"")</f>
        <v/>
      </c>
    </row>
    <row r="46" spans="2:31" ht="39.950000000000003" customHeight="1" x14ac:dyDescent="0.35">
      <c r="B46" s="24" t="str">
        <f>IF(ROWS($A$10:$A46)&lt;=COUNTIF(RiskTracker[Helper],"*Y"),INDEX(RiskTracker[Risk Number],MATCH(ROWS($A$10:$A46)&amp;"Y",RiskTracker[Helper],0)),"")</f>
        <v/>
      </c>
      <c r="C46" s="15" t="str">
        <f>IF(ROWS($A$10:$A46)&lt;=COUNTIF(RiskTracker[Helper],"*Y"),INDEX(RiskTracker[Project Name],MATCH(ROWS($A$10:$A46)&amp;"Y",RiskTracker[Helper],0)),"")</f>
        <v/>
      </c>
      <c r="D46" s="23" t="str">
        <f>IF(ROWS($A$10:$A46)&lt;=COUNTIF(RiskTracker[Helper],"*Y"),INDEX(RiskTracker[Title],MATCH(ROWS($A$10:$A46)&amp;"Y",RiskTracker[Helper],0)),"")</f>
        <v/>
      </c>
      <c r="E46" s="22" t="str">
        <f>IF(ROWS($A$10:$A46)&lt;=COUNTIF(RiskTracker[Helper],"*Y"),INDEX(RiskTracker[Category],MATCH(ROWS($A$10:$A46)&amp;"Y",RiskTracker[Helper],0)),"")</f>
        <v/>
      </c>
      <c r="F46" s="14" t="str">
        <f>IF(ROWS($A$10:$A46)&lt;=COUNTIF(RiskTracker[Helper],"*Y"),INDEX(RiskTracker[Severity],MATCH(ROWS($A$10:$A46)&amp;"Y",RiskTracker[Helper],0)),"")</f>
        <v/>
      </c>
      <c r="G46" s="24" t="str">
        <f>IF(ROWS($A$10:$A46)&lt;=COUNTIF(RiskTracker[Helper],"*Y"),INDEX(RiskTracker[Duration (Days)],MATCH(ROWS($A$10:$A46)&amp;"Y",RiskTracker[Helper],0)),"")</f>
        <v/>
      </c>
      <c r="I46" s="24" t="str">
        <f>IF(ROWS($A$10:$A46)&lt;=COUNTIF(IssueTracker[Helper],"*Y"),INDEX(IssueTracker[Issue Number],MATCH(ROWS($A$10:$A46)&amp;"Y",IssueTracker[Helper],0)),"")</f>
        <v/>
      </c>
      <c r="J46" s="23" t="str">
        <f>IF(ROWS($A$10:$A46)&lt;=COUNTIF(IssueTracker[Helper],"*Y"),INDEX(IssueTracker[Project Name],MATCH(ROWS($A$10:$A46)&amp;"Y",IssueTracker[Helper],0)),"")</f>
        <v/>
      </c>
      <c r="K46" s="23" t="str">
        <f>IF(ROWS($A$10:$A46)&lt;=COUNTIF(IssueTracker[Helper],"*Y"),INDEX(IssueTracker[Title],MATCH(ROWS($A$10:$A46)&amp;"Y",IssueTracker[Helper],0)),"")</f>
        <v/>
      </c>
      <c r="L46" s="23" t="str">
        <f>IF(ROWS($A$10:$A46)&lt;=COUNTIF(IssueTracker[Helper],"*Y"),INDEX(IssueTracker[Severity],MATCH(ROWS($A$10:$A46)&amp;"Y",IssueTracker[Helper],0)),"")</f>
        <v/>
      </c>
      <c r="M46" s="22" t="str">
        <f>IF(ROWS($A$10:$A46)&lt;=COUNTIF(IssueTracker[Helper],"*Y"),INDEX(IssueTracker[Duration (Days)],MATCH(ROWS($A$10:$A46)&amp;"Y",IssueTracker[Helper],0)),"")</f>
        <v/>
      </c>
      <c r="O46" s="66" t="str">
        <f>IF(ROWS($A$10:$A46)&lt;=COUNTIF(ImpedTracker[Helper],"*Y"),INDEX(ImpedTracker[Impediment Number],MATCH(ROWS($A$10:$A46)&amp;"Y",ImpedTracker[Helper],0)),"")</f>
        <v/>
      </c>
      <c r="P46" s="25" t="str">
        <f>IF(ROWS($A$10:$A46)&lt;=COUNTIF(ImpedTracker[Helper],"*Y"),INDEX(ImpedTracker[Project Name],MATCH(ROWS($A$10:$A46)&amp;"Y",ImpedTracker[Helper],0)),"")</f>
        <v/>
      </c>
      <c r="Q46" s="25" t="str">
        <f>IF(ROWS($A$10:$A46)&lt;=COUNTIF(ImpedTracker[Helper],"*Y"),INDEX(ImpedTracker[Title],MATCH(ROWS($A$10:$A46)&amp;"Y",ImpedTracker[Helper],0)),"")</f>
        <v/>
      </c>
      <c r="R46" s="3" t="str">
        <f>IF(ROWS($A$10:$A46)&lt;=COUNTIF(ImpedTracker[Helper],"*Y"),INDEX(ImpedTracker[Category],MATCH(ROWS($A$10:$A46)&amp;"Y",ImpedTracker[Helper],0)),"")</f>
        <v/>
      </c>
      <c r="S46" s="3" t="str">
        <f>IF(ROWS($A$10:$A46)&lt;=COUNTIF(ImpedTracker[Helper],"*Y"),INDEX(ImpedTracker[Status],MATCH(ROWS($A$10:$A46)&amp;"Y",ImpedTracker[Helper],0)),"")</f>
        <v/>
      </c>
      <c r="T46" s="28" t="str">
        <f>IF(ROWS($A$10:$A46)&lt;=COUNTIF(ImpedTracker[Helper],"*Y"),INDEX(ImpedTracker[Due Date],MATCH(ROWS($A$10:$A46)&amp;"Y",ImpedTracker[Helper],0)),"")</f>
        <v/>
      </c>
      <c r="U46" s="26" t="str">
        <f>IF(ROWS($A$10:$A46)&lt;=COUNTIF(ImpedTracker[Helper],"*Y"),INDEX(ImpedTracker[Duration (Days)],MATCH(ROWS($A$10:$A46)&amp;"Y",ImpedTracker[Helper],0)),"")</f>
        <v/>
      </c>
      <c r="W46" s="66" t="str">
        <f>IF(ROWS($A$10:$A46)&lt;=COUNTIF(DecisionLog[Helper],"*Y"),INDEX(DecisionLog[Decision Number],MATCH(ROWS($A$10:$A46)&amp;"Y",DecisionLog[Helper],0)),"")</f>
        <v/>
      </c>
      <c r="X46" s="15" t="str">
        <f>IF(ROWS($A$10:$A46)&lt;=COUNTIF(DecisionLog[Helper],"*Y"),INDEX(DecisionLog[Project Name],MATCH(ROWS($A$10:$A46)&amp;"Y",DecisionLog[Helper],0)),"")</f>
        <v/>
      </c>
      <c r="Y46" s="25" t="str">
        <f>IF(ROWS($A$10:$A46)&lt;=COUNTIF(DecisionLog[Helper],"*Y"),INDEX(DecisionLog[Title],MATCH(ROWS($A$10:$A46)&amp;"Y",DecisionLog[Helper],0)),"")</f>
        <v/>
      </c>
      <c r="Z46" s="3" t="str">
        <f>IF(ROWS($A$10:$A46)&lt;=COUNTIF(DecisionLog[Helper],"*Y"),INDEX(DecisionLog[Status],MATCH(ROWS($A$10:$A46)&amp;"Y",DecisionLog[Helper],0)),"")</f>
        <v/>
      </c>
      <c r="AB46" s="66" t="str">
        <f>IF(ROWS($A$10:$A46)&lt;=COUNTIF(ActionLog[Helper],"*Y"),INDEX(ActionLog[Task Number],MATCH(ROWS($A$10:$A46)&amp;"Y",ActionLog[Helper],0)),"")</f>
        <v/>
      </c>
      <c r="AC46" s="15" t="str">
        <f>IF(ROWS($A$10:$A46)&lt;=COUNTIF(ActionLog[Helper],"*Y"),INDEX(ActionLog[Project Name],MATCH(ROWS($A$10:$A46)&amp;"Y",ActionLog[Helper],0)),"")</f>
        <v/>
      </c>
      <c r="AD46" s="27" t="str">
        <f>IF(ROWS($A$10:$A46)&lt;=COUNTIF(ActionLog[Helper],"*Y"),INDEX(ActionLog[Title],MATCH(ROWS($A$10:$A46)&amp;"Y",ActionLog[Helper],0)),"")</f>
        <v/>
      </c>
      <c r="AE46" s="3" t="str">
        <f>IF(ROWS($A$10:$A46)&lt;=COUNTIF(ActionLog[Helper],"*Y"),INDEX(ActionLog[Task Status],MATCH(ROWS($A$10:$A46)&amp;"Y",ActionLog[Helper],0)),"")</f>
        <v/>
      </c>
    </row>
    <row r="47" spans="2:31" ht="39.950000000000003" customHeight="1" x14ac:dyDescent="0.35">
      <c r="B47" s="24" t="str">
        <f>IF(ROWS($A$10:$A47)&lt;=COUNTIF(RiskTracker[Helper],"*Y"),INDEX(RiskTracker[Risk Number],MATCH(ROWS($A$10:$A47)&amp;"Y",RiskTracker[Helper],0)),"")</f>
        <v/>
      </c>
      <c r="C47" s="15" t="str">
        <f>IF(ROWS($A$10:$A47)&lt;=COUNTIF(RiskTracker[Helper],"*Y"),INDEX(RiskTracker[Project Name],MATCH(ROWS($A$10:$A47)&amp;"Y",RiskTracker[Helper],0)),"")</f>
        <v/>
      </c>
      <c r="D47" s="23" t="str">
        <f>IF(ROWS($A$10:$A47)&lt;=COUNTIF(RiskTracker[Helper],"*Y"),INDEX(RiskTracker[Title],MATCH(ROWS($A$10:$A47)&amp;"Y",RiskTracker[Helper],0)),"")</f>
        <v/>
      </c>
      <c r="E47" s="22" t="str">
        <f>IF(ROWS($A$10:$A47)&lt;=COUNTIF(RiskTracker[Helper],"*Y"),INDEX(RiskTracker[Category],MATCH(ROWS($A$10:$A47)&amp;"Y",RiskTracker[Helper],0)),"")</f>
        <v/>
      </c>
      <c r="F47" s="14" t="str">
        <f>IF(ROWS($A$10:$A47)&lt;=COUNTIF(RiskTracker[Helper],"*Y"),INDEX(RiskTracker[Severity],MATCH(ROWS($A$10:$A47)&amp;"Y",RiskTracker[Helper],0)),"")</f>
        <v/>
      </c>
      <c r="G47" s="24" t="str">
        <f>IF(ROWS($A$10:$A47)&lt;=COUNTIF(RiskTracker[Helper],"*Y"),INDEX(RiskTracker[Duration (Days)],MATCH(ROWS($A$10:$A47)&amp;"Y",RiskTracker[Helper],0)),"")</f>
        <v/>
      </c>
      <c r="I47" s="24" t="str">
        <f>IF(ROWS($A$10:$A47)&lt;=COUNTIF(IssueTracker[Helper],"*Y"),INDEX(IssueTracker[Issue Number],MATCH(ROWS($A$10:$A47)&amp;"Y",IssueTracker[Helper],0)),"")</f>
        <v/>
      </c>
      <c r="J47" s="23" t="str">
        <f>IF(ROWS($A$10:$A47)&lt;=COUNTIF(IssueTracker[Helper],"*Y"),INDEX(IssueTracker[Project Name],MATCH(ROWS($A$10:$A47)&amp;"Y",IssueTracker[Helper],0)),"")</f>
        <v/>
      </c>
      <c r="K47" s="23" t="str">
        <f>IF(ROWS($A$10:$A47)&lt;=COUNTIF(IssueTracker[Helper],"*Y"),INDEX(IssueTracker[Title],MATCH(ROWS($A$10:$A47)&amp;"Y",IssueTracker[Helper],0)),"")</f>
        <v/>
      </c>
      <c r="L47" s="23" t="str">
        <f>IF(ROWS($A$10:$A47)&lt;=COUNTIF(IssueTracker[Helper],"*Y"),INDEX(IssueTracker[Severity],MATCH(ROWS($A$10:$A47)&amp;"Y",IssueTracker[Helper],0)),"")</f>
        <v/>
      </c>
      <c r="M47" s="22" t="str">
        <f>IF(ROWS($A$10:$A47)&lt;=COUNTIF(IssueTracker[Helper],"*Y"),INDEX(IssueTracker[Duration (Days)],MATCH(ROWS($A$10:$A47)&amp;"Y",IssueTracker[Helper],0)),"")</f>
        <v/>
      </c>
      <c r="O47" s="66" t="str">
        <f>IF(ROWS($A$10:$A47)&lt;=COUNTIF(ImpedTracker[Helper],"*Y"),INDEX(ImpedTracker[Impediment Number],MATCH(ROWS($A$10:$A47)&amp;"Y",ImpedTracker[Helper],0)),"")</f>
        <v/>
      </c>
      <c r="P47" s="25" t="str">
        <f>IF(ROWS($A$10:$A47)&lt;=COUNTIF(ImpedTracker[Helper],"*Y"),INDEX(ImpedTracker[Project Name],MATCH(ROWS($A$10:$A47)&amp;"Y",ImpedTracker[Helper],0)),"")</f>
        <v/>
      </c>
      <c r="Q47" s="25" t="str">
        <f>IF(ROWS($A$10:$A47)&lt;=COUNTIF(ImpedTracker[Helper],"*Y"),INDEX(ImpedTracker[Title],MATCH(ROWS($A$10:$A47)&amp;"Y",ImpedTracker[Helper],0)),"")</f>
        <v/>
      </c>
      <c r="R47" s="3" t="str">
        <f>IF(ROWS($A$10:$A47)&lt;=COUNTIF(ImpedTracker[Helper],"*Y"),INDEX(ImpedTracker[Category],MATCH(ROWS($A$10:$A47)&amp;"Y",ImpedTracker[Helper],0)),"")</f>
        <v/>
      </c>
      <c r="S47" s="3" t="str">
        <f>IF(ROWS($A$10:$A47)&lt;=COUNTIF(ImpedTracker[Helper],"*Y"),INDEX(ImpedTracker[Status],MATCH(ROWS($A$10:$A47)&amp;"Y",ImpedTracker[Helper],0)),"")</f>
        <v/>
      </c>
      <c r="T47" s="28" t="str">
        <f>IF(ROWS($A$10:$A47)&lt;=COUNTIF(ImpedTracker[Helper],"*Y"),INDEX(ImpedTracker[Due Date],MATCH(ROWS($A$10:$A47)&amp;"Y",ImpedTracker[Helper],0)),"")</f>
        <v/>
      </c>
      <c r="U47" s="26" t="str">
        <f>IF(ROWS($A$10:$A47)&lt;=COUNTIF(ImpedTracker[Helper],"*Y"),INDEX(ImpedTracker[Duration (Days)],MATCH(ROWS($A$10:$A47)&amp;"Y",ImpedTracker[Helper],0)),"")</f>
        <v/>
      </c>
      <c r="W47" s="66" t="str">
        <f>IF(ROWS($A$10:$A47)&lt;=COUNTIF(DecisionLog[Helper],"*Y"),INDEX(DecisionLog[Decision Number],MATCH(ROWS($A$10:$A47)&amp;"Y",DecisionLog[Helper],0)),"")</f>
        <v/>
      </c>
      <c r="X47" s="15" t="str">
        <f>IF(ROWS($A$10:$A47)&lt;=COUNTIF(DecisionLog[Helper],"*Y"),INDEX(DecisionLog[Project Name],MATCH(ROWS($A$10:$A47)&amp;"Y",DecisionLog[Helper],0)),"")</f>
        <v/>
      </c>
      <c r="Y47" s="25" t="str">
        <f>IF(ROWS($A$10:$A47)&lt;=COUNTIF(DecisionLog[Helper],"*Y"),INDEX(DecisionLog[Title],MATCH(ROWS($A$10:$A47)&amp;"Y",DecisionLog[Helper],0)),"")</f>
        <v/>
      </c>
      <c r="Z47" s="3" t="str">
        <f>IF(ROWS($A$10:$A47)&lt;=COUNTIF(DecisionLog[Helper],"*Y"),INDEX(DecisionLog[Status],MATCH(ROWS($A$10:$A47)&amp;"Y",DecisionLog[Helper],0)),"")</f>
        <v/>
      </c>
      <c r="AB47" s="66" t="str">
        <f>IF(ROWS($A$10:$A47)&lt;=COUNTIF(ActionLog[Helper],"*Y"),INDEX(ActionLog[Task Number],MATCH(ROWS($A$10:$A47)&amp;"Y",ActionLog[Helper],0)),"")</f>
        <v/>
      </c>
      <c r="AC47" s="15" t="str">
        <f>IF(ROWS($A$10:$A47)&lt;=COUNTIF(ActionLog[Helper],"*Y"),INDEX(ActionLog[Project Name],MATCH(ROWS($A$10:$A47)&amp;"Y",ActionLog[Helper],0)),"")</f>
        <v/>
      </c>
      <c r="AD47" s="27" t="str">
        <f>IF(ROWS($A$10:$A47)&lt;=COUNTIF(ActionLog[Helper],"*Y"),INDEX(ActionLog[Title],MATCH(ROWS($A$10:$A47)&amp;"Y",ActionLog[Helper],0)),"")</f>
        <v/>
      </c>
      <c r="AE47" s="3" t="str">
        <f>IF(ROWS($A$10:$A47)&lt;=COUNTIF(ActionLog[Helper],"*Y"),INDEX(ActionLog[Task Status],MATCH(ROWS($A$10:$A47)&amp;"Y",ActionLog[Helper],0)),"")</f>
        <v/>
      </c>
    </row>
    <row r="48" spans="2:31" ht="39.950000000000003" customHeight="1" x14ac:dyDescent="0.35">
      <c r="B48" s="24" t="str">
        <f>IF(ROWS($A$10:$A48)&lt;=COUNTIF(RiskTracker[Helper],"*Y"),INDEX(RiskTracker[Risk Number],MATCH(ROWS($A$10:$A48)&amp;"Y",RiskTracker[Helper],0)),"")</f>
        <v/>
      </c>
      <c r="C48" s="15" t="str">
        <f>IF(ROWS($A$10:$A48)&lt;=COUNTIF(RiskTracker[Helper],"*Y"),INDEX(RiskTracker[Project Name],MATCH(ROWS($A$10:$A48)&amp;"Y",RiskTracker[Helper],0)),"")</f>
        <v/>
      </c>
      <c r="D48" s="23" t="str">
        <f>IF(ROWS($A$10:$A48)&lt;=COUNTIF(RiskTracker[Helper],"*Y"),INDEX(RiskTracker[Title],MATCH(ROWS($A$10:$A48)&amp;"Y",RiskTracker[Helper],0)),"")</f>
        <v/>
      </c>
      <c r="E48" s="22" t="str">
        <f>IF(ROWS($A$10:$A48)&lt;=COUNTIF(RiskTracker[Helper],"*Y"),INDEX(RiskTracker[Category],MATCH(ROWS($A$10:$A48)&amp;"Y",RiskTracker[Helper],0)),"")</f>
        <v/>
      </c>
      <c r="F48" s="14" t="str">
        <f>IF(ROWS($A$10:$A48)&lt;=COUNTIF(RiskTracker[Helper],"*Y"),INDEX(RiskTracker[Severity],MATCH(ROWS($A$10:$A48)&amp;"Y",RiskTracker[Helper],0)),"")</f>
        <v/>
      </c>
      <c r="G48" s="24" t="str">
        <f>IF(ROWS($A$10:$A48)&lt;=COUNTIF(RiskTracker[Helper],"*Y"),INDEX(RiskTracker[Duration (Days)],MATCH(ROWS($A$10:$A48)&amp;"Y",RiskTracker[Helper],0)),"")</f>
        <v/>
      </c>
      <c r="I48" s="24" t="str">
        <f>IF(ROWS($A$10:$A48)&lt;=COUNTIF(IssueTracker[Helper],"*Y"),INDEX(IssueTracker[Issue Number],MATCH(ROWS($A$10:$A48)&amp;"Y",IssueTracker[Helper],0)),"")</f>
        <v/>
      </c>
      <c r="J48" s="23" t="str">
        <f>IF(ROWS($A$10:$A48)&lt;=COUNTIF(IssueTracker[Helper],"*Y"),INDEX(IssueTracker[Project Name],MATCH(ROWS($A$10:$A48)&amp;"Y",IssueTracker[Helper],0)),"")</f>
        <v/>
      </c>
      <c r="K48" s="23" t="str">
        <f>IF(ROWS($A$10:$A48)&lt;=COUNTIF(IssueTracker[Helper],"*Y"),INDEX(IssueTracker[Title],MATCH(ROWS($A$10:$A48)&amp;"Y",IssueTracker[Helper],0)),"")</f>
        <v/>
      </c>
      <c r="L48" s="23" t="str">
        <f>IF(ROWS($A$10:$A48)&lt;=COUNTIF(IssueTracker[Helper],"*Y"),INDEX(IssueTracker[Severity],MATCH(ROWS($A$10:$A48)&amp;"Y",IssueTracker[Helper],0)),"")</f>
        <v/>
      </c>
      <c r="M48" s="22" t="str">
        <f>IF(ROWS($A$10:$A48)&lt;=COUNTIF(IssueTracker[Helper],"*Y"),INDEX(IssueTracker[Duration (Days)],MATCH(ROWS($A$10:$A48)&amp;"Y",IssueTracker[Helper],0)),"")</f>
        <v/>
      </c>
      <c r="O48" s="66" t="str">
        <f>IF(ROWS($A$10:$A48)&lt;=COUNTIF(ImpedTracker[Helper],"*Y"),INDEX(ImpedTracker[Impediment Number],MATCH(ROWS($A$10:$A48)&amp;"Y",ImpedTracker[Helper],0)),"")</f>
        <v/>
      </c>
      <c r="P48" s="25" t="str">
        <f>IF(ROWS($A$10:$A48)&lt;=COUNTIF(ImpedTracker[Helper],"*Y"),INDEX(ImpedTracker[Project Name],MATCH(ROWS($A$10:$A48)&amp;"Y",ImpedTracker[Helper],0)),"")</f>
        <v/>
      </c>
      <c r="Q48" s="25" t="str">
        <f>IF(ROWS($A$10:$A48)&lt;=COUNTIF(ImpedTracker[Helper],"*Y"),INDEX(ImpedTracker[Title],MATCH(ROWS($A$10:$A48)&amp;"Y",ImpedTracker[Helper],0)),"")</f>
        <v/>
      </c>
      <c r="R48" s="3" t="str">
        <f>IF(ROWS($A$10:$A48)&lt;=COUNTIF(ImpedTracker[Helper],"*Y"),INDEX(ImpedTracker[Category],MATCH(ROWS($A$10:$A48)&amp;"Y",ImpedTracker[Helper],0)),"")</f>
        <v/>
      </c>
      <c r="S48" s="3" t="str">
        <f>IF(ROWS($A$10:$A48)&lt;=COUNTIF(ImpedTracker[Helper],"*Y"),INDEX(ImpedTracker[Status],MATCH(ROWS($A$10:$A48)&amp;"Y",ImpedTracker[Helper],0)),"")</f>
        <v/>
      </c>
      <c r="T48" s="28" t="str">
        <f>IF(ROWS($A$10:$A48)&lt;=COUNTIF(ImpedTracker[Helper],"*Y"),INDEX(ImpedTracker[Due Date],MATCH(ROWS($A$10:$A48)&amp;"Y",ImpedTracker[Helper],0)),"")</f>
        <v/>
      </c>
      <c r="U48" s="26" t="str">
        <f>IF(ROWS($A$10:$A48)&lt;=COUNTIF(ImpedTracker[Helper],"*Y"),INDEX(ImpedTracker[Duration (Days)],MATCH(ROWS($A$10:$A48)&amp;"Y",ImpedTracker[Helper],0)),"")</f>
        <v/>
      </c>
      <c r="W48" s="66" t="str">
        <f>IF(ROWS($A$10:$A48)&lt;=COUNTIF(DecisionLog[Helper],"*Y"),INDEX(DecisionLog[Decision Number],MATCH(ROWS($A$10:$A48)&amp;"Y",DecisionLog[Helper],0)),"")</f>
        <v/>
      </c>
      <c r="X48" s="15" t="str">
        <f>IF(ROWS($A$10:$A48)&lt;=COUNTIF(DecisionLog[Helper],"*Y"),INDEX(DecisionLog[Project Name],MATCH(ROWS($A$10:$A48)&amp;"Y",DecisionLog[Helper],0)),"")</f>
        <v/>
      </c>
      <c r="Y48" s="25" t="str">
        <f>IF(ROWS($A$10:$A48)&lt;=COUNTIF(DecisionLog[Helper],"*Y"),INDEX(DecisionLog[Title],MATCH(ROWS($A$10:$A48)&amp;"Y",DecisionLog[Helper],0)),"")</f>
        <v/>
      </c>
      <c r="Z48" s="3" t="str">
        <f>IF(ROWS($A$10:$A48)&lt;=COUNTIF(DecisionLog[Helper],"*Y"),INDEX(DecisionLog[Status],MATCH(ROWS($A$10:$A48)&amp;"Y",DecisionLog[Helper],0)),"")</f>
        <v/>
      </c>
      <c r="AB48" s="66" t="str">
        <f>IF(ROWS($A$10:$A48)&lt;=COUNTIF(ActionLog[Helper],"*Y"),INDEX(ActionLog[Task Number],MATCH(ROWS($A$10:$A48)&amp;"Y",ActionLog[Helper],0)),"")</f>
        <v/>
      </c>
      <c r="AC48" s="15" t="str">
        <f>IF(ROWS($A$10:$A48)&lt;=COUNTIF(ActionLog[Helper],"*Y"),INDEX(ActionLog[Project Name],MATCH(ROWS($A$10:$A48)&amp;"Y",ActionLog[Helper],0)),"")</f>
        <v/>
      </c>
      <c r="AD48" s="27" t="str">
        <f>IF(ROWS($A$10:$A48)&lt;=COUNTIF(ActionLog[Helper],"*Y"),INDEX(ActionLog[Title],MATCH(ROWS($A$10:$A48)&amp;"Y",ActionLog[Helper],0)),"")</f>
        <v/>
      </c>
      <c r="AE48" s="3" t="str">
        <f>IF(ROWS($A$10:$A48)&lt;=COUNTIF(ActionLog[Helper],"*Y"),INDEX(ActionLog[Task Status],MATCH(ROWS($A$10:$A48)&amp;"Y",ActionLog[Helper],0)),"")</f>
        <v/>
      </c>
    </row>
    <row r="49" spans="2:31" ht="39.950000000000003" customHeight="1" x14ac:dyDescent="0.35">
      <c r="B49" s="24" t="str">
        <f>IF(ROWS($A$10:$A49)&lt;=COUNTIF(RiskTracker[Helper],"*Y"),INDEX(RiskTracker[Risk Number],MATCH(ROWS($A$10:$A49)&amp;"Y",RiskTracker[Helper],0)),"")</f>
        <v/>
      </c>
      <c r="C49" s="15" t="str">
        <f>IF(ROWS($A$10:$A49)&lt;=COUNTIF(RiskTracker[Helper],"*Y"),INDEX(RiskTracker[Project Name],MATCH(ROWS($A$10:$A49)&amp;"Y",RiskTracker[Helper],0)),"")</f>
        <v/>
      </c>
      <c r="D49" s="23" t="str">
        <f>IF(ROWS($A$10:$A49)&lt;=COUNTIF(RiskTracker[Helper],"*Y"),INDEX(RiskTracker[Title],MATCH(ROWS($A$10:$A49)&amp;"Y",RiskTracker[Helper],0)),"")</f>
        <v/>
      </c>
      <c r="E49" s="22" t="str">
        <f>IF(ROWS($A$10:$A49)&lt;=COUNTIF(RiskTracker[Helper],"*Y"),INDEX(RiskTracker[Category],MATCH(ROWS($A$10:$A49)&amp;"Y",RiskTracker[Helper],0)),"")</f>
        <v/>
      </c>
      <c r="F49" s="14" t="str">
        <f>IF(ROWS($A$10:$A49)&lt;=COUNTIF(RiskTracker[Helper],"*Y"),INDEX(RiskTracker[Severity],MATCH(ROWS($A$10:$A49)&amp;"Y",RiskTracker[Helper],0)),"")</f>
        <v/>
      </c>
      <c r="G49" s="24" t="str">
        <f>IF(ROWS($A$10:$A49)&lt;=COUNTIF(RiskTracker[Helper],"*Y"),INDEX(RiskTracker[Duration (Days)],MATCH(ROWS($A$10:$A49)&amp;"Y",RiskTracker[Helper],0)),"")</f>
        <v/>
      </c>
      <c r="I49" s="24" t="str">
        <f>IF(ROWS($A$10:$A49)&lt;=COUNTIF(IssueTracker[Helper],"*Y"),INDEX(IssueTracker[Issue Number],MATCH(ROWS($A$10:$A49)&amp;"Y",IssueTracker[Helper],0)),"")</f>
        <v/>
      </c>
      <c r="J49" s="23" t="str">
        <f>IF(ROWS($A$10:$A49)&lt;=COUNTIF(IssueTracker[Helper],"*Y"),INDEX(IssueTracker[Project Name],MATCH(ROWS($A$10:$A49)&amp;"Y",IssueTracker[Helper],0)),"")</f>
        <v/>
      </c>
      <c r="K49" s="23" t="str">
        <f>IF(ROWS($A$10:$A49)&lt;=COUNTIF(IssueTracker[Helper],"*Y"),INDEX(IssueTracker[Title],MATCH(ROWS($A$10:$A49)&amp;"Y",IssueTracker[Helper],0)),"")</f>
        <v/>
      </c>
      <c r="L49" s="23" t="str">
        <f>IF(ROWS($A$10:$A49)&lt;=COUNTIF(IssueTracker[Helper],"*Y"),INDEX(IssueTracker[Severity],MATCH(ROWS($A$10:$A49)&amp;"Y",IssueTracker[Helper],0)),"")</f>
        <v/>
      </c>
      <c r="M49" s="22" t="str">
        <f>IF(ROWS($A$10:$A49)&lt;=COUNTIF(IssueTracker[Helper],"*Y"),INDEX(IssueTracker[Duration (Days)],MATCH(ROWS($A$10:$A49)&amp;"Y",IssueTracker[Helper],0)),"")</f>
        <v/>
      </c>
      <c r="O49" s="66" t="str">
        <f>IF(ROWS($A$10:$A49)&lt;=COUNTIF(ImpedTracker[Helper],"*Y"),INDEX(ImpedTracker[Impediment Number],MATCH(ROWS($A$10:$A49)&amp;"Y",ImpedTracker[Helper],0)),"")</f>
        <v/>
      </c>
      <c r="P49" s="25" t="str">
        <f>IF(ROWS($A$10:$A49)&lt;=COUNTIF(ImpedTracker[Helper],"*Y"),INDEX(ImpedTracker[Project Name],MATCH(ROWS($A$10:$A49)&amp;"Y",ImpedTracker[Helper],0)),"")</f>
        <v/>
      </c>
      <c r="Q49" s="25" t="str">
        <f>IF(ROWS($A$10:$A49)&lt;=COUNTIF(ImpedTracker[Helper],"*Y"),INDEX(ImpedTracker[Title],MATCH(ROWS($A$10:$A49)&amp;"Y",ImpedTracker[Helper],0)),"")</f>
        <v/>
      </c>
      <c r="R49" s="3" t="str">
        <f>IF(ROWS($A$10:$A49)&lt;=COUNTIF(ImpedTracker[Helper],"*Y"),INDEX(ImpedTracker[Category],MATCH(ROWS($A$10:$A49)&amp;"Y",ImpedTracker[Helper],0)),"")</f>
        <v/>
      </c>
      <c r="S49" s="3" t="str">
        <f>IF(ROWS($A$10:$A49)&lt;=COUNTIF(ImpedTracker[Helper],"*Y"),INDEX(ImpedTracker[Status],MATCH(ROWS($A$10:$A49)&amp;"Y",ImpedTracker[Helper],0)),"")</f>
        <v/>
      </c>
      <c r="T49" s="28" t="str">
        <f>IF(ROWS($A$10:$A49)&lt;=COUNTIF(ImpedTracker[Helper],"*Y"),INDEX(ImpedTracker[Due Date],MATCH(ROWS($A$10:$A49)&amp;"Y",ImpedTracker[Helper],0)),"")</f>
        <v/>
      </c>
      <c r="U49" s="26" t="str">
        <f>IF(ROWS($A$10:$A49)&lt;=COUNTIF(ImpedTracker[Helper],"*Y"),INDEX(ImpedTracker[Duration (Days)],MATCH(ROWS($A$10:$A49)&amp;"Y",ImpedTracker[Helper],0)),"")</f>
        <v/>
      </c>
      <c r="W49" s="66" t="str">
        <f>IF(ROWS($A$10:$A49)&lt;=COUNTIF(DecisionLog[Helper],"*Y"),INDEX(DecisionLog[Decision Number],MATCH(ROWS($A$10:$A49)&amp;"Y",DecisionLog[Helper],0)),"")</f>
        <v/>
      </c>
      <c r="X49" s="15" t="str">
        <f>IF(ROWS($A$10:$A49)&lt;=COUNTIF(DecisionLog[Helper],"*Y"),INDEX(DecisionLog[Project Name],MATCH(ROWS($A$10:$A49)&amp;"Y",DecisionLog[Helper],0)),"")</f>
        <v/>
      </c>
      <c r="Y49" s="25" t="str">
        <f>IF(ROWS($A$10:$A49)&lt;=COUNTIF(DecisionLog[Helper],"*Y"),INDEX(DecisionLog[Title],MATCH(ROWS($A$10:$A49)&amp;"Y",DecisionLog[Helper],0)),"")</f>
        <v/>
      </c>
      <c r="Z49" s="3" t="str">
        <f>IF(ROWS($A$10:$A49)&lt;=COUNTIF(DecisionLog[Helper],"*Y"),INDEX(DecisionLog[Status],MATCH(ROWS($A$10:$A49)&amp;"Y",DecisionLog[Helper],0)),"")</f>
        <v/>
      </c>
      <c r="AB49" s="66" t="str">
        <f>IF(ROWS($A$10:$A49)&lt;=COUNTIF(ActionLog[Helper],"*Y"),INDEX(ActionLog[Task Number],MATCH(ROWS($A$10:$A49)&amp;"Y",ActionLog[Helper],0)),"")</f>
        <v/>
      </c>
      <c r="AC49" s="15" t="str">
        <f>IF(ROWS($A$10:$A49)&lt;=COUNTIF(ActionLog[Helper],"*Y"),INDEX(ActionLog[Project Name],MATCH(ROWS($A$10:$A49)&amp;"Y",ActionLog[Helper],0)),"")</f>
        <v/>
      </c>
      <c r="AD49" s="27" t="str">
        <f>IF(ROWS($A$10:$A49)&lt;=COUNTIF(ActionLog[Helper],"*Y"),INDEX(ActionLog[Title],MATCH(ROWS($A$10:$A49)&amp;"Y",ActionLog[Helper],0)),"")</f>
        <v/>
      </c>
      <c r="AE49" s="3" t="str">
        <f>IF(ROWS($A$10:$A49)&lt;=COUNTIF(ActionLog[Helper],"*Y"),INDEX(ActionLog[Task Status],MATCH(ROWS($A$10:$A49)&amp;"Y",ActionLog[Helper],0)),"")</f>
        <v/>
      </c>
    </row>
    <row r="50" spans="2:31" ht="39.950000000000003" customHeight="1" x14ac:dyDescent="0.35">
      <c r="B50" s="24" t="str">
        <f>IF(ROWS($A$10:$A50)&lt;=COUNTIF(RiskTracker[Helper],"*Y"),INDEX(RiskTracker[Risk Number],MATCH(ROWS($A$10:$A50)&amp;"Y",RiskTracker[Helper],0)),"")</f>
        <v/>
      </c>
      <c r="C50" s="15" t="str">
        <f>IF(ROWS($A$10:$A50)&lt;=COUNTIF(RiskTracker[Helper],"*Y"),INDEX(RiskTracker[Project Name],MATCH(ROWS($A$10:$A50)&amp;"Y",RiskTracker[Helper],0)),"")</f>
        <v/>
      </c>
      <c r="D50" s="23" t="str">
        <f>IF(ROWS($A$10:$A50)&lt;=COUNTIF(RiskTracker[Helper],"*Y"),INDEX(RiskTracker[Title],MATCH(ROWS($A$10:$A50)&amp;"Y",RiskTracker[Helper],0)),"")</f>
        <v/>
      </c>
      <c r="E50" s="22" t="str">
        <f>IF(ROWS($A$10:$A50)&lt;=COUNTIF(RiskTracker[Helper],"*Y"),INDEX(RiskTracker[Category],MATCH(ROWS($A$10:$A50)&amp;"Y",RiskTracker[Helper],0)),"")</f>
        <v/>
      </c>
      <c r="F50" s="14" t="str">
        <f>IF(ROWS($A$10:$A50)&lt;=COUNTIF(RiskTracker[Helper],"*Y"),INDEX(RiskTracker[Severity],MATCH(ROWS($A$10:$A50)&amp;"Y",RiskTracker[Helper],0)),"")</f>
        <v/>
      </c>
      <c r="G50" s="24" t="str">
        <f>IF(ROWS($A$10:$A50)&lt;=COUNTIF(RiskTracker[Helper],"*Y"),INDEX(RiskTracker[Duration (Days)],MATCH(ROWS($A$10:$A50)&amp;"Y",RiskTracker[Helper],0)),"")</f>
        <v/>
      </c>
      <c r="I50" s="24" t="str">
        <f>IF(ROWS($A$10:$A50)&lt;=COUNTIF(IssueTracker[Helper],"*Y"),INDEX(IssueTracker[Issue Number],MATCH(ROWS($A$10:$A50)&amp;"Y",IssueTracker[Helper],0)),"")</f>
        <v/>
      </c>
      <c r="J50" s="23" t="str">
        <f>IF(ROWS($A$10:$A50)&lt;=COUNTIF(IssueTracker[Helper],"*Y"),INDEX(IssueTracker[Project Name],MATCH(ROWS($A$10:$A50)&amp;"Y",IssueTracker[Helper],0)),"")</f>
        <v/>
      </c>
      <c r="K50" s="23" t="str">
        <f>IF(ROWS($A$10:$A50)&lt;=COUNTIF(IssueTracker[Helper],"*Y"),INDEX(IssueTracker[Title],MATCH(ROWS($A$10:$A50)&amp;"Y",IssueTracker[Helper],0)),"")</f>
        <v/>
      </c>
      <c r="L50" s="23" t="str">
        <f>IF(ROWS($A$10:$A50)&lt;=COUNTIF(IssueTracker[Helper],"*Y"),INDEX(IssueTracker[Severity],MATCH(ROWS($A$10:$A50)&amp;"Y",IssueTracker[Helper],0)),"")</f>
        <v/>
      </c>
      <c r="M50" s="22" t="str">
        <f>IF(ROWS($A$10:$A50)&lt;=COUNTIF(IssueTracker[Helper],"*Y"),INDEX(IssueTracker[Duration (Days)],MATCH(ROWS($A$10:$A50)&amp;"Y",IssueTracker[Helper],0)),"")</f>
        <v/>
      </c>
      <c r="O50" s="66" t="str">
        <f>IF(ROWS($A$10:$A50)&lt;=COUNTIF(ImpedTracker[Helper],"*Y"),INDEX(ImpedTracker[Impediment Number],MATCH(ROWS($A$10:$A50)&amp;"Y",ImpedTracker[Helper],0)),"")</f>
        <v/>
      </c>
      <c r="P50" s="25" t="str">
        <f>IF(ROWS($A$10:$A50)&lt;=COUNTIF(ImpedTracker[Helper],"*Y"),INDEX(ImpedTracker[Project Name],MATCH(ROWS($A$10:$A50)&amp;"Y",ImpedTracker[Helper],0)),"")</f>
        <v/>
      </c>
      <c r="Q50" s="25" t="str">
        <f>IF(ROWS($A$10:$A50)&lt;=COUNTIF(ImpedTracker[Helper],"*Y"),INDEX(ImpedTracker[Title],MATCH(ROWS($A$10:$A50)&amp;"Y",ImpedTracker[Helper],0)),"")</f>
        <v/>
      </c>
      <c r="R50" s="3" t="str">
        <f>IF(ROWS($A$10:$A50)&lt;=COUNTIF(ImpedTracker[Helper],"*Y"),INDEX(ImpedTracker[Category],MATCH(ROWS($A$10:$A50)&amp;"Y",ImpedTracker[Helper],0)),"")</f>
        <v/>
      </c>
      <c r="S50" s="3" t="str">
        <f>IF(ROWS($A$10:$A50)&lt;=COUNTIF(ImpedTracker[Helper],"*Y"),INDEX(ImpedTracker[Status],MATCH(ROWS($A$10:$A50)&amp;"Y",ImpedTracker[Helper],0)),"")</f>
        <v/>
      </c>
      <c r="T50" s="28" t="str">
        <f>IF(ROWS($A$10:$A50)&lt;=COUNTIF(ImpedTracker[Helper],"*Y"),INDEX(ImpedTracker[Due Date],MATCH(ROWS($A$10:$A50)&amp;"Y",ImpedTracker[Helper],0)),"")</f>
        <v/>
      </c>
      <c r="U50" s="26" t="str">
        <f>IF(ROWS($A$10:$A50)&lt;=COUNTIF(ImpedTracker[Helper],"*Y"),INDEX(ImpedTracker[Duration (Days)],MATCH(ROWS($A$10:$A50)&amp;"Y",ImpedTracker[Helper],0)),"")</f>
        <v/>
      </c>
      <c r="W50" s="66" t="str">
        <f>IF(ROWS($A$10:$A50)&lt;=COUNTIF(DecisionLog[Helper],"*Y"),INDEX(DecisionLog[Decision Number],MATCH(ROWS($A$10:$A50)&amp;"Y",DecisionLog[Helper],0)),"")</f>
        <v/>
      </c>
      <c r="X50" s="15" t="str">
        <f>IF(ROWS($A$10:$A50)&lt;=COUNTIF(DecisionLog[Helper],"*Y"),INDEX(DecisionLog[Project Name],MATCH(ROWS($A$10:$A50)&amp;"Y",DecisionLog[Helper],0)),"")</f>
        <v/>
      </c>
      <c r="Y50" s="25" t="str">
        <f>IF(ROWS($A$10:$A50)&lt;=COUNTIF(DecisionLog[Helper],"*Y"),INDEX(DecisionLog[Title],MATCH(ROWS($A$10:$A50)&amp;"Y",DecisionLog[Helper],0)),"")</f>
        <v/>
      </c>
      <c r="Z50" s="3" t="str">
        <f>IF(ROWS($A$10:$A50)&lt;=COUNTIF(DecisionLog[Helper],"*Y"),INDEX(DecisionLog[Status],MATCH(ROWS($A$10:$A50)&amp;"Y",DecisionLog[Helper],0)),"")</f>
        <v/>
      </c>
      <c r="AB50" s="66" t="str">
        <f>IF(ROWS($A$10:$A50)&lt;=COUNTIF(ActionLog[Helper],"*Y"),INDEX(ActionLog[Task Number],MATCH(ROWS($A$10:$A50)&amp;"Y",ActionLog[Helper],0)),"")</f>
        <v/>
      </c>
      <c r="AC50" s="15" t="str">
        <f>IF(ROWS($A$10:$A50)&lt;=COUNTIF(ActionLog[Helper],"*Y"),INDEX(ActionLog[Project Name],MATCH(ROWS($A$10:$A50)&amp;"Y",ActionLog[Helper],0)),"")</f>
        <v/>
      </c>
      <c r="AD50" s="27" t="str">
        <f>IF(ROWS($A$10:$A50)&lt;=COUNTIF(ActionLog[Helper],"*Y"),INDEX(ActionLog[Title],MATCH(ROWS($A$10:$A50)&amp;"Y",ActionLog[Helper],0)),"")</f>
        <v/>
      </c>
      <c r="AE50" s="3" t="str">
        <f>IF(ROWS($A$10:$A50)&lt;=COUNTIF(ActionLog[Helper],"*Y"),INDEX(ActionLog[Task Status],MATCH(ROWS($A$10:$A50)&amp;"Y",ActionLog[Helper],0)),"")</f>
        <v/>
      </c>
    </row>
    <row r="51" spans="2:31" ht="39.950000000000003" customHeight="1" x14ac:dyDescent="0.35">
      <c r="B51" s="24" t="str">
        <f>IF(ROWS($A$10:$A51)&lt;=COUNTIF(RiskTracker[Helper],"*Y"),INDEX(RiskTracker[Risk Number],MATCH(ROWS($A$10:$A51)&amp;"Y",RiskTracker[Helper],0)),"")</f>
        <v/>
      </c>
      <c r="C51" s="15" t="str">
        <f>IF(ROWS($A$10:$A51)&lt;=COUNTIF(RiskTracker[Helper],"*Y"),INDEX(RiskTracker[Project Name],MATCH(ROWS($A$10:$A51)&amp;"Y",RiskTracker[Helper],0)),"")</f>
        <v/>
      </c>
      <c r="D51" s="23" t="str">
        <f>IF(ROWS($A$10:$A51)&lt;=COUNTIF(RiskTracker[Helper],"*Y"),INDEX(RiskTracker[Title],MATCH(ROWS($A$10:$A51)&amp;"Y",RiskTracker[Helper],0)),"")</f>
        <v/>
      </c>
      <c r="E51" s="22" t="str">
        <f>IF(ROWS($A$10:$A51)&lt;=COUNTIF(RiskTracker[Helper],"*Y"),INDEX(RiskTracker[Category],MATCH(ROWS($A$10:$A51)&amp;"Y",RiskTracker[Helper],0)),"")</f>
        <v/>
      </c>
      <c r="F51" s="14" t="str">
        <f>IF(ROWS($A$10:$A51)&lt;=COUNTIF(RiskTracker[Helper],"*Y"),INDEX(RiskTracker[Severity],MATCH(ROWS($A$10:$A51)&amp;"Y",RiskTracker[Helper],0)),"")</f>
        <v/>
      </c>
      <c r="G51" s="24" t="str">
        <f>IF(ROWS($A$10:$A51)&lt;=COUNTIF(RiskTracker[Helper],"*Y"),INDEX(RiskTracker[Duration (Days)],MATCH(ROWS($A$10:$A51)&amp;"Y",RiskTracker[Helper],0)),"")</f>
        <v/>
      </c>
      <c r="I51" s="24" t="str">
        <f>IF(ROWS($A$10:$A51)&lt;=COUNTIF(IssueTracker[Helper],"*Y"),INDEX(IssueTracker[Issue Number],MATCH(ROWS($A$10:$A51)&amp;"Y",IssueTracker[Helper],0)),"")</f>
        <v/>
      </c>
      <c r="J51" s="23" t="str">
        <f>IF(ROWS($A$10:$A51)&lt;=COUNTIF(IssueTracker[Helper],"*Y"),INDEX(IssueTracker[Project Name],MATCH(ROWS($A$10:$A51)&amp;"Y",IssueTracker[Helper],0)),"")</f>
        <v/>
      </c>
      <c r="K51" s="23" t="str">
        <f>IF(ROWS($A$10:$A51)&lt;=COUNTIF(IssueTracker[Helper],"*Y"),INDEX(IssueTracker[Title],MATCH(ROWS($A$10:$A51)&amp;"Y",IssueTracker[Helper],0)),"")</f>
        <v/>
      </c>
      <c r="L51" s="23" t="str">
        <f>IF(ROWS($A$10:$A51)&lt;=COUNTIF(IssueTracker[Helper],"*Y"),INDEX(IssueTracker[Severity],MATCH(ROWS($A$10:$A51)&amp;"Y",IssueTracker[Helper],0)),"")</f>
        <v/>
      </c>
      <c r="M51" s="22" t="str">
        <f>IF(ROWS($A$10:$A51)&lt;=COUNTIF(IssueTracker[Helper],"*Y"),INDEX(IssueTracker[Duration (Days)],MATCH(ROWS($A$10:$A51)&amp;"Y",IssueTracker[Helper],0)),"")</f>
        <v/>
      </c>
      <c r="O51" s="66" t="str">
        <f>IF(ROWS($A$10:$A51)&lt;=COUNTIF(ImpedTracker[Helper],"*Y"),INDEX(ImpedTracker[Impediment Number],MATCH(ROWS($A$10:$A51)&amp;"Y",ImpedTracker[Helper],0)),"")</f>
        <v/>
      </c>
      <c r="P51" s="25" t="str">
        <f>IF(ROWS($A$10:$A51)&lt;=COUNTIF(ImpedTracker[Helper],"*Y"),INDEX(ImpedTracker[Project Name],MATCH(ROWS($A$10:$A51)&amp;"Y",ImpedTracker[Helper],0)),"")</f>
        <v/>
      </c>
      <c r="Q51" s="25" t="str">
        <f>IF(ROWS($A$10:$A51)&lt;=COUNTIF(ImpedTracker[Helper],"*Y"),INDEX(ImpedTracker[Title],MATCH(ROWS($A$10:$A51)&amp;"Y",ImpedTracker[Helper],0)),"")</f>
        <v/>
      </c>
      <c r="R51" s="3" t="str">
        <f>IF(ROWS($A$10:$A51)&lt;=COUNTIF(ImpedTracker[Helper],"*Y"),INDEX(ImpedTracker[Category],MATCH(ROWS($A$10:$A51)&amp;"Y",ImpedTracker[Helper],0)),"")</f>
        <v/>
      </c>
      <c r="S51" s="3" t="str">
        <f>IF(ROWS($A$10:$A51)&lt;=COUNTIF(ImpedTracker[Helper],"*Y"),INDEX(ImpedTracker[Status],MATCH(ROWS($A$10:$A51)&amp;"Y",ImpedTracker[Helper],0)),"")</f>
        <v/>
      </c>
      <c r="T51" s="28" t="str">
        <f>IF(ROWS($A$10:$A51)&lt;=COUNTIF(ImpedTracker[Helper],"*Y"),INDEX(ImpedTracker[Due Date],MATCH(ROWS($A$10:$A51)&amp;"Y",ImpedTracker[Helper],0)),"")</f>
        <v/>
      </c>
      <c r="U51" s="26" t="str">
        <f>IF(ROWS($A$10:$A51)&lt;=COUNTIF(ImpedTracker[Helper],"*Y"),INDEX(ImpedTracker[Duration (Days)],MATCH(ROWS($A$10:$A51)&amp;"Y",ImpedTracker[Helper],0)),"")</f>
        <v/>
      </c>
      <c r="W51" s="66" t="str">
        <f>IF(ROWS($A$10:$A51)&lt;=COUNTIF(DecisionLog[Helper],"*Y"),INDEX(DecisionLog[Decision Number],MATCH(ROWS($A$10:$A51)&amp;"Y",DecisionLog[Helper],0)),"")</f>
        <v/>
      </c>
      <c r="X51" s="15" t="str">
        <f>IF(ROWS($A$10:$A51)&lt;=COUNTIF(DecisionLog[Helper],"*Y"),INDEX(DecisionLog[Project Name],MATCH(ROWS($A$10:$A51)&amp;"Y",DecisionLog[Helper],0)),"")</f>
        <v/>
      </c>
      <c r="Y51" s="25" t="str">
        <f>IF(ROWS($A$10:$A51)&lt;=COUNTIF(DecisionLog[Helper],"*Y"),INDEX(DecisionLog[Title],MATCH(ROWS($A$10:$A51)&amp;"Y",DecisionLog[Helper],0)),"")</f>
        <v/>
      </c>
      <c r="Z51" s="3" t="str">
        <f>IF(ROWS($A$10:$A51)&lt;=COUNTIF(DecisionLog[Helper],"*Y"),INDEX(DecisionLog[Status],MATCH(ROWS($A$10:$A51)&amp;"Y",DecisionLog[Helper],0)),"")</f>
        <v/>
      </c>
      <c r="AB51" s="66" t="str">
        <f>IF(ROWS($A$10:$A51)&lt;=COUNTIF(ActionLog[Helper],"*Y"),INDEX(ActionLog[Task Number],MATCH(ROWS($A$10:$A51)&amp;"Y",ActionLog[Helper],0)),"")</f>
        <v/>
      </c>
      <c r="AC51" s="15" t="str">
        <f>IF(ROWS($A$10:$A51)&lt;=COUNTIF(ActionLog[Helper],"*Y"),INDEX(ActionLog[Project Name],MATCH(ROWS($A$10:$A51)&amp;"Y",ActionLog[Helper],0)),"")</f>
        <v/>
      </c>
      <c r="AD51" s="27" t="str">
        <f>IF(ROWS($A$10:$A51)&lt;=COUNTIF(ActionLog[Helper],"*Y"),INDEX(ActionLog[Title],MATCH(ROWS($A$10:$A51)&amp;"Y",ActionLog[Helper],0)),"")</f>
        <v/>
      </c>
      <c r="AE51" s="3" t="str">
        <f>IF(ROWS($A$10:$A51)&lt;=COUNTIF(ActionLog[Helper],"*Y"),INDEX(ActionLog[Task Status],MATCH(ROWS($A$10:$A51)&amp;"Y",ActionLog[Helper],0)),"")</f>
        <v/>
      </c>
    </row>
    <row r="52" spans="2:31" ht="39.950000000000003" customHeight="1" x14ac:dyDescent="0.35">
      <c r="B52" s="24" t="str">
        <f>IF(ROWS($A$10:$A52)&lt;=COUNTIF(RiskTracker[Helper],"*Y"),INDEX(RiskTracker[Risk Number],MATCH(ROWS($A$10:$A52)&amp;"Y",RiskTracker[Helper],0)),"")</f>
        <v/>
      </c>
      <c r="C52" s="15" t="str">
        <f>IF(ROWS($A$10:$A52)&lt;=COUNTIF(RiskTracker[Helper],"*Y"),INDEX(RiskTracker[Project Name],MATCH(ROWS($A$10:$A52)&amp;"Y",RiskTracker[Helper],0)),"")</f>
        <v/>
      </c>
      <c r="D52" s="23" t="str">
        <f>IF(ROWS($A$10:$A52)&lt;=COUNTIF(RiskTracker[Helper],"*Y"),INDEX(RiskTracker[Title],MATCH(ROWS($A$10:$A52)&amp;"Y",RiskTracker[Helper],0)),"")</f>
        <v/>
      </c>
      <c r="E52" s="22" t="str">
        <f>IF(ROWS($A$10:$A52)&lt;=COUNTIF(RiskTracker[Helper],"*Y"),INDEX(RiskTracker[Category],MATCH(ROWS($A$10:$A52)&amp;"Y",RiskTracker[Helper],0)),"")</f>
        <v/>
      </c>
      <c r="F52" s="14" t="str">
        <f>IF(ROWS($A$10:$A52)&lt;=COUNTIF(RiskTracker[Helper],"*Y"),INDEX(RiskTracker[Severity],MATCH(ROWS($A$10:$A52)&amp;"Y",RiskTracker[Helper],0)),"")</f>
        <v/>
      </c>
      <c r="G52" s="24" t="str">
        <f>IF(ROWS($A$10:$A52)&lt;=COUNTIF(RiskTracker[Helper],"*Y"),INDEX(RiskTracker[Duration (Days)],MATCH(ROWS($A$10:$A52)&amp;"Y",RiskTracker[Helper],0)),"")</f>
        <v/>
      </c>
      <c r="I52" s="24" t="str">
        <f>IF(ROWS($A$10:$A52)&lt;=COUNTIF(IssueTracker[Helper],"*Y"),INDEX(IssueTracker[Issue Number],MATCH(ROWS($A$10:$A52)&amp;"Y",IssueTracker[Helper],0)),"")</f>
        <v/>
      </c>
      <c r="J52" s="23" t="str">
        <f>IF(ROWS($A$10:$A52)&lt;=COUNTIF(IssueTracker[Helper],"*Y"),INDEX(IssueTracker[Project Name],MATCH(ROWS($A$10:$A52)&amp;"Y",IssueTracker[Helper],0)),"")</f>
        <v/>
      </c>
      <c r="K52" s="23" t="str">
        <f>IF(ROWS($A$10:$A52)&lt;=COUNTIF(IssueTracker[Helper],"*Y"),INDEX(IssueTracker[Title],MATCH(ROWS($A$10:$A52)&amp;"Y",IssueTracker[Helper],0)),"")</f>
        <v/>
      </c>
      <c r="L52" s="23" t="str">
        <f>IF(ROWS($A$10:$A52)&lt;=COUNTIF(IssueTracker[Helper],"*Y"),INDEX(IssueTracker[Severity],MATCH(ROWS($A$10:$A52)&amp;"Y",IssueTracker[Helper],0)),"")</f>
        <v/>
      </c>
      <c r="M52" s="22" t="str">
        <f>IF(ROWS($A$10:$A52)&lt;=COUNTIF(IssueTracker[Helper],"*Y"),INDEX(IssueTracker[Duration (Days)],MATCH(ROWS($A$10:$A52)&amp;"Y",IssueTracker[Helper],0)),"")</f>
        <v/>
      </c>
      <c r="O52" s="66" t="str">
        <f>IF(ROWS($A$10:$A52)&lt;=COUNTIF(ImpedTracker[Helper],"*Y"),INDEX(ImpedTracker[Impediment Number],MATCH(ROWS($A$10:$A52)&amp;"Y",ImpedTracker[Helper],0)),"")</f>
        <v/>
      </c>
      <c r="P52" s="25" t="str">
        <f>IF(ROWS($A$10:$A52)&lt;=COUNTIF(ImpedTracker[Helper],"*Y"),INDEX(ImpedTracker[Project Name],MATCH(ROWS($A$10:$A52)&amp;"Y",ImpedTracker[Helper],0)),"")</f>
        <v/>
      </c>
      <c r="Q52" s="25" t="str">
        <f>IF(ROWS($A$10:$A52)&lt;=COUNTIF(ImpedTracker[Helper],"*Y"),INDEX(ImpedTracker[Title],MATCH(ROWS($A$10:$A52)&amp;"Y",ImpedTracker[Helper],0)),"")</f>
        <v/>
      </c>
      <c r="R52" s="3" t="str">
        <f>IF(ROWS($A$10:$A52)&lt;=COUNTIF(ImpedTracker[Helper],"*Y"),INDEX(ImpedTracker[Category],MATCH(ROWS($A$10:$A52)&amp;"Y",ImpedTracker[Helper],0)),"")</f>
        <v/>
      </c>
      <c r="S52" s="3" t="str">
        <f>IF(ROWS($A$10:$A52)&lt;=COUNTIF(ImpedTracker[Helper],"*Y"),INDEX(ImpedTracker[Status],MATCH(ROWS($A$10:$A52)&amp;"Y",ImpedTracker[Helper],0)),"")</f>
        <v/>
      </c>
      <c r="T52" s="28" t="str">
        <f>IF(ROWS($A$10:$A52)&lt;=COUNTIF(ImpedTracker[Helper],"*Y"),INDEX(ImpedTracker[Due Date],MATCH(ROWS($A$10:$A52)&amp;"Y",ImpedTracker[Helper],0)),"")</f>
        <v/>
      </c>
      <c r="U52" s="26" t="str">
        <f>IF(ROWS($A$10:$A52)&lt;=COUNTIF(ImpedTracker[Helper],"*Y"),INDEX(ImpedTracker[Duration (Days)],MATCH(ROWS($A$10:$A52)&amp;"Y",ImpedTracker[Helper],0)),"")</f>
        <v/>
      </c>
      <c r="W52" s="66" t="str">
        <f>IF(ROWS($A$10:$A52)&lt;=COUNTIF(DecisionLog[Helper],"*Y"),INDEX(DecisionLog[Decision Number],MATCH(ROWS($A$10:$A52)&amp;"Y",DecisionLog[Helper],0)),"")</f>
        <v/>
      </c>
      <c r="X52" s="15" t="str">
        <f>IF(ROWS($A$10:$A52)&lt;=COUNTIF(DecisionLog[Helper],"*Y"),INDEX(DecisionLog[Project Name],MATCH(ROWS($A$10:$A52)&amp;"Y",DecisionLog[Helper],0)),"")</f>
        <v/>
      </c>
      <c r="Y52" s="25" t="str">
        <f>IF(ROWS($A$10:$A52)&lt;=COUNTIF(DecisionLog[Helper],"*Y"),INDEX(DecisionLog[Title],MATCH(ROWS($A$10:$A52)&amp;"Y",DecisionLog[Helper],0)),"")</f>
        <v/>
      </c>
      <c r="Z52" s="3" t="str">
        <f>IF(ROWS($A$10:$A52)&lt;=COUNTIF(DecisionLog[Helper],"*Y"),INDEX(DecisionLog[Status],MATCH(ROWS($A$10:$A52)&amp;"Y",DecisionLog[Helper],0)),"")</f>
        <v/>
      </c>
      <c r="AB52" s="66" t="str">
        <f>IF(ROWS($A$10:$A52)&lt;=COUNTIF(ActionLog[Helper],"*Y"),INDEX(ActionLog[Task Number],MATCH(ROWS($A$10:$A52)&amp;"Y",ActionLog[Helper],0)),"")</f>
        <v/>
      </c>
      <c r="AC52" s="15" t="str">
        <f>IF(ROWS($A$10:$A52)&lt;=COUNTIF(ActionLog[Helper],"*Y"),INDEX(ActionLog[Project Name],MATCH(ROWS($A$10:$A52)&amp;"Y",ActionLog[Helper],0)),"")</f>
        <v/>
      </c>
      <c r="AD52" s="27" t="str">
        <f>IF(ROWS($A$10:$A52)&lt;=COUNTIF(ActionLog[Helper],"*Y"),INDEX(ActionLog[Title],MATCH(ROWS($A$10:$A52)&amp;"Y",ActionLog[Helper],0)),"")</f>
        <v/>
      </c>
      <c r="AE52" s="3" t="str">
        <f>IF(ROWS($A$10:$A52)&lt;=COUNTIF(ActionLog[Helper],"*Y"),INDEX(ActionLog[Task Status],MATCH(ROWS($A$10:$A52)&amp;"Y",ActionLog[Helper],0)),"")</f>
        <v/>
      </c>
    </row>
    <row r="53" spans="2:31" ht="39.950000000000003" customHeight="1" x14ac:dyDescent="0.35"/>
    <row r="54" spans="2:31" ht="39.950000000000003" customHeight="1" x14ac:dyDescent="0.35"/>
    <row r="55" spans="2:31" ht="39.950000000000003" customHeight="1" x14ac:dyDescent="0.35"/>
    <row r="56" spans="2:31" ht="39.950000000000003" customHeight="1" x14ac:dyDescent="0.35"/>
    <row r="57" spans="2:31" ht="39.950000000000003" customHeight="1" x14ac:dyDescent="0.35"/>
    <row r="58" spans="2:31" ht="39.950000000000003" customHeight="1" x14ac:dyDescent="0.35"/>
    <row r="59" spans="2:31" ht="39.950000000000003" customHeight="1" x14ac:dyDescent="0.35"/>
    <row r="60" spans="2:31" ht="39.950000000000003" customHeight="1" x14ac:dyDescent="0.35"/>
    <row r="61" spans="2:31" ht="39.950000000000003" customHeight="1" x14ac:dyDescent="0.35"/>
    <row r="62" spans="2:31" ht="39.950000000000003" customHeight="1" x14ac:dyDescent="0.35"/>
    <row r="63" spans="2:31" ht="39.950000000000003" customHeight="1" x14ac:dyDescent="0.35"/>
    <row r="64" spans="2:31" ht="39.950000000000003" customHeight="1" x14ac:dyDescent="0.35"/>
    <row r="65" ht="39.950000000000003" customHeight="1" x14ac:dyDescent="0.35"/>
    <row r="66" ht="39.950000000000003" customHeight="1" x14ac:dyDescent="0.35"/>
    <row r="67" ht="39.950000000000003" customHeight="1" x14ac:dyDescent="0.35"/>
    <row r="68" ht="39.950000000000003" customHeight="1" x14ac:dyDescent="0.35"/>
    <row r="69" ht="39.950000000000003" customHeight="1" x14ac:dyDescent="0.35"/>
    <row r="70" ht="39.950000000000003" customHeight="1" x14ac:dyDescent="0.35"/>
    <row r="71" ht="39.950000000000003" customHeight="1" x14ac:dyDescent="0.35"/>
    <row r="72" ht="39.950000000000003" customHeight="1" x14ac:dyDescent="0.35"/>
    <row r="73" ht="39.950000000000003" customHeight="1" x14ac:dyDescent="0.35"/>
    <row r="74" ht="39.950000000000003" customHeight="1" x14ac:dyDescent="0.35"/>
    <row r="75" ht="39.950000000000003" customHeight="1" x14ac:dyDescent="0.35"/>
    <row r="76" ht="39.950000000000003" customHeight="1" x14ac:dyDescent="0.35"/>
    <row r="77" ht="39.950000000000003" customHeight="1" x14ac:dyDescent="0.35"/>
    <row r="78" ht="39.950000000000003" customHeight="1" x14ac:dyDescent="0.35"/>
    <row r="79" ht="39.950000000000003" customHeight="1" x14ac:dyDescent="0.35"/>
    <row r="80" ht="39.950000000000003" customHeight="1" x14ac:dyDescent="0.35"/>
    <row r="81" ht="39.950000000000003" customHeight="1" x14ac:dyDescent="0.35"/>
    <row r="82" ht="39.950000000000003" customHeight="1" x14ac:dyDescent="0.35"/>
    <row r="83" ht="39.950000000000003" customHeight="1" x14ac:dyDescent="0.35"/>
    <row r="84" ht="39.950000000000003" customHeight="1" x14ac:dyDescent="0.35"/>
    <row r="85" ht="39.950000000000003" customHeight="1" x14ac:dyDescent="0.35"/>
    <row r="86" ht="39.950000000000003" customHeight="1" x14ac:dyDescent="0.35"/>
    <row r="87" ht="39.950000000000003" customHeight="1" x14ac:dyDescent="0.35"/>
    <row r="88" ht="39.950000000000003" customHeight="1" x14ac:dyDescent="0.35"/>
    <row r="89" ht="39.950000000000003" customHeight="1" x14ac:dyDescent="0.35"/>
    <row r="90" ht="39.950000000000003" customHeight="1" x14ac:dyDescent="0.35"/>
    <row r="91" ht="39.950000000000003" customHeight="1" x14ac:dyDescent="0.35"/>
    <row r="92" ht="39.950000000000003" customHeight="1" x14ac:dyDescent="0.35"/>
    <row r="93" ht="39.950000000000003" customHeight="1" x14ac:dyDescent="0.35"/>
    <row r="94" ht="39.950000000000003" customHeight="1" x14ac:dyDescent="0.35"/>
    <row r="95" ht="39.950000000000003" customHeight="1" x14ac:dyDescent="0.35"/>
    <row r="96" ht="39.950000000000003" customHeight="1" x14ac:dyDescent="0.35"/>
    <row r="97" ht="39.950000000000003" customHeight="1" x14ac:dyDescent="0.35"/>
    <row r="98" ht="39.950000000000003" customHeight="1" x14ac:dyDescent="0.35"/>
    <row r="99" ht="39.950000000000003" customHeight="1" x14ac:dyDescent="0.35"/>
    <row r="100" ht="39.950000000000003" customHeight="1" x14ac:dyDescent="0.35"/>
  </sheetData>
  <sheetProtection algorithmName="SHA-512" hashValue="bmY8jEnqInd2NPsNLz9kDFUTX1k/2CGW8BmM1XyZ4Ht1oQ1kywb4mAg4ucfEAiZkTIu00KiL4G1jO51DsbYRaQ==" saltValue="4tpR6XM/nAIqJ/VB+RpYxQ==" spinCount="100000" sheet="1" objects="1" scenarios="1"/>
  <mergeCells count="9">
    <mergeCell ref="B8:G8"/>
    <mergeCell ref="I8:M8"/>
    <mergeCell ref="M6:O6"/>
    <mergeCell ref="M3:M4"/>
    <mergeCell ref="N3:N4"/>
    <mergeCell ref="O3:O4"/>
    <mergeCell ref="AB8:AE8"/>
    <mergeCell ref="W8:Z8"/>
    <mergeCell ref="O8:U8"/>
  </mergeCells>
  <conditionalFormatting sqref="B10:G52">
    <cfRule type="notContainsBlanks" dxfId="6" priority="10">
      <formula>LEN(TRIM(B10))&gt;0</formula>
    </cfRule>
  </conditionalFormatting>
  <conditionalFormatting sqref="I10:M52">
    <cfRule type="notContainsBlanks" dxfId="5" priority="9">
      <formula>LEN(TRIM(I10))&gt;0</formula>
    </cfRule>
  </conditionalFormatting>
  <conditionalFormatting sqref="O10:S52 U10:U52">
    <cfRule type="notContainsBlanks" dxfId="4" priority="6">
      <formula>LEN(TRIM(O10))&gt;0</formula>
    </cfRule>
  </conditionalFormatting>
  <conditionalFormatting sqref="W10:Z52">
    <cfRule type="notContainsBlanks" dxfId="3" priority="4">
      <formula>LEN(TRIM(W10))&gt;0</formula>
    </cfRule>
  </conditionalFormatting>
  <conditionalFormatting sqref="AB10:AE52">
    <cfRule type="notContainsBlanks" dxfId="2" priority="3">
      <formula>LEN(TRIM(AB10))&gt;0</formula>
    </cfRule>
  </conditionalFormatting>
  <conditionalFormatting sqref="T10:T52">
    <cfRule type="notContainsBlanks" dxfId="1" priority="2">
      <formula>LEN(TRIM(T10))&gt;0</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Spinner 1">
              <controlPr defaultSize="0" autoPict="0">
                <anchor moveWithCells="1">
                  <from>
                    <xdr:col>12</xdr:col>
                    <xdr:colOff>495300</xdr:colOff>
                    <xdr:row>2</xdr:row>
                    <xdr:rowOff>0</xdr:rowOff>
                  </from>
                  <to>
                    <xdr:col>12</xdr:col>
                    <xdr:colOff>752475</xdr:colOff>
                    <xdr:row>3</xdr:row>
                    <xdr:rowOff>180975</xdr:rowOff>
                  </to>
                </anchor>
              </controlPr>
            </control>
          </mc:Choice>
        </mc:AlternateContent>
        <mc:AlternateContent xmlns:mc="http://schemas.openxmlformats.org/markup-compatibility/2006">
          <mc:Choice Requires="x14">
            <control shapeId="8194" r:id="rId4" name="Spinner 2">
              <controlPr defaultSize="0" autoPict="0">
                <anchor moveWithCells="1">
                  <from>
                    <xdr:col>13</xdr:col>
                    <xdr:colOff>266700</xdr:colOff>
                    <xdr:row>2</xdr:row>
                    <xdr:rowOff>0</xdr:rowOff>
                  </from>
                  <to>
                    <xdr:col>13</xdr:col>
                    <xdr:colOff>485775</xdr:colOff>
                    <xdr:row>3</xdr:row>
                    <xdr:rowOff>180975</xdr:rowOff>
                  </to>
                </anchor>
              </controlPr>
            </control>
          </mc:Choice>
        </mc:AlternateContent>
        <mc:AlternateContent xmlns:mc="http://schemas.openxmlformats.org/markup-compatibility/2006">
          <mc:Choice Requires="x14">
            <control shapeId="8195" r:id="rId5" name="Spinner 3">
              <controlPr defaultSize="0" autoPict="0">
                <anchor moveWithCells="1">
                  <from>
                    <xdr:col>14</xdr:col>
                    <xdr:colOff>790575</xdr:colOff>
                    <xdr:row>2</xdr:row>
                    <xdr:rowOff>9525</xdr:rowOff>
                  </from>
                  <to>
                    <xdr:col>14</xdr:col>
                    <xdr:colOff>1000125</xdr:colOff>
                    <xdr:row>4</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7030A0"/>
  </sheetPr>
  <dimension ref="A2:T50"/>
  <sheetViews>
    <sheetView showGridLines="0" zoomScale="80" zoomScaleNormal="80" workbookViewId="0">
      <pane ySplit="8" topLeftCell="A9" activePane="bottomLeft" state="frozen"/>
      <selection pane="bottomLeft" activeCell="C3" sqref="C3"/>
    </sheetView>
  </sheetViews>
  <sheetFormatPr defaultColWidth="8.85546875" defaultRowHeight="23.25" x14ac:dyDescent="0.35"/>
  <cols>
    <col min="1" max="1" width="12.140625" style="79" customWidth="1"/>
    <col min="2" max="2" width="12.7109375" style="76" customWidth="1"/>
    <col min="3" max="3" width="14" style="80" bestFit="1" customWidth="1"/>
    <col min="4" max="4" width="16.28515625" style="80" customWidth="1"/>
    <col min="5" max="5" width="14" style="80" customWidth="1"/>
    <col min="6" max="6" width="10.7109375" style="80" customWidth="1"/>
    <col min="7" max="7" width="19.140625" style="80" bestFit="1" customWidth="1"/>
    <col min="8" max="8" width="10.28515625" style="80" customWidth="1"/>
    <col min="9" max="9" width="15" style="80" bestFit="1" customWidth="1"/>
    <col min="10" max="11" width="17" style="80" bestFit="1" customWidth="1"/>
    <col min="12" max="12" width="13.7109375" style="80" bestFit="1" customWidth="1"/>
    <col min="13" max="13" width="10.28515625" style="80" bestFit="1" customWidth="1"/>
    <col min="14" max="14" width="9.28515625" style="80" bestFit="1" customWidth="1"/>
    <col min="15" max="15" width="12.5703125" style="80" bestFit="1" customWidth="1"/>
    <col min="16" max="16" width="11.28515625" style="80" bestFit="1" customWidth="1"/>
    <col min="17" max="17" width="7.85546875" style="80" bestFit="1" customWidth="1"/>
    <col min="18" max="18" width="24.5703125" style="80" bestFit="1" customWidth="1"/>
    <col min="19" max="19" width="10.28515625" style="79" bestFit="1" customWidth="1"/>
    <col min="20" max="20" width="21.85546875" style="79" bestFit="1" customWidth="1"/>
    <col min="21" max="16384" width="8.85546875" style="79"/>
  </cols>
  <sheetData>
    <row r="2" spans="1:20" ht="24" thickBot="1" x14ac:dyDescent="0.4">
      <c r="G2" s="81" t="s">
        <v>97</v>
      </c>
      <c r="H2" s="81" t="s">
        <v>98</v>
      </c>
      <c r="I2" s="81" t="s">
        <v>99</v>
      </c>
    </row>
    <row r="3" spans="1:20" ht="18" customHeight="1" x14ac:dyDescent="0.35">
      <c r="G3" s="156">
        <v>29</v>
      </c>
      <c r="H3" s="158">
        <v>1</v>
      </c>
      <c r="I3" s="160">
        <v>2021</v>
      </c>
    </row>
    <row r="4" spans="1:20" ht="14.1" customHeight="1" thickBot="1" x14ac:dyDescent="0.4">
      <c r="G4" s="157"/>
      <c r="H4" s="159"/>
      <c r="I4" s="161"/>
    </row>
    <row r="5" spans="1:20" s="82" customFormat="1" ht="12" customHeight="1" x14ac:dyDescent="0.35">
      <c r="B5" s="77"/>
      <c r="C5" s="83"/>
      <c r="D5" s="83"/>
      <c r="E5" s="83"/>
      <c r="F5" s="83"/>
      <c r="G5" s="84"/>
      <c r="H5" s="84"/>
      <c r="I5" s="84"/>
      <c r="J5" s="83"/>
      <c r="K5" s="83"/>
      <c r="L5" s="83"/>
      <c r="M5" s="83"/>
      <c r="N5" s="83"/>
      <c r="O5" s="83"/>
      <c r="P5" s="83"/>
      <c r="Q5" s="83"/>
      <c r="R5" s="83"/>
    </row>
    <row r="6" spans="1:20" ht="24" thickBot="1" x14ac:dyDescent="0.4">
      <c r="G6" s="174">
        <f>DATE($I$3,$H$3,$G$3)</f>
        <v>44225</v>
      </c>
      <c r="H6" s="174"/>
      <c r="I6" s="174"/>
    </row>
    <row r="7" spans="1:20" ht="24" thickTop="1" x14ac:dyDescent="0.35"/>
    <row r="8" spans="1:20" s="82" customFormat="1" ht="5.0999999999999996" customHeight="1" thickBot="1" x14ac:dyDescent="0.35">
      <c r="A8" s="84"/>
      <c r="B8" s="78"/>
      <c r="C8" s="84"/>
      <c r="D8" s="83"/>
      <c r="E8" s="83"/>
      <c r="F8" s="83"/>
      <c r="G8" s="83"/>
      <c r="H8" s="83"/>
      <c r="I8" s="83"/>
      <c r="J8" s="83"/>
      <c r="K8" s="83"/>
      <c r="L8" s="83"/>
      <c r="M8" s="83"/>
      <c r="N8" s="83"/>
      <c r="O8" s="83"/>
      <c r="P8" s="83"/>
      <c r="Q8" s="83"/>
      <c r="R8" s="83"/>
    </row>
    <row r="9" spans="1:20" s="85" customFormat="1" ht="30" customHeight="1" thickBot="1" x14ac:dyDescent="0.35">
      <c r="B9" s="175" t="s">
        <v>96</v>
      </c>
      <c r="C9" s="86" t="s">
        <v>10</v>
      </c>
      <c r="D9" s="87" t="s">
        <v>100</v>
      </c>
      <c r="E9" s="88" t="s">
        <v>16</v>
      </c>
      <c r="F9" s="89" t="s">
        <v>17</v>
      </c>
      <c r="G9" s="89" t="s">
        <v>18</v>
      </c>
      <c r="H9" s="89" t="s">
        <v>19</v>
      </c>
      <c r="I9" s="89" t="s">
        <v>20</v>
      </c>
      <c r="J9" s="89" t="s">
        <v>21</v>
      </c>
      <c r="K9" s="89" t="s">
        <v>22</v>
      </c>
      <c r="L9" s="89" t="s">
        <v>23</v>
      </c>
      <c r="M9" s="89" t="s">
        <v>24</v>
      </c>
      <c r="N9" s="89" t="s">
        <v>25</v>
      </c>
      <c r="O9" s="89" t="s">
        <v>26</v>
      </c>
      <c r="P9" s="89" t="s">
        <v>27</v>
      </c>
      <c r="Q9" s="89" t="s">
        <v>28</v>
      </c>
      <c r="R9" s="89" t="s">
        <v>29</v>
      </c>
      <c r="S9" s="89" t="s">
        <v>30</v>
      </c>
      <c r="T9" s="90" t="s">
        <v>31</v>
      </c>
    </row>
    <row r="10" spans="1:20" ht="18.75" x14ac:dyDescent="0.3">
      <c r="B10" s="176"/>
      <c r="C10" s="91" t="s">
        <v>41</v>
      </c>
      <c r="D10" s="92">
        <f>COUNTIFS(RiskTracker[Severity],$C10,RiskTracker[Helper1],"*Y")</f>
        <v>0</v>
      </c>
      <c r="E10" s="93">
        <f>COUNTIFS(RiskTracker[Severity],$C10,RiskTracker[Helper1],"*Y",RiskTracker[Category],E$9)</f>
        <v>0</v>
      </c>
      <c r="F10" s="94">
        <f>COUNTIFS(RiskTracker[Severity],$C10,RiskTracker[Helper1],"*Y",RiskTracker[Category],F$9)</f>
        <v>0</v>
      </c>
      <c r="G10" s="94">
        <f>COUNTIFS(RiskTracker[Severity],$C10,RiskTracker[Helper1],"*Y",RiskTracker[Category],G$9)</f>
        <v>0</v>
      </c>
      <c r="H10" s="94">
        <f>COUNTIFS(RiskTracker[Severity],$C10,RiskTracker[Helper1],"*Y",RiskTracker[Category],H$9)</f>
        <v>0</v>
      </c>
      <c r="I10" s="94">
        <f>COUNTIFS(RiskTracker[Severity],$C10,RiskTracker[Helper1],"*Y",RiskTracker[Category],I$9)</f>
        <v>0</v>
      </c>
      <c r="J10" s="94">
        <f>COUNTIFS(RiskTracker[Severity],$C10,RiskTracker[Helper1],"*Y",RiskTracker[Category],J$9)</f>
        <v>0</v>
      </c>
      <c r="K10" s="94">
        <f>COUNTIFS(RiskTracker[Severity],$C10,RiskTracker[Helper1],"*Y",RiskTracker[Category],K$9)</f>
        <v>0</v>
      </c>
      <c r="L10" s="94">
        <f>COUNTIFS(RiskTracker[Severity],$C10,RiskTracker[Helper1],"*Y",RiskTracker[Category],L$9)</f>
        <v>0</v>
      </c>
      <c r="M10" s="94">
        <f>COUNTIFS(RiskTracker[Severity],$C10,RiskTracker[Helper1],"*Y",RiskTracker[Category],M$9)</f>
        <v>0</v>
      </c>
      <c r="N10" s="94">
        <f>COUNTIFS(RiskTracker[Severity],$C10,RiskTracker[Helper1],"*Y",RiskTracker[Category],N$9)</f>
        <v>0</v>
      </c>
      <c r="O10" s="94">
        <f>COUNTIFS(RiskTracker[Severity],$C10,RiskTracker[Helper1],"*Y",RiskTracker[Category],O$9)</f>
        <v>0</v>
      </c>
      <c r="P10" s="94">
        <f>COUNTIFS(RiskTracker[Severity],$C10,RiskTracker[Helper1],"*Y",RiskTracker[Category],P$9)</f>
        <v>0</v>
      </c>
      <c r="Q10" s="94">
        <f>COUNTIFS(RiskTracker[Severity],$C10,RiskTracker[Helper1],"*Y",RiskTracker[Category],Q$9)</f>
        <v>0</v>
      </c>
      <c r="R10" s="94">
        <f>COUNTIFS(RiskTracker[Severity],$C10,RiskTracker[Helper1],"*Y",RiskTracker[Category],R$9)</f>
        <v>0</v>
      </c>
      <c r="S10" s="94">
        <f>COUNTIFS(RiskTracker[Severity],$C10,RiskTracker[Helper1],"*Y",RiskTracker[Category],S$9)</f>
        <v>0</v>
      </c>
      <c r="T10" s="95">
        <f>COUNTIFS(RiskTracker[Severity],$C10,RiskTracker[Helper1],"*Y",RiskTracker[Category],T$9)</f>
        <v>0</v>
      </c>
    </row>
    <row r="11" spans="1:20" ht="18.75" x14ac:dyDescent="0.3">
      <c r="B11" s="176"/>
      <c r="C11" s="96" t="s">
        <v>42</v>
      </c>
      <c r="D11" s="97">
        <f>COUNTIFS(RiskTracker[Severity],$C11,RiskTracker[Helper1],"*Y")</f>
        <v>0</v>
      </c>
      <c r="E11" s="98">
        <f>COUNTIFS(RiskTracker[Severity],$C11,RiskTracker[Helper1],"*Y",RiskTracker[Category],E$9)</f>
        <v>0</v>
      </c>
      <c r="F11" s="99">
        <f>COUNTIFS(RiskTracker[Severity],$C11,RiskTracker[Helper1],"*Y",RiskTracker[Category],F$9)</f>
        <v>0</v>
      </c>
      <c r="G11" s="99">
        <f>COUNTIFS(RiskTracker[Severity],$C11,RiskTracker[Helper1],"*Y",RiskTracker[Category],G$9)</f>
        <v>0</v>
      </c>
      <c r="H11" s="99">
        <f>COUNTIFS(RiskTracker[Severity],$C11,RiskTracker[Helper1],"*Y",RiskTracker[Category],H$9)</f>
        <v>0</v>
      </c>
      <c r="I11" s="99">
        <f>COUNTIFS(RiskTracker[Severity],$C11,RiskTracker[Helper1],"*Y",RiskTracker[Category],I$9)</f>
        <v>0</v>
      </c>
      <c r="J11" s="99">
        <f>COUNTIFS(RiskTracker[Severity],$C11,RiskTracker[Helper1],"*Y",RiskTracker[Category],J$9)</f>
        <v>0</v>
      </c>
      <c r="K11" s="99">
        <f>COUNTIFS(RiskTracker[Severity],$C11,RiskTracker[Helper1],"*Y",RiskTracker[Category],K$9)</f>
        <v>0</v>
      </c>
      <c r="L11" s="99">
        <f>COUNTIFS(RiskTracker[Severity],$C11,RiskTracker[Helper1],"*Y",RiskTracker[Category],L$9)</f>
        <v>0</v>
      </c>
      <c r="M11" s="99">
        <f>COUNTIFS(RiskTracker[Severity],$C11,RiskTracker[Helper1],"*Y",RiskTracker[Category],M$9)</f>
        <v>0</v>
      </c>
      <c r="N11" s="99">
        <f>COUNTIFS(RiskTracker[Severity],$C11,RiskTracker[Helper1],"*Y",RiskTracker[Category],N$9)</f>
        <v>0</v>
      </c>
      <c r="O11" s="99">
        <f>COUNTIFS(RiskTracker[Severity],$C11,RiskTracker[Helper1],"*Y",RiskTracker[Category],O$9)</f>
        <v>0</v>
      </c>
      <c r="P11" s="99">
        <f>COUNTIFS(RiskTracker[Severity],$C11,RiskTracker[Helper1],"*Y",RiskTracker[Category],P$9)</f>
        <v>0</v>
      </c>
      <c r="Q11" s="99">
        <f>COUNTIFS(RiskTracker[Severity],$C11,RiskTracker[Helper1],"*Y",RiskTracker[Category],Q$9)</f>
        <v>0</v>
      </c>
      <c r="R11" s="99">
        <f>COUNTIFS(RiskTracker[Severity],$C11,RiskTracker[Helper1],"*Y",RiskTracker[Category],R$9)</f>
        <v>0</v>
      </c>
      <c r="S11" s="99">
        <f>COUNTIFS(RiskTracker[Severity],$C11,RiskTracker[Helper1],"*Y",RiskTracker[Category],S$9)</f>
        <v>0</v>
      </c>
      <c r="T11" s="100">
        <f>COUNTIFS(RiskTracker[Severity],$C11,RiskTracker[Helper1],"*Y",RiskTracker[Category],T$9)</f>
        <v>0</v>
      </c>
    </row>
    <row r="12" spans="1:20" ht="18.75" x14ac:dyDescent="0.3">
      <c r="B12" s="176"/>
      <c r="C12" s="96" t="s">
        <v>43</v>
      </c>
      <c r="D12" s="97">
        <f>COUNTIFS(RiskTracker[Severity],$C12,RiskTracker[Helper1],"*Y")</f>
        <v>2</v>
      </c>
      <c r="E12" s="98">
        <f>COUNTIFS(RiskTracker[Severity],$C12,RiskTracker[Helper1],"*Y",RiskTracker[Category],E$9)</f>
        <v>1</v>
      </c>
      <c r="F12" s="99">
        <f>COUNTIFS(RiskTracker[Severity],$C12,RiskTracker[Helper1],"*Y",RiskTracker[Category],F$9)</f>
        <v>0</v>
      </c>
      <c r="G12" s="99">
        <f>COUNTIFS(RiskTracker[Severity],$C12,RiskTracker[Helper1],"*Y",RiskTracker[Category],G$9)</f>
        <v>0</v>
      </c>
      <c r="H12" s="99">
        <f>COUNTIFS(RiskTracker[Severity],$C12,RiskTracker[Helper1],"*Y",RiskTracker[Category],H$9)</f>
        <v>0</v>
      </c>
      <c r="I12" s="99">
        <f>COUNTIFS(RiskTracker[Severity],$C12,RiskTracker[Helper1],"*Y",RiskTracker[Category],I$9)</f>
        <v>0</v>
      </c>
      <c r="J12" s="99">
        <f>COUNTIFS(RiskTracker[Severity],$C12,RiskTracker[Helper1],"*Y",RiskTracker[Category],J$9)</f>
        <v>0</v>
      </c>
      <c r="K12" s="99">
        <f>COUNTIFS(RiskTracker[Severity],$C12,RiskTracker[Helper1],"*Y",RiskTracker[Category],K$9)</f>
        <v>0</v>
      </c>
      <c r="L12" s="99">
        <f>COUNTIFS(RiskTracker[Severity],$C12,RiskTracker[Helper1],"*Y",RiskTracker[Category],L$9)</f>
        <v>1</v>
      </c>
      <c r="M12" s="99">
        <f>COUNTIFS(RiskTracker[Severity],$C12,RiskTracker[Helper1],"*Y",RiskTracker[Category],M$9)</f>
        <v>0</v>
      </c>
      <c r="N12" s="99">
        <f>COUNTIFS(RiskTracker[Severity],$C12,RiskTracker[Helper1],"*Y",RiskTracker[Category],N$9)</f>
        <v>0</v>
      </c>
      <c r="O12" s="99">
        <f>COUNTIFS(RiskTracker[Severity],$C12,RiskTracker[Helper1],"*Y",RiskTracker[Category],O$9)</f>
        <v>0</v>
      </c>
      <c r="P12" s="99">
        <f>COUNTIFS(RiskTracker[Severity],$C12,RiskTracker[Helper1],"*Y",RiskTracker[Category],P$9)</f>
        <v>0</v>
      </c>
      <c r="Q12" s="99">
        <f>COUNTIFS(RiskTracker[Severity],$C12,RiskTracker[Helper1],"*Y",RiskTracker[Category],Q$9)</f>
        <v>0</v>
      </c>
      <c r="R12" s="99">
        <f>COUNTIFS(RiskTracker[Severity],$C12,RiskTracker[Helper1],"*Y",RiskTracker[Category],R$9)</f>
        <v>0</v>
      </c>
      <c r="S12" s="99">
        <f>COUNTIFS(RiskTracker[Severity],$C12,RiskTracker[Helper1],"*Y",RiskTracker[Category],S$9)</f>
        <v>0</v>
      </c>
      <c r="T12" s="100">
        <f>COUNTIFS(RiskTracker[Severity],$C12,RiskTracker[Helper1],"*Y",RiskTracker[Category],T$9)</f>
        <v>0</v>
      </c>
    </row>
    <row r="13" spans="1:20" ht="18.75" x14ac:dyDescent="0.3">
      <c r="B13" s="176"/>
      <c r="C13" s="96" t="s">
        <v>44</v>
      </c>
      <c r="D13" s="97">
        <f>COUNTIFS(RiskTracker[Severity],$C13,RiskTracker[Helper1],"*Y")</f>
        <v>3</v>
      </c>
      <c r="E13" s="98">
        <f>COUNTIFS(RiskTracker[Severity],$C13,RiskTracker[Helper1],"*Y",RiskTracker[Category],E$9)</f>
        <v>1</v>
      </c>
      <c r="F13" s="99">
        <f>COUNTIFS(RiskTracker[Severity],$C13,RiskTracker[Helper1],"*Y",RiskTracker[Category],F$9)</f>
        <v>0</v>
      </c>
      <c r="G13" s="99">
        <f>COUNTIFS(RiskTracker[Severity],$C13,RiskTracker[Helper1],"*Y",RiskTracker[Category],G$9)</f>
        <v>0</v>
      </c>
      <c r="H13" s="99">
        <f>COUNTIFS(RiskTracker[Severity],$C13,RiskTracker[Helper1],"*Y",RiskTracker[Category],H$9)</f>
        <v>0</v>
      </c>
      <c r="I13" s="99">
        <f>COUNTIFS(RiskTracker[Severity],$C13,RiskTracker[Helper1],"*Y",RiskTracker[Category],I$9)</f>
        <v>0</v>
      </c>
      <c r="J13" s="99">
        <f>COUNTIFS(RiskTracker[Severity],$C13,RiskTracker[Helper1],"*Y",RiskTracker[Category],J$9)</f>
        <v>0</v>
      </c>
      <c r="K13" s="99">
        <f>COUNTIFS(RiskTracker[Severity],$C13,RiskTracker[Helper1],"*Y",RiskTracker[Category],K$9)</f>
        <v>0</v>
      </c>
      <c r="L13" s="99">
        <f>COUNTIFS(RiskTracker[Severity],$C13,RiskTracker[Helper1],"*Y",RiskTracker[Category],L$9)</f>
        <v>0</v>
      </c>
      <c r="M13" s="99">
        <f>COUNTIFS(RiskTracker[Severity],$C13,RiskTracker[Helper1],"*Y",RiskTracker[Category],M$9)</f>
        <v>0</v>
      </c>
      <c r="N13" s="99">
        <f>COUNTIFS(RiskTracker[Severity],$C13,RiskTracker[Helper1],"*Y",RiskTracker[Category],N$9)</f>
        <v>0</v>
      </c>
      <c r="O13" s="99">
        <f>COUNTIFS(RiskTracker[Severity],$C13,RiskTracker[Helper1],"*Y",RiskTracker[Category],O$9)</f>
        <v>0</v>
      </c>
      <c r="P13" s="99">
        <f>COUNTIFS(RiskTracker[Severity],$C13,RiskTracker[Helper1],"*Y",RiskTracker[Category],P$9)</f>
        <v>0</v>
      </c>
      <c r="Q13" s="99">
        <f>COUNTIFS(RiskTracker[Severity],$C13,RiskTracker[Helper1],"*Y",RiskTracker[Category],Q$9)</f>
        <v>2</v>
      </c>
      <c r="R13" s="99">
        <f>COUNTIFS(RiskTracker[Severity],$C13,RiskTracker[Helper1],"*Y",RiskTracker[Category],R$9)</f>
        <v>0</v>
      </c>
      <c r="S13" s="99">
        <f>COUNTIFS(RiskTracker[Severity],$C13,RiskTracker[Helper1],"*Y",RiskTracker[Category],S$9)</f>
        <v>0</v>
      </c>
      <c r="T13" s="100">
        <f>COUNTIFS(RiskTracker[Severity],$C13,RiskTracker[Helper1],"*Y",RiskTracker[Category],T$9)</f>
        <v>0</v>
      </c>
    </row>
    <row r="14" spans="1:20" ht="19.5" thickBot="1" x14ac:dyDescent="0.35">
      <c r="B14" s="176"/>
      <c r="C14" s="101" t="s">
        <v>45</v>
      </c>
      <c r="D14" s="102">
        <f>COUNTIFS(RiskTracker[Severity],$C14,RiskTracker[Helper1],"*Y")</f>
        <v>1</v>
      </c>
      <c r="E14" s="103">
        <f>COUNTIFS(RiskTracker[Severity],$C14,RiskTracker[Helper1],"*Y",RiskTracker[Category],E$9)</f>
        <v>0</v>
      </c>
      <c r="F14" s="104">
        <f>COUNTIFS(RiskTracker[Severity],$C14,RiskTracker[Helper1],"*Y",RiskTracker[Category],F$9)</f>
        <v>0</v>
      </c>
      <c r="G14" s="104">
        <f>COUNTIFS(RiskTracker[Severity],$C14,RiskTracker[Helper1],"*Y",RiskTracker[Category],G$9)</f>
        <v>0</v>
      </c>
      <c r="H14" s="104">
        <f>COUNTIFS(RiskTracker[Severity],$C14,RiskTracker[Helper1],"*Y",RiskTracker[Category],H$9)</f>
        <v>0</v>
      </c>
      <c r="I14" s="104">
        <f>COUNTIFS(RiskTracker[Severity],$C14,RiskTracker[Helper1],"*Y",RiskTracker[Category],I$9)</f>
        <v>0</v>
      </c>
      <c r="J14" s="104">
        <f>COUNTIFS(RiskTracker[Severity],$C14,RiskTracker[Helper1],"*Y",RiskTracker[Category],J$9)</f>
        <v>0</v>
      </c>
      <c r="K14" s="104">
        <f>COUNTIFS(RiskTracker[Severity],$C14,RiskTracker[Helper1],"*Y",RiskTracker[Category],K$9)</f>
        <v>0</v>
      </c>
      <c r="L14" s="104">
        <f>COUNTIFS(RiskTracker[Severity],$C14,RiskTracker[Helper1],"*Y",RiskTracker[Category],L$9)</f>
        <v>0</v>
      </c>
      <c r="M14" s="104">
        <f>COUNTIFS(RiskTracker[Severity],$C14,RiskTracker[Helper1],"*Y",RiskTracker[Category],M$9)</f>
        <v>0</v>
      </c>
      <c r="N14" s="104">
        <f>COUNTIFS(RiskTracker[Severity],$C14,RiskTracker[Helper1],"*Y",RiskTracker[Category],N$9)</f>
        <v>1</v>
      </c>
      <c r="O14" s="104">
        <f>COUNTIFS(RiskTracker[Severity],$C14,RiskTracker[Helper1],"*Y",RiskTracker[Category],O$9)</f>
        <v>0</v>
      </c>
      <c r="P14" s="104">
        <f>COUNTIFS(RiskTracker[Severity],$C14,RiskTracker[Helper1],"*Y",RiskTracker[Category],P$9)</f>
        <v>0</v>
      </c>
      <c r="Q14" s="104">
        <f>COUNTIFS(RiskTracker[Severity],$C14,RiskTracker[Helper1],"*Y",RiskTracker[Category],Q$9)</f>
        <v>0</v>
      </c>
      <c r="R14" s="104">
        <f>COUNTIFS(RiskTracker[Severity],$C14,RiskTracker[Helper1],"*Y",RiskTracker[Category],R$9)</f>
        <v>0</v>
      </c>
      <c r="S14" s="104">
        <f>COUNTIFS(RiskTracker[Severity],$C14,RiskTracker[Helper1],"*Y",RiskTracker[Category],S$9)</f>
        <v>0</v>
      </c>
      <c r="T14" s="105">
        <f>COUNTIFS(RiskTracker[Severity],$C14,RiskTracker[Helper1],"*Y",RiskTracker[Category],T$9)</f>
        <v>0</v>
      </c>
    </row>
    <row r="15" spans="1:20" ht="20.25" thickTop="1" thickBot="1" x14ac:dyDescent="0.35">
      <c r="B15" s="177"/>
      <c r="C15" s="106" t="s">
        <v>101</v>
      </c>
      <c r="D15" s="107">
        <f>SUM(D10:D14)</f>
        <v>6</v>
      </c>
      <c r="E15" s="108">
        <f t="shared" ref="E15:T15" si="0">SUM(E10:E14)</f>
        <v>2</v>
      </c>
      <c r="F15" s="109">
        <f t="shared" si="0"/>
        <v>0</v>
      </c>
      <c r="G15" s="109">
        <f t="shared" si="0"/>
        <v>0</v>
      </c>
      <c r="H15" s="109">
        <f t="shared" si="0"/>
        <v>0</v>
      </c>
      <c r="I15" s="109">
        <f t="shared" si="0"/>
        <v>0</v>
      </c>
      <c r="J15" s="109">
        <f t="shared" si="0"/>
        <v>0</v>
      </c>
      <c r="K15" s="109">
        <f t="shared" si="0"/>
        <v>0</v>
      </c>
      <c r="L15" s="109">
        <f t="shared" si="0"/>
        <v>1</v>
      </c>
      <c r="M15" s="109">
        <f t="shared" si="0"/>
        <v>0</v>
      </c>
      <c r="N15" s="109">
        <f t="shared" si="0"/>
        <v>1</v>
      </c>
      <c r="O15" s="109">
        <f t="shared" si="0"/>
        <v>0</v>
      </c>
      <c r="P15" s="109">
        <f t="shared" si="0"/>
        <v>0</v>
      </c>
      <c r="Q15" s="109">
        <f t="shared" si="0"/>
        <v>2</v>
      </c>
      <c r="R15" s="109">
        <f t="shared" si="0"/>
        <v>0</v>
      </c>
      <c r="S15" s="109">
        <f t="shared" si="0"/>
        <v>0</v>
      </c>
      <c r="T15" s="110">
        <f t="shared" si="0"/>
        <v>0</v>
      </c>
    </row>
    <row r="16" spans="1:20" ht="9.6" customHeight="1" thickBot="1" x14ac:dyDescent="0.4"/>
    <row r="17" spans="2:20" ht="38.25" thickBot="1" x14ac:dyDescent="0.35">
      <c r="B17" s="168" t="s">
        <v>102</v>
      </c>
      <c r="C17" s="86" t="s">
        <v>10</v>
      </c>
      <c r="D17" s="111" t="s">
        <v>103</v>
      </c>
      <c r="E17" s="88" t="s">
        <v>32</v>
      </c>
      <c r="F17" s="89" t="s">
        <v>33</v>
      </c>
      <c r="G17" s="89" t="s">
        <v>65</v>
      </c>
      <c r="H17" s="89" t="s">
        <v>66</v>
      </c>
      <c r="I17" s="90" t="s">
        <v>67</v>
      </c>
    </row>
    <row r="18" spans="2:20" ht="18.75" x14ac:dyDescent="0.3">
      <c r="B18" s="169"/>
      <c r="C18" s="91" t="s">
        <v>41</v>
      </c>
      <c r="D18" s="92">
        <f>COUNTIFS(IssueTracker[Severity],$C18,IssueTracker[Helper1],"*Y")</f>
        <v>0</v>
      </c>
      <c r="E18" s="112">
        <f>COUNTIFS(IssueTracker[Severity],$C18,IssueTracker[Helper1],"*Y",IssueTracker[Status],E$17)</f>
        <v>0</v>
      </c>
      <c r="F18" s="94">
        <f>COUNTIFS(IssueTracker[Severity],$C18,IssueTracker[Helper1],"*Y",IssueTracker[Status],F$17)</f>
        <v>0</v>
      </c>
      <c r="G18" s="94">
        <f>COUNTIFS(IssueTracker[Severity],$C18,IssueTracker[Helper1],"*Y",IssueTracker[Status],G$17)</f>
        <v>0</v>
      </c>
      <c r="H18" s="94">
        <f>COUNTIFS(IssueTracker[Severity],$C18,IssueTracker[Helper1],"*Y",IssueTracker[Status],H$17)</f>
        <v>0</v>
      </c>
      <c r="I18" s="95">
        <f>COUNTIFS(IssueTracker[Severity],$C18,IssueTracker[Helper1],"*Y",IssueTracker[Status],I$17)</f>
        <v>0</v>
      </c>
    </row>
    <row r="19" spans="2:20" ht="18.75" x14ac:dyDescent="0.3">
      <c r="B19" s="169"/>
      <c r="C19" s="96" t="s">
        <v>42</v>
      </c>
      <c r="D19" s="97">
        <f>COUNTIFS(IssueTracker[Severity],$C19,IssueTracker[Helper1],"*Y")</f>
        <v>0</v>
      </c>
      <c r="E19" s="113">
        <f>COUNTIFS(IssueTracker[Severity],$C19,IssueTracker[Helper1],"*Y",IssueTracker[Status],E$17)</f>
        <v>0</v>
      </c>
      <c r="F19" s="99">
        <f>COUNTIFS(IssueTracker[Severity],$C19,IssueTracker[Helper1],"*Y",IssueTracker[Status],F$17)</f>
        <v>0</v>
      </c>
      <c r="G19" s="99">
        <f>COUNTIFS(IssueTracker[Severity],$C19,IssueTracker[Helper1],"*Y",IssueTracker[Status],G$17)</f>
        <v>0</v>
      </c>
      <c r="H19" s="99">
        <f>COUNTIFS(IssueTracker[Severity],$C19,IssueTracker[Helper1],"*Y",IssueTracker[Status],H$17)</f>
        <v>0</v>
      </c>
      <c r="I19" s="100">
        <f>COUNTIFS(IssueTracker[Severity],$C19,IssueTracker[Helper1],"*Y",IssueTracker[Status],I$17)</f>
        <v>0</v>
      </c>
    </row>
    <row r="20" spans="2:20" ht="18.75" x14ac:dyDescent="0.3">
      <c r="B20" s="169"/>
      <c r="C20" s="96" t="s">
        <v>43</v>
      </c>
      <c r="D20" s="97">
        <f>COUNTIFS(IssueTracker[Severity],$C20,IssueTracker[Helper1],"*Y")</f>
        <v>0</v>
      </c>
      <c r="E20" s="113">
        <f>COUNTIFS(IssueTracker[Severity],$C20,IssueTracker[Helper1],"*Y",IssueTracker[Status],E$17)</f>
        <v>0</v>
      </c>
      <c r="F20" s="99">
        <f>COUNTIFS(IssueTracker[Severity],$C20,IssueTracker[Helper1],"*Y",IssueTracker[Status],F$17)</f>
        <v>0</v>
      </c>
      <c r="G20" s="99">
        <f>COUNTIFS(IssueTracker[Severity],$C20,IssueTracker[Helper1],"*Y",IssueTracker[Status],G$17)</f>
        <v>0</v>
      </c>
      <c r="H20" s="99">
        <f>COUNTIFS(IssueTracker[Severity],$C20,IssueTracker[Helper1],"*Y",IssueTracker[Status],H$17)</f>
        <v>0</v>
      </c>
      <c r="I20" s="100">
        <f>COUNTIFS(IssueTracker[Severity],$C20,IssueTracker[Helper1],"*Y",IssueTracker[Status],I$17)</f>
        <v>0</v>
      </c>
    </row>
    <row r="21" spans="2:20" ht="18.75" x14ac:dyDescent="0.3">
      <c r="B21" s="169"/>
      <c r="C21" s="96" t="s">
        <v>44</v>
      </c>
      <c r="D21" s="97">
        <f>COUNTIFS(IssueTracker[Severity],$C21,IssueTracker[Helper1],"*Y")</f>
        <v>0</v>
      </c>
      <c r="E21" s="113">
        <f>COUNTIFS(IssueTracker[Severity],$C21,IssueTracker[Helper1],"*Y",IssueTracker[Status],E$17)</f>
        <v>0</v>
      </c>
      <c r="F21" s="99">
        <f>COUNTIFS(IssueTracker[Severity],$C21,IssueTracker[Helper1],"*Y",IssueTracker[Status],F$17)</f>
        <v>0</v>
      </c>
      <c r="G21" s="99">
        <f>COUNTIFS(IssueTracker[Severity],$C21,IssueTracker[Helper1],"*Y",IssueTracker[Status],G$17)</f>
        <v>0</v>
      </c>
      <c r="H21" s="99">
        <f>COUNTIFS(IssueTracker[Severity],$C21,IssueTracker[Helper1],"*Y",IssueTracker[Status],H$17)</f>
        <v>0</v>
      </c>
      <c r="I21" s="100">
        <f>COUNTIFS(IssueTracker[Severity],$C21,IssueTracker[Helper1],"*Y",IssueTracker[Status],I$17)</f>
        <v>0</v>
      </c>
    </row>
    <row r="22" spans="2:20" ht="19.5" thickBot="1" x14ac:dyDescent="0.35">
      <c r="B22" s="169"/>
      <c r="C22" s="101" t="s">
        <v>45</v>
      </c>
      <c r="D22" s="102">
        <f>COUNTIFS(IssueTracker[Severity],$C22,IssueTracker[Helper1],"*Y")</f>
        <v>0</v>
      </c>
      <c r="E22" s="114">
        <f>COUNTIFS(IssueTracker[Severity],$C22,IssueTracker[Helper1],"*Y",IssueTracker[Status],E$17)</f>
        <v>0</v>
      </c>
      <c r="F22" s="104">
        <f>COUNTIFS(IssueTracker[Severity],$C22,IssueTracker[Helper1],"*Y",IssueTracker[Status],F$17)</f>
        <v>0</v>
      </c>
      <c r="G22" s="104">
        <f>COUNTIFS(IssueTracker[Severity],$C22,IssueTracker[Helper1],"*Y",IssueTracker[Status],G$17)</f>
        <v>0</v>
      </c>
      <c r="H22" s="104">
        <f>COUNTIFS(IssueTracker[Severity],$C22,IssueTracker[Helper1],"*Y",IssueTracker[Status],H$17)</f>
        <v>0</v>
      </c>
      <c r="I22" s="105">
        <f>COUNTIFS(IssueTracker[Severity],$C22,IssueTracker[Helper1],"*Y",IssueTracker[Status],I$17)</f>
        <v>0</v>
      </c>
    </row>
    <row r="23" spans="2:20" ht="20.25" thickTop="1" thickBot="1" x14ac:dyDescent="0.35">
      <c r="B23" s="170"/>
      <c r="C23" s="106" t="s">
        <v>101</v>
      </c>
      <c r="D23" s="107">
        <f>SUM(D18:D22)</f>
        <v>0</v>
      </c>
      <c r="E23" s="115">
        <f t="shared" ref="E23:I23" si="1">SUM(E18:E22)</f>
        <v>0</v>
      </c>
      <c r="F23" s="109">
        <f t="shared" si="1"/>
        <v>0</v>
      </c>
      <c r="G23" s="109">
        <f t="shared" si="1"/>
        <v>0</v>
      </c>
      <c r="H23" s="109">
        <f t="shared" si="1"/>
        <v>0</v>
      </c>
      <c r="I23" s="110">
        <f t="shared" si="1"/>
        <v>0</v>
      </c>
    </row>
    <row r="24" spans="2:20" ht="24" thickBot="1" x14ac:dyDescent="0.4"/>
    <row r="25" spans="2:20" ht="28.5" customHeight="1" thickBot="1" x14ac:dyDescent="0.35">
      <c r="B25" s="171" t="s">
        <v>104</v>
      </c>
      <c r="C25" s="116" t="s">
        <v>10</v>
      </c>
      <c r="D25" s="117" t="s">
        <v>100</v>
      </c>
      <c r="E25" s="88" t="s">
        <v>16</v>
      </c>
      <c r="F25" s="89" t="s">
        <v>17</v>
      </c>
      <c r="G25" s="89" t="s">
        <v>18</v>
      </c>
      <c r="H25" s="89" t="s">
        <v>19</v>
      </c>
      <c r="I25" s="89" t="s">
        <v>20</v>
      </c>
      <c r="J25" s="89" t="s">
        <v>122</v>
      </c>
      <c r="K25" s="89" t="s">
        <v>22</v>
      </c>
      <c r="L25" s="89" t="s">
        <v>23</v>
      </c>
      <c r="M25" s="89" t="s">
        <v>123</v>
      </c>
      <c r="N25" s="89" t="s">
        <v>25</v>
      </c>
      <c r="O25" s="89" t="s">
        <v>26</v>
      </c>
      <c r="P25" s="89" t="s">
        <v>27</v>
      </c>
      <c r="Q25" s="89" t="s">
        <v>28</v>
      </c>
      <c r="R25" s="89" t="s">
        <v>124</v>
      </c>
      <c r="S25" s="89" t="s">
        <v>30</v>
      </c>
      <c r="T25" s="90" t="s">
        <v>125</v>
      </c>
    </row>
    <row r="26" spans="2:20" ht="18.75" x14ac:dyDescent="0.3">
      <c r="B26" s="172"/>
      <c r="C26" s="91" t="s">
        <v>41</v>
      </c>
      <c r="D26" s="92">
        <f>COUNTIFS(ImpedTracker[Severity],$C26,ImpedTracker[Helper1],"*Y")</f>
        <v>0</v>
      </c>
      <c r="E26" s="93">
        <f>COUNTIFS(ImpedTracker[Severity],$C26,ImpedTracker[Helper1],"*Y",ImpedTracker[Category],E$25)</f>
        <v>0</v>
      </c>
      <c r="F26" s="94">
        <f>COUNTIFS(ImpedTracker[Severity],$C26,ImpedTracker[Helper1],"*Y",ImpedTracker[Category],F$25)</f>
        <v>0</v>
      </c>
      <c r="G26" s="94">
        <f>COUNTIFS(ImpedTracker[Severity],$C26,ImpedTracker[Helper1],"*Y",ImpedTracker[Category],G$25)</f>
        <v>0</v>
      </c>
      <c r="H26" s="94">
        <f>COUNTIFS(ImpedTracker[Severity],$C26,ImpedTracker[Helper1],"*Y",ImpedTracker[Category],H$25)</f>
        <v>0</v>
      </c>
      <c r="I26" s="94">
        <f>COUNTIFS(ImpedTracker[Severity],$C26,ImpedTracker[Helper1],"*Y",ImpedTracker[Category],I$25)</f>
        <v>0</v>
      </c>
      <c r="J26" s="94">
        <f>COUNTIFS(ImpedTracker[Severity],$C26,ImpedTracker[Helper1],"*Y",ImpedTracker[Category],J$25)</f>
        <v>0</v>
      </c>
      <c r="K26" s="94">
        <f>COUNTIFS(ImpedTracker[Severity],$C26,ImpedTracker[Helper1],"*Y",ImpedTracker[Category],K$25)</f>
        <v>0</v>
      </c>
      <c r="L26" s="94">
        <f>COUNTIFS(ImpedTracker[Severity],$C26,ImpedTracker[Helper1],"*Y",ImpedTracker[Category],L$25)</f>
        <v>0</v>
      </c>
      <c r="M26" s="94">
        <f>COUNTIFS(ImpedTracker[Severity],$C26,ImpedTracker[Helper1],"*Y",ImpedTracker[Category],M$25)</f>
        <v>0</v>
      </c>
      <c r="N26" s="94">
        <f>COUNTIFS(ImpedTracker[Severity],$C26,ImpedTracker[Helper1],"*Y",ImpedTracker[Category],N$25)</f>
        <v>0</v>
      </c>
      <c r="O26" s="94">
        <f>COUNTIFS(ImpedTracker[Severity],$C26,ImpedTracker[Helper1],"*Y",ImpedTracker[Category],O$25)</f>
        <v>0</v>
      </c>
      <c r="P26" s="94">
        <f>COUNTIFS(ImpedTracker[Severity],$C26,ImpedTracker[Helper1],"*Y",ImpedTracker[Category],P$25)</f>
        <v>0</v>
      </c>
      <c r="Q26" s="94">
        <f>COUNTIFS(ImpedTracker[Severity],$C26,ImpedTracker[Helper1],"*Y",ImpedTracker[Category],Q$25)</f>
        <v>0</v>
      </c>
      <c r="R26" s="94">
        <f>COUNTIFS(ImpedTracker[Severity],$C26,ImpedTracker[Helper1],"*Y",ImpedTracker[Category],R$25)</f>
        <v>0</v>
      </c>
      <c r="S26" s="94">
        <f>COUNTIFS(ImpedTracker[Severity],$C26,ImpedTracker[Helper1],"*Y",ImpedTracker[Category],S$25)</f>
        <v>0</v>
      </c>
      <c r="T26" s="95">
        <f>COUNTIFS(ImpedTracker[Severity],$C26,ImpedTracker[Helper1],"*Y",ImpedTracker[Category],T$25)</f>
        <v>0</v>
      </c>
    </row>
    <row r="27" spans="2:20" ht="18.75" x14ac:dyDescent="0.3">
      <c r="B27" s="172"/>
      <c r="C27" s="96" t="s">
        <v>42</v>
      </c>
      <c r="D27" s="97">
        <f>COUNTIFS(ImpedTracker[Severity],$C27,ImpedTracker[Helper1],"*Y")</f>
        <v>0</v>
      </c>
      <c r="E27" s="98">
        <f>COUNTIFS(RiskTracker[Severity],$C27,RiskTracker[Closed Date],"",RiskTracker[Category],E$9)</f>
        <v>0</v>
      </c>
      <c r="F27" s="99">
        <f>COUNTIFS(ImpedTracker[Severity],$C27,ImpedTracker[Helper1],"*Y",ImpedTracker[Category],F$25)</f>
        <v>0</v>
      </c>
      <c r="G27" s="99">
        <f>COUNTIFS(ImpedTracker[Severity],$C27,ImpedTracker[Helper1],"*Y",ImpedTracker[Category],G$25)</f>
        <v>0</v>
      </c>
      <c r="H27" s="99">
        <f>COUNTIFS(ImpedTracker[Severity],$C27,ImpedTracker[Helper1],"*Y",ImpedTracker[Category],H$25)</f>
        <v>0</v>
      </c>
      <c r="I27" s="99">
        <f>COUNTIFS(ImpedTracker[Severity],$C27,ImpedTracker[Helper1],"*Y",ImpedTracker[Category],I$25)</f>
        <v>0</v>
      </c>
      <c r="J27" s="99">
        <f>COUNTIFS(ImpedTracker[Severity],$C27,ImpedTracker[Helper1],"*Y",ImpedTracker[Category],J$25)</f>
        <v>0</v>
      </c>
      <c r="K27" s="99">
        <f>COUNTIFS(ImpedTracker[Severity],$C27,ImpedTracker[Helper1],"*Y",ImpedTracker[Category],K$25)</f>
        <v>0</v>
      </c>
      <c r="L27" s="99">
        <f>COUNTIFS(ImpedTracker[Severity],$C27,ImpedTracker[Helper1],"*Y",ImpedTracker[Category],L$25)</f>
        <v>0</v>
      </c>
      <c r="M27" s="99">
        <f>COUNTIFS(ImpedTracker[Severity],$C27,ImpedTracker[Helper1],"*Y",ImpedTracker[Category],M$25)</f>
        <v>0</v>
      </c>
      <c r="N27" s="99">
        <f>COUNTIFS(ImpedTracker[Severity],$C27,ImpedTracker[Helper1],"*Y",ImpedTracker[Category],N$25)</f>
        <v>0</v>
      </c>
      <c r="O27" s="99">
        <f>COUNTIFS(ImpedTracker[Severity],$C27,ImpedTracker[Helper1],"*Y",ImpedTracker[Category],O$25)</f>
        <v>0</v>
      </c>
      <c r="P27" s="99">
        <f>COUNTIFS(ImpedTracker[Severity],$C27,ImpedTracker[Helper1],"*Y",ImpedTracker[Category],P$25)</f>
        <v>0</v>
      </c>
      <c r="Q27" s="99">
        <f>COUNTIFS(ImpedTracker[Severity],$C27,ImpedTracker[Helper1],"*Y",ImpedTracker[Category],Q$25)</f>
        <v>0</v>
      </c>
      <c r="R27" s="99">
        <f>COUNTIFS(ImpedTracker[Severity],$C27,ImpedTracker[Helper1],"*Y",ImpedTracker[Category],R$25)</f>
        <v>0</v>
      </c>
      <c r="S27" s="99">
        <f>COUNTIFS(ImpedTracker[Severity],$C27,ImpedTracker[Helper1],"*Y",ImpedTracker[Category],S$25)</f>
        <v>0</v>
      </c>
      <c r="T27" s="100">
        <f>COUNTIFS(ImpedTracker[Severity],$C27,ImpedTracker[Helper1],"*Y",ImpedTracker[Category],T$25)</f>
        <v>0</v>
      </c>
    </row>
    <row r="28" spans="2:20" ht="18.75" x14ac:dyDescent="0.3">
      <c r="B28" s="172"/>
      <c r="C28" s="96" t="s">
        <v>43</v>
      </c>
      <c r="D28" s="97">
        <f>COUNTIFS(ImpedTracker[Severity],$C28,ImpedTracker[Helper1],"*Y")</f>
        <v>0</v>
      </c>
      <c r="E28" s="98">
        <f>COUNTIFS(RiskTracker[Severity],$C28,RiskTracker[Closed Date],"",RiskTracker[Category],E$9)</f>
        <v>1</v>
      </c>
      <c r="F28" s="99">
        <f>COUNTIFS(ImpedTracker[Severity],$C28,ImpedTracker[Helper1],"*Y",ImpedTracker[Category],F$25)</f>
        <v>0</v>
      </c>
      <c r="G28" s="99">
        <f>COUNTIFS(ImpedTracker[Severity],$C28,ImpedTracker[Helper1],"*Y",ImpedTracker[Category],G$25)</f>
        <v>0</v>
      </c>
      <c r="H28" s="99">
        <f>COUNTIFS(ImpedTracker[Severity],$C28,ImpedTracker[Helper1],"*Y",ImpedTracker[Category],H$25)</f>
        <v>0</v>
      </c>
      <c r="I28" s="99">
        <f>COUNTIFS(ImpedTracker[Severity],$C28,ImpedTracker[Helper1],"*Y",ImpedTracker[Category],I$25)</f>
        <v>0</v>
      </c>
      <c r="J28" s="99">
        <f>COUNTIFS(ImpedTracker[Severity],$C28,ImpedTracker[Helper1],"*Y",ImpedTracker[Category],J$25)</f>
        <v>0</v>
      </c>
      <c r="K28" s="99">
        <f>COUNTIFS(ImpedTracker[Severity],$C28,ImpedTracker[Helper1],"*Y",ImpedTracker[Category],K$25)</f>
        <v>0</v>
      </c>
      <c r="L28" s="99">
        <f>COUNTIFS(ImpedTracker[Severity],$C28,ImpedTracker[Helper1],"*Y",ImpedTracker[Category],L$25)</f>
        <v>0</v>
      </c>
      <c r="M28" s="99">
        <f>COUNTIFS(ImpedTracker[Severity],$C28,ImpedTracker[Helper1],"*Y",ImpedTracker[Category],M$25)</f>
        <v>0</v>
      </c>
      <c r="N28" s="99">
        <f>COUNTIFS(ImpedTracker[Severity],$C28,ImpedTracker[Helper1],"*Y",ImpedTracker[Category],N$25)</f>
        <v>0</v>
      </c>
      <c r="O28" s="99">
        <f>COUNTIFS(ImpedTracker[Severity],$C28,ImpedTracker[Helper1],"*Y",ImpedTracker[Category],O$25)</f>
        <v>0</v>
      </c>
      <c r="P28" s="99">
        <f>COUNTIFS(ImpedTracker[Severity],$C28,ImpedTracker[Helper1],"*Y",ImpedTracker[Category],P$25)</f>
        <v>0</v>
      </c>
      <c r="Q28" s="99">
        <f>COUNTIFS(ImpedTracker[Severity],$C28,ImpedTracker[Helper1],"*Y",ImpedTracker[Category],Q$25)</f>
        <v>0</v>
      </c>
      <c r="R28" s="99">
        <f>COUNTIFS(ImpedTracker[Severity],$C28,ImpedTracker[Helper1],"*Y",ImpedTracker[Category],R$25)</f>
        <v>0</v>
      </c>
      <c r="S28" s="99">
        <f>COUNTIFS(ImpedTracker[Severity],$C28,ImpedTracker[Helper1],"*Y",ImpedTracker[Category],S$25)</f>
        <v>0</v>
      </c>
      <c r="T28" s="100">
        <f>COUNTIFS(ImpedTracker[Severity],$C28,ImpedTracker[Helper1],"*Y",ImpedTracker[Category],T$25)</f>
        <v>0</v>
      </c>
    </row>
    <row r="29" spans="2:20" ht="18.75" x14ac:dyDescent="0.3">
      <c r="B29" s="172"/>
      <c r="C29" s="96" t="s">
        <v>44</v>
      </c>
      <c r="D29" s="97">
        <f>COUNTIFS(ImpedTracker[Severity],$C29,ImpedTracker[Helper1],"*Y")</f>
        <v>2</v>
      </c>
      <c r="E29" s="98">
        <f>COUNTIFS(RiskTracker[Severity],$C29,RiskTracker[Closed Date],"",RiskTracker[Category],E$9)</f>
        <v>1</v>
      </c>
      <c r="F29" s="99">
        <f>COUNTIFS(ImpedTracker[Severity],$C29,ImpedTracker[Helper1],"*Y",ImpedTracker[Category],F$25)</f>
        <v>0</v>
      </c>
      <c r="G29" s="99">
        <f>COUNTIFS(ImpedTracker[Severity],$C29,ImpedTracker[Helper1],"*Y",ImpedTracker[Category],G$25)</f>
        <v>0</v>
      </c>
      <c r="H29" s="99">
        <f>COUNTIFS(ImpedTracker[Severity],$C29,ImpedTracker[Helper1],"*Y",ImpedTracker[Category],H$25)</f>
        <v>0</v>
      </c>
      <c r="I29" s="99">
        <f>COUNTIFS(ImpedTracker[Severity],$C29,ImpedTracker[Helper1],"*Y",ImpedTracker[Category],I$25)</f>
        <v>0</v>
      </c>
      <c r="J29" s="99">
        <f>COUNTIFS(ImpedTracker[Severity],$C29,ImpedTracker[Helper1],"*Y",ImpedTracker[Category],J$25)</f>
        <v>1</v>
      </c>
      <c r="K29" s="99">
        <f>COUNTIFS(ImpedTracker[Severity],$C29,ImpedTracker[Helper1],"*Y",ImpedTracker[Category],K$25)</f>
        <v>0</v>
      </c>
      <c r="L29" s="99">
        <f>COUNTIFS(ImpedTracker[Severity],$C29,ImpedTracker[Helper1],"*Y",ImpedTracker[Category],L$25)</f>
        <v>1</v>
      </c>
      <c r="M29" s="99">
        <f>COUNTIFS(ImpedTracker[Severity],$C29,ImpedTracker[Helper1],"*Y",ImpedTracker[Category],M$25)</f>
        <v>0</v>
      </c>
      <c r="N29" s="99">
        <f>COUNTIFS(ImpedTracker[Severity],$C29,ImpedTracker[Helper1],"*Y",ImpedTracker[Category],N$25)</f>
        <v>0</v>
      </c>
      <c r="O29" s="99">
        <f>COUNTIFS(ImpedTracker[Severity],$C29,ImpedTracker[Helper1],"*Y",ImpedTracker[Category],O$25)</f>
        <v>0</v>
      </c>
      <c r="P29" s="99">
        <f>COUNTIFS(ImpedTracker[Severity],$C29,ImpedTracker[Helper1],"*Y",ImpedTracker[Category],P$25)</f>
        <v>0</v>
      </c>
      <c r="Q29" s="99">
        <f>COUNTIFS(ImpedTracker[Severity],$C29,ImpedTracker[Helper1],"*Y",ImpedTracker[Category],Q$25)</f>
        <v>0</v>
      </c>
      <c r="R29" s="99">
        <f>COUNTIFS(ImpedTracker[Severity],$C29,ImpedTracker[Helper1],"*Y",ImpedTracker[Category],R$25)</f>
        <v>0</v>
      </c>
      <c r="S29" s="99">
        <f>COUNTIFS(ImpedTracker[Severity],$C29,ImpedTracker[Helper1],"*Y",ImpedTracker[Category],S$25)</f>
        <v>0</v>
      </c>
      <c r="T29" s="100">
        <f>COUNTIFS(ImpedTracker[Severity],$C29,ImpedTracker[Helper1],"*Y",ImpedTracker[Category],T$25)</f>
        <v>0</v>
      </c>
    </row>
    <row r="30" spans="2:20" ht="19.5" thickBot="1" x14ac:dyDescent="0.35">
      <c r="B30" s="172"/>
      <c r="C30" s="101" t="s">
        <v>45</v>
      </c>
      <c r="D30" s="102">
        <f>COUNTIFS(ImpedTracker[Severity],$C30,ImpedTracker[Helper1],"*Y")</f>
        <v>1</v>
      </c>
      <c r="E30" s="103">
        <f>COUNTIFS(RiskTracker[Severity],$C30,RiskTracker[Closed Date],"",RiskTracker[Category],E$9)</f>
        <v>0</v>
      </c>
      <c r="F30" s="104">
        <f>COUNTIFS(ImpedTracker[Severity],$C30,ImpedTracker[Helper1],"*Y",ImpedTracker[Category],F$25)</f>
        <v>0</v>
      </c>
      <c r="G30" s="104">
        <f>COUNTIFS(ImpedTracker[Severity],$C30,ImpedTracker[Helper1],"*Y",ImpedTracker[Category],G$25)</f>
        <v>0</v>
      </c>
      <c r="H30" s="104">
        <f>COUNTIFS(ImpedTracker[Severity],$C30,ImpedTracker[Helper1],"*Y",ImpedTracker[Category],H$25)</f>
        <v>0</v>
      </c>
      <c r="I30" s="104">
        <f>COUNTIFS(ImpedTracker[Severity],$C30,ImpedTracker[Helper1],"*Y",ImpedTracker[Category],I$25)</f>
        <v>0</v>
      </c>
      <c r="J30" s="104">
        <f>COUNTIFS(ImpedTracker[Severity],$C30,ImpedTracker[Helper1],"*Y",ImpedTracker[Category],J$25)</f>
        <v>1</v>
      </c>
      <c r="K30" s="104">
        <f>COUNTIFS(ImpedTracker[Severity],$C30,ImpedTracker[Helper1],"*Y",ImpedTracker[Category],K$25)</f>
        <v>0</v>
      </c>
      <c r="L30" s="104">
        <f>COUNTIFS(ImpedTracker[Severity],$C30,ImpedTracker[Helper1],"*Y",ImpedTracker[Category],L$25)</f>
        <v>0</v>
      </c>
      <c r="M30" s="104">
        <f>COUNTIFS(ImpedTracker[Severity],$C30,ImpedTracker[Helper1],"*Y",ImpedTracker[Category],M$25)</f>
        <v>0</v>
      </c>
      <c r="N30" s="104">
        <f>COUNTIFS(ImpedTracker[Severity],$C30,ImpedTracker[Helper1],"*Y",ImpedTracker[Category],N$25)</f>
        <v>0</v>
      </c>
      <c r="O30" s="104">
        <f>COUNTIFS(ImpedTracker[Severity],$C30,ImpedTracker[Helper1],"*Y",ImpedTracker[Category],O$25)</f>
        <v>0</v>
      </c>
      <c r="P30" s="104">
        <f>COUNTIFS(ImpedTracker[Severity],$C30,ImpedTracker[Helper1],"*Y",ImpedTracker[Category],P$25)</f>
        <v>0</v>
      </c>
      <c r="Q30" s="104">
        <f>COUNTIFS(ImpedTracker[Severity],$C30,ImpedTracker[Helper1],"*Y",ImpedTracker[Category],Q$25)</f>
        <v>0</v>
      </c>
      <c r="R30" s="104">
        <f>COUNTIFS(ImpedTracker[Severity],$C30,ImpedTracker[Helper1],"*Y",ImpedTracker[Category],R$25)</f>
        <v>0</v>
      </c>
      <c r="S30" s="104">
        <f>COUNTIFS(ImpedTracker[Severity],$C30,ImpedTracker[Helper1],"*Y",ImpedTracker[Category],S$25)</f>
        <v>0</v>
      </c>
      <c r="T30" s="105">
        <f>COUNTIFS(ImpedTracker[Severity],$C30,ImpedTracker[Helper1],"*Y",ImpedTracker[Category],T$25)</f>
        <v>0</v>
      </c>
    </row>
    <row r="31" spans="2:20" ht="20.25" thickTop="1" thickBot="1" x14ac:dyDescent="0.35">
      <c r="B31" s="173"/>
      <c r="C31" s="106" t="s">
        <v>101</v>
      </c>
      <c r="D31" s="107">
        <f>SUM(D26:D30)</f>
        <v>3</v>
      </c>
      <c r="E31" s="108">
        <f t="shared" ref="E31" si="2">SUM(E26:E30)</f>
        <v>2</v>
      </c>
      <c r="F31" s="109">
        <f t="shared" ref="F31" si="3">SUM(F26:F30)</f>
        <v>0</v>
      </c>
      <c r="G31" s="109">
        <f t="shared" ref="G31" si="4">SUM(G26:G30)</f>
        <v>0</v>
      </c>
      <c r="H31" s="109">
        <f t="shared" ref="H31" si="5">SUM(H26:H30)</f>
        <v>0</v>
      </c>
      <c r="I31" s="109">
        <f t="shared" ref="I31" si="6">SUM(I26:I30)</f>
        <v>0</v>
      </c>
      <c r="J31" s="109">
        <f t="shared" ref="J31" si="7">SUM(J26:J30)</f>
        <v>2</v>
      </c>
      <c r="K31" s="109">
        <f t="shared" ref="K31" si="8">SUM(K26:K30)</f>
        <v>0</v>
      </c>
      <c r="L31" s="109">
        <f t="shared" ref="L31" si="9">SUM(L26:L30)</f>
        <v>1</v>
      </c>
      <c r="M31" s="109">
        <f t="shared" ref="M31" si="10">SUM(M26:M30)</f>
        <v>0</v>
      </c>
      <c r="N31" s="109">
        <f t="shared" ref="N31" si="11">SUM(N26:N30)</f>
        <v>0</v>
      </c>
      <c r="O31" s="109">
        <f t="shared" ref="O31" si="12">SUM(O26:O30)</f>
        <v>0</v>
      </c>
      <c r="P31" s="109">
        <f t="shared" ref="P31" si="13">SUM(P26:P30)</f>
        <v>0</v>
      </c>
      <c r="Q31" s="109">
        <f t="shared" ref="Q31" si="14">SUM(Q26:Q30)</f>
        <v>0</v>
      </c>
      <c r="R31" s="109">
        <f t="shared" ref="R31" si="15">SUM(R26:R30)</f>
        <v>0</v>
      </c>
      <c r="S31" s="109">
        <f t="shared" ref="S31" si="16">SUM(S26:S30)</f>
        <v>0</v>
      </c>
      <c r="T31" s="110">
        <f t="shared" ref="T31" si="17">SUM(T26:T30)</f>
        <v>0</v>
      </c>
    </row>
    <row r="32" spans="2:20" ht="24" thickBot="1" x14ac:dyDescent="0.4"/>
    <row r="33" spans="2:9" ht="19.5" thickBot="1" x14ac:dyDescent="0.35">
      <c r="B33" s="165" t="s">
        <v>112</v>
      </c>
      <c r="C33" s="86" t="s">
        <v>9</v>
      </c>
      <c r="D33" s="111" t="s">
        <v>115</v>
      </c>
      <c r="E33" s="79"/>
      <c r="F33" s="79"/>
      <c r="G33" s="79"/>
      <c r="H33" s="79"/>
      <c r="I33" s="79"/>
    </row>
    <row r="34" spans="2:9" ht="18.75" x14ac:dyDescent="0.3">
      <c r="B34" s="166"/>
      <c r="C34" s="91" t="s">
        <v>32</v>
      </c>
      <c r="D34" s="92">
        <f>COUNTIFS(DecisionLog[Status],$C34,DecisionLog[Helper1],"*Y")</f>
        <v>0</v>
      </c>
      <c r="E34" s="79"/>
      <c r="F34" s="79"/>
      <c r="G34" s="79"/>
      <c r="H34" s="79"/>
      <c r="I34" s="79"/>
    </row>
    <row r="35" spans="2:9" ht="18.75" x14ac:dyDescent="0.3">
      <c r="B35" s="166"/>
      <c r="C35" s="118" t="s">
        <v>33</v>
      </c>
      <c r="D35" s="119">
        <f>COUNTIFS(DecisionLog[Status],$C35,DecisionLog[Helper1],"*Y")</f>
        <v>0</v>
      </c>
      <c r="E35" s="79"/>
      <c r="F35" s="79"/>
      <c r="G35" s="79"/>
      <c r="H35" s="79"/>
      <c r="I35" s="79"/>
    </row>
    <row r="36" spans="2:9" ht="18.75" x14ac:dyDescent="0.3">
      <c r="B36" s="166"/>
      <c r="C36" s="96" t="s">
        <v>65</v>
      </c>
      <c r="D36" s="97">
        <f>COUNTIFS(DecisionLog[Status],$C36,DecisionLog[Helper1],"*Y")</f>
        <v>2</v>
      </c>
      <c r="E36" s="79"/>
      <c r="F36" s="79"/>
      <c r="G36" s="79"/>
      <c r="H36" s="79"/>
      <c r="I36" s="79"/>
    </row>
    <row r="37" spans="2:9" ht="18.75" x14ac:dyDescent="0.3">
      <c r="B37" s="166"/>
      <c r="C37" s="96" t="s">
        <v>66</v>
      </c>
      <c r="D37" s="97">
        <f>COUNTIFS(DecisionLog[Status],$C37,DecisionLog[Helper1],"*Y")</f>
        <v>0</v>
      </c>
      <c r="E37" s="79"/>
      <c r="F37" s="79"/>
      <c r="G37" s="79"/>
      <c r="H37" s="79"/>
      <c r="I37" s="79"/>
    </row>
    <row r="38" spans="2:9" ht="18.75" x14ac:dyDescent="0.3">
      <c r="B38" s="166"/>
      <c r="C38" s="96" t="s">
        <v>81</v>
      </c>
      <c r="D38" s="97">
        <f>COUNTIFS(DecisionLog[Status],$C38,DecisionLog[Helper1],"*Y")</f>
        <v>6</v>
      </c>
      <c r="E38" s="79"/>
      <c r="F38" s="79"/>
      <c r="G38" s="79"/>
      <c r="H38" s="79"/>
      <c r="I38" s="79"/>
    </row>
    <row r="39" spans="2:9" ht="18.75" x14ac:dyDescent="0.3">
      <c r="B39" s="166"/>
      <c r="C39" s="96" t="s">
        <v>67</v>
      </c>
      <c r="D39" s="97">
        <f>COUNTIFS(DecisionLog[Status],$C39,DecisionLog[Helper1],"*Y")</f>
        <v>0</v>
      </c>
      <c r="E39" s="79"/>
      <c r="F39" s="79"/>
      <c r="G39" s="79"/>
      <c r="H39" s="79"/>
      <c r="I39" s="79"/>
    </row>
    <row r="40" spans="2:9" ht="18.75" x14ac:dyDescent="0.3">
      <c r="B40" s="166"/>
      <c r="C40" s="96" t="s">
        <v>37</v>
      </c>
      <c r="D40" s="97">
        <f>COUNTIFS(DecisionLog[Status],$C40,DecisionLog[Helper1],"*Y")</f>
        <v>0</v>
      </c>
      <c r="E40" s="79"/>
      <c r="F40" s="79"/>
      <c r="G40" s="79"/>
      <c r="H40" s="79"/>
      <c r="I40" s="79"/>
    </row>
    <row r="41" spans="2:9" ht="18.75" x14ac:dyDescent="0.3">
      <c r="B41" s="166"/>
      <c r="C41" s="96" t="s">
        <v>82</v>
      </c>
      <c r="D41" s="97">
        <f>COUNTIFS(DecisionLog[Status],$C41,DecisionLog[Helper1],"*Y")</f>
        <v>0</v>
      </c>
      <c r="E41" s="79"/>
      <c r="F41" s="79"/>
      <c r="G41" s="79"/>
      <c r="H41" s="79"/>
      <c r="I41" s="79"/>
    </row>
    <row r="42" spans="2:9" ht="19.5" thickBot="1" x14ac:dyDescent="0.35">
      <c r="B42" s="166"/>
      <c r="C42" s="101" t="s">
        <v>83</v>
      </c>
      <c r="D42" s="102">
        <f>COUNTIFS(DecisionLog[Status],$C42,DecisionLog[Helper1],"*Y")</f>
        <v>0</v>
      </c>
      <c r="E42" s="79"/>
      <c r="F42" s="79"/>
      <c r="G42" s="79"/>
      <c r="H42" s="79"/>
      <c r="I42" s="79"/>
    </row>
    <row r="43" spans="2:9" ht="20.25" thickTop="1" thickBot="1" x14ac:dyDescent="0.35">
      <c r="B43" s="167"/>
      <c r="C43" s="106" t="s">
        <v>114</v>
      </c>
      <c r="D43" s="107">
        <f>SUM(D34:D42)</f>
        <v>8</v>
      </c>
      <c r="E43" s="79"/>
      <c r="F43" s="79"/>
      <c r="G43" s="79"/>
      <c r="H43" s="79"/>
      <c r="I43" s="79"/>
    </row>
    <row r="44" spans="2:9" ht="24" thickBot="1" x14ac:dyDescent="0.4"/>
    <row r="45" spans="2:9" ht="38.25" thickBot="1" x14ac:dyDescent="0.35">
      <c r="B45" s="162" t="s">
        <v>113</v>
      </c>
      <c r="C45" s="116" t="s">
        <v>85</v>
      </c>
      <c r="D45" s="111" t="s">
        <v>111</v>
      </c>
      <c r="E45" s="88" t="s">
        <v>32</v>
      </c>
      <c r="F45" s="89" t="s">
        <v>33</v>
      </c>
      <c r="G45" s="89" t="s">
        <v>65</v>
      </c>
      <c r="H45" s="89" t="s">
        <v>66</v>
      </c>
      <c r="I45" s="90" t="s">
        <v>67</v>
      </c>
    </row>
    <row r="46" spans="2:9" ht="18.75" x14ac:dyDescent="0.3">
      <c r="B46" s="163"/>
      <c r="C46" s="91" t="s">
        <v>42</v>
      </c>
      <c r="D46" s="92">
        <f>COUNTIFS(ActionLog[Priority],$C46,ActionLog[Helper1],"*Y")</f>
        <v>0</v>
      </c>
      <c r="E46" s="112">
        <f>COUNTIFS(ActionLog[Priority],$C46,ActionLog[Helper1],"*Y",ActionLog[Task Status],E$45)</f>
        <v>0</v>
      </c>
      <c r="F46" s="94">
        <f>COUNTIFS(ActionLog[Priority],$C46,ActionLog[Helper1],"*Y",ActionLog[Task Status],F$45)</f>
        <v>0</v>
      </c>
      <c r="G46" s="94">
        <f>COUNTIFS(ActionLog[Priority],$C46,ActionLog[Helper1],"*Y",ActionLog[Task Status],G$45)</f>
        <v>0</v>
      </c>
      <c r="H46" s="94">
        <f>COUNTIFS(ActionLog[Priority],$C46,ActionLog[Helper1],"*Y",ActionLog[Task Status],H$45)</f>
        <v>0</v>
      </c>
      <c r="I46" s="95">
        <f>COUNTIFS(ActionLog[Priority],$C46,ActionLog[Helper1],"*Y",ActionLog[Task Status],I$45)</f>
        <v>0</v>
      </c>
    </row>
    <row r="47" spans="2:9" ht="18.75" x14ac:dyDescent="0.3">
      <c r="B47" s="163"/>
      <c r="C47" s="96" t="s">
        <v>94</v>
      </c>
      <c r="D47" s="97">
        <f>COUNTIFS(ActionLog[Priority],$C47,ActionLog[Helper1],"*Y")</f>
        <v>3</v>
      </c>
      <c r="E47" s="113">
        <f>COUNTIFS(ActionLog[Priority],$C47,ActionLog[Helper1],"*Y",ActionLog[Task Status],E$45)</f>
        <v>0</v>
      </c>
      <c r="F47" s="99">
        <f>COUNTIFS(ActionLog[Priority],$C47,ActionLog[Helper1],"*Y",ActionLog[Task Status],F$45)</f>
        <v>1</v>
      </c>
      <c r="G47" s="99">
        <f>COUNTIFS(ActionLog[Priority],$C47,ActionLog[Helper1],"*Y",ActionLog[Task Status],G$45)</f>
        <v>2</v>
      </c>
      <c r="H47" s="99">
        <f>COUNTIFS(ActionLog[Priority],$C47,ActionLog[Helper1],"*Y",ActionLog[Task Status],H$45)</f>
        <v>0</v>
      </c>
      <c r="I47" s="100">
        <f>COUNTIFS(ActionLog[Priority],$C47,ActionLog[Helper1],"*Y",ActionLog[Task Status],I$45)</f>
        <v>0</v>
      </c>
    </row>
    <row r="48" spans="2:9" ht="18.75" x14ac:dyDescent="0.3">
      <c r="B48" s="163"/>
      <c r="C48" s="96" t="s">
        <v>44</v>
      </c>
      <c r="D48" s="97">
        <f>COUNTIFS(ActionLog[Priority],$C48,ActionLog[Helper1],"*Y")</f>
        <v>5</v>
      </c>
      <c r="E48" s="113">
        <f>COUNTIFS(ActionLog[Priority],$C48,ActionLog[Helper1],"*Y",ActionLog[Task Status],E$45)</f>
        <v>0</v>
      </c>
      <c r="F48" s="99">
        <f>COUNTIFS(ActionLog[Priority],$C48,ActionLog[Helper1],"*Y",ActionLog[Task Status],F$45)</f>
        <v>0</v>
      </c>
      <c r="G48" s="99">
        <f>COUNTIFS(ActionLog[Priority],$C48,ActionLog[Helper1],"*Y",ActionLog[Task Status],G$45)</f>
        <v>1</v>
      </c>
      <c r="H48" s="99">
        <f>COUNTIFS(ActionLog[Priority],$C48,ActionLog[Helper1],"*Y",ActionLog[Task Status],H$45)</f>
        <v>1</v>
      </c>
      <c r="I48" s="100">
        <f>COUNTIFS(ActionLog[Priority],$C48,ActionLog[Helper1],"*Y",ActionLog[Task Status],I$45)</f>
        <v>0</v>
      </c>
    </row>
    <row r="49" spans="2:9" ht="19.5" thickBot="1" x14ac:dyDescent="0.35">
      <c r="B49" s="163"/>
      <c r="C49" s="101" t="s">
        <v>95</v>
      </c>
      <c r="D49" s="102">
        <f>COUNTIFS(ActionLog[Priority],$C49,ActionLog[Helper1],"*Y")</f>
        <v>1</v>
      </c>
      <c r="E49" s="114">
        <f>COUNTIFS(ActionLog[Priority],$C49,ActionLog[Helper1],"*Y",ActionLog[Task Status],E$45)</f>
        <v>0</v>
      </c>
      <c r="F49" s="104">
        <f>COUNTIFS(ActionLog[Priority],$C49,ActionLog[Helper1],"*Y",ActionLog[Task Status],F$45)</f>
        <v>0</v>
      </c>
      <c r="G49" s="104">
        <f>COUNTIFS(ActionLog[Priority],$C49,ActionLog[Helper1],"*Y",ActionLog[Task Status],G$45)</f>
        <v>1</v>
      </c>
      <c r="H49" s="104">
        <f>COUNTIFS(ActionLog[Priority],$C49,ActionLog[Helper1],"*Y",ActionLog[Task Status],H$45)</f>
        <v>0</v>
      </c>
      <c r="I49" s="105">
        <f>COUNTIFS(ActionLog[Priority],$C49,ActionLog[Helper1],"*Y",ActionLog[Task Status],I$45)</f>
        <v>0</v>
      </c>
    </row>
    <row r="50" spans="2:9" ht="20.25" thickTop="1" thickBot="1" x14ac:dyDescent="0.35">
      <c r="B50" s="164"/>
      <c r="C50" s="106" t="s">
        <v>101</v>
      </c>
      <c r="D50" s="107">
        <f>SUM(D46:D49)</f>
        <v>9</v>
      </c>
      <c r="E50" s="115">
        <f t="shared" ref="E50:I50" si="18">SUM(E46:E49)</f>
        <v>0</v>
      </c>
      <c r="F50" s="109">
        <f t="shared" si="18"/>
        <v>1</v>
      </c>
      <c r="G50" s="109">
        <f t="shared" si="18"/>
        <v>4</v>
      </c>
      <c r="H50" s="109">
        <f t="shared" si="18"/>
        <v>1</v>
      </c>
      <c r="I50" s="110">
        <f t="shared" si="18"/>
        <v>0</v>
      </c>
    </row>
  </sheetData>
  <sheetProtection algorithmName="SHA-512" hashValue="YnEYvBYxoWttag7Imy+uuhB2z7XrjYChdt4WKH2Qp1B038ub4923wbOu2t8jT2MNlH93ept8H7z83YcMa2q9Rw==" saltValue="OsR32IOifTtNZBTAhJI79Q==" spinCount="100000" sheet="1" objects="1" scenarios="1"/>
  <mergeCells count="9">
    <mergeCell ref="G3:G4"/>
    <mergeCell ref="H3:H4"/>
    <mergeCell ref="I3:I4"/>
    <mergeCell ref="B45:B50"/>
    <mergeCell ref="B33:B43"/>
    <mergeCell ref="B17:B23"/>
    <mergeCell ref="B25:B31"/>
    <mergeCell ref="G6:I6"/>
    <mergeCell ref="B9:B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50" r:id="rId3" name="Spinner 6">
              <controlPr defaultSize="0" autoPict="0">
                <anchor moveWithCells="1">
                  <from>
                    <xdr:col>6</xdr:col>
                    <xdr:colOff>809625</xdr:colOff>
                    <xdr:row>2</xdr:row>
                    <xdr:rowOff>9525</xdr:rowOff>
                  </from>
                  <to>
                    <xdr:col>6</xdr:col>
                    <xdr:colOff>1057275</xdr:colOff>
                    <xdr:row>3</xdr:row>
                    <xdr:rowOff>161925</xdr:rowOff>
                  </to>
                </anchor>
              </controlPr>
            </control>
          </mc:Choice>
        </mc:AlternateContent>
        <mc:AlternateContent xmlns:mc="http://schemas.openxmlformats.org/markup-compatibility/2006">
          <mc:Choice Requires="x14">
            <control shapeId="6151" r:id="rId4" name="Spinner 7">
              <controlPr defaultSize="0" autoPict="0">
                <anchor moveWithCells="1">
                  <from>
                    <xdr:col>7</xdr:col>
                    <xdr:colOff>533400</xdr:colOff>
                    <xdr:row>2</xdr:row>
                    <xdr:rowOff>9525</xdr:rowOff>
                  </from>
                  <to>
                    <xdr:col>8</xdr:col>
                    <xdr:colOff>0</xdr:colOff>
                    <xdr:row>3</xdr:row>
                    <xdr:rowOff>161925</xdr:rowOff>
                  </to>
                </anchor>
              </controlPr>
            </control>
          </mc:Choice>
        </mc:AlternateContent>
        <mc:AlternateContent xmlns:mc="http://schemas.openxmlformats.org/markup-compatibility/2006">
          <mc:Choice Requires="x14">
            <control shapeId="6152" r:id="rId5" name="Spinner 8">
              <controlPr defaultSize="0" autoPict="0">
                <anchor moveWithCells="1">
                  <from>
                    <xdr:col>8</xdr:col>
                    <xdr:colOff>685800</xdr:colOff>
                    <xdr:row>2</xdr:row>
                    <xdr:rowOff>0</xdr:rowOff>
                  </from>
                  <to>
                    <xdr:col>8</xdr:col>
                    <xdr:colOff>847725</xdr:colOff>
                    <xdr:row>3</xdr:row>
                    <xdr:rowOff>152400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tint="-0.249977111117893"/>
  </sheetPr>
  <dimension ref="A1:T16"/>
  <sheetViews>
    <sheetView showGridLines="0" topLeftCell="B1" zoomScale="70" zoomScaleNormal="70" workbookViewId="0">
      <selection activeCell="D4" sqref="D4"/>
    </sheetView>
  </sheetViews>
  <sheetFormatPr defaultColWidth="8.85546875" defaultRowHeight="15" x14ac:dyDescent="0.25"/>
  <cols>
    <col min="1" max="1" width="18.85546875" style="35" bestFit="1" customWidth="1"/>
    <col min="2" max="2" width="14.85546875" style="51" customWidth="1"/>
    <col min="3" max="3" width="22.5703125" style="36" bestFit="1" customWidth="1"/>
    <col min="4" max="4" width="12" style="34" bestFit="1" customWidth="1"/>
    <col min="5" max="5" width="10.42578125" style="34" bestFit="1" customWidth="1"/>
    <col min="6" max="6" width="29.7109375" style="34" customWidth="1"/>
    <col min="7" max="7" width="30.85546875" style="34" customWidth="1"/>
    <col min="8" max="8" width="29.140625" style="34" customWidth="1"/>
    <col min="9" max="9" width="22.85546875" style="34" customWidth="1"/>
    <col min="10" max="10" width="17.85546875" style="34" customWidth="1"/>
    <col min="11" max="11" width="13.7109375" style="34" bestFit="1" customWidth="1"/>
    <col min="12" max="12" width="13.140625" style="34" bestFit="1" customWidth="1"/>
    <col min="13" max="13" width="16.7109375" style="34" bestFit="1" customWidth="1"/>
    <col min="14" max="14" width="10.42578125" style="34" bestFit="1" customWidth="1"/>
    <col min="15" max="15" width="50.42578125" style="34" customWidth="1"/>
    <col min="16" max="16" width="12.85546875" style="36" bestFit="1" customWidth="1"/>
    <col min="17" max="17" width="10.7109375" style="34" customWidth="1"/>
    <col min="18" max="18" width="30.85546875" style="34" customWidth="1"/>
    <col min="19" max="19" width="8.7109375" style="34" hidden="1" customWidth="1"/>
    <col min="20" max="20" width="8.85546875" style="34" hidden="1" customWidth="1"/>
    <col min="21" max="16384" width="8.85546875" style="34"/>
  </cols>
  <sheetData>
    <row r="1" spans="1:20" s="48" customFormat="1" ht="37.5" x14ac:dyDescent="0.25">
      <c r="A1" s="45" t="s">
        <v>0</v>
      </c>
      <c r="B1" s="49" t="s">
        <v>119</v>
      </c>
      <c r="C1" s="47" t="s">
        <v>1</v>
      </c>
      <c r="D1" s="46" t="s">
        <v>2</v>
      </c>
      <c r="E1" s="46" t="s">
        <v>3</v>
      </c>
      <c r="F1" s="46" t="s">
        <v>4</v>
      </c>
      <c r="G1" s="46" t="s">
        <v>5</v>
      </c>
      <c r="H1" s="46" t="s">
        <v>6</v>
      </c>
      <c r="I1" s="46" t="s">
        <v>7</v>
      </c>
      <c r="J1" s="46" t="s">
        <v>8</v>
      </c>
      <c r="K1" s="46" t="s">
        <v>9</v>
      </c>
      <c r="L1" s="46" t="s">
        <v>10</v>
      </c>
      <c r="M1" s="46" t="s">
        <v>11</v>
      </c>
      <c r="N1" s="46" t="s">
        <v>12</v>
      </c>
      <c r="O1" s="46" t="s">
        <v>13</v>
      </c>
      <c r="P1" s="47" t="s">
        <v>14</v>
      </c>
      <c r="Q1" s="46" t="s">
        <v>120</v>
      </c>
      <c r="R1" s="46" t="s">
        <v>15</v>
      </c>
      <c r="S1" s="48" t="s">
        <v>105</v>
      </c>
      <c r="T1" s="48" t="s">
        <v>110</v>
      </c>
    </row>
    <row r="2" spans="1:20" ht="206.25" x14ac:dyDescent="0.25">
      <c r="A2" s="40">
        <v>1787</v>
      </c>
      <c r="B2" s="50" t="s">
        <v>126</v>
      </c>
      <c r="C2" s="41">
        <v>44214</v>
      </c>
      <c r="D2" s="42" t="s">
        <v>16</v>
      </c>
      <c r="E2" s="42" t="s">
        <v>106</v>
      </c>
      <c r="F2" s="43" t="s">
        <v>129</v>
      </c>
      <c r="G2" s="43" t="s">
        <v>130</v>
      </c>
      <c r="H2" s="43" t="s">
        <v>131</v>
      </c>
      <c r="I2" s="43" t="s">
        <v>107</v>
      </c>
      <c r="J2" s="43" t="s">
        <v>132</v>
      </c>
      <c r="K2" s="42" t="s">
        <v>36</v>
      </c>
      <c r="L2" s="42" t="s">
        <v>44</v>
      </c>
      <c r="M2" s="42" t="s">
        <v>43</v>
      </c>
      <c r="N2" s="42" t="s">
        <v>50</v>
      </c>
      <c r="O2" s="43" t="s">
        <v>133</v>
      </c>
      <c r="P2" s="41"/>
      <c r="Q2" s="44">
        <f ca="1">IF(RiskTracker[[#This Row],[Date Reported]]="","",IF(RiskTracker[[#This Row],[Closed Date]]="",TODAY()-RiskTracker[[#This Row],[Date Reported]],RiskTracker[[#This Row],[Closed Date]]-RiskTracker[[#This Row],[Date Reported]]))</f>
        <v>17</v>
      </c>
      <c r="R2" s="43" t="s">
        <v>134</v>
      </c>
      <c r="S2" s="34" t="str">
        <f>IF(OR(RiskTracker[[#This Row],[Date Reported]]="",RiskTracker[[#This Row],[Closed Date]]&lt;&gt;""),"",IF(RiskTracker[[#This Row],[Date Reported]]&lt;=Mdate,IF(COUNTIF(S$1:S1,"*Y")=0,"1Y",COUNTIF(S$1:S1,"*Y")+1&amp;"Y"),"N"))</f>
        <v>1Y</v>
      </c>
      <c r="T2" s="34" t="str">
        <f>IF(OR(RiskTracker[[#This Row],[Date Reported]]="",RiskTracker[[#This Row],[Closed Date]]&lt;&gt;""),"",IF(RiskTracker[[#This Row],[Date Reported]]&lt;=CDate,IF(COUNTIF(S$1:S1,"*Y")=0,"1Y",COUNTIF(S$1:S1,"*Y")+1&amp;"Y"),"N"))</f>
        <v>1Y</v>
      </c>
    </row>
    <row r="3" spans="1:20" ht="187.5" x14ac:dyDescent="0.25">
      <c r="A3" s="40">
        <v>1775</v>
      </c>
      <c r="B3" s="50" t="s">
        <v>126</v>
      </c>
      <c r="C3" s="41">
        <v>44207</v>
      </c>
      <c r="D3" s="42" t="s">
        <v>16</v>
      </c>
      <c r="E3" s="42" t="s">
        <v>106</v>
      </c>
      <c r="F3" s="43" t="s">
        <v>135</v>
      </c>
      <c r="G3" s="43" t="s">
        <v>136</v>
      </c>
      <c r="H3" s="43" t="s">
        <v>137</v>
      </c>
      <c r="I3" s="43" t="s">
        <v>138</v>
      </c>
      <c r="J3" s="43" t="s">
        <v>132</v>
      </c>
      <c r="K3" s="42" t="s">
        <v>35</v>
      </c>
      <c r="L3" s="42" t="s">
        <v>43</v>
      </c>
      <c r="M3" s="42" t="s">
        <v>43</v>
      </c>
      <c r="N3" s="42" t="s">
        <v>50</v>
      </c>
      <c r="O3" s="43" t="s">
        <v>139</v>
      </c>
      <c r="P3" s="41"/>
      <c r="Q3" s="44">
        <f ca="1">IF(RiskTracker[[#This Row],[Date Reported]]="","",IF(RiskTracker[[#This Row],[Closed Date]]="",TODAY()-RiskTracker[[#This Row],[Date Reported]],RiskTracker[[#This Row],[Closed Date]]-RiskTracker[[#This Row],[Date Reported]]))</f>
        <v>24</v>
      </c>
      <c r="R3" s="43" t="s">
        <v>140</v>
      </c>
      <c r="S3" s="34" t="str">
        <f>IF(OR(RiskTracker[[#This Row],[Date Reported]]="",RiskTracker[[#This Row],[Closed Date]]&lt;&gt;""),"",IF(RiskTracker[[#This Row],[Date Reported]]&lt;=Mdate,IF(COUNTIF(S$1:S2,"*Y")=0,"1Y",COUNTIF(S$1:S2,"*Y")+1&amp;"Y"),"N"))</f>
        <v>2Y</v>
      </c>
      <c r="T3" s="34" t="str">
        <f>IF(OR(RiskTracker[[#This Row],[Date Reported]]="",RiskTracker[[#This Row],[Closed Date]]&lt;&gt;""),"",IF(RiskTracker[[#This Row],[Date Reported]]&lt;=CDate,IF(COUNTIF(S$1:S2,"*Y")=0,"1Y",COUNTIF(S$1:S2,"*Y")+1&amp;"Y"),"N"))</f>
        <v>2Y</v>
      </c>
    </row>
    <row r="4" spans="1:20" ht="409.5" x14ac:dyDescent="0.25">
      <c r="A4" s="40">
        <v>1780</v>
      </c>
      <c r="B4" s="50" t="s">
        <v>126</v>
      </c>
      <c r="C4" s="41">
        <v>44200</v>
      </c>
      <c r="D4" s="42" t="s">
        <v>25</v>
      </c>
      <c r="E4" s="42" t="s">
        <v>106</v>
      </c>
      <c r="F4" s="43" t="s">
        <v>141</v>
      </c>
      <c r="G4" s="43" t="s">
        <v>142</v>
      </c>
      <c r="H4" s="43" t="s">
        <v>143</v>
      </c>
      <c r="I4" s="43" t="s">
        <v>144</v>
      </c>
      <c r="J4" s="43" t="s">
        <v>145</v>
      </c>
      <c r="K4" s="42" t="s">
        <v>34</v>
      </c>
      <c r="L4" s="42" t="s">
        <v>45</v>
      </c>
      <c r="M4" s="42" t="s">
        <v>45</v>
      </c>
      <c r="N4" s="42" t="s">
        <v>50</v>
      </c>
      <c r="O4" s="43" t="s">
        <v>146</v>
      </c>
      <c r="P4" s="41"/>
      <c r="Q4" s="44">
        <f ca="1">IF(RiskTracker[[#This Row],[Date Reported]]="","",IF(RiskTracker[[#This Row],[Closed Date]]="",TODAY()-RiskTracker[[#This Row],[Date Reported]],RiskTracker[[#This Row],[Closed Date]]-RiskTracker[[#This Row],[Date Reported]]))</f>
        <v>31</v>
      </c>
      <c r="R4" s="43" t="s">
        <v>147</v>
      </c>
      <c r="S4" s="38" t="str">
        <f>IF(OR(RiskTracker[[#This Row],[Date Reported]]="",RiskTracker[[#This Row],[Closed Date]]&lt;&gt;""),"",IF(RiskTracker[[#This Row],[Date Reported]]&lt;=Mdate,IF(COUNTIF(S$1:S3,"*Y")=0,"1Y",COUNTIF(S$1:S3,"*Y")+1&amp;"Y"),"N"))</f>
        <v>3Y</v>
      </c>
      <c r="T4" s="34" t="str">
        <f>IF(OR(RiskTracker[[#This Row],[Date Reported]]="",RiskTracker[[#This Row],[Closed Date]]&lt;&gt;""),"",IF(RiskTracker[[#This Row],[Date Reported]]&lt;=CDate,IF(COUNTIF(S$1:S3,"*Y")=0,"1Y",COUNTIF(S$1:S3,"*Y")+1&amp;"Y"),"N"))</f>
        <v>3Y</v>
      </c>
    </row>
    <row r="5" spans="1:20" ht="93.75" x14ac:dyDescent="0.25">
      <c r="A5" s="40"/>
      <c r="B5" s="50" t="s">
        <v>126</v>
      </c>
      <c r="C5" s="41">
        <v>44223</v>
      </c>
      <c r="D5" s="42" t="s">
        <v>23</v>
      </c>
      <c r="E5" s="42" t="s">
        <v>106</v>
      </c>
      <c r="F5" s="43" t="s">
        <v>148</v>
      </c>
      <c r="G5" s="43"/>
      <c r="H5" s="43"/>
      <c r="I5" s="43"/>
      <c r="J5" s="43"/>
      <c r="K5" s="42"/>
      <c r="L5" s="42" t="s">
        <v>43</v>
      </c>
      <c r="M5" s="42" t="s">
        <v>43</v>
      </c>
      <c r="N5" s="42" t="s">
        <v>51</v>
      </c>
      <c r="O5" s="43"/>
      <c r="P5" s="41"/>
      <c r="Q5" s="44">
        <f ca="1">IF(RiskTracker[[#This Row],[Date Reported]]="","",IF(RiskTracker[[#This Row],[Closed Date]]="",TODAY()-RiskTracker[[#This Row],[Date Reported]],RiskTracker[[#This Row],[Closed Date]]-RiskTracker[[#This Row],[Date Reported]]))</f>
        <v>8</v>
      </c>
      <c r="R5" s="43" t="s">
        <v>149</v>
      </c>
      <c r="S5" s="38" t="str">
        <f>IF(OR(RiskTracker[[#This Row],[Date Reported]]="",RiskTracker[[#This Row],[Closed Date]]&lt;&gt;""),"",IF(RiskTracker[[#This Row],[Date Reported]]&lt;=Mdate,IF(COUNTIF(S$1:S4,"*Y")=0,"1Y",COUNTIF(S$1:S4,"*Y")+1&amp;"Y"),"N"))</f>
        <v>4Y</v>
      </c>
      <c r="T5" s="38" t="str">
        <f>IF(OR(RiskTracker[[#This Row],[Date Reported]]="",RiskTracker[[#This Row],[Closed Date]]&lt;&gt;""),"",IF(RiskTracker[[#This Row],[Date Reported]]&lt;=CDate,IF(COUNTIF(S$1:S4,"*Y")=0,"1Y",COUNTIF(S$1:S4,"*Y")+1&amp;"Y"),"N"))</f>
        <v>4Y</v>
      </c>
    </row>
    <row r="6" spans="1:20" ht="281.25" x14ac:dyDescent="0.25">
      <c r="A6" s="40"/>
      <c r="B6" s="50" t="s">
        <v>126</v>
      </c>
      <c r="C6" s="41">
        <v>44223</v>
      </c>
      <c r="D6" s="42" t="s">
        <v>28</v>
      </c>
      <c r="E6" s="42" t="s">
        <v>106</v>
      </c>
      <c r="F6" s="43" t="s">
        <v>150</v>
      </c>
      <c r="G6" s="43" t="s">
        <v>151</v>
      </c>
      <c r="H6" s="43" t="s">
        <v>152</v>
      </c>
      <c r="I6" s="43" t="s">
        <v>153</v>
      </c>
      <c r="J6" s="43" t="s">
        <v>154</v>
      </c>
      <c r="K6" s="42" t="s">
        <v>36</v>
      </c>
      <c r="L6" s="42" t="s">
        <v>44</v>
      </c>
      <c r="M6" s="42" t="s">
        <v>44</v>
      </c>
      <c r="N6" s="42" t="s">
        <v>50</v>
      </c>
      <c r="O6" s="43" t="s">
        <v>155</v>
      </c>
      <c r="P6" s="41"/>
      <c r="Q6" s="44">
        <f ca="1">IF(RiskTracker[[#This Row],[Date Reported]]="","",IF(RiskTracker[[#This Row],[Closed Date]]="",TODAY()-RiskTracker[[#This Row],[Date Reported]],RiskTracker[[#This Row],[Closed Date]]-RiskTracker[[#This Row],[Date Reported]]))</f>
        <v>8</v>
      </c>
      <c r="R6" s="43" t="s">
        <v>156</v>
      </c>
      <c r="S6" s="38" t="str">
        <f>IF(OR(RiskTracker[[#This Row],[Date Reported]]="",RiskTracker[[#This Row],[Closed Date]]&lt;&gt;""),"",IF(RiskTracker[[#This Row],[Date Reported]]&lt;=Mdate,IF(COUNTIF(S$1:S5,"*Y")=0,"1Y",COUNTIF(S$1:S5,"*Y")+1&amp;"Y"),"N"))</f>
        <v>5Y</v>
      </c>
      <c r="T6" s="38" t="str">
        <f>IF(OR(RiskTracker[[#This Row],[Date Reported]]="",RiskTracker[[#This Row],[Closed Date]]&lt;&gt;""),"",IF(RiskTracker[[#This Row],[Date Reported]]&lt;=CDate,IF(COUNTIF(S$1:S5,"*Y")=0,"1Y",COUNTIF(S$1:S5,"*Y")+1&amp;"Y"),"N"))</f>
        <v>5Y</v>
      </c>
    </row>
    <row r="7" spans="1:20" ht="112.5" x14ac:dyDescent="0.25">
      <c r="A7" s="40"/>
      <c r="B7" s="50" t="s">
        <v>126</v>
      </c>
      <c r="C7" s="41">
        <v>44223</v>
      </c>
      <c r="D7" s="42" t="s">
        <v>28</v>
      </c>
      <c r="E7" s="42" t="s">
        <v>106</v>
      </c>
      <c r="F7" s="43" t="s">
        <v>157</v>
      </c>
      <c r="G7" s="43" t="s">
        <v>158</v>
      </c>
      <c r="H7" s="43" t="s">
        <v>159</v>
      </c>
      <c r="I7" s="43" t="s">
        <v>160</v>
      </c>
      <c r="J7" s="43" t="s">
        <v>154</v>
      </c>
      <c r="K7" s="42" t="s">
        <v>36</v>
      </c>
      <c r="L7" s="42" t="s">
        <v>44</v>
      </c>
      <c r="M7" s="42" t="s">
        <v>43</v>
      </c>
      <c r="N7" s="42" t="s">
        <v>50</v>
      </c>
      <c r="O7" s="43" t="s">
        <v>161</v>
      </c>
      <c r="P7" s="41"/>
      <c r="Q7" s="44">
        <f ca="1">IF(RiskTracker[[#This Row],[Date Reported]]="","",IF(RiskTracker[[#This Row],[Closed Date]]="",TODAY()-RiskTracker[[#This Row],[Date Reported]],RiskTracker[[#This Row],[Closed Date]]-RiskTracker[[#This Row],[Date Reported]]))</f>
        <v>8</v>
      </c>
      <c r="R7" s="43" t="s">
        <v>162</v>
      </c>
      <c r="S7" s="38" t="str">
        <f>IF(OR(RiskTracker[[#This Row],[Date Reported]]="",RiskTracker[[#This Row],[Closed Date]]&lt;&gt;""),"",IF(RiskTracker[[#This Row],[Date Reported]]&lt;=Mdate,IF(COUNTIF(S$1:S6,"*Y")=0,"1Y",COUNTIF(S$1:S6,"*Y")+1&amp;"Y"),"N"))</f>
        <v>6Y</v>
      </c>
      <c r="T7" s="38" t="str">
        <f>IF(OR(RiskTracker[[#This Row],[Date Reported]]="",RiskTracker[[#This Row],[Closed Date]]&lt;&gt;""),"",IF(RiskTracker[[#This Row],[Date Reported]]&lt;=CDate,IF(COUNTIF(S$1:S6,"*Y")=0,"1Y",COUNTIF(S$1:S6,"*Y")+1&amp;"Y"),"N"))</f>
        <v>6Y</v>
      </c>
    </row>
    <row r="8" spans="1:20" ht="225" x14ac:dyDescent="0.25">
      <c r="A8" s="40"/>
      <c r="B8" s="50" t="s">
        <v>126</v>
      </c>
      <c r="C8" s="41">
        <v>44224</v>
      </c>
      <c r="D8" s="42" t="s">
        <v>27</v>
      </c>
      <c r="E8" s="42" t="s">
        <v>106</v>
      </c>
      <c r="F8" s="43" t="s">
        <v>163</v>
      </c>
      <c r="G8" s="43" t="s">
        <v>164</v>
      </c>
      <c r="H8" s="43"/>
      <c r="I8" s="43"/>
      <c r="J8" s="43"/>
      <c r="K8" s="42"/>
      <c r="L8" s="42"/>
      <c r="M8" s="42"/>
      <c r="N8" s="42"/>
      <c r="O8" s="43" t="s">
        <v>165</v>
      </c>
      <c r="P8" s="41"/>
      <c r="Q8" s="44">
        <f ca="1">IF(RiskTracker[[#This Row],[Date Reported]]="","",IF(RiskTracker[[#This Row],[Closed Date]]="",TODAY()-RiskTracker[[#This Row],[Date Reported]],RiskTracker[[#This Row],[Closed Date]]-RiskTracker[[#This Row],[Date Reported]]))</f>
        <v>7</v>
      </c>
      <c r="R8" s="43"/>
      <c r="S8" s="38" t="str">
        <f>IF(OR(RiskTracker[[#This Row],[Date Reported]]="",RiskTracker[[#This Row],[Closed Date]]&lt;&gt;""),"",IF(RiskTracker[[#This Row],[Date Reported]]&lt;=Mdate,IF(COUNTIF(S$1:S7,"*Y")=0,"1Y",COUNTIF(S$1:S7,"*Y")+1&amp;"Y"),"N"))</f>
        <v>7Y</v>
      </c>
      <c r="T8" s="38" t="str">
        <f>IF(OR(RiskTracker[[#This Row],[Date Reported]]="",RiskTracker[[#This Row],[Closed Date]]&lt;&gt;""),"",IF(RiskTracker[[#This Row],[Date Reported]]&lt;=CDate,IF(COUNTIF(S$1:S7,"*Y")=0,"1Y",COUNTIF(S$1:S7,"*Y")+1&amp;"Y"),"N"))</f>
        <v>7Y</v>
      </c>
    </row>
    <row r="9" spans="1:20" ht="56.25" x14ac:dyDescent="0.25">
      <c r="A9" s="40"/>
      <c r="B9" s="50" t="s">
        <v>126</v>
      </c>
      <c r="C9" s="41">
        <v>44224</v>
      </c>
      <c r="D9" s="42" t="s">
        <v>28</v>
      </c>
      <c r="E9" s="42" t="s">
        <v>106</v>
      </c>
      <c r="F9" s="43" t="s">
        <v>166</v>
      </c>
      <c r="G9" s="43" t="s">
        <v>167</v>
      </c>
      <c r="H9" s="43"/>
      <c r="I9" s="43"/>
      <c r="J9" s="43"/>
      <c r="K9" s="42"/>
      <c r="L9" s="42"/>
      <c r="M9" s="42"/>
      <c r="N9" s="42"/>
      <c r="O9" s="43" t="s">
        <v>168</v>
      </c>
      <c r="P9" s="41"/>
      <c r="Q9" s="44">
        <f ca="1">IF(RiskTracker[[#This Row],[Date Reported]]="","",IF(RiskTracker[[#This Row],[Closed Date]]="",TODAY()-RiskTracker[[#This Row],[Date Reported]],RiskTracker[[#This Row],[Closed Date]]-RiskTracker[[#This Row],[Date Reported]]))</f>
        <v>7</v>
      </c>
      <c r="R9" s="43"/>
      <c r="S9" s="38" t="str">
        <f>IF(OR(RiskTracker[[#This Row],[Date Reported]]="",RiskTracker[[#This Row],[Closed Date]]&lt;&gt;""),"",IF(RiskTracker[[#This Row],[Date Reported]]&lt;=Mdate,IF(COUNTIF(S$1:S8,"*Y")=0,"1Y",COUNTIF(S$1:S8,"*Y")+1&amp;"Y"),"N"))</f>
        <v>8Y</v>
      </c>
      <c r="T9" s="38" t="str">
        <f>IF(OR(RiskTracker[[#This Row],[Date Reported]]="",RiskTracker[[#This Row],[Closed Date]]&lt;&gt;""),"",IF(RiskTracker[[#This Row],[Date Reported]]&lt;=CDate,IF(COUNTIF(S$1:S8,"*Y")=0,"1Y",COUNTIF(S$1:S8,"*Y")+1&amp;"Y"),"N"))</f>
        <v>8Y</v>
      </c>
    </row>
    <row r="10" spans="1:20" ht="56.25" x14ac:dyDescent="0.25">
      <c r="A10" s="40"/>
      <c r="B10" s="50" t="s">
        <v>126</v>
      </c>
      <c r="C10" s="41">
        <v>44224</v>
      </c>
      <c r="D10" s="42" t="s">
        <v>28</v>
      </c>
      <c r="E10" s="42"/>
      <c r="F10" s="43" t="s">
        <v>169</v>
      </c>
      <c r="G10" s="43" t="s">
        <v>170</v>
      </c>
      <c r="H10" s="43"/>
      <c r="I10" s="43"/>
      <c r="J10" s="43"/>
      <c r="K10" s="42"/>
      <c r="L10" s="42"/>
      <c r="M10" s="42"/>
      <c r="N10" s="42"/>
      <c r="O10" s="43"/>
      <c r="P10" s="41"/>
      <c r="Q10" s="44">
        <f ca="1">IF(RiskTracker[[#This Row],[Date Reported]]="","",IF(RiskTracker[[#This Row],[Closed Date]]="",TODAY()-RiskTracker[[#This Row],[Date Reported]],RiskTracker[[#This Row],[Closed Date]]-RiskTracker[[#This Row],[Date Reported]]))</f>
        <v>7</v>
      </c>
      <c r="R10" s="43"/>
      <c r="S10" s="38" t="str">
        <f>IF(OR(RiskTracker[[#This Row],[Date Reported]]="",RiskTracker[[#This Row],[Closed Date]]&lt;&gt;""),"",IF(RiskTracker[[#This Row],[Date Reported]]&lt;=Mdate,IF(COUNTIF(S$1:S9,"*Y")=0,"1Y",COUNTIF(S$1:S9,"*Y")+1&amp;"Y"),"N"))</f>
        <v>9Y</v>
      </c>
      <c r="T10" s="38" t="str">
        <f>IF(OR(RiskTracker[[#This Row],[Date Reported]]="",RiskTracker[[#This Row],[Closed Date]]&lt;&gt;""),"",IF(RiskTracker[[#This Row],[Date Reported]]&lt;=CDate,IF(COUNTIF(S$1:S9,"*Y")=0,"1Y",COUNTIF(S$1:S9,"*Y")+1&amp;"Y"),"N"))</f>
        <v>9Y</v>
      </c>
    </row>
    <row r="11" spans="1:20" ht="150" x14ac:dyDescent="0.25">
      <c r="A11" s="40"/>
      <c r="B11" s="50" t="s">
        <v>126</v>
      </c>
      <c r="C11" s="41">
        <v>44224</v>
      </c>
      <c r="D11" s="42" t="s">
        <v>28</v>
      </c>
      <c r="E11" s="42"/>
      <c r="F11" s="43" t="s">
        <v>171</v>
      </c>
      <c r="G11" s="43" t="s">
        <v>170</v>
      </c>
      <c r="H11" s="43"/>
      <c r="I11" s="43" t="s">
        <v>172</v>
      </c>
      <c r="J11" s="43"/>
      <c r="K11" s="42"/>
      <c r="L11" s="42"/>
      <c r="M11" s="42"/>
      <c r="N11" s="42"/>
      <c r="O11" s="43"/>
      <c r="P11" s="41"/>
      <c r="Q11" s="44">
        <f ca="1">IF(RiskTracker[[#This Row],[Date Reported]]="","",IF(RiskTracker[[#This Row],[Closed Date]]="",TODAY()-RiskTracker[[#This Row],[Date Reported]],RiskTracker[[#This Row],[Closed Date]]-RiskTracker[[#This Row],[Date Reported]]))</f>
        <v>7</v>
      </c>
      <c r="R11" s="43" t="s">
        <v>173</v>
      </c>
      <c r="S11" s="38" t="str">
        <f>IF(OR(RiskTracker[[#This Row],[Date Reported]]="",RiskTracker[[#This Row],[Closed Date]]&lt;&gt;""),"",IF(RiskTracker[[#This Row],[Date Reported]]&lt;=Mdate,IF(COUNTIF(S$1:S10,"*Y")=0,"1Y",COUNTIF(S$1:S10,"*Y")+1&amp;"Y"),"N"))</f>
        <v>10Y</v>
      </c>
      <c r="T11" s="38" t="str">
        <f>IF(OR(RiskTracker[[#This Row],[Date Reported]]="",RiskTracker[[#This Row],[Closed Date]]&lt;&gt;""),"",IF(RiskTracker[[#This Row],[Date Reported]]&lt;=CDate,IF(COUNTIF(S$1:S10,"*Y")=0,"1Y",COUNTIF(S$1:S10,"*Y")+1&amp;"Y"),"N"))</f>
        <v>10Y</v>
      </c>
    </row>
    <row r="12" spans="1:20" ht="56.25" x14ac:dyDescent="0.25">
      <c r="A12" s="40"/>
      <c r="B12" s="50" t="s">
        <v>126</v>
      </c>
      <c r="C12" s="41">
        <v>44228</v>
      </c>
      <c r="D12" s="42" t="s">
        <v>17</v>
      </c>
      <c r="E12" s="42"/>
      <c r="F12" s="43" t="s">
        <v>283</v>
      </c>
      <c r="G12" s="43" t="s">
        <v>284</v>
      </c>
      <c r="H12" s="43"/>
      <c r="I12" s="43"/>
      <c r="J12" s="43"/>
      <c r="K12" s="42"/>
      <c r="L12" s="42"/>
      <c r="M12" s="42"/>
      <c r="N12" s="42"/>
      <c r="O12" s="43"/>
      <c r="P12" s="41"/>
      <c r="Q12" s="44">
        <f ca="1">IF(RiskTracker[[#This Row],[Date Reported]]="","",IF(RiskTracker[[#This Row],[Closed Date]]="",TODAY()-RiskTracker[[#This Row],[Date Reported]],RiskTracker[[#This Row],[Closed Date]]-RiskTracker[[#This Row],[Date Reported]]))</f>
        <v>3</v>
      </c>
      <c r="R12" s="43"/>
      <c r="S12" s="38" t="str">
        <f>IF(OR(RiskTracker[[#This Row],[Date Reported]]="",RiskTracker[[#This Row],[Closed Date]]&lt;&gt;""),"",IF(RiskTracker[[#This Row],[Date Reported]]&lt;=Mdate,IF(COUNTIF(S$1:S11,"*Y")=0,"1Y",COUNTIF(S$1:S11,"*Y")+1&amp;"Y"),"N"))</f>
        <v>11Y</v>
      </c>
      <c r="T12" s="38" t="str">
        <f>IF(OR(RiskTracker[[#This Row],[Date Reported]]="",RiskTracker[[#This Row],[Closed Date]]&lt;&gt;""),"",IF(RiskTracker[[#This Row],[Date Reported]]&lt;=CDate,IF(COUNTIF(S$1:S11,"*Y")=0,"1Y",COUNTIF(S$1:S11,"*Y")+1&amp;"Y"),"N"))</f>
        <v>N</v>
      </c>
    </row>
    <row r="13" spans="1:20" ht="56.25" x14ac:dyDescent="0.25">
      <c r="A13" s="40"/>
      <c r="B13" s="50" t="s">
        <v>126</v>
      </c>
      <c r="C13" s="41">
        <v>44208</v>
      </c>
      <c r="D13" s="42"/>
      <c r="E13" s="42"/>
      <c r="F13" s="43" t="s">
        <v>317</v>
      </c>
      <c r="G13" s="43"/>
      <c r="H13" s="43"/>
      <c r="I13" s="43"/>
      <c r="J13" s="43"/>
      <c r="K13" s="42"/>
      <c r="L13" s="42"/>
      <c r="M13" s="42"/>
      <c r="N13" s="42"/>
      <c r="O13" s="43"/>
      <c r="P13" s="41"/>
      <c r="Q13" s="44">
        <f ca="1">IF(RiskTracker[[#This Row],[Date Reported]]="","",IF(RiskTracker[[#This Row],[Closed Date]]="",TODAY()-RiskTracker[[#This Row],[Date Reported]],RiskTracker[[#This Row],[Closed Date]]-RiskTracker[[#This Row],[Date Reported]]))</f>
        <v>23</v>
      </c>
      <c r="R13" s="43"/>
      <c r="S13" s="38" t="str">
        <f>IF(OR(RiskTracker[[#This Row],[Date Reported]]="",RiskTracker[[#This Row],[Closed Date]]&lt;&gt;""),"",IF(RiskTracker[[#This Row],[Date Reported]]&lt;=Mdate,IF(COUNTIF(S$1:S12,"*Y")=0,"1Y",COUNTIF(S$1:S12,"*Y")+1&amp;"Y"),"N"))</f>
        <v>12Y</v>
      </c>
      <c r="T13" s="38" t="str">
        <f>IF(OR(RiskTracker[[#This Row],[Date Reported]]="",RiskTracker[[#This Row],[Closed Date]]&lt;&gt;""),"",IF(RiskTracker[[#This Row],[Date Reported]]&lt;=CDate,IF(COUNTIF(S$1:S12,"*Y")=0,"1Y",COUNTIF(S$1:S12,"*Y")+1&amp;"Y"),"N"))</f>
        <v>12Y</v>
      </c>
    </row>
    <row r="14" spans="1:20" ht="56.25" x14ac:dyDescent="0.25">
      <c r="A14" s="40"/>
      <c r="B14" s="50" t="s">
        <v>126</v>
      </c>
      <c r="C14" s="41">
        <v>44211</v>
      </c>
      <c r="D14" s="42"/>
      <c r="E14" s="42"/>
      <c r="F14" s="43" t="s">
        <v>318</v>
      </c>
      <c r="G14" s="43"/>
      <c r="H14" s="43"/>
      <c r="I14" s="43"/>
      <c r="J14" s="43"/>
      <c r="K14" s="42"/>
      <c r="L14" s="42"/>
      <c r="M14" s="42"/>
      <c r="N14" s="42"/>
      <c r="O14" s="43"/>
      <c r="P14" s="41"/>
      <c r="Q14" s="44">
        <f ca="1">IF(RiskTracker[[#This Row],[Date Reported]]="","",IF(RiskTracker[[#This Row],[Closed Date]]="",TODAY()-RiskTracker[[#This Row],[Date Reported]],RiskTracker[[#This Row],[Closed Date]]-RiskTracker[[#This Row],[Date Reported]]))</f>
        <v>20</v>
      </c>
      <c r="R14" s="43"/>
      <c r="S14" s="38" t="str">
        <f>IF(OR(RiskTracker[[#This Row],[Date Reported]]="",RiskTracker[[#This Row],[Closed Date]]&lt;&gt;""),"",IF(RiskTracker[[#This Row],[Date Reported]]&lt;=Mdate,IF(COUNTIF(S$1:S13,"*Y")=0,"1Y",COUNTIF(S$1:S13,"*Y")+1&amp;"Y"),"N"))</f>
        <v>13Y</v>
      </c>
      <c r="T14" s="38" t="str">
        <f>IF(OR(RiskTracker[[#This Row],[Date Reported]]="",RiskTracker[[#This Row],[Closed Date]]&lt;&gt;""),"",IF(RiskTracker[[#This Row],[Date Reported]]&lt;=CDate,IF(COUNTIF(S$1:S13,"*Y")=0,"1Y",COUNTIF(S$1:S13,"*Y")+1&amp;"Y"),"N"))</f>
        <v>13Y</v>
      </c>
    </row>
    <row r="15" spans="1:20" ht="112.5" x14ac:dyDescent="0.25">
      <c r="A15" s="40"/>
      <c r="B15" s="50" t="s">
        <v>126</v>
      </c>
      <c r="C15" s="41">
        <v>44231</v>
      </c>
      <c r="D15" s="42"/>
      <c r="E15" s="42"/>
      <c r="F15" s="43" t="s">
        <v>324</v>
      </c>
      <c r="G15" s="43" t="s">
        <v>325</v>
      </c>
      <c r="H15" s="43" t="s">
        <v>326</v>
      </c>
      <c r="I15" s="43"/>
      <c r="J15" s="43"/>
      <c r="K15" s="42"/>
      <c r="L15" s="42"/>
      <c r="M15" s="42"/>
      <c r="N15" s="42"/>
      <c r="O15" s="43"/>
      <c r="P15" s="41"/>
      <c r="Q15" s="44">
        <f ca="1">IF(RiskTracker[[#This Row],[Date Reported]]="","",IF(RiskTracker[[#This Row],[Closed Date]]="",TODAY()-RiskTracker[[#This Row],[Date Reported]],RiskTracker[[#This Row],[Closed Date]]-RiskTracker[[#This Row],[Date Reported]]))</f>
        <v>0</v>
      </c>
      <c r="R15" s="43"/>
      <c r="S15" s="38" t="str">
        <f>IF(OR(RiskTracker[[#This Row],[Date Reported]]="",RiskTracker[[#This Row],[Closed Date]]&lt;&gt;""),"",IF(RiskTracker[[#This Row],[Date Reported]]&lt;=Mdate,IF(COUNTIF(S$1:S14,"*Y")=0,"1Y",COUNTIF(S$1:S14,"*Y")+1&amp;"Y"),"N"))</f>
        <v>14Y</v>
      </c>
      <c r="T15" s="38" t="str">
        <f>IF(OR(RiskTracker[[#This Row],[Date Reported]]="",RiskTracker[[#This Row],[Closed Date]]&lt;&gt;""),"",IF(RiskTracker[[#This Row],[Date Reported]]&lt;=CDate,IF(COUNTIF(S$1:S14,"*Y")=0,"1Y",COUNTIF(S$1:S14,"*Y")+1&amp;"Y"),"N"))</f>
        <v>N</v>
      </c>
    </row>
    <row r="16" spans="1:20" ht="18.75" x14ac:dyDescent="0.25">
      <c r="A16" s="40"/>
      <c r="B16" s="50"/>
      <c r="C16" s="41"/>
      <c r="D16" s="42"/>
      <c r="E16" s="42"/>
      <c r="F16" s="43"/>
      <c r="G16" s="43"/>
      <c r="H16" s="43"/>
      <c r="I16" s="43"/>
      <c r="J16" s="43"/>
      <c r="K16" s="42"/>
      <c r="L16" s="42"/>
      <c r="M16" s="42"/>
      <c r="N16" s="42"/>
      <c r="O16" s="43"/>
      <c r="P16" s="41"/>
      <c r="Q16" s="44" t="str">
        <f ca="1">IF(RiskTracker[[#This Row],[Date Reported]]="","",IF(RiskTracker[[#This Row],[Closed Date]]="",TODAY()-RiskTracker[[#This Row],[Date Reported]],RiskTracker[[#This Row],[Closed Date]]-RiskTracker[[#This Row],[Date Reported]]))</f>
        <v/>
      </c>
      <c r="R16" s="43"/>
      <c r="S16" s="38" t="str">
        <f>IF(OR(RiskTracker[[#This Row],[Date Reported]]="",RiskTracker[[#This Row],[Closed Date]]&lt;&gt;""),"",IF(RiskTracker[[#This Row],[Date Reported]]&lt;=Mdate,IF(COUNTIF(S$1:S15,"*Y")=0,"1Y",COUNTIF(S$1:S15,"*Y")+1&amp;"Y"),"N"))</f>
        <v/>
      </c>
      <c r="T16" s="38" t="str">
        <f>IF(OR(RiskTracker[[#This Row],[Date Reported]]="",RiskTracker[[#This Row],[Closed Date]]&lt;&gt;""),"",IF(RiskTracker[[#This Row],[Date Reported]]&lt;=CDate,IF(COUNTIF(S$1:S15,"*Y")=0,"1Y",COUNTIF(S$1:S15,"*Y")+1&amp;"Y"),"N"))</f>
        <v/>
      </c>
    </row>
  </sheetData>
  <sheetProtection algorithmName="SHA-512" hashValue="Gi+joaybCT35QL/LSNvwgL7wS4oF6SJSf2YrCTis1s7m5eRhRtC+PyaZVyJcswKeVo1ZYBhN+ZaWFofaBgQg0A==" saltValue="qt0u3WMW0iZP86bQuUSaaA==" spinCount="100000" sheet="1" objects="1" scenarios="1"/>
  <phoneticPr fontId="2" type="noConversion"/>
  <dataValidations count="7">
    <dataValidation type="list" allowBlank="1" showInputMessage="1" showErrorMessage="1" sqref="D2:D33">
      <formula1>OFFSET(INDIRECT("Risk[Risk_Category]"),,,COUNTA(INDIRECT("Risk[Risk_Category]")))</formula1>
    </dataValidation>
    <dataValidation type="list" allowBlank="1" showInputMessage="1" showErrorMessage="1" sqref="E2:E33">
      <formula1>"Internal,External"</formula1>
    </dataValidation>
    <dataValidation type="list" allowBlank="1" showInputMessage="1" showErrorMessage="1" sqref="N2:N33">
      <formula1>OFFSET(INDIRECT("Risk[Risk_Strategy]"),,,COUNTA(INDIRECT("Risk[Risk_Strategy]")))</formula1>
    </dataValidation>
    <dataValidation type="list" allowBlank="1" showInputMessage="1" showErrorMessage="1" sqref="M2:M33">
      <formula1>OFFSET(INDIRECT("Risk[Risk_Probability]"),,,COUNTA(INDIRECT("Risk[Risk_Probability]")))</formula1>
    </dataValidation>
    <dataValidation type="list" allowBlank="1" showInputMessage="1" showErrorMessage="1" sqref="L2:L33">
      <formula1>OFFSET(INDIRECT("Risk[Risk_Severity]"),,,COUNTA(INDIRECT("Risk[Risk_Severity]")))</formula1>
    </dataValidation>
    <dataValidation type="list" allowBlank="1" showInputMessage="1" showErrorMessage="1" sqref="K2:K33">
      <formula1>OFFSET(INDIRECT("Risk[Risk_Status]"),,,COUNTA(INDIRECT("Risk[Risk_Status]")))</formula1>
    </dataValidation>
    <dataValidation type="list" allowBlank="1" showInputMessage="1" showErrorMessage="1" sqref="B2:B33">
      <formula1>INDIRECT("Projects[Project_Name]")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A1:R4"/>
  <sheetViews>
    <sheetView showGridLines="0" zoomScale="90" zoomScaleNormal="90" workbookViewId="0">
      <selection activeCell="M19" sqref="M19"/>
    </sheetView>
  </sheetViews>
  <sheetFormatPr defaultColWidth="8.85546875" defaultRowHeight="15" x14ac:dyDescent="0.25"/>
  <cols>
    <col min="1" max="1" width="14.28515625" style="39" customWidth="1"/>
    <col min="2" max="2" width="14.28515625" style="34" customWidth="1"/>
    <col min="3" max="3" width="25.28515625" style="36" bestFit="1" customWidth="1"/>
    <col min="4" max="4" width="13.28515625" style="34" customWidth="1"/>
    <col min="5" max="5" width="12.7109375" style="34" customWidth="1"/>
    <col min="6" max="6" width="23.140625" style="36" bestFit="1" customWidth="1"/>
    <col min="7" max="7" width="22.28515625" style="34" bestFit="1" customWidth="1"/>
    <col min="8" max="8" width="8.85546875" style="34"/>
    <col min="9" max="9" width="12.28515625" style="34" customWidth="1"/>
    <col min="10" max="10" width="12.42578125" style="34" customWidth="1"/>
    <col min="11" max="11" width="9.42578125" style="34" customWidth="1"/>
    <col min="12" max="12" width="8.85546875" style="34"/>
    <col min="13" max="13" width="9.42578125" style="34" customWidth="1"/>
    <col min="14" max="14" width="22.28515625" style="36" bestFit="1" customWidth="1"/>
    <col min="15" max="15" width="16.42578125" style="34" customWidth="1"/>
    <col min="16" max="16" width="16.85546875" style="34" customWidth="1"/>
    <col min="17" max="17" width="8.7109375" style="34" hidden="1" customWidth="1"/>
    <col min="18" max="18" width="8.85546875" style="34" hidden="1" customWidth="1"/>
    <col min="19" max="16384" width="8.85546875" style="34"/>
  </cols>
  <sheetData>
    <row r="1" spans="1:18" x14ac:dyDescent="0.25">
      <c r="A1" s="39" t="s">
        <v>55</v>
      </c>
      <c r="B1" s="34" t="s">
        <v>119</v>
      </c>
      <c r="C1" s="36" t="s">
        <v>1</v>
      </c>
      <c r="D1" s="34" t="s">
        <v>56</v>
      </c>
      <c r="E1" s="34" t="s">
        <v>57</v>
      </c>
      <c r="F1" s="36" t="s">
        <v>58</v>
      </c>
      <c r="G1" s="34" t="s">
        <v>4</v>
      </c>
      <c r="H1" s="34" t="s">
        <v>5</v>
      </c>
      <c r="I1" s="34" t="s">
        <v>60</v>
      </c>
      <c r="J1" s="34" t="s">
        <v>61</v>
      </c>
      <c r="K1" s="34" t="s">
        <v>9</v>
      </c>
      <c r="L1" s="34" t="s">
        <v>10</v>
      </c>
      <c r="M1" s="34" t="s">
        <v>11</v>
      </c>
      <c r="N1" s="36" t="s">
        <v>59</v>
      </c>
      <c r="O1" s="34" t="s">
        <v>120</v>
      </c>
      <c r="P1" s="34" t="s">
        <v>15</v>
      </c>
      <c r="Q1" s="34" t="s">
        <v>105</v>
      </c>
      <c r="R1" s="34" t="s">
        <v>110</v>
      </c>
    </row>
    <row r="2" spans="1:18" x14ac:dyDescent="0.25">
      <c r="A2" s="39">
        <v>1</v>
      </c>
      <c r="B2" s="34" t="s">
        <v>126</v>
      </c>
      <c r="C2" s="36">
        <v>44231</v>
      </c>
      <c r="D2" s="34" t="s">
        <v>174</v>
      </c>
      <c r="E2" s="34" t="s">
        <v>319</v>
      </c>
      <c r="F2" s="36">
        <v>44253</v>
      </c>
      <c r="G2" s="34" t="s">
        <v>320</v>
      </c>
      <c r="K2" s="34" t="s">
        <v>65</v>
      </c>
      <c r="L2" s="34" t="s">
        <v>43</v>
      </c>
      <c r="O2" s="37">
        <f ca="1">IF(IssueTracker[[#This Row],[Date Reported]]="","",IF(IssueTracker[[#This Row],[Resolution Date]]="",TODAY()-IssueTracker[[#This Row],[Date Reported]],IssueTracker[[#This Row],[Resolution Date]]-IssueTracker[[#This Row],[Date Reported]]))</f>
        <v>0</v>
      </c>
      <c r="Q2" s="34" t="str">
        <f>IF(OR(IssueTracker[[#This Row],[Date Reported]]="",IssueTracker[[#This Row],[Resolution Date]]&lt;&gt;""),"",IF(IssueTracker[[#This Row],[Date Reported]]&lt;=Mdate,IF(COUNTIF(Q$1:Q1,"*Y")=0,"1Y",COUNTIF(Q$1:Q1,"*Y")+1&amp;"Y"),"N"))</f>
        <v>1Y</v>
      </c>
      <c r="R2" s="34" t="str">
        <f>IF(OR(IssueTracker[[#This Row],[Date Reported]]="",IssueTracker[[#This Row],[Resolution Date]]&lt;&gt;""),"",IF(IssueTracker[[#This Row],[Date Reported]]&lt;=CDate,IF(COUNTIF(Q$1:Q1,"*Y")=0,"1Y",COUNTIF(Q$1:Q1,"*Y")+1&amp;"Y"),"N"))</f>
        <v>N</v>
      </c>
    </row>
    <row r="3" spans="1:18" x14ac:dyDescent="0.25">
      <c r="A3" s="39">
        <v>2</v>
      </c>
      <c r="B3" s="34" t="s">
        <v>126</v>
      </c>
      <c r="C3" s="36">
        <v>44231</v>
      </c>
      <c r="D3" s="34" t="s">
        <v>210</v>
      </c>
      <c r="E3" s="34" t="s">
        <v>319</v>
      </c>
      <c r="F3" s="36">
        <v>44253</v>
      </c>
      <c r="G3" s="34" t="s">
        <v>321</v>
      </c>
      <c r="K3" s="34" t="s">
        <v>65</v>
      </c>
      <c r="O3" s="37">
        <f ca="1">IF(IssueTracker[[#This Row],[Date Reported]]="","",IF(IssueTracker[[#This Row],[Resolution Date]]="",TODAY()-IssueTracker[[#This Row],[Date Reported]],IssueTracker[[#This Row],[Resolution Date]]-IssueTracker[[#This Row],[Date Reported]]))</f>
        <v>0</v>
      </c>
      <c r="Q3" s="34" t="str">
        <f>IF(OR(IssueTracker[[#This Row],[Date Reported]]="",IssueTracker[[#This Row],[Resolution Date]]&lt;&gt;""),"",IF(IssueTracker[[#This Row],[Date Reported]]&lt;=Mdate,IF(COUNTIF(Q$1:Q2,"*Y")=0,"1Y",COUNTIF(Q$1:Q2,"*Y")+1&amp;"Y"),"N"))</f>
        <v>2Y</v>
      </c>
      <c r="R3" s="34" t="str">
        <f>IF(OR(IssueTracker[[#This Row],[Date Reported]]="",IssueTracker[[#This Row],[Resolution Date]]&lt;&gt;""),"",IF(IssueTracker[[#This Row],[Date Reported]]&lt;=CDate,IF(COUNTIF(Q$1:Q2,"*Y")=0,"1Y",COUNTIF(Q$1:Q2,"*Y")+1&amp;"Y"),"N"))</f>
        <v>N</v>
      </c>
    </row>
    <row r="4" spans="1:18" x14ac:dyDescent="0.25">
      <c r="G4" s="34" t="s">
        <v>322</v>
      </c>
      <c r="H4" s="34" t="s">
        <v>323</v>
      </c>
      <c r="K4" s="34" t="s">
        <v>65</v>
      </c>
      <c r="O4" s="37" t="str">
        <f ca="1">IF(IssueTracker[[#This Row],[Date Reported]]="","",IF(IssueTracker[[#This Row],[Resolution Date]]="",TODAY()-IssueTracker[[#This Row],[Date Reported]],IssueTracker[[#This Row],[Resolution Date]]-IssueTracker[[#This Row],[Date Reported]]))</f>
        <v/>
      </c>
      <c r="Q4" s="38" t="str">
        <f>IF(OR(IssueTracker[[#This Row],[Date Reported]]="",IssueTracker[[#This Row],[Resolution Date]]&lt;&gt;""),"",IF(IssueTracker[[#This Row],[Date Reported]]&lt;=Mdate,IF(COUNTIF(Q$1:Q3,"*Y")=0,"1Y",COUNTIF(Q$1:Q3,"*Y")+1&amp;"Y"),"N"))</f>
        <v/>
      </c>
      <c r="R4" s="38" t="str">
        <f>IF(OR(IssueTracker[[#This Row],[Date Reported]]="",IssueTracker[[#This Row],[Resolution Date]]&lt;&gt;""),"",IF(IssueTracker[[#This Row],[Date Reported]]&lt;=CDate,IF(COUNTIF(Q$1:Q3,"*Y")=0,"1Y",COUNTIF(Q$1:Q3,"*Y")+1&amp;"Y"),"N"))</f>
        <v/>
      </c>
    </row>
  </sheetData>
  <sheetProtection algorithmName="SHA-512" hashValue="Fi9+LpXPmEpUUG7wyNogJ130IMIGVC7y930Sy8V34zjwxbjgZSDCS3aFoSFEy9YfzC079Q1Q6cDOO1dijqpETA==" saltValue="oowVrVCV0Lp4xWKqTDxQVg==" spinCount="100000" sheet="1" objects="1" scenarios="1"/>
  <dataValidations count="4">
    <dataValidation type="list" allowBlank="1" showInputMessage="1" showErrorMessage="1" sqref="L5:L6 K2:K29">
      <formula1>OFFSET(INDIRECT("Issue[Issue_Status]"),,,COUNTA(INDIRECT("Issue[Issue_Status]")))</formula1>
    </dataValidation>
    <dataValidation type="list" allowBlank="1" showInputMessage="1" showErrorMessage="1" sqref="M5:M6 L2:L4">
      <formula1>OFFSET(INDIRECT("Issue[Issue_Severity]"),,,COUNTA(INDIRECT("Issue[Issue_Severity]")))</formula1>
    </dataValidation>
    <dataValidation type="list" allowBlank="1" showInputMessage="1" showErrorMessage="1" sqref="N5:O6 M2:M4">
      <formula1>OFFSET(INDIRECT("Issue[Issue_Probability]"),,,COUNTA(INDIRECT("Issue[Issue_Probability]")))</formula1>
    </dataValidation>
    <dataValidation type="list" allowBlank="1" showInputMessage="1" showErrorMessage="1" sqref="B2:B29">
      <formula1>INDIRECT("Projects[Project_Name]")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7" tint="-0.249977111117893"/>
  </sheetPr>
  <dimension ref="A1:R12"/>
  <sheetViews>
    <sheetView showGridLines="0" topLeftCell="C7" zoomScale="80" zoomScaleNormal="80" workbookViewId="0">
      <selection activeCell="D4" sqref="D4"/>
    </sheetView>
  </sheetViews>
  <sheetFormatPr defaultColWidth="8.85546875" defaultRowHeight="18.75" x14ac:dyDescent="0.25"/>
  <cols>
    <col min="1" max="1" width="15.5703125" style="63" customWidth="1"/>
    <col min="2" max="2" width="23.42578125" style="42" bestFit="1" customWidth="1"/>
    <col min="3" max="3" width="22.140625" style="41" bestFit="1" customWidth="1"/>
    <col min="4" max="4" width="13.28515625" style="42" customWidth="1"/>
    <col min="5" max="5" width="14.28515625" style="42" customWidth="1"/>
    <col min="6" max="6" width="22.5703125" style="41" bestFit="1" customWidth="1"/>
    <col min="7" max="7" width="28.85546875" style="42" customWidth="1"/>
    <col min="8" max="8" width="40.85546875" style="42" customWidth="1"/>
    <col min="9" max="9" width="24.85546875" style="42" customWidth="1"/>
    <col min="10" max="10" width="15.140625" style="42" bestFit="1" customWidth="1"/>
    <col min="11" max="11" width="17.140625" style="42" bestFit="1" customWidth="1"/>
    <col min="12" max="12" width="14" style="42" bestFit="1" customWidth="1"/>
    <col min="13" max="13" width="13.140625" style="42" bestFit="1" customWidth="1"/>
    <col min="14" max="14" width="22.140625" style="41" bestFit="1" customWidth="1"/>
    <col min="15" max="15" width="10.7109375" style="64" customWidth="1"/>
    <col min="16" max="16" width="30.85546875" style="43" customWidth="1"/>
    <col min="17" max="18" width="8.7109375" style="42" hidden="1" customWidth="1"/>
    <col min="19" max="16384" width="8.85546875" style="42"/>
  </cols>
  <sheetData>
    <row r="1" spans="1:18" s="48" customFormat="1" ht="37.5" x14ac:dyDescent="0.25">
      <c r="A1" s="65" t="s">
        <v>68</v>
      </c>
      <c r="B1" s="60" t="s">
        <v>119</v>
      </c>
      <c r="C1" s="61" t="s">
        <v>1</v>
      </c>
      <c r="D1" s="60" t="s">
        <v>56</v>
      </c>
      <c r="E1" s="60" t="s">
        <v>69</v>
      </c>
      <c r="F1" s="61" t="s">
        <v>58</v>
      </c>
      <c r="G1" s="60" t="s">
        <v>4</v>
      </c>
      <c r="H1" s="60" t="s">
        <v>5</v>
      </c>
      <c r="I1" s="60" t="s">
        <v>70</v>
      </c>
      <c r="J1" s="60" t="s">
        <v>71</v>
      </c>
      <c r="K1" s="60" t="s">
        <v>2</v>
      </c>
      <c r="L1" s="60" t="s">
        <v>9</v>
      </c>
      <c r="M1" s="60" t="s">
        <v>10</v>
      </c>
      <c r="N1" s="61" t="s">
        <v>59</v>
      </c>
      <c r="O1" s="60" t="s">
        <v>120</v>
      </c>
      <c r="P1" s="60" t="s">
        <v>15</v>
      </c>
      <c r="Q1" s="48" t="s">
        <v>105</v>
      </c>
      <c r="R1" s="48" t="s">
        <v>110</v>
      </c>
    </row>
    <row r="2" spans="1:18" ht="37.5" x14ac:dyDescent="0.25">
      <c r="A2" s="58">
        <v>1</v>
      </c>
      <c r="B2" s="42" t="s">
        <v>126</v>
      </c>
      <c r="C2" s="53">
        <v>44201</v>
      </c>
      <c r="D2" s="54" t="s">
        <v>174</v>
      </c>
      <c r="E2" s="54" t="s">
        <v>175</v>
      </c>
      <c r="F2" s="53" t="s">
        <v>176</v>
      </c>
      <c r="G2" s="52" t="s">
        <v>177</v>
      </c>
      <c r="H2" s="52" t="s">
        <v>178</v>
      </c>
      <c r="I2" s="52"/>
      <c r="J2" s="54" t="s">
        <v>179</v>
      </c>
      <c r="K2" s="54" t="s">
        <v>122</v>
      </c>
      <c r="L2" s="42" t="s">
        <v>65</v>
      </c>
      <c r="M2" s="54" t="s">
        <v>45</v>
      </c>
      <c r="N2" s="53"/>
      <c r="O2" s="44">
        <f ca="1">IF(ImpedTracker[[#This Row],[Date Reported]]="","",IF(ImpedTracker[[#This Row],[Resolution Date]]="",TODAY()-ImpedTracker[[#This Row],[Date Reported]],ImpedTracker[[#This Row],[Resolution Date]]-ImpedTracker[[#This Row],[Date Reported]]))</f>
        <v>30</v>
      </c>
      <c r="P2" s="52" t="s">
        <v>180</v>
      </c>
      <c r="Q2" s="42" t="str">
        <f>IF(OR(ImpedTracker[[#This Row],[Date Reported]]="",ImpedTracker[[#This Row],[Resolution Date]]&lt;&gt;""),"",IF(ImpedTracker[[#This Row],[Date Reported]]&lt;=Mdate,IF(COUNTIF(Q$1:Q1,"*Y")=0,"1Y",COUNTIF(Q$1:Q1,"*Y")+1&amp;"Y"),"N"))</f>
        <v>1Y</v>
      </c>
      <c r="R2" s="42" t="str">
        <f>IF(OR(ImpedTracker[[#This Row],[Date Reported]]="",ImpedTracker[[#This Row],[Resolution Date]]&lt;&gt;""),"",IF(ImpedTracker[[#This Row],[Date Reported]]&lt;=CDate,IF(COUNTIF(Q$1:Q1,"*Y")=0,"1Y",COUNTIF(Q$1:Q1,"*Y")+1&amp;"Y"),"N"))</f>
        <v>1Y</v>
      </c>
    </row>
    <row r="3" spans="1:18" x14ac:dyDescent="0.25">
      <c r="A3" s="59"/>
      <c r="C3" s="56"/>
      <c r="D3" s="57"/>
      <c r="E3" s="57" t="s">
        <v>181</v>
      </c>
      <c r="F3" s="56" t="s">
        <v>176</v>
      </c>
      <c r="G3" s="55"/>
      <c r="H3" s="55" t="s">
        <v>182</v>
      </c>
      <c r="I3" s="55"/>
      <c r="J3" s="57" t="s">
        <v>179</v>
      </c>
      <c r="K3" s="57" t="s">
        <v>122</v>
      </c>
      <c r="L3" s="42" t="s">
        <v>37</v>
      </c>
      <c r="M3" s="57" t="s">
        <v>45</v>
      </c>
      <c r="N3" s="56" t="s">
        <v>183</v>
      </c>
      <c r="O3" s="44" t="str">
        <f ca="1">IF(ImpedTracker[[#This Row],[Date Reported]]="","",IF(ImpedTracker[[#This Row],[Resolution Date]]="",TODAY()-ImpedTracker[[#This Row],[Date Reported]],ImpedTracker[[#This Row],[Resolution Date]]-ImpedTracker[[#This Row],[Date Reported]]))</f>
        <v/>
      </c>
      <c r="P3" s="55" t="s">
        <v>180</v>
      </c>
      <c r="Q3" s="42" t="str">
        <f>IF(OR(ImpedTracker[[#This Row],[Date Reported]]="",ImpedTracker[[#This Row],[Resolution Date]]&lt;&gt;""),"",IF(ImpedTracker[[#This Row],[Date Reported]]&lt;=Mdate,IF(COUNTIF(Q$1:Q2,"*Y")=0,"1Y",COUNTIF(Q$1:Q2,"*Y")+1&amp;"Y"),"N"))</f>
        <v/>
      </c>
      <c r="R3" s="42" t="str">
        <f>IF(OR(ImpedTracker[[#This Row],[Date Reported]]="",ImpedTracker[[#This Row],[Resolution Date]]&lt;&gt;""),"",IF(ImpedTracker[[#This Row],[Date Reported]]&lt;=CDate,IF(COUNTIF(Q$1:Q2,"*Y")=0,"1Y",COUNTIF(Q$1:Q2,"*Y")+1&amp;"Y"),"N"))</f>
        <v/>
      </c>
    </row>
    <row r="4" spans="1:18" x14ac:dyDescent="0.25">
      <c r="A4" s="58"/>
      <c r="C4" s="53"/>
      <c r="D4" s="54"/>
      <c r="E4" s="54" t="s">
        <v>184</v>
      </c>
      <c r="F4" s="53" t="s">
        <v>176</v>
      </c>
      <c r="G4" s="52"/>
      <c r="H4" s="52" t="s">
        <v>185</v>
      </c>
      <c r="I4" s="52" t="s">
        <v>186</v>
      </c>
      <c r="J4" s="54" t="s">
        <v>187</v>
      </c>
      <c r="K4" s="54" t="s">
        <v>122</v>
      </c>
      <c r="L4" s="42" t="s">
        <v>37</v>
      </c>
      <c r="M4" s="54" t="s">
        <v>44</v>
      </c>
      <c r="N4" s="53"/>
      <c r="O4" s="44" t="str">
        <f ca="1">IF(ImpedTracker[[#This Row],[Date Reported]]="","",IF(ImpedTracker[[#This Row],[Resolution Date]]="",TODAY()-ImpedTracker[[#This Row],[Date Reported]],ImpedTracker[[#This Row],[Resolution Date]]-ImpedTracker[[#This Row],[Date Reported]]))</f>
        <v/>
      </c>
      <c r="P4" s="52"/>
      <c r="Q4" s="62" t="str">
        <f>IF(OR(ImpedTracker[[#This Row],[Date Reported]]="",ImpedTracker[[#This Row],[Resolution Date]]&lt;&gt;""),"",IF(ImpedTracker[[#This Row],[Date Reported]]&lt;=Mdate,IF(COUNTIF(Q$1:Q3,"*Y")=0,"1Y",COUNTIF(Q$1:Q3,"*Y")+1&amp;"Y"),"N"))</f>
        <v/>
      </c>
      <c r="R4" s="62" t="str">
        <f>IF(OR(ImpedTracker[[#This Row],[Date Reported]]="",ImpedTracker[[#This Row],[Resolution Date]]&lt;&gt;""),"",IF(ImpedTracker[[#This Row],[Date Reported]]&lt;=CDate,IF(COUNTIF(Q$1:Q3,"*Y")=0,"1Y",COUNTIF(Q$1:Q3,"*Y")+1&amp;"Y"),"N"))</f>
        <v/>
      </c>
    </row>
    <row r="5" spans="1:18" ht="37.5" x14ac:dyDescent="0.25">
      <c r="A5" s="59">
        <v>2</v>
      </c>
      <c r="B5" s="42" t="s">
        <v>126</v>
      </c>
      <c r="C5" s="56">
        <v>44215</v>
      </c>
      <c r="D5" s="57" t="s">
        <v>174</v>
      </c>
      <c r="E5" s="57" t="s">
        <v>175</v>
      </c>
      <c r="F5" s="56" t="s">
        <v>188</v>
      </c>
      <c r="G5" s="55" t="s">
        <v>189</v>
      </c>
      <c r="H5" s="55" t="s">
        <v>190</v>
      </c>
      <c r="I5" s="55"/>
      <c r="J5" s="57" t="s">
        <v>187</v>
      </c>
      <c r="K5" s="57" t="s">
        <v>122</v>
      </c>
      <c r="L5" s="42" t="s">
        <v>37</v>
      </c>
      <c r="M5" s="57" t="s">
        <v>44</v>
      </c>
      <c r="N5" s="56"/>
      <c r="O5" s="44">
        <f ca="1">IF(ImpedTracker[[#This Row],[Date Reported]]="","",IF(ImpedTracker[[#This Row],[Resolution Date]]="",TODAY()-ImpedTracker[[#This Row],[Date Reported]],ImpedTracker[[#This Row],[Resolution Date]]-ImpedTracker[[#This Row],[Date Reported]]))</f>
        <v>16</v>
      </c>
      <c r="P5" s="55"/>
      <c r="Q5" s="62" t="str">
        <f>IF(OR(ImpedTracker[[#This Row],[Date Reported]]="",ImpedTracker[[#This Row],[Resolution Date]]&lt;&gt;""),"",IF(ImpedTracker[[#This Row],[Date Reported]]&lt;=Mdate,IF(COUNTIF(Q$1:Q4,"*Y")=0,"1Y",COUNTIF(Q$1:Q4,"*Y")+1&amp;"Y"),"N"))</f>
        <v>2Y</v>
      </c>
      <c r="R5" s="62" t="str">
        <f>IF(OR(ImpedTracker[[#This Row],[Date Reported]]="",ImpedTracker[[#This Row],[Resolution Date]]&lt;&gt;""),"",IF(ImpedTracker[[#This Row],[Date Reported]]&lt;=CDate,IF(COUNTIF(Q$1:Q4,"*Y")=0,"1Y",COUNTIF(Q$1:Q4,"*Y")+1&amp;"Y"),"N"))</f>
        <v>2Y</v>
      </c>
    </row>
    <row r="6" spans="1:18" ht="56.25" x14ac:dyDescent="0.25">
      <c r="A6" s="58"/>
      <c r="C6" s="53"/>
      <c r="D6" s="54"/>
      <c r="E6" s="54" t="s">
        <v>181</v>
      </c>
      <c r="F6" s="53" t="s">
        <v>176</v>
      </c>
      <c r="G6" s="52"/>
      <c r="H6" s="52" t="s">
        <v>191</v>
      </c>
      <c r="I6" s="52" t="s">
        <v>192</v>
      </c>
      <c r="J6" s="54" t="s">
        <v>187</v>
      </c>
      <c r="K6" s="54" t="s">
        <v>122</v>
      </c>
      <c r="L6" s="42" t="s">
        <v>37</v>
      </c>
      <c r="M6" s="54" t="s">
        <v>44</v>
      </c>
      <c r="N6" s="53"/>
      <c r="O6" s="44" t="str">
        <f ca="1">IF(ImpedTracker[[#This Row],[Date Reported]]="","",IF(ImpedTracker[[#This Row],[Resolution Date]]="",TODAY()-ImpedTracker[[#This Row],[Date Reported]],ImpedTracker[[#This Row],[Resolution Date]]-ImpedTracker[[#This Row],[Date Reported]]))</f>
        <v/>
      </c>
      <c r="P6" s="52"/>
      <c r="Q6" s="62" t="str">
        <f>IF(OR(ImpedTracker[[#This Row],[Date Reported]]="",ImpedTracker[[#This Row],[Resolution Date]]&lt;&gt;""),"",IF(ImpedTracker[[#This Row],[Date Reported]]&lt;=Mdate,IF(COUNTIF(Q$1:Q5,"*Y")=0,"1Y",COUNTIF(Q$1:Q5,"*Y")+1&amp;"Y"),"N"))</f>
        <v/>
      </c>
      <c r="R6" s="62" t="str">
        <f>IF(OR(ImpedTracker[[#This Row],[Date Reported]]="",ImpedTracker[[#This Row],[Resolution Date]]&lt;&gt;""),"",IF(ImpedTracker[[#This Row],[Date Reported]]&lt;=CDate,IF(COUNTIF(Q$1:Q5,"*Y")=0,"1Y",COUNTIF(Q$1:Q5,"*Y")+1&amp;"Y"),"N"))</f>
        <v/>
      </c>
    </row>
    <row r="7" spans="1:18" x14ac:dyDescent="0.25">
      <c r="A7" s="59"/>
      <c r="C7" s="56"/>
      <c r="D7" s="57"/>
      <c r="E7" s="57" t="s">
        <v>193</v>
      </c>
      <c r="F7" s="56" t="s">
        <v>176</v>
      </c>
      <c r="G7" s="55"/>
      <c r="H7" s="55" t="s">
        <v>194</v>
      </c>
      <c r="I7" s="55"/>
      <c r="J7" s="57" t="s">
        <v>187</v>
      </c>
      <c r="K7" s="57" t="s">
        <v>122</v>
      </c>
      <c r="L7" s="42" t="s">
        <v>37</v>
      </c>
      <c r="M7" s="57" t="s">
        <v>44</v>
      </c>
      <c r="N7" s="56"/>
      <c r="O7" s="44" t="str">
        <f ca="1">IF(ImpedTracker[[#This Row],[Date Reported]]="","",IF(ImpedTracker[[#This Row],[Resolution Date]]="",TODAY()-ImpedTracker[[#This Row],[Date Reported]],ImpedTracker[[#This Row],[Resolution Date]]-ImpedTracker[[#This Row],[Date Reported]]))</f>
        <v/>
      </c>
      <c r="P7" s="55"/>
      <c r="Q7" s="62" t="str">
        <f>IF(OR(ImpedTracker[[#This Row],[Date Reported]]="",ImpedTracker[[#This Row],[Resolution Date]]&lt;&gt;""),"",IF(ImpedTracker[[#This Row],[Date Reported]]&lt;=Mdate,IF(COUNTIF(Q$1:Q6,"*Y")=0,"1Y",COUNTIF(Q$1:Q6,"*Y")+1&amp;"Y"),"N"))</f>
        <v/>
      </c>
      <c r="R7" s="62" t="str">
        <f>IF(OR(ImpedTracker[[#This Row],[Date Reported]]="",ImpedTracker[[#This Row],[Resolution Date]]&lt;&gt;""),"",IF(ImpedTracker[[#This Row],[Date Reported]]&lt;=CDate,IF(COUNTIF(Q$1:Q6,"*Y")=0,"1Y",COUNTIF(Q$1:Q6,"*Y")+1&amp;"Y"),"N"))</f>
        <v/>
      </c>
    </row>
    <row r="8" spans="1:18" x14ac:dyDescent="0.25">
      <c r="A8" s="58"/>
      <c r="C8" s="53"/>
      <c r="D8" s="54"/>
      <c r="E8" s="54" t="s">
        <v>184</v>
      </c>
      <c r="F8" s="53"/>
      <c r="G8" s="52"/>
      <c r="H8" s="52" t="s">
        <v>195</v>
      </c>
      <c r="I8" s="52" t="s">
        <v>196</v>
      </c>
      <c r="J8" s="54" t="s">
        <v>187</v>
      </c>
      <c r="K8" s="54" t="s">
        <v>122</v>
      </c>
      <c r="L8" s="42" t="s">
        <v>37</v>
      </c>
      <c r="M8" s="54" t="s">
        <v>44</v>
      </c>
      <c r="N8" s="53"/>
      <c r="O8" s="44" t="str">
        <f ca="1">IF(ImpedTracker[[#This Row],[Date Reported]]="","",IF(ImpedTracker[[#This Row],[Resolution Date]]="",TODAY()-ImpedTracker[[#This Row],[Date Reported]],ImpedTracker[[#This Row],[Resolution Date]]-ImpedTracker[[#This Row],[Date Reported]]))</f>
        <v/>
      </c>
      <c r="P8" s="52"/>
      <c r="Q8" s="62" t="str">
        <f>IF(OR(ImpedTracker[[#This Row],[Date Reported]]="",ImpedTracker[[#This Row],[Resolution Date]]&lt;&gt;""),"",IF(ImpedTracker[[#This Row],[Date Reported]]&lt;=Mdate,IF(COUNTIF(Q$1:Q7,"*Y")=0,"1Y",COUNTIF(Q$1:Q7,"*Y")+1&amp;"Y"),"N"))</f>
        <v/>
      </c>
      <c r="R8" s="62" t="str">
        <f>IF(OR(ImpedTracker[[#This Row],[Date Reported]]="",ImpedTracker[[#This Row],[Resolution Date]]&lt;&gt;""),"",IF(ImpedTracker[[#This Row],[Date Reported]]&lt;=CDate,IF(COUNTIF(Q$1:Q7,"*Y")=0,"1Y",COUNTIF(Q$1:Q7,"*Y")+1&amp;"Y"),"N"))</f>
        <v/>
      </c>
    </row>
    <row r="9" spans="1:18" ht="37.5" x14ac:dyDescent="0.25">
      <c r="A9" s="59"/>
      <c r="C9" s="56"/>
      <c r="D9" s="57"/>
      <c r="E9" s="57" t="s">
        <v>197</v>
      </c>
      <c r="F9" s="56" t="s">
        <v>188</v>
      </c>
      <c r="G9" s="55"/>
      <c r="H9" s="55" t="s">
        <v>198</v>
      </c>
      <c r="I9" s="55" t="s">
        <v>199</v>
      </c>
      <c r="J9" s="57" t="s">
        <v>187</v>
      </c>
      <c r="K9" s="57" t="s">
        <v>122</v>
      </c>
      <c r="L9" s="42" t="s">
        <v>37</v>
      </c>
      <c r="M9" s="57" t="s">
        <v>44</v>
      </c>
      <c r="N9" s="56"/>
      <c r="O9" s="44" t="str">
        <f ca="1">IF(ImpedTracker[[#This Row],[Date Reported]]="","",IF(ImpedTracker[[#This Row],[Resolution Date]]="",TODAY()-ImpedTracker[[#This Row],[Date Reported]],ImpedTracker[[#This Row],[Resolution Date]]-ImpedTracker[[#This Row],[Date Reported]]))</f>
        <v/>
      </c>
      <c r="P9" s="55"/>
      <c r="Q9" s="62" t="str">
        <f>IF(OR(ImpedTracker[[#This Row],[Date Reported]]="",ImpedTracker[[#This Row],[Resolution Date]]&lt;&gt;""),"",IF(ImpedTracker[[#This Row],[Date Reported]]&lt;=Mdate,IF(COUNTIF(Q$1:Q8,"*Y")=0,"1Y",COUNTIF(Q$1:Q8,"*Y")+1&amp;"Y"),"N"))</f>
        <v/>
      </c>
      <c r="R9" s="62" t="str">
        <f>IF(OR(ImpedTracker[[#This Row],[Date Reported]]="",ImpedTracker[[#This Row],[Resolution Date]]&lt;&gt;""),"",IF(ImpedTracker[[#This Row],[Date Reported]]&lt;=CDate,IF(COUNTIF(Q$1:Q8,"*Y")=0,"1Y",COUNTIF(Q$1:Q8,"*Y")+1&amp;"Y"),"N"))</f>
        <v/>
      </c>
    </row>
    <row r="10" spans="1:18" ht="37.5" x14ac:dyDescent="0.25">
      <c r="A10" s="58">
        <v>3</v>
      </c>
      <c r="B10" s="42" t="s">
        <v>126</v>
      </c>
      <c r="C10" s="53">
        <v>44223</v>
      </c>
      <c r="D10" s="54" t="s">
        <v>174</v>
      </c>
      <c r="E10" s="54" t="s">
        <v>193</v>
      </c>
      <c r="F10" s="53" t="s">
        <v>176</v>
      </c>
      <c r="G10" s="52" t="s">
        <v>200</v>
      </c>
      <c r="H10" s="52" t="s">
        <v>271</v>
      </c>
      <c r="I10" s="52" t="s">
        <v>201</v>
      </c>
      <c r="J10" s="54" t="s">
        <v>179</v>
      </c>
      <c r="K10" s="54" t="s">
        <v>23</v>
      </c>
      <c r="L10" s="42" t="s">
        <v>65</v>
      </c>
      <c r="M10" s="54" t="s">
        <v>44</v>
      </c>
      <c r="N10" s="53"/>
      <c r="O10" s="44">
        <f ca="1">IF(ImpedTracker[[#This Row],[Date Reported]]="","",IF(ImpedTracker[[#This Row],[Resolution Date]]="",TODAY()-ImpedTracker[[#This Row],[Date Reported]],ImpedTracker[[#This Row],[Resolution Date]]-ImpedTracker[[#This Row],[Date Reported]]))</f>
        <v>8</v>
      </c>
      <c r="P10" s="52" t="s">
        <v>202</v>
      </c>
      <c r="Q10" s="62" t="str">
        <f>IF(OR(ImpedTracker[[#This Row],[Date Reported]]="",ImpedTracker[[#This Row],[Resolution Date]]&lt;&gt;""),"",IF(ImpedTracker[[#This Row],[Date Reported]]&lt;=Mdate,IF(COUNTIF(Q$1:Q9,"*Y")=0,"1Y",COUNTIF(Q$1:Q9,"*Y")+1&amp;"Y"),"N"))</f>
        <v>3Y</v>
      </c>
      <c r="R10" s="62" t="str">
        <f>IF(OR(ImpedTracker[[#This Row],[Date Reported]]="",ImpedTracker[[#This Row],[Resolution Date]]&lt;&gt;""),"",IF(ImpedTracker[[#This Row],[Date Reported]]&lt;=CDate,IF(COUNTIF(Q$1:Q9,"*Y")=0,"1Y",COUNTIF(Q$1:Q9,"*Y")+1&amp;"Y"),"N"))</f>
        <v>3Y</v>
      </c>
    </row>
    <row r="11" spans="1:18" ht="225" x14ac:dyDescent="0.25">
      <c r="A11" s="63">
        <v>4</v>
      </c>
      <c r="D11" s="42" t="s">
        <v>174</v>
      </c>
      <c r="E11" s="42" t="s">
        <v>184</v>
      </c>
      <c r="F11" s="41">
        <v>44231</v>
      </c>
      <c r="G11" s="43" t="s">
        <v>335</v>
      </c>
      <c r="H11" s="42" t="s">
        <v>338</v>
      </c>
      <c r="L11" s="42" t="s">
        <v>65</v>
      </c>
      <c r="O11" s="44" t="str">
        <f ca="1">IF(ImpedTracker[[#This Row],[Date Reported]]="","",IF(ImpedTracker[[#This Row],[Resolution Date]]="",TODAY()-ImpedTracker[[#This Row],[Date Reported]],ImpedTracker[[#This Row],[Resolution Date]]-ImpedTracker[[#This Row],[Date Reported]]))</f>
        <v/>
      </c>
      <c r="Q11" s="62" t="str">
        <f>IF(OR(ImpedTracker[[#This Row],[Date Reported]]="",ImpedTracker[[#This Row],[Resolution Date]]&lt;&gt;""),"",IF(ImpedTracker[[#This Row],[Date Reported]]&lt;=Mdate,IF(COUNTIF(Q$1:Q10,"*Y")=0,"1Y",COUNTIF(Q$1:Q10,"*Y")+1&amp;"Y"),"N"))</f>
        <v/>
      </c>
      <c r="R11" s="62" t="str">
        <f>IF(OR(ImpedTracker[[#This Row],[Date Reported]]="",ImpedTracker[[#This Row],[Resolution Date]]&lt;&gt;""),"",IF(ImpedTracker[[#This Row],[Date Reported]]&lt;=CDate,IF(COUNTIF(Q$1:Q10,"*Y")=0,"1Y",COUNTIF(Q$1:Q10,"*Y")+1&amp;"Y"),"N"))</f>
        <v/>
      </c>
    </row>
    <row r="12" spans="1:18" ht="112.5" x14ac:dyDescent="0.25">
      <c r="A12" s="178">
        <v>5</v>
      </c>
      <c r="B12" s="179"/>
      <c r="C12" s="180"/>
      <c r="D12" s="179" t="s">
        <v>336</v>
      </c>
      <c r="E12" s="179" t="s">
        <v>174</v>
      </c>
      <c r="F12" s="180">
        <v>44236</v>
      </c>
      <c r="G12" s="43" t="s">
        <v>337</v>
      </c>
      <c r="H12" s="179"/>
      <c r="I12" s="179"/>
      <c r="J12" s="179"/>
      <c r="K12" s="179"/>
      <c r="L12" s="179"/>
      <c r="M12" s="179"/>
      <c r="N12" s="180"/>
      <c r="O12" s="185" t="str">
        <f ca="1">IF(ImpedTracker[[#This Row],[Date Reported]]="","",IF(ImpedTracker[[#This Row],[Resolution Date]]="",TODAY()-ImpedTracker[[#This Row],[Date Reported]],ImpedTracker[[#This Row],[Resolution Date]]-ImpedTracker[[#This Row],[Date Reported]]))</f>
        <v/>
      </c>
      <c r="P12" s="182"/>
      <c r="Q12" s="183" t="str">
        <f>IF(OR(ImpedTracker[[#This Row],[Date Reported]]="",ImpedTracker[[#This Row],[Resolution Date]]&lt;&gt;""),"",IF(ImpedTracker[[#This Row],[Date Reported]]&lt;=Mdate,IF(COUNTIF(Q$1:Q11,"*Y")=0,"1Y",COUNTIF(Q$1:Q11,"*Y")+1&amp;"Y"),"N"))</f>
        <v/>
      </c>
      <c r="R12" s="183" t="str">
        <f>IF(OR(ImpedTracker[[#This Row],[Date Reported]]="",ImpedTracker[[#This Row],[Resolution Date]]&lt;&gt;""),"",IF(ImpedTracker[[#This Row],[Date Reported]]&lt;=CDate,IF(COUNTIF(Q$1:Q11,"*Y")=0,"1Y",COUNTIF(Q$1:Q11,"*Y")+1&amp;"Y"),"N"))</f>
        <v/>
      </c>
    </row>
  </sheetData>
  <sheetProtection algorithmName="SHA-512" hashValue="eAAdzGH+1byTeB0RTPRQqkIe2UEBG4EOgRhHqe5A1L21lRhGw9zp1p8sjvP2RmTsgZzeki8as+JcPamg/510ug==" saltValue="+WXIg8l8bODaeNpg+n0vHg==" spinCount="100000" sheet="1" objects="1" scenarios="1"/>
  <dataValidations count="4">
    <dataValidation type="list" allowBlank="1" showInputMessage="1" showErrorMessage="1" sqref="B2:B27">
      <formula1>INDIRECT("Projects[Project_Name]")</formula1>
    </dataValidation>
    <dataValidation type="list" allowBlank="1" showInputMessage="1" showErrorMessage="1" sqref="L2:L18">
      <formula1>OFFSET(INDIRECT("Imped[Imped_Status]"),,,COUNTA(INDIRECT("Imped[Imped_Status]")))</formula1>
    </dataValidation>
    <dataValidation type="list" allowBlank="1" showInputMessage="1" showErrorMessage="1" sqref="K11:K18">
      <formula1>OFFSET(INDIRECT("Imped[Imped_Category]"),,,COUNTA(INDIRECT("Imped[Imped_Category]")))</formula1>
    </dataValidation>
    <dataValidation type="list" allowBlank="1" showInputMessage="1" showErrorMessage="1" sqref="M11:M18">
      <formula1>OFFSET(INDIRECT("Imped[Imped_Severity]"),,,COUNTA(INDIRECT("Imped[Imped_Severity]")))</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4" tint="-0.249977111117893"/>
  </sheetPr>
  <dimension ref="A1:P11"/>
  <sheetViews>
    <sheetView showGridLines="0" zoomScale="70" zoomScaleNormal="70" workbookViewId="0">
      <selection activeCell="D4" sqref="D4"/>
    </sheetView>
  </sheetViews>
  <sheetFormatPr defaultColWidth="8.85546875" defaultRowHeight="18.75" x14ac:dyDescent="0.25"/>
  <cols>
    <col min="1" max="1" width="12" style="63" bestFit="1" customWidth="1"/>
    <col min="2" max="2" width="23.28515625" style="42" bestFit="1" customWidth="1"/>
    <col min="3" max="3" width="23.28515625" style="42" customWidth="1"/>
    <col min="4" max="4" width="23.140625" style="41" bestFit="1" customWidth="1"/>
    <col min="5" max="5" width="40.85546875" style="42" customWidth="1"/>
    <col min="6" max="6" width="40.85546875" style="43" customWidth="1"/>
    <col min="7" max="7" width="12.85546875" style="43" bestFit="1" customWidth="1"/>
    <col min="8" max="8" width="12.7109375" style="43" bestFit="1" customWidth="1"/>
    <col min="9" max="9" width="18.7109375" style="43" bestFit="1" customWidth="1"/>
    <col min="10" max="10" width="40.85546875" style="43" customWidth="1"/>
    <col min="11" max="11" width="26.140625" style="42" bestFit="1" customWidth="1"/>
    <col min="12" max="12" width="22.28515625" style="41" bestFit="1" customWidth="1"/>
    <col min="13" max="13" width="13.42578125" style="42" customWidth="1"/>
    <col min="14" max="14" width="40.85546875" style="43" customWidth="1"/>
    <col min="15" max="15" width="8.7109375" style="42" hidden="1" customWidth="1"/>
    <col min="16" max="16" width="8.85546875" style="42" hidden="1" customWidth="1"/>
    <col min="17" max="16384" width="8.85546875" style="42"/>
  </cols>
  <sheetData>
    <row r="1" spans="1:16" s="48" customFormat="1" ht="37.5" x14ac:dyDescent="0.25">
      <c r="A1" s="70" t="s">
        <v>75</v>
      </c>
      <c r="B1" s="71" t="s">
        <v>119</v>
      </c>
      <c r="C1" s="71" t="s">
        <v>3</v>
      </c>
      <c r="D1" s="72" t="s">
        <v>1</v>
      </c>
      <c r="E1" s="71" t="s">
        <v>4</v>
      </c>
      <c r="F1" s="71" t="s">
        <v>5</v>
      </c>
      <c r="G1" s="71" t="s">
        <v>314</v>
      </c>
      <c r="H1" s="71" t="s">
        <v>315</v>
      </c>
      <c r="I1" s="71" t="s">
        <v>316</v>
      </c>
      <c r="J1" s="71" t="s">
        <v>76</v>
      </c>
      <c r="K1" s="71" t="s">
        <v>77</v>
      </c>
      <c r="L1" s="72" t="s">
        <v>78</v>
      </c>
      <c r="M1" s="71" t="s">
        <v>9</v>
      </c>
      <c r="N1" s="71" t="s">
        <v>79</v>
      </c>
      <c r="O1" s="48" t="s">
        <v>105</v>
      </c>
      <c r="P1" s="48" t="s">
        <v>110</v>
      </c>
    </row>
    <row r="2" spans="1:16" ht="37.5" x14ac:dyDescent="0.25">
      <c r="A2" s="63">
        <v>1</v>
      </c>
      <c r="B2" s="42" t="s">
        <v>126</v>
      </c>
      <c r="D2" s="41">
        <v>44221</v>
      </c>
      <c r="E2" s="43" t="s">
        <v>203</v>
      </c>
      <c r="F2" s="43" t="s">
        <v>294</v>
      </c>
      <c r="G2" s="43" t="str">
        <f>IF(DecisionLog[[#This Row],[Visibility]]&lt;&gt;"Leadership Review","Not Applicable" )</f>
        <v>Not Applicable</v>
      </c>
      <c r="H2" s="43" t="str">
        <f>IF(DecisionLog[[#This Row],[Visibility]]&lt;&gt;"Leadership Review","Not Applicable" )</f>
        <v>Not Applicable</v>
      </c>
      <c r="I2" s="43" t="str">
        <f>IF(DecisionLog[[#This Row],[Visibility]]&lt;&gt;"Leadership Review","Not Applicable" )</f>
        <v>Not Applicable</v>
      </c>
      <c r="M2" s="42" t="s">
        <v>65</v>
      </c>
      <c r="O2" s="42" t="str">
        <f>IF(DecisionLog[[#This Row],[Date Reported]]="","",IF(AND(Mdate-DecisionLog[[#This Row],[Date Reported]]&lt;=7,Mdate-DecisionLog[[#This Row],[Date Reported]]&gt;=0),IF(COUNTIF(O$1:O1,"*Y")=0,"1Y",COUNTIF(O$1:O1,"*Y")+1&amp;"Y"),"N"))</f>
        <v>N</v>
      </c>
      <c r="P2" s="42" t="str">
        <f>IF(DecisionLog[[#This Row],[Date Reported]]="","",IF(AND(CDate-DecisionLog[[#This Row],[Date Reported]]&lt;=7,CDate-DecisionLog[[#This Row],[Date Reported]]&gt;=0),IF(COUNTIF(O$1:O1,"*Y")=0,"1Y",COUNTIF(O$1:O1,"*Y")+1&amp;"Y"),"N"))</f>
        <v>1Y</v>
      </c>
    </row>
    <row r="3" spans="1:16" ht="93.75" x14ac:dyDescent="0.25">
      <c r="A3" s="63">
        <v>1</v>
      </c>
      <c r="B3" s="42" t="s">
        <v>126</v>
      </c>
      <c r="C3" s="42" t="s">
        <v>311</v>
      </c>
      <c r="D3" s="41">
        <v>44221</v>
      </c>
      <c r="E3" s="43" t="s">
        <v>204</v>
      </c>
      <c r="F3" s="43" t="s">
        <v>291</v>
      </c>
      <c r="G3" s="43" t="str">
        <f>IF(DecisionLog[[#This Row],[Visibility]]&lt;&gt;"Leadership Review","Not Applicable" )</f>
        <v>Not Applicable</v>
      </c>
      <c r="H3" s="43" t="str">
        <f>IF(DecisionLog[[#This Row],[Visibility]]&lt;&gt;"Leadership Review","Not Applicable" )</f>
        <v>Not Applicable</v>
      </c>
      <c r="I3" s="43" t="str">
        <f>IF(DecisionLog[[#This Row],[Visibility]]&lt;&gt;"Leadership Review","Not Applicable" )</f>
        <v>Not Applicable</v>
      </c>
      <c r="J3" s="43" t="s">
        <v>292</v>
      </c>
      <c r="K3" s="42" t="s">
        <v>293</v>
      </c>
      <c r="L3" s="41">
        <v>44221</v>
      </c>
      <c r="M3" s="42" t="s">
        <v>81</v>
      </c>
      <c r="O3" s="42" t="str">
        <f>IF(DecisionLog[[#This Row],[Date Reported]]="","",IF(AND(Mdate-DecisionLog[[#This Row],[Date Reported]]&lt;=7,Mdate-DecisionLog[[#This Row],[Date Reported]]&gt;=0),IF(COUNTIF(O$1:O2,"*Y")=0,"1Y",COUNTIF(O$1:O2,"*Y")+1&amp;"Y"),"N"))</f>
        <v>N</v>
      </c>
      <c r="P3" s="42" t="str">
        <f>IF(DecisionLog[[#This Row],[Date Reported]]="","",IF(AND(CDate-DecisionLog[[#This Row],[Date Reported]]&lt;=7,CDate-DecisionLog[[#This Row],[Date Reported]]&gt;=0),IF(COUNTIF(O$1:O2,"*Y")=0,"1Y",COUNTIF(O$1:O2,"*Y")+1&amp;"Y"),"N"))</f>
        <v>1Y</v>
      </c>
    </row>
    <row r="4" spans="1:16" ht="225" x14ac:dyDescent="0.25">
      <c r="A4" s="63">
        <v>1</v>
      </c>
      <c r="B4" s="42" t="s">
        <v>126</v>
      </c>
      <c r="C4" s="42" t="s">
        <v>311</v>
      </c>
      <c r="D4" s="41">
        <v>44222</v>
      </c>
      <c r="E4" s="43" t="s">
        <v>205</v>
      </c>
      <c r="F4" s="43" t="s">
        <v>295</v>
      </c>
      <c r="G4" s="43" t="str">
        <f>IF(DecisionLog[[#This Row],[Visibility]]&lt;&gt;"Leadership Review","Not Applicable" )</f>
        <v>Not Applicable</v>
      </c>
      <c r="H4" s="43" t="str">
        <f>IF(DecisionLog[[#This Row],[Visibility]]&lt;&gt;"Leadership Review","Not Applicable" )</f>
        <v>Not Applicable</v>
      </c>
      <c r="I4" s="43" t="str">
        <f>IF(DecisionLog[[#This Row],[Visibility]]&lt;&gt;"Leadership Review","Not Applicable" )</f>
        <v>Not Applicable</v>
      </c>
      <c r="J4" s="184" t="s">
        <v>296</v>
      </c>
      <c r="K4" s="43" t="s">
        <v>298</v>
      </c>
      <c r="L4" s="41">
        <v>44222</v>
      </c>
      <c r="M4" s="42" t="s">
        <v>81</v>
      </c>
      <c r="N4" s="43" t="s">
        <v>297</v>
      </c>
      <c r="O4" s="42" t="str">
        <f>IF(DecisionLog[[#This Row],[Date Reported]]="","",IF(AND(Mdate-DecisionLog[[#This Row],[Date Reported]]&lt;=7,Mdate-DecisionLog[[#This Row],[Date Reported]]&gt;=0),IF(COUNTIF(O$1:O3,"*Y")=0,"1Y",COUNTIF(O$1:O3,"*Y")+1&amp;"Y"),"N"))</f>
        <v>N</v>
      </c>
      <c r="P4" s="42" t="str">
        <f>IF(DecisionLog[[#This Row],[Date Reported]]="","",IF(AND(CDate-DecisionLog[[#This Row],[Date Reported]]&lt;=7,CDate-DecisionLog[[#This Row],[Date Reported]]&gt;=0),IF(COUNTIF(O$1:O3,"*Y")=0,"1Y",COUNTIF(O$1:O3,"*Y")+1&amp;"Y"),"N"))</f>
        <v>1Y</v>
      </c>
    </row>
    <row r="5" spans="1:16" ht="37.5" x14ac:dyDescent="0.25">
      <c r="A5" s="63">
        <v>1</v>
      </c>
      <c r="B5" s="42" t="s">
        <v>126</v>
      </c>
      <c r="D5" s="41">
        <v>44222</v>
      </c>
      <c r="E5" s="43" t="s">
        <v>206</v>
      </c>
      <c r="G5" s="43" t="str">
        <f>IF(DecisionLog[[#This Row],[Visibility]]&lt;&gt;"Leadership Review","Not Applicable" )</f>
        <v>Not Applicable</v>
      </c>
      <c r="H5" s="43" t="str">
        <f>IF(DecisionLog[[#This Row],[Visibility]]&lt;&gt;"Leadership Review","Not Applicable" )</f>
        <v>Not Applicable</v>
      </c>
      <c r="I5" s="43" t="str">
        <f>IF(DecisionLog[[#This Row],[Visibility]]&lt;&gt;"Leadership Review","Not Applicable" )</f>
        <v>Not Applicable</v>
      </c>
      <c r="M5" s="42" t="s">
        <v>65</v>
      </c>
      <c r="O5" s="42" t="str">
        <f>IF(DecisionLog[[#This Row],[Date Reported]]="","",IF(AND(Mdate-DecisionLog[[#This Row],[Date Reported]]&lt;=7,Mdate-DecisionLog[[#This Row],[Date Reported]]&gt;=0),IF(COUNTIF(O$1:O4,"*Y")=0,"1Y",COUNTIF(O$1:O4,"*Y")+1&amp;"Y"),"N"))</f>
        <v>N</v>
      </c>
      <c r="P5" s="62" t="str">
        <f>IF(DecisionLog[[#This Row],[Date Reported]]="","",IF(AND(CDate-DecisionLog[[#This Row],[Date Reported]]&lt;=7,CDate-DecisionLog[[#This Row],[Date Reported]]&gt;=0),IF(COUNTIF(O$1:O4,"*Y")=0,"1Y",COUNTIF(O$1:O4,"*Y")+1&amp;"Y"),"N"))</f>
        <v>1Y</v>
      </c>
    </row>
    <row r="6" spans="1:16" ht="112.5" x14ac:dyDescent="0.25">
      <c r="A6" s="63">
        <v>1</v>
      </c>
      <c r="B6" s="42" t="s">
        <v>126</v>
      </c>
      <c r="C6" s="42" t="s">
        <v>311</v>
      </c>
      <c r="D6" s="41">
        <v>44223</v>
      </c>
      <c r="E6" s="43" t="s">
        <v>207</v>
      </c>
      <c r="F6" s="43" t="s">
        <v>287</v>
      </c>
      <c r="G6" s="43" t="str">
        <f>IF(DecisionLog[[#This Row],[Visibility]]&lt;&gt;"Leadership Review","Not Applicable" )</f>
        <v>Not Applicable</v>
      </c>
      <c r="H6" s="43" t="str">
        <f>IF(DecisionLog[[#This Row],[Visibility]]&lt;&gt;"Leadership Review","Not Applicable" )</f>
        <v>Not Applicable</v>
      </c>
      <c r="I6" s="43" t="str">
        <f>IF(DecisionLog[[#This Row],[Visibility]]&lt;&gt;"Leadership Review","Not Applicable" )</f>
        <v>Not Applicable</v>
      </c>
      <c r="J6" s="43" t="s">
        <v>288</v>
      </c>
      <c r="K6" s="42" t="s">
        <v>289</v>
      </c>
      <c r="M6" s="42" t="s">
        <v>81</v>
      </c>
      <c r="O6" s="42" t="str">
        <f>IF(DecisionLog[[#This Row],[Date Reported]]="","",IF(AND(Mdate-DecisionLog[[#This Row],[Date Reported]]&lt;=7,Mdate-DecisionLog[[#This Row],[Date Reported]]&gt;=0),IF(COUNTIF(O$1:O5,"*Y")=0,"1Y",COUNTIF(O$1:O5,"*Y")+1&amp;"Y"),"N"))</f>
        <v>N</v>
      </c>
      <c r="P6" s="42" t="str">
        <f>IF(DecisionLog[[#This Row],[Date Reported]]="","",IF(AND(CDate-DecisionLog[[#This Row],[Date Reported]]&lt;=7,CDate-DecisionLog[[#This Row],[Date Reported]]&gt;=0),IF(COUNTIF(O$1:O5,"*Y")=0,"1Y",COUNTIF(O$1:O5,"*Y")+1&amp;"Y"),"N"))</f>
        <v>1Y</v>
      </c>
    </row>
    <row r="7" spans="1:16" ht="93.75" x14ac:dyDescent="0.25">
      <c r="A7" s="63">
        <v>1</v>
      </c>
      <c r="B7" s="42" t="s">
        <v>126</v>
      </c>
      <c r="C7" s="42" t="s">
        <v>312</v>
      </c>
      <c r="D7" s="41">
        <v>44223</v>
      </c>
      <c r="E7" s="43" t="s">
        <v>208</v>
      </c>
      <c r="F7" s="43" t="s">
        <v>300</v>
      </c>
      <c r="G7" s="43" t="str">
        <f>IF(DecisionLog[[#This Row],[Visibility]]&lt;&gt;"Leadership Review","Not Applicable" )</f>
        <v>Not Applicable</v>
      </c>
      <c r="H7" s="43" t="str">
        <f>IF(DecisionLog[[#This Row],[Visibility]]&lt;&gt;"Leadership Review","Not Applicable" )</f>
        <v>Not Applicable</v>
      </c>
      <c r="I7" s="43" t="str">
        <f>IF(DecisionLog[[#This Row],[Visibility]]&lt;&gt;"Leadership Review","Not Applicable" )</f>
        <v>Not Applicable</v>
      </c>
      <c r="J7" s="43" t="s">
        <v>299</v>
      </c>
      <c r="M7" s="42" t="s">
        <v>81</v>
      </c>
      <c r="O7" s="42" t="str">
        <f>IF(DecisionLog[[#This Row],[Date Reported]]="","",IF(AND(Mdate-DecisionLog[[#This Row],[Date Reported]]&lt;=7,Mdate-DecisionLog[[#This Row],[Date Reported]]&gt;=0),IF(COUNTIF(O$1:O6,"*Y")=0,"1Y",COUNTIF(O$1:O6,"*Y")+1&amp;"Y"),"N"))</f>
        <v>N</v>
      </c>
      <c r="P7" s="42" t="str">
        <f>IF(DecisionLog[[#This Row],[Date Reported]]="","",IF(AND(CDate-DecisionLog[[#This Row],[Date Reported]]&lt;=7,CDate-DecisionLog[[#This Row],[Date Reported]]&gt;=0),IF(COUNTIF(O$1:O6,"*Y")=0,"1Y",COUNTIF(O$1:O6,"*Y")+1&amp;"Y"),"N"))</f>
        <v>1Y</v>
      </c>
    </row>
    <row r="8" spans="1:16" ht="112.5" x14ac:dyDescent="0.25">
      <c r="A8" s="63">
        <v>1</v>
      </c>
      <c r="B8" s="42" t="s">
        <v>126</v>
      </c>
      <c r="C8" s="42" t="s">
        <v>312</v>
      </c>
      <c r="D8" s="41">
        <v>44224</v>
      </c>
      <c r="E8" s="42" t="s">
        <v>209</v>
      </c>
      <c r="F8" s="43" t="s">
        <v>301</v>
      </c>
      <c r="G8" s="43" t="str">
        <f>IF(DecisionLog[[#This Row],[Visibility]]&lt;&gt;"Leadership Review","Not Applicable" )</f>
        <v>Not Applicable</v>
      </c>
      <c r="H8" s="43" t="str">
        <f>IF(DecisionLog[[#This Row],[Visibility]]&lt;&gt;"Leadership Review","Not Applicable" )</f>
        <v>Not Applicable</v>
      </c>
      <c r="I8" s="43" t="str">
        <f>IF(DecisionLog[[#This Row],[Visibility]]&lt;&gt;"Leadership Review","Not Applicable" )</f>
        <v>Not Applicable</v>
      </c>
      <c r="J8" s="43" t="s">
        <v>302</v>
      </c>
      <c r="M8" s="42" t="s">
        <v>81</v>
      </c>
      <c r="N8" s="43" t="s">
        <v>303</v>
      </c>
      <c r="O8" s="42" t="str">
        <f>IF(DecisionLog[[#This Row],[Date Reported]]="","",IF(AND(Mdate-DecisionLog[[#This Row],[Date Reported]]&lt;=7,Mdate-DecisionLog[[#This Row],[Date Reported]]&gt;=0),IF(COUNTIF(O$1:O7,"*Y")=0,"1Y",COUNTIF(O$1:O7,"*Y")+1&amp;"Y"),"N"))</f>
        <v>1Y</v>
      </c>
      <c r="P8" s="42" t="str">
        <f>IF(DecisionLog[[#This Row],[Date Reported]]="","",IF(AND(CDate-DecisionLog[[#This Row],[Date Reported]]&lt;=7,CDate-DecisionLog[[#This Row],[Date Reported]]&gt;=0),IF(COUNTIF(O$1:O7,"*Y")=0,"1Y",COUNTIF(O$1:O7,"*Y")+1&amp;"Y"),"N"))</f>
        <v>1Y</v>
      </c>
    </row>
    <row r="9" spans="1:16" ht="262.5" x14ac:dyDescent="0.25">
      <c r="A9" s="63">
        <v>1</v>
      </c>
      <c r="B9" s="42" t="s">
        <v>126</v>
      </c>
      <c r="C9" s="42" t="s">
        <v>313</v>
      </c>
      <c r="D9" s="41">
        <v>44225</v>
      </c>
      <c r="E9" s="42" t="s">
        <v>304</v>
      </c>
      <c r="F9" s="43" t="s">
        <v>305</v>
      </c>
      <c r="G9" s="43" t="b">
        <f>IF(DecisionLog[[#This Row],[Visibility]]&lt;&gt;"Leadership Review","Not Applicable" )</f>
        <v>0</v>
      </c>
      <c r="H9" s="43" t="b">
        <f>IF(DecisionLog[[#This Row],[Visibility]]&lt;&gt;"Leadership Review","Not Applicable" )</f>
        <v>0</v>
      </c>
      <c r="I9" s="43" t="b">
        <f>IF(DecisionLog[[#This Row],[Visibility]]&lt;&gt;"Leadership Review","Not Applicable" )</f>
        <v>0</v>
      </c>
      <c r="J9" s="184" t="s">
        <v>286</v>
      </c>
      <c r="K9" s="42" t="s">
        <v>290</v>
      </c>
      <c r="L9" s="41">
        <v>44225</v>
      </c>
      <c r="M9" s="42" t="s">
        <v>81</v>
      </c>
      <c r="N9" s="43" t="s">
        <v>285</v>
      </c>
      <c r="O9" s="42" t="str">
        <f>IF(DecisionLog[[#This Row],[Date Reported]]="","",IF(AND(Mdate-DecisionLog[[#This Row],[Date Reported]]&lt;=7,Mdate-DecisionLog[[#This Row],[Date Reported]]&gt;=0),IF(COUNTIF(O$1:O8,"*Y")=0,"1Y",COUNTIF(O$1:O8,"*Y")+1&amp;"Y"),"N"))</f>
        <v>2Y</v>
      </c>
      <c r="P9" s="42" t="str">
        <f>IF(DecisionLog[[#This Row],[Date Reported]]="","",IF(AND(CDate-DecisionLog[[#This Row],[Date Reported]]&lt;=7,CDate-DecisionLog[[#This Row],[Date Reported]]&gt;=0),IF(COUNTIF(O$1:O8,"*Y")=0,"1Y",COUNTIF(O$1:O8,"*Y")+1&amp;"Y"),"N"))</f>
        <v>2Y</v>
      </c>
    </row>
    <row r="10" spans="1:16" ht="262.5" x14ac:dyDescent="0.25">
      <c r="A10" s="63">
        <v>1</v>
      </c>
      <c r="B10" s="42" t="s">
        <v>126</v>
      </c>
      <c r="C10" s="42" t="s">
        <v>313</v>
      </c>
      <c r="D10" s="41">
        <v>44225</v>
      </c>
      <c r="E10" s="42" t="s">
        <v>307</v>
      </c>
      <c r="F10" s="43" t="s">
        <v>306</v>
      </c>
      <c r="G10" s="43" t="b">
        <f>IF(DecisionLog[[#This Row],[Visibility]]&lt;&gt;"Leadership Review","Not Applicable" )</f>
        <v>0</v>
      </c>
      <c r="H10" s="43" t="b">
        <f>IF(DecisionLog[[#This Row],[Visibility]]&lt;&gt;"Leadership Review","Not Applicable" )</f>
        <v>0</v>
      </c>
      <c r="I10" s="43" t="b">
        <f>IF(DecisionLog[[#This Row],[Visibility]]&lt;&gt;"Leadership Review","Not Applicable" )</f>
        <v>0</v>
      </c>
      <c r="J10" s="43" t="s">
        <v>308</v>
      </c>
      <c r="N10" s="43" t="s">
        <v>309</v>
      </c>
      <c r="O10" s="42" t="str">
        <f>IF(DecisionLog[[#This Row],[Date Reported]]="","",IF(AND(Mdate-DecisionLog[[#This Row],[Date Reported]]&lt;=7,Mdate-DecisionLog[[#This Row],[Date Reported]]&gt;=0),IF(COUNTIF(O$1:O9,"*Y")=0,"1Y",COUNTIF(O$1:O9,"*Y")+1&amp;"Y"),"N"))</f>
        <v>3Y</v>
      </c>
      <c r="P10" s="42" t="str">
        <f>IF(DecisionLog[[#This Row],[Date Reported]]="","",IF(AND(CDate-DecisionLog[[#This Row],[Date Reported]]&lt;=7,CDate-DecisionLog[[#This Row],[Date Reported]]&gt;=0),IF(COUNTIF(O$1:O9,"*Y")=0,"1Y",COUNTIF(O$1:O9,"*Y")+1&amp;"Y"),"N"))</f>
        <v>3Y</v>
      </c>
    </row>
    <row r="11" spans="1:16" x14ac:dyDescent="0.25">
      <c r="G11" s="43" t="str">
        <f>IF(DecisionLog[[#This Row],[Visibility]]&lt;&gt;"Leadership Review","Not Applicable" )</f>
        <v>Not Applicable</v>
      </c>
      <c r="H11" s="43" t="str">
        <f>IF(DecisionLog[[#This Row],[Visibility]]&lt;&gt;"Leadership Review","Not Applicable" )</f>
        <v>Not Applicable</v>
      </c>
      <c r="I11" s="43" t="str">
        <f>IF(DecisionLog[[#This Row],[Visibility]]&lt;&gt;"Leadership Review","Not Applicable" )</f>
        <v>Not Applicable</v>
      </c>
      <c r="O11" s="42" t="str">
        <f>IF(DecisionLog[[#This Row],[Date Reported]]="","",IF(AND(Mdate-DecisionLog[[#This Row],[Date Reported]]&lt;=7,Mdate-DecisionLog[[#This Row],[Date Reported]]&gt;=0),IF(COUNTIF(O$1:O10,"*Y")=0,"1Y",COUNTIF(O$1:O10,"*Y")+1&amp;"Y"),"N"))</f>
        <v/>
      </c>
      <c r="P11" s="42" t="str">
        <f>IF(DecisionLog[[#This Row],[Date Reported]]="","",IF(AND(CDate-DecisionLog[[#This Row],[Date Reported]]&lt;=7,CDate-DecisionLog[[#This Row],[Date Reported]]&gt;=0),IF(COUNTIF(O$1:O10,"*Y")=0,"1Y",COUNTIF(O$1:O10,"*Y")+1&amp;"Y"),"N"))</f>
        <v/>
      </c>
    </row>
  </sheetData>
  <sheetProtection algorithmName="SHA-512" hashValue="CG79Ul/D7pqA546DtAnZiYDDagz6BTQzWETec8HkgSQ8RFcPifFxTge7VYPS6vxy1TD08IIFzDz9AJw1eDXgmQ==" saltValue="7RvkLzsUNK7eSj7HV2FbVw==" spinCount="100000" sheet="1" objects="1" scenarios="1"/>
  <conditionalFormatting sqref="G2:I11">
    <cfRule type="cellIs" dxfId="0" priority="1" operator="equal">
      <formula>"Not Applicable"</formula>
    </cfRule>
  </conditionalFormatting>
  <dataValidations count="2">
    <dataValidation type="list" allowBlank="1" showInputMessage="1" showErrorMessage="1" sqref="M2:M26">
      <formula1>OFFSET(INDIRECT("Decision[Decision_Status]"),,,COUNTA(INDIRECT("Decision[Decision_Status]")))</formula1>
    </dataValidation>
    <dataValidation type="list" allowBlank="1" showInputMessage="1" showErrorMessage="1" sqref="B2:B26">
      <formula1>INDIRECT("Projects[Project_Name]")</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249977111117893"/>
  </sheetPr>
  <dimension ref="A1:P26"/>
  <sheetViews>
    <sheetView showGridLines="0" zoomScale="75" zoomScaleNormal="75" workbookViewId="0">
      <selection activeCell="H7" sqref="H7"/>
    </sheetView>
  </sheetViews>
  <sheetFormatPr defaultColWidth="8.85546875" defaultRowHeight="18.75" x14ac:dyDescent="0.25"/>
  <cols>
    <col min="1" max="1" width="12.7109375" style="63" bestFit="1" customWidth="1"/>
    <col min="2" max="2" width="24.28515625" style="42" bestFit="1" customWidth="1"/>
    <col min="3" max="3" width="22.5703125" style="41" bestFit="1" customWidth="1"/>
    <col min="4" max="4" width="12.85546875" style="133" customWidth="1"/>
    <col min="5" max="5" width="24.85546875" style="42" customWidth="1"/>
    <col min="6" max="6" width="30.85546875" style="42" customWidth="1"/>
    <col min="7" max="7" width="11.7109375" style="42" bestFit="1" customWidth="1"/>
    <col min="8" max="8" width="15.140625" style="42" bestFit="1" customWidth="1"/>
    <col min="9" max="9" width="23" style="41" bestFit="1" customWidth="1"/>
    <col min="10" max="10" width="24.85546875" style="42" customWidth="1"/>
    <col min="11" max="11" width="22.5703125" style="41" bestFit="1" customWidth="1"/>
    <col min="12" max="12" width="40.85546875" style="42" customWidth="1"/>
    <col min="13" max="13" width="21.85546875" style="41" bestFit="1" customWidth="1"/>
    <col min="14" max="14" width="32.85546875" style="42" customWidth="1"/>
    <col min="15" max="16" width="8.85546875" style="42" hidden="1" customWidth="1"/>
    <col min="17" max="16384" width="8.85546875" style="42"/>
  </cols>
  <sheetData>
    <row r="1" spans="1:16" s="48" customFormat="1" ht="37.5" x14ac:dyDescent="0.25">
      <c r="A1" s="73" t="s">
        <v>84</v>
      </c>
      <c r="B1" s="74" t="s">
        <v>119</v>
      </c>
      <c r="C1" s="75" t="s">
        <v>1</v>
      </c>
      <c r="D1" s="132" t="s">
        <v>57</v>
      </c>
      <c r="E1" s="74" t="s">
        <v>4</v>
      </c>
      <c r="F1" s="74" t="s">
        <v>5</v>
      </c>
      <c r="G1" s="74" t="s">
        <v>85</v>
      </c>
      <c r="H1" s="74" t="s">
        <v>86</v>
      </c>
      <c r="I1" s="75" t="s">
        <v>87</v>
      </c>
      <c r="J1" s="74" t="s">
        <v>88</v>
      </c>
      <c r="K1" s="75" t="s">
        <v>89</v>
      </c>
      <c r="L1" s="74" t="s">
        <v>90</v>
      </c>
      <c r="M1" s="75" t="s">
        <v>91</v>
      </c>
      <c r="N1" s="74" t="s">
        <v>15</v>
      </c>
      <c r="O1" s="48" t="s">
        <v>105</v>
      </c>
      <c r="P1" s="48" t="s">
        <v>110</v>
      </c>
    </row>
    <row r="2" spans="1:16" ht="75" x14ac:dyDescent="0.25">
      <c r="A2" s="63">
        <v>1</v>
      </c>
      <c r="B2" s="42" t="s">
        <v>126</v>
      </c>
      <c r="C2" s="41">
        <v>44207</v>
      </c>
      <c r="D2" s="133" t="s">
        <v>210</v>
      </c>
      <c r="E2" s="43" t="s">
        <v>211</v>
      </c>
      <c r="F2" s="43" t="s">
        <v>212</v>
      </c>
      <c r="G2" s="42" t="s">
        <v>44</v>
      </c>
      <c r="H2" s="42" t="s">
        <v>37</v>
      </c>
      <c r="I2" s="41">
        <v>44225</v>
      </c>
      <c r="J2" s="43" t="s">
        <v>213</v>
      </c>
      <c r="K2" s="41">
        <v>44224</v>
      </c>
      <c r="L2" s="43"/>
      <c r="M2" s="41">
        <v>44224</v>
      </c>
      <c r="N2" s="43" t="s">
        <v>214</v>
      </c>
      <c r="O2" s="42" t="str">
        <f>IF(OR(ActionLog[[#This Row],[Date Reported]]="",ActionLog[[#This Row],[Actual Resolution Date]]&lt;&gt;""),"",IF(ActionLog[[#This Row],[Date Reported]]&lt;=Mdate,IF(COUNTIF(O$1:O1,"*Y")=0,"1Y",COUNTIF(O$1:O1,"*Y")+1&amp;"Y"),"N"))</f>
        <v/>
      </c>
      <c r="P2" s="42" t="str">
        <f>IF(OR(ActionLog[[#This Row],[Date Reported]]="",ActionLog[[#This Row],[Actual Resolution Date]]&lt;&gt;""),"",IF(ActionLog[[#This Row],[Date Reported]]&lt;=CDate,IF(COUNTIF(O$1:O1,"*Y")=0,"1Y",COUNTIF(O$1:O1,"*Y")+1&amp;"Y"),"N"))</f>
        <v/>
      </c>
    </row>
    <row r="3" spans="1:16" ht="93.75" x14ac:dyDescent="0.25">
      <c r="A3" s="63">
        <f>A2+1</f>
        <v>2</v>
      </c>
      <c r="B3" s="42" t="s">
        <v>126</v>
      </c>
      <c r="C3" s="41">
        <v>44207</v>
      </c>
      <c r="D3" s="133" t="s">
        <v>210</v>
      </c>
      <c r="E3" s="43" t="s">
        <v>215</v>
      </c>
      <c r="F3" s="43" t="s">
        <v>216</v>
      </c>
      <c r="G3" s="42" t="s">
        <v>44</v>
      </c>
      <c r="H3" s="42" t="s">
        <v>37</v>
      </c>
      <c r="I3" s="41">
        <v>44225</v>
      </c>
      <c r="J3" s="43" t="s">
        <v>217</v>
      </c>
      <c r="K3" s="41">
        <v>44224</v>
      </c>
      <c r="L3" s="43"/>
      <c r="M3" s="41">
        <v>44224</v>
      </c>
      <c r="N3" s="43" t="s">
        <v>218</v>
      </c>
      <c r="O3" s="42" t="str">
        <f>IF(OR(ActionLog[[#This Row],[Date Reported]]="",ActionLog[[#This Row],[Actual Resolution Date]]&lt;&gt;""),"",IF(ActionLog[[#This Row],[Date Reported]]&lt;=Mdate,IF(COUNTIF(O$1:O2,"*Y")=0,"1Y",COUNTIF(O$1:O2,"*Y")+1&amp;"Y"),"N"))</f>
        <v/>
      </c>
      <c r="P3" s="42" t="str">
        <f>IF(OR(ActionLog[[#This Row],[Date Reported]]="",ActionLog[[#This Row],[Actual Resolution Date]]&lt;&gt;""),"",IF(ActionLog[[#This Row],[Date Reported]]&lt;=CDate,IF(COUNTIF(O$1:O2,"*Y")=0,"1Y",COUNTIF(O$1:O2,"*Y")+1&amp;"Y"),"N"))</f>
        <v/>
      </c>
    </row>
    <row r="4" spans="1:16" ht="93.75" hidden="1" x14ac:dyDescent="0.25">
      <c r="A4" s="63">
        <f t="shared" ref="A4:A26" si="0">A3+1</f>
        <v>3</v>
      </c>
      <c r="B4" s="42" t="s">
        <v>126</v>
      </c>
      <c r="C4" s="41">
        <v>44207</v>
      </c>
      <c r="D4" s="133" t="s">
        <v>210</v>
      </c>
      <c r="E4" s="43" t="s">
        <v>219</v>
      </c>
      <c r="F4" s="43" t="s">
        <v>220</v>
      </c>
      <c r="G4" s="42" t="s">
        <v>94</v>
      </c>
      <c r="H4" s="42" t="s">
        <v>37</v>
      </c>
      <c r="I4" s="41">
        <v>44225</v>
      </c>
      <c r="J4" s="43" t="s">
        <v>213</v>
      </c>
      <c r="K4" s="41">
        <v>44224</v>
      </c>
      <c r="L4" s="43"/>
      <c r="M4" s="41">
        <v>44224</v>
      </c>
      <c r="N4" s="43" t="s">
        <v>221</v>
      </c>
      <c r="O4" s="42" t="str">
        <f>IF(OR(ActionLog[[#This Row],[Date Reported]]="",ActionLog[[#This Row],[Actual Resolution Date]]&lt;&gt;""),"",IF(ActionLog[[#This Row],[Date Reported]]&lt;=Mdate,IF(COUNTIF(O$1:O3,"*Y")=0,"1Y",COUNTIF(O$1:O3,"*Y")+1&amp;"Y"),"N"))</f>
        <v/>
      </c>
      <c r="P4" s="42" t="str">
        <f>IF(OR(ActionLog[[#This Row],[Date Reported]]="",ActionLog[[#This Row],[Actual Resolution Date]]&lt;&gt;""),"",IF(ActionLog[[#This Row],[Date Reported]]&lt;=CDate,IF(COUNTIF(O$1:O3,"*Y")=0,"1Y",COUNTIF(O$1:O3,"*Y")+1&amp;"Y"),"N"))</f>
        <v/>
      </c>
    </row>
    <row r="5" spans="1:16" ht="131.25" x14ac:dyDescent="0.25">
      <c r="A5" s="63">
        <f t="shared" si="0"/>
        <v>4</v>
      </c>
      <c r="B5" s="42" t="s">
        <v>126</v>
      </c>
      <c r="C5" s="41">
        <v>44221</v>
      </c>
      <c r="D5" s="133" t="s">
        <v>193</v>
      </c>
      <c r="E5" s="43" t="s">
        <v>222</v>
      </c>
      <c r="F5" s="43" t="s">
        <v>223</v>
      </c>
      <c r="G5" s="42" t="s">
        <v>95</v>
      </c>
      <c r="H5" s="42" t="s">
        <v>65</v>
      </c>
      <c r="I5" s="41">
        <v>44221</v>
      </c>
      <c r="J5" s="43" t="s">
        <v>224</v>
      </c>
      <c r="K5" s="41">
        <v>44224</v>
      </c>
      <c r="L5" s="43" t="s">
        <v>225</v>
      </c>
      <c r="N5" s="43" t="s">
        <v>272</v>
      </c>
      <c r="O5" s="42" t="str">
        <f>IF(OR(ActionLog[[#This Row],[Date Reported]]="",ActionLog[[#This Row],[Actual Resolution Date]]&lt;&gt;""),"",IF(ActionLog[[#This Row],[Date Reported]]&lt;=Mdate,IF(COUNTIF(O$1:O4,"*Y")=0,"1Y",COUNTIF(O$1:O4,"*Y")+1&amp;"Y"),"N"))</f>
        <v>1Y</v>
      </c>
      <c r="P5" s="42" t="str">
        <f>IF(OR(ActionLog[[#This Row],[Date Reported]]="",ActionLog[[#This Row],[Actual Resolution Date]]&lt;&gt;""),"",IF(ActionLog[[#This Row],[Date Reported]]&lt;=CDate,IF(COUNTIF(O$1:O4,"*Y")=0,"1Y",COUNTIF(O$1:O4,"*Y")+1&amp;"Y"),"N"))</f>
        <v>1Y</v>
      </c>
    </row>
    <row r="6" spans="1:16" ht="262.5" x14ac:dyDescent="0.25">
      <c r="A6" s="63">
        <f t="shared" si="0"/>
        <v>5</v>
      </c>
      <c r="B6" s="42" t="s">
        <v>126</v>
      </c>
      <c r="C6" s="41">
        <v>44221</v>
      </c>
      <c r="D6" s="133" t="s">
        <v>193</v>
      </c>
      <c r="E6" s="43" t="s">
        <v>226</v>
      </c>
      <c r="F6" s="43" t="s">
        <v>227</v>
      </c>
      <c r="G6" s="42" t="s">
        <v>44</v>
      </c>
      <c r="H6" s="42" t="s">
        <v>37</v>
      </c>
      <c r="I6" s="41">
        <v>44222</v>
      </c>
      <c r="J6" s="43" t="s">
        <v>228</v>
      </c>
      <c r="K6" s="41">
        <v>44224</v>
      </c>
      <c r="L6" s="43" t="s">
        <v>229</v>
      </c>
      <c r="N6" s="43" t="s">
        <v>273</v>
      </c>
      <c r="O6" s="42" t="str">
        <f>IF(OR(ActionLog[[#This Row],[Date Reported]]="",ActionLog[[#This Row],[Actual Resolution Date]]&lt;&gt;""),"",IF(ActionLog[[#This Row],[Date Reported]]&lt;=Mdate,IF(COUNTIF(O$1:O5,"*Y")=0,"1Y",COUNTIF(O$1:O5,"*Y")+1&amp;"Y"),"N"))</f>
        <v>2Y</v>
      </c>
      <c r="P6" s="42" t="str">
        <f>IF(OR(ActionLog[[#This Row],[Date Reported]]="",ActionLog[[#This Row],[Actual Resolution Date]]&lt;&gt;""),"",IF(ActionLog[[#This Row],[Date Reported]]&lt;=CDate,IF(COUNTIF(O$1:O5,"*Y")=0,"1Y",COUNTIF(O$1:O5,"*Y")+1&amp;"Y"),"N"))</f>
        <v>2Y</v>
      </c>
    </row>
    <row r="7" spans="1:16" ht="112.5" x14ac:dyDescent="0.25">
      <c r="A7" s="63">
        <f t="shared" si="0"/>
        <v>6</v>
      </c>
      <c r="B7" s="42" t="s">
        <v>126</v>
      </c>
      <c r="C7" s="41">
        <v>44218</v>
      </c>
      <c r="D7" s="133" t="s">
        <v>193</v>
      </c>
      <c r="E7" s="43" t="s">
        <v>230</v>
      </c>
      <c r="F7" s="43" t="s">
        <v>231</v>
      </c>
      <c r="G7" s="42" t="s">
        <v>44</v>
      </c>
      <c r="H7" s="42" t="s">
        <v>65</v>
      </c>
      <c r="I7" s="41">
        <v>44225</v>
      </c>
      <c r="J7" s="43" t="s">
        <v>232</v>
      </c>
      <c r="K7" s="41">
        <v>44228</v>
      </c>
      <c r="L7" s="43" t="s">
        <v>267</v>
      </c>
      <c r="N7" s="43" t="s">
        <v>282</v>
      </c>
      <c r="O7" s="42" t="str">
        <f>IF(OR(ActionLog[[#This Row],[Date Reported]]="",ActionLog[[#This Row],[Actual Resolution Date]]&lt;&gt;""),"",IF(ActionLog[[#This Row],[Date Reported]]&lt;=Mdate,IF(COUNTIF(O$1:O6,"*Y")=0,"1Y",COUNTIF(O$1:O6,"*Y")+1&amp;"Y"),"N"))</f>
        <v>3Y</v>
      </c>
      <c r="P7" s="42" t="str">
        <f>IF(OR(ActionLog[[#This Row],[Date Reported]]="",ActionLog[[#This Row],[Actual Resolution Date]]&lt;&gt;""),"",IF(ActionLog[[#This Row],[Date Reported]]&lt;=CDate,IF(COUNTIF(O$1:O6,"*Y")=0,"1Y",COUNTIF(O$1:O6,"*Y")+1&amp;"Y"),"N"))</f>
        <v>3Y</v>
      </c>
    </row>
    <row r="8" spans="1:16" ht="75" hidden="1" x14ac:dyDescent="0.25">
      <c r="A8" s="63">
        <f t="shared" si="0"/>
        <v>7</v>
      </c>
      <c r="B8" s="42" t="s">
        <v>126</v>
      </c>
      <c r="C8" s="41">
        <v>44221</v>
      </c>
      <c r="D8" s="133" t="s">
        <v>233</v>
      </c>
      <c r="E8" s="43" t="s">
        <v>234</v>
      </c>
      <c r="F8" s="43" t="s">
        <v>235</v>
      </c>
      <c r="G8" s="42" t="s">
        <v>94</v>
      </c>
      <c r="H8" s="42" t="s">
        <v>37</v>
      </c>
      <c r="I8" s="41">
        <v>44222</v>
      </c>
      <c r="J8" s="43"/>
      <c r="K8" s="41">
        <v>44224</v>
      </c>
      <c r="L8" s="43" t="s">
        <v>236</v>
      </c>
      <c r="M8" s="41">
        <v>44224</v>
      </c>
      <c r="N8" s="43"/>
      <c r="O8" s="42" t="str">
        <f>IF(OR(ActionLog[[#This Row],[Date Reported]]="",ActionLog[[#This Row],[Actual Resolution Date]]&lt;&gt;""),"",IF(ActionLog[[#This Row],[Date Reported]]&lt;=Mdate,IF(COUNTIF(O$1:O7,"*Y")=0,"1Y",COUNTIF(O$1:O7,"*Y")+1&amp;"Y"),"N"))</f>
        <v/>
      </c>
      <c r="P8" s="42" t="str">
        <f>IF(OR(ActionLog[[#This Row],[Date Reported]]="",ActionLog[[#This Row],[Actual Resolution Date]]&lt;&gt;""),"",IF(ActionLog[[#This Row],[Date Reported]]&lt;=CDate,IF(COUNTIF(O$1:O7,"*Y")=0,"1Y",COUNTIF(O$1:O7,"*Y")+1&amp;"Y"),"N"))</f>
        <v/>
      </c>
    </row>
    <row r="9" spans="1:16" ht="75" hidden="1" x14ac:dyDescent="0.25">
      <c r="A9" s="63">
        <f t="shared" si="0"/>
        <v>8</v>
      </c>
      <c r="B9" s="42" t="s">
        <v>126</v>
      </c>
      <c r="C9" s="41">
        <v>44221</v>
      </c>
      <c r="D9" s="133" t="s">
        <v>233</v>
      </c>
      <c r="E9" s="43" t="s">
        <v>237</v>
      </c>
      <c r="F9" s="43"/>
      <c r="G9" s="42" t="s">
        <v>94</v>
      </c>
      <c r="H9" s="42" t="s">
        <v>37</v>
      </c>
      <c r="I9" s="41">
        <v>44225</v>
      </c>
      <c r="J9" s="43" t="s">
        <v>238</v>
      </c>
      <c r="K9" s="41">
        <v>44224</v>
      </c>
      <c r="L9" s="43" t="s">
        <v>239</v>
      </c>
      <c r="M9" s="41">
        <v>44224</v>
      </c>
      <c r="N9" s="43" t="s">
        <v>240</v>
      </c>
      <c r="O9" s="42" t="str">
        <f>IF(OR(ActionLog[[#This Row],[Date Reported]]="",ActionLog[[#This Row],[Actual Resolution Date]]&lt;&gt;""),"",IF(ActionLog[[#This Row],[Date Reported]]&lt;=Mdate,IF(COUNTIF(O$1:O8,"*Y")=0,"1Y",COUNTIF(O$1:O8,"*Y")+1&amp;"Y"),"N"))</f>
        <v/>
      </c>
      <c r="P9" s="42" t="str">
        <f>IF(OR(ActionLog[[#This Row],[Date Reported]]="",ActionLog[[#This Row],[Actual Resolution Date]]&lt;&gt;""),"",IF(ActionLog[[#This Row],[Date Reported]]&lt;=CDate,IF(COUNTIF(O$1:O8,"*Y")=0,"1Y",COUNTIF(O$1:O8,"*Y")+1&amp;"Y"),"N"))</f>
        <v/>
      </c>
    </row>
    <row r="10" spans="1:16" ht="168.75" x14ac:dyDescent="0.25">
      <c r="A10" s="63">
        <f t="shared" si="0"/>
        <v>9</v>
      </c>
      <c r="B10" s="42" t="s">
        <v>126</v>
      </c>
      <c r="C10" s="41">
        <v>44218</v>
      </c>
      <c r="D10" s="133" t="s">
        <v>181</v>
      </c>
      <c r="E10" s="43" t="s">
        <v>241</v>
      </c>
      <c r="F10" s="43" t="s">
        <v>242</v>
      </c>
      <c r="G10" s="42" t="s">
        <v>94</v>
      </c>
      <c r="H10" s="42" t="s">
        <v>65</v>
      </c>
      <c r="I10" s="41">
        <v>44225</v>
      </c>
      <c r="J10" s="43" t="s">
        <v>243</v>
      </c>
      <c r="K10" s="41">
        <v>44231</v>
      </c>
      <c r="L10" s="43" t="s">
        <v>244</v>
      </c>
      <c r="N10" s="43" t="s">
        <v>268</v>
      </c>
      <c r="O10" s="42" t="str">
        <f>IF(OR(ActionLog[[#This Row],[Date Reported]]="",ActionLog[[#This Row],[Actual Resolution Date]]&lt;&gt;""),"",IF(ActionLog[[#This Row],[Date Reported]]&lt;=Mdate,IF(COUNTIF(O$1:O9,"*Y")=0,"1Y",COUNTIF(O$1:O9,"*Y")+1&amp;"Y"),"N"))</f>
        <v>4Y</v>
      </c>
      <c r="P10" s="42" t="str">
        <f>IF(OR(ActionLog[[#This Row],[Date Reported]]="",ActionLog[[#This Row],[Actual Resolution Date]]&lt;&gt;""),"",IF(ActionLog[[#This Row],[Date Reported]]&lt;=CDate,IF(COUNTIF(O$1:O9,"*Y")=0,"1Y",COUNTIF(O$1:O9,"*Y")+1&amp;"Y"),"N"))</f>
        <v>4Y</v>
      </c>
    </row>
    <row r="11" spans="1:16" ht="56.25" hidden="1" x14ac:dyDescent="0.25">
      <c r="A11" s="63">
        <f t="shared" si="0"/>
        <v>10</v>
      </c>
      <c r="B11" s="42" t="s">
        <v>126</v>
      </c>
      <c r="C11" s="41">
        <v>44221</v>
      </c>
      <c r="D11" s="133" t="s">
        <v>181</v>
      </c>
      <c r="E11" s="43" t="s">
        <v>245</v>
      </c>
      <c r="F11" s="43" t="s">
        <v>246</v>
      </c>
      <c r="G11" s="42" t="s">
        <v>44</v>
      </c>
      <c r="H11" s="42" t="s">
        <v>37</v>
      </c>
      <c r="I11" s="41">
        <v>44225</v>
      </c>
      <c r="J11" s="43" t="s">
        <v>247</v>
      </c>
      <c r="K11" s="41">
        <v>44224</v>
      </c>
      <c r="L11" s="43" t="s">
        <v>248</v>
      </c>
      <c r="M11" s="41">
        <v>44224</v>
      </c>
      <c r="N11" s="43"/>
      <c r="O11" s="42" t="str">
        <f>IF(OR(ActionLog[[#This Row],[Date Reported]]="",ActionLog[[#This Row],[Actual Resolution Date]]&lt;&gt;""),"",IF(ActionLog[[#This Row],[Date Reported]]&lt;=Mdate,IF(COUNTIF(O$1:O10,"*Y")=0,"1Y",COUNTIF(O$1:O10,"*Y")+1&amp;"Y"),"N"))</f>
        <v/>
      </c>
      <c r="P11" s="42" t="str">
        <f>IF(OR(ActionLog[[#This Row],[Date Reported]]="",ActionLog[[#This Row],[Actual Resolution Date]]&lt;&gt;""),"",IF(ActionLog[[#This Row],[Date Reported]]&lt;=CDate,IF(COUNTIF(O$1:O10,"*Y")=0,"1Y",COUNTIF(O$1:O10,"*Y")+1&amp;"Y"),"N"))</f>
        <v/>
      </c>
    </row>
    <row r="12" spans="1:16" ht="56.25" x14ac:dyDescent="0.25">
      <c r="A12" s="63">
        <f>A11+1</f>
        <v>11</v>
      </c>
      <c r="B12" s="42" t="s">
        <v>126</v>
      </c>
      <c r="C12" s="41">
        <v>44221</v>
      </c>
      <c r="D12" s="133" t="s">
        <v>210</v>
      </c>
      <c r="E12" s="43" t="s">
        <v>249</v>
      </c>
      <c r="F12" s="43" t="s">
        <v>250</v>
      </c>
      <c r="G12" s="42" t="s">
        <v>94</v>
      </c>
      <c r="H12" s="42" t="s">
        <v>65</v>
      </c>
      <c r="I12" s="41">
        <v>44229</v>
      </c>
      <c r="J12" s="43"/>
      <c r="K12" s="41">
        <v>44224</v>
      </c>
      <c r="L12" s="43" t="s">
        <v>251</v>
      </c>
      <c r="N12" s="43"/>
      <c r="O12" s="42" t="str">
        <f>IF(OR(ActionLog[[#This Row],[Date Reported]]="",ActionLog[[#This Row],[Actual Resolution Date]]&lt;&gt;""),"",IF(ActionLog[[#This Row],[Date Reported]]&lt;=Mdate,IF(COUNTIF(O$1:O11,"*Y")=0,"1Y",COUNTIF(O$1:O11,"*Y")+1&amp;"Y"),"N"))</f>
        <v>5Y</v>
      </c>
      <c r="P12" s="42" t="str">
        <f>IF(OR(ActionLog[[#This Row],[Date Reported]]="",ActionLog[[#This Row],[Actual Resolution Date]]&lt;&gt;""),"",IF(ActionLog[[#This Row],[Date Reported]]&lt;=CDate,IF(COUNTIF(O$1:O11,"*Y")=0,"1Y",COUNTIF(O$1:O11,"*Y")+1&amp;"Y"),"N"))</f>
        <v>5Y</v>
      </c>
    </row>
    <row r="13" spans="1:16" ht="56.25" x14ac:dyDescent="0.25">
      <c r="A13" s="63">
        <f t="shared" si="0"/>
        <v>12</v>
      </c>
      <c r="B13" s="42" t="s">
        <v>126</v>
      </c>
      <c r="C13" s="41">
        <v>44221</v>
      </c>
      <c r="D13" s="133" t="s">
        <v>210</v>
      </c>
      <c r="E13" s="43" t="s">
        <v>252</v>
      </c>
      <c r="F13" s="43" t="s">
        <v>253</v>
      </c>
      <c r="G13" s="42" t="s">
        <v>94</v>
      </c>
      <c r="H13" s="42" t="s">
        <v>33</v>
      </c>
      <c r="I13" s="41">
        <v>44243</v>
      </c>
      <c r="J13" s="43"/>
      <c r="K13" s="41">
        <v>44224</v>
      </c>
      <c r="L13" s="43"/>
      <c r="N13" s="43" t="s">
        <v>254</v>
      </c>
      <c r="O13" s="42" t="str">
        <f>IF(OR(ActionLog[[#This Row],[Date Reported]]="",ActionLog[[#This Row],[Actual Resolution Date]]&lt;&gt;""),"",IF(ActionLog[[#This Row],[Date Reported]]&lt;=Mdate,IF(COUNTIF(O$1:O12,"*Y")=0,"1Y",COUNTIF(O$1:O12,"*Y")+1&amp;"Y"),"N"))</f>
        <v>6Y</v>
      </c>
      <c r="P13" s="42" t="str">
        <f>IF(OR(ActionLog[[#This Row],[Date Reported]]="",ActionLog[[#This Row],[Actual Resolution Date]]&lt;&gt;""),"",IF(ActionLog[[#This Row],[Date Reported]]&lt;=CDate,IF(COUNTIF(O$1:O12,"*Y")=0,"1Y",COUNTIF(O$1:O12,"*Y")+1&amp;"Y"),"N"))</f>
        <v>6Y</v>
      </c>
    </row>
    <row r="14" spans="1:16" ht="153.94999999999999" customHeight="1" x14ac:dyDescent="0.25">
      <c r="A14" s="63">
        <f t="shared" si="0"/>
        <v>13</v>
      </c>
      <c r="B14" s="42" t="s">
        <v>126</v>
      </c>
      <c r="C14" s="41">
        <v>44221</v>
      </c>
      <c r="D14" s="133" t="s">
        <v>255</v>
      </c>
      <c r="E14" s="43" t="s">
        <v>256</v>
      </c>
      <c r="F14" s="43" t="s">
        <v>257</v>
      </c>
      <c r="G14" s="42" t="s">
        <v>44</v>
      </c>
      <c r="H14" s="42" t="s">
        <v>66</v>
      </c>
      <c r="I14" s="41">
        <v>44225</v>
      </c>
      <c r="J14" s="43" t="s">
        <v>258</v>
      </c>
      <c r="K14" s="41">
        <v>44224</v>
      </c>
      <c r="L14" s="43" t="s">
        <v>269</v>
      </c>
      <c r="N14" s="43" t="s">
        <v>270</v>
      </c>
      <c r="O14" s="42" t="str">
        <f>IF(OR(ActionLog[[#This Row],[Date Reported]]="",ActionLog[[#This Row],[Actual Resolution Date]]&lt;&gt;""),"",IF(ActionLog[[#This Row],[Date Reported]]&lt;=Mdate,IF(COUNTIF(O$1:O13,"*Y")=0,"1Y",COUNTIF(O$1:O13,"*Y")+1&amp;"Y"),"N"))</f>
        <v>7Y</v>
      </c>
      <c r="P14" s="42" t="str">
        <f>IF(OR(ActionLog[[#This Row],[Date Reported]]="",ActionLog[[#This Row],[Actual Resolution Date]]&lt;&gt;""),"",IF(ActionLog[[#This Row],[Date Reported]]&lt;=CDate,IF(COUNTIF(O$1:O13,"*Y")=0,"1Y",COUNTIF(O$1:O13,"*Y")+1&amp;"Y"),"N"))</f>
        <v>7Y</v>
      </c>
    </row>
    <row r="15" spans="1:16" ht="56.25" x14ac:dyDescent="0.25">
      <c r="A15" s="63">
        <f t="shared" si="0"/>
        <v>14</v>
      </c>
      <c r="B15" s="42" t="s">
        <v>126</v>
      </c>
      <c r="C15" s="41">
        <v>44224</v>
      </c>
      <c r="D15" s="133" t="s">
        <v>181</v>
      </c>
      <c r="E15" s="43" t="s">
        <v>259</v>
      </c>
      <c r="F15" s="43" t="s">
        <v>260</v>
      </c>
      <c r="G15" s="42" t="s">
        <v>44</v>
      </c>
      <c r="H15" s="42" t="s">
        <v>37</v>
      </c>
      <c r="I15" s="41">
        <v>44225</v>
      </c>
      <c r="J15" s="43" t="s">
        <v>261</v>
      </c>
      <c r="K15" s="41">
        <v>44228</v>
      </c>
      <c r="L15" s="43"/>
      <c r="N15" s="43"/>
      <c r="O15" s="42" t="str">
        <f>IF(OR(ActionLog[[#This Row],[Date Reported]]="",ActionLog[[#This Row],[Actual Resolution Date]]&lt;&gt;""),"",IF(ActionLog[[#This Row],[Date Reported]]&lt;=Mdate,IF(COUNTIF(O$1:O14,"*Y")=0,"1Y",COUNTIF(O$1:O14,"*Y")+1&amp;"Y"),"N"))</f>
        <v>8Y</v>
      </c>
      <c r="P15" s="42" t="str">
        <f>IF(OR(ActionLog[[#This Row],[Date Reported]]="",ActionLog[[#This Row],[Actual Resolution Date]]&lt;&gt;""),"",IF(ActionLog[[#This Row],[Date Reported]]&lt;=CDate,IF(COUNTIF(O$1:O14,"*Y")=0,"1Y",COUNTIF(O$1:O14,"*Y")+1&amp;"Y"),"N"))</f>
        <v>8Y</v>
      </c>
    </row>
    <row r="16" spans="1:16" ht="56.25" hidden="1" x14ac:dyDescent="0.25">
      <c r="A16" s="63">
        <f t="shared" si="0"/>
        <v>15</v>
      </c>
      <c r="B16" s="42" t="s">
        <v>126</v>
      </c>
      <c r="C16" s="41">
        <v>44224</v>
      </c>
      <c r="D16" s="133" t="s">
        <v>184</v>
      </c>
      <c r="E16" s="43" t="s">
        <v>262</v>
      </c>
      <c r="F16" s="43" t="s">
        <v>263</v>
      </c>
      <c r="G16" s="42" t="s">
        <v>44</v>
      </c>
      <c r="H16" s="42" t="s">
        <v>37</v>
      </c>
      <c r="I16" s="41">
        <v>44225</v>
      </c>
      <c r="J16" s="43" t="s">
        <v>279</v>
      </c>
      <c r="K16" s="41">
        <v>44228</v>
      </c>
      <c r="L16" s="43" t="s">
        <v>264</v>
      </c>
      <c r="M16" s="41">
        <v>44226</v>
      </c>
      <c r="N16" s="43" t="s">
        <v>278</v>
      </c>
      <c r="O16" s="42" t="str">
        <f>IF(OR(ActionLog[[#This Row],[Date Reported]]="",ActionLog[[#This Row],[Actual Resolution Date]]&lt;&gt;""),"",IF(ActionLog[[#This Row],[Date Reported]]&lt;=Mdate,IF(COUNTIF(O$1:O15,"*Y")=0,"1Y",COUNTIF(O$1:O15,"*Y")+1&amp;"Y"),"N"))</f>
        <v/>
      </c>
      <c r="P16" s="42" t="str">
        <f>IF(OR(ActionLog[[#This Row],[Date Reported]]="",ActionLog[[#This Row],[Actual Resolution Date]]&lt;&gt;""),"",IF(ActionLog[[#This Row],[Date Reported]]&lt;=CDate,IF(COUNTIF(O$1:O15,"*Y")=0,"1Y",COUNTIF(O$1:O15,"*Y")+1&amp;"Y"),"N"))</f>
        <v/>
      </c>
    </row>
    <row r="17" spans="1:16" ht="56.25" x14ac:dyDescent="0.25">
      <c r="A17" s="63">
        <f t="shared" si="0"/>
        <v>16</v>
      </c>
      <c r="B17" s="42" t="s">
        <v>126</v>
      </c>
      <c r="C17" s="41">
        <v>44224</v>
      </c>
      <c r="D17" s="133" t="s">
        <v>184</v>
      </c>
      <c r="E17" s="43" t="s">
        <v>265</v>
      </c>
      <c r="F17" s="43" t="s">
        <v>266</v>
      </c>
      <c r="G17" s="42" t="s">
        <v>44</v>
      </c>
      <c r="H17" s="42" t="s">
        <v>37</v>
      </c>
      <c r="I17" s="41">
        <v>44229</v>
      </c>
      <c r="J17" s="43" t="s">
        <v>280</v>
      </c>
      <c r="K17" s="41">
        <v>44228</v>
      </c>
      <c r="L17" s="43" t="s">
        <v>264</v>
      </c>
      <c r="N17" s="43" t="s">
        <v>281</v>
      </c>
      <c r="O17" s="42" t="str">
        <f>IF(OR(ActionLog[[#This Row],[Date Reported]]="",ActionLog[[#This Row],[Actual Resolution Date]]&lt;&gt;""),"",IF(ActionLog[[#This Row],[Date Reported]]&lt;=Mdate,IF(COUNTIF(O$1:O16,"*Y")=0,"1Y",COUNTIF(O$1:O16,"*Y")+1&amp;"Y"),"N"))</f>
        <v>9Y</v>
      </c>
      <c r="P17" s="42" t="str">
        <f>IF(OR(ActionLog[[#This Row],[Date Reported]]="",ActionLog[[#This Row],[Actual Resolution Date]]&lt;&gt;""),"",IF(ActionLog[[#This Row],[Date Reported]]&lt;=CDate,IF(COUNTIF(O$1:O16,"*Y")=0,"1Y",COUNTIF(O$1:O16,"*Y")+1&amp;"Y"),"N"))</f>
        <v>9Y</v>
      </c>
    </row>
    <row r="18" spans="1:16" ht="187.5" x14ac:dyDescent="0.25">
      <c r="A18" s="63">
        <f t="shared" si="0"/>
        <v>17</v>
      </c>
      <c r="B18" s="42" t="s">
        <v>126</v>
      </c>
      <c r="C18" s="41">
        <v>44228</v>
      </c>
      <c r="D18" s="133" t="s">
        <v>255</v>
      </c>
      <c r="E18" s="43" t="s">
        <v>274</v>
      </c>
      <c r="F18" s="43" t="s">
        <v>275</v>
      </c>
      <c r="G18" s="42" t="s">
        <v>95</v>
      </c>
      <c r="H18" s="42" t="s">
        <v>33</v>
      </c>
      <c r="I18" s="41">
        <v>44229</v>
      </c>
      <c r="J18" s="43" t="s">
        <v>277</v>
      </c>
      <c r="K18" s="41">
        <v>44228</v>
      </c>
      <c r="L18" s="43"/>
      <c r="N18" s="43" t="s">
        <v>276</v>
      </c>
      <c r="O18" s="42" t="str">
        <f>IF(OR(ActionLog[[#This Row],[Date Reported]]="",ActionLog[[#This Row],[Actual Resolution Date]]&lt;&gt;""),"",IF(ActionLog[[#This Row],[Date Reported]]&lt;=Mdate,IF(COUNTIF(O$1:O17,"*Y")=0,"1Y",COUNTIF(O$1:O17,"*Y")+1&amp;"Y"),"N"))</f>
        <v>10Y</v>
      </c>
      <c r="P18" s="42" t="str">
        <f>IF(OR(ActionLog[[#This Row],[Date Reported]]="",ActionLog[[#This Row],[Actual Resolution Date]]&lt;&gt;""),"",IF(ActionLog[[#This Row],[Date Reported]]&lt;=CDate,IF(COUNTIF(O$1:O17,"*Y")=0,"1Y",COUNTIF(O$1:O17,"*Y")+1&amp;"Y"),"N"))</f>
        <v>N</v>
      </c>
    </row>
    <row r="19" spans="1:16" ht="37.5" x14ac:dyDescent="0.25">
      <c r="A19" s="63">
        <f t="shared" si="0"/>
        <v>18</v>
      </c>
      <c r="B19" s="42" t="s">
        <v>126</v>
      </c>
      <c r="C19" s="180">
        <v>44231</v>
      </c>
      <c r="D19" s="181" t="s">
        <v>181</v>
      </c>
      <c r="E19" s="182" t="s">
        <v>327</v>
      </c>
      <c r="F19" s="182" t="s">
        <v>328</v>
      </c>
      <c r="G19" s="179"/>
      <c r="H19" s="179"/>
      <c r="I19" s="180"/>
      <c r="J19" s="182"/>
      <c r="K19" s="180"/>
      <c r="L19" s="182"/>
      <c r="M19" s="180"/>
      <c r="N19" s="182"/>
      <c r="O19" s="183" t="str">
        <f>IF(OR(ActionLog[[#This Row],[Date Reported]]="",ActionLog[[#This Row],[Actual Resolution Date]]&lt;&gt;""),"",IF(ActionLog[[#This Row],[Date Reported]]&lt;=Mdate,IF(COUNTIF(O$1:O18,"*Y")=0,"1Y",COUNTIF(O$1:O18,"*Y")+1&amp;"Y"),"N"))</f>
        <v>11Y</v>
      </c>
      <c r="P19" s="183" t="str">
        <f>IF(OR(ActionLog[[#This Row],[Date Reported]]="",ActionLog[[#This Row],[Actual Resolution Date]]&lt;&gt;""),"",IF(ActionLog[[#This Row],[Date Reported]]&lt;=CDate,IF(COUNTIF(O$1:O18,"*Y")=0,"1Y",COUNTIF(O$1:O18,"*Y")+1&amp;"Y"),"N"))</f>
        <v>N</v>
      </c>
    </row>
    <row r="20" spans="1:16" ht="37.5" x14ac:dyDescent="0.25">
      <c r="A20" s="63">
        <f t="shared" si="0"/>
        <v>19</v>
      </c>
      <c r="B20" s="179" t="s">
        <v>126</v>
      </c>
      <c r="C20" s="180">
        <v>44230</v>
      </c>
      <c r="D20" s="181" t="s">
        <v>233</v>
      </c>
      <c r="E20" s="182" t="s">
        <v>329</v>
      </c>
      <c r="F20" s="182"/>
      <c r="G20" s="179" t="s">
        <v>44</v>
      </c>
      <c r="H20" s="179" t="s">
        <v>65</v>
      </c>
      <c r="I20" s="180"/>
      <c r="J20" s="182" t="s">
        <v>331</v>
      </c>
      <c r="K20" s="180"/>
      <c r="L20" s="182"/>
      <c r="M20" s="180"/>
      <c r="N20" s="182"/>
      <c r="O20" s="183" t="str">
        <f>IF(OR(ActionLog[[#This Row],[Date Reported]]="",ActionLog[[#This Row],[Actual Resolution Date]]&lt;&gt;""),"",IF(ActionLog[[#This Row],[Date Reported]]&lt;=Mdate,IF(COUNTIF(O$1:O19,"*Y")=0,"1Y",COUNTIF(O$1:O19,"*Y")+1&amp;"Y"),"N"))</f>
        <v>12Y</v>
      </c>
      <c r="P20" s="183" t="str">
        <f>IF(OR(ActionLog[[#This Row],[Date Reported]]="",ActionLog[[#This Row],[Actual Resolution Date]]&lt;&gt;""),"",IF(ActionLog[[#This Row],[Date Reported]]&lt;=CDate,IF(COUNTIF(O$1:O19,"*Y")=0,"1Y",COUNTIF(O$1:O19,"*Y")+1&amp;"Y"),"N"))</f>
        <v>N</v>
      </c>
    </row>
    <row r="21" spans="1:16" ht="56.25" x14ac:dyDescent="0.25">
      <c r="A21" s="63">
        <f t="shared" si="0"/>
        <v>20</v>
      </c>
      <c r="B21" s="179" t="s">
        <v>126</v>
      </c>
      <c r="C21" s="180">
        <v>44230</v>
      </c>
      <c r="D21" s="181" t="s">
        <v>233</v>
      </c>
      <c r="E21" s="182" t="s">
        <v>330</v>
      </c>
      <c r="F21" s="182"/>
      <c r="G21" s="179"/>
      <c r="H21" s="179"/>
      <c r="I21" s="180"/>
      <c r="J21" s="182"/>
      <c r="K21" s="180"/>
      <c r="L21" s="182"/>
      <c r="M21" s="180"/>
      <c r="N21" s="182"/>
      <c r="O21" s="183" t="str">
        <f>IF(OR(ActionLog[[#This Row],[Date Reported]]="",ActionLog[[#This Row],[Actual Resolution Date]]&lt;&gt;""),"",IF(ActionLog[[#This Row],[Date Reported]]&lt;=Mdate,IF(COUNTIF(O$1:O20,"*Y")=0,"1Y",COUNTIF(O$1:O20,"*Y")+1&amp;"Y"),"N"))</f>
        <v>13Y</v>
      </c>
      <c r="P21" s="183" t="str">
        <f>IF(OR(ActionLog[[#This Row],[Date Reported]]="",ActionLog[[#This Row],[Actual Resolution Date]]&lt;&gt;""),"",IF(ActionLog[[#This Row],[Date Reported]]&lt;=CDate,IF(COUNTIF(O$1:O20,"*Y")=0,"1Y",COUNTIF(O$1:O20,"*Y")+1&amp;"Y"),"N"))</f>
        <v>N</v>
      </c>
    </row>
    <row r="22" spans="1:16" x14ac:dyDescent="0.25">
      <c r="A22" s="63">
        <f t="shared" si="0"/>
        <v>21</v>
      </c>
      <c r="B22" s="179" t="s">
        <v>126</v>
      </c>
      <c r="C22" s="180"/>
      <c r="D22" s="133" t="s">
        <v>181</v>
      </c>
      <c r="E22" s="182" t="s">
        <v>332</v>
      </c>
      <c r="F22" s="182"/>
      <c r="G22" s="179"/>
      <c r="H22" s="179"/>
      <c r="I22" s="180"/>
      <c r="J22" s="182"/>
      <c r="K22" s="180"/>
      <c r="L22" s="182"/>
      <c r="M22" s="180"/>
      <c r="N22" s="182"/>
      <c r="O22" s="183" t="str">
        <f>IF(OR(ActionLog[[#This Row],[Date Reported]]="",ActionLog[[#This Row],[Actual Resolution Date]]&lt;&gt;""),"",IF(ActionLog[[#This Row],[Date Reported]]&lt;=Mdate,IF(COUNTIF(O$1:O21,"*Y")=0,"1Y",COUNTIF(O$1:O21,"*Y")+1&amp;"Y"),"N"))</f>
        <v/>
      </c>
      <c r="P22" s="183" t="str">
        <f>IF(OR(ActionLog[[#This Row],[Date Reported]]="",ActionLog[[#This Row],[Actual Resolution Date]]&lt;&gt;""),"",IF(ActionLog[[#This Row],[Date Reported]]&lt;=CDate,IF(COUNTIF(O$1:O21,"*Y")=0,"1Y",COUNTIF(O$1:O21,"*Y")+1&amp;"Y"),"N"))</f>
        <v/>
      </c>
    </row>
    <row r="23" spans="1:16" ht="37.5" x14ac:dyDescent="0.25">
      <c r="A23" s="63">
        <f t="shared" si="0"/>
        <v>22</v>
      </c>
      <c r="B23" s="179" t="s">
        <v>126</v>
      </c>
      <c r="C23" s="180">
        <v>44231</v>
      </c>
      <c r="D23" s="181" t="s">
        <v>255</v>
      </c>
      <c r="E23" s="182" t="s">
        <v>333</v>
      </c>
      <c r="F23" s="182" t="s">
        <v>334</v>
      </c>
      <c r="G23" s="179"/>
      <c r="H23" s="179"/>
      <c r="I23" s="180"/>
      <c r="J23" s="182"/>
      <c r="K23" s="180"/>
      <c r="L23" s="182"/>
      <c r="M23" s="180"/>
      <c r="N23" s="182"/>
      <c r="O23" s="183" t="str">
        <f>IF(OR(ActionLog[[#This Row],[Date Reported]]="",ActionLog[[#This Row],[Actual Resolution Date]]&lt;&gt;""),"",IF(ActionLog[[#This Row],[Date Reported]]&lt;=Mdate,IF(COUNTIF(O$1:O22,"*Y")=0,"1Y",COUNTIF(O$1:O22,"*Y")+1&amp;"Y"),"N"))</f>
        <v>14Y</v>
      </c>
      <c r="P23" s="183" t="str">
        <f>IF(OR(ActionLog[[#This Row],[Date Reported]]="",ActionLog[[#This Row],[Actual Resolution Date]]&lt;&gt;""),"",IF(ActionLog[[#This Row],[Date Reported]]&lt;=CDate,IF(COUNTIF(O$1:O22,"*Y")=0,"1Y",COUNTIF(O$1:O22,"*Y")+1&amp;"Y"),"N"))</f>
        <v>N</v>
      </c>
    </row>
    <row r="24" spans="1:16" ht="37.5" x14ac:dyDescent="0.25">
      <c r="A24" s="63">
        <f t="shared" si="0"/>
        <v>23</v>
      </c>
      <c r="B24" s="179" t="s">
        <v>126</v>
      </c>
      <c r="C24" s="180">
        <v>44231</v>
      </c>
      <c r="D24" s="133" t="s">
        <v>336</v>
      </c>
      <c r="E24" s="43" t="s">
        <v>340</v>
      </c>
      <c r="F24" s="43"/>
      <c r="G24" s="179"/>
      <c r="H24" s="179"/>
      <c r="I24" s="180"/>
      <c r="J24" s="43" t="s">
        <v>342</v>
      </c>
      <c r="K24" s="180"/>
      <c r="L24" s="182"/>
      <c r="M24" s="180"/>
      <c r="N24" s="43" t="s">
        <v>341</v>
      </c>
      <c r="O24" s="183" t="str">
        <f>IF(OR(ActionLog[[#This Row],[Date Reported]]="",ActionLog[[#This Row],[Actual Resolution Date]]&lt;&gt;""),"",IF(ActionLog[[#This Row],[Date Reported]]&lt;=Mdate,IF(COUNTIF(O$1:O23,"*Y")=0,"1Y",COUNTIF(O$1:O23,"*Y")+1&amp;"Y"),"N"))</f>
        <v>15Y</v>
      </c>
      <c r="P24" s="183" t="str">
        <f>IF(OR(ActionLog[[#This Row],[Date Reported]]="",ActionLog[[#This Row],[Actual Resolution Date]]&lt;&gt;""),"",IF(ActionLog[[#This Row],[Date Reported]]&lt;=CDate,IF(COUNTIF(O$1:O23,"*Y")=0,"1Y",COUNTIF(O$1:O23,"*Y")+1&amp;"Y"),"N"))</f>
        <v>N</v>
      </c>
    </row>
    <row r="25" spans="1:16" ht="112.5" x14ac:dyDescent="0.25">
      <c r="A25" s="63">
        <f t="shared" si="0"/>
        <v>24</v>
      </c>
      <c r="B25" s="179" t="s">
        <v>126</v>
      </c>
      <c r="C25" s="180">
        <v>44231</v>
      </c>
      <c r="D25" s="133" t="s">
        <v>336</v>
      </c>
      <c r="E25" s="182" t="s">
        <v>339</v>
      </c>
      <c r="F25" s="182"/>
      <c r="G25" s="179"/>
      <c r="H25" s="179"/>
      <c r="I25" s="180">
        <v>44243</v>
      </c>
      <c r="J25" s="43" t="s">
        <v>342</v>
      </c>
      <c r="K25" s="180"/>
      <c r="L25" s="182"/>
      <c r="M25" s="180"/>
      <c r="N25" s="43" t="s">
        <v>343</v>
      </c>
      <c r="O25" s="183" t="str">
        <f>IF(OR(ActionLog[[#This Row],[Date Reported]]="",ActionLog[[#This Row],[Actual Resolution Date]]&lt;&gt;""),"",IF(ActionLog[[#This Row],[Date Reported]]&lt;=Mdate,IF(COUNTIF(O$1:O24,"*Y")=0,"1Y",COUNTIF(O$1:O24,"*Y")+1&amp;"Y"),"N"))</f>
        <v>16Y</v>
      </c>
      <c r="P25" s="183" t="str">
        <f>IF(OR(ActionLog[[#This Row],[Date Reported]]="",ActionLog[[#This Row],[Actual Resolution Date]]&lt;&gt;""),"",IF(ActionLog[[#This Row],[Date Reported]]&lt;=CDate,IF(COUNTIF(O$1:O24,"*Y")=0,"1Y",COUNTIF(O$1:O24,"*Y")+1&amp;"Y"),"N"))</f>
        <v>N</v>
      </c>
    </row>
    <row r="26" spans="1:16" ht="56.25" x14ac:dyDescent="0.25">
      <c r="A26" s="63">
        <f t="shared" si="0"/>
        <v>25</v>
      </c>
      <c r="B26" s="42" t="s">
        <v>126</v>
      </c>
      <c r="C26" s="41">
        <v>44231</v>
      </c>
      <c r="D26" s="133" t="s">
        <v>344</v>
      </c>
      <c r="E26" s="43" t="s">
        <v>345</v>
      </c>
      <c r="F26" s="43" t="s">
        <v>346</v>
      </c>
      <c r="J26" s="43"/>
      <c r="L26" s="43"/>
      <c r="N26" s="43"/>
      <c r="O26" s="62" t="str">
        <f>IF(OR(ActionLog[[#This Row],[Date Reported]]="",ActionLog[[#This Row],[Actual Resolution Date]]&lt;&gt;""),"",IF(ActionLog[[#This Row],[Date Reported]]&lt;=Mdate,IF(COUNTIF(O$1:O25,"*Y")=0,"1Y",COUNTIF(O$1:O25,"*Y")+1&amp;"Y"),"N"))</f>
        <v>17Y</v>
      </c>
      <c r="P26" s="62" t="str">
        <f>IF(OR(ActionLog[[#This Row],[Date Reported]]="",ActionLog[[#This Row],[Actual Resolution Date]]&lt;&gt;""),"",IF(ActionLog[[#This Row],[Date Reported]]&lt;=CDate,IF(COUNTIF(O$1:O25,"*Y")=0,"1Y",COUNTIF(O$1:O25,"*Y")+1&amp;"Y"),"N"))</f>
        <v>N</v>
      </c>
    </row>
  </sheetData>
  <sheetProtection algorithmName="SHA-512" hashValue="NSp4iGyGZ8ApL3XjPafU9FLtK/kfzG42ruF3qSnJg3OqKC7G6pUr8slV6DDlDR8MXZ3w+xGvpn6YzIesr3HiFw==" saltValue="+yUTSbKSA7c4NPoC44/+kA==" spinCount="100000" sheet="1" objects="1" scenarios="1"/>
  <dataValidations count="3">
    <dataValidation type="list" allowBlank="1" showInputMessage="1" showErrorMessage="1" sqref="B2:B26">
      <formula1>INDIRECT("Projects[Project_Name]")</formula1>
    </dataValidation>
    <dataValidation type="list" allowBlank="1" showInputMessage="1" showErrorMessage="1" sqref="G2:G37">
      <formula1>OFFSET(INDIRECT("Action[Action_Priority]"),,,COUNTA(INDIRECT("Action[Action_Priority]")))</formula1>
    </dataValidation>
    <dataValidation type="list" allowBlank="1" showInputMessage="1" showErrorMessage="1" sqref="H2:H37">
      <formula1>OFFSET(INDIRECT("Action[Action_Status]"),,,COUNTA(INDIRECT("Action[Action_Status]")))</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24"/>
  <sheetViews>
    <sheetView showGridLines="0" workbookViewId="0">
      <selection activeCell="R6" sqref="R6"/>
    </sheetView>
  </sheetViews>
  <sheetFormatPr defaultColWidth="8.85546875" defaultRowHeight="15" x14ac:dyDescent="0.25"/>
  <cols>
    <col min="1" max="1" width="18.5703125" bestFit="1" customWidth="1"/>
    <col min="2" max="2" width="13.7109375" customWidth="1"/>
    <col min="8" max="8" width="16.140625" customWidth="1"/>
    <col min="9" max="9" width="14.7109375" customWidth="1"/>
    <col min="10" max="10" width="17.140625" customWidth="1"/>
    <col min="11" max="11" width="14.42578125" customWidth="1"/>
    <col min="12" max="12" width="14.7109375" bestFit="1" customWidth="1"/>
    <col min="13" max="13" width="16.7109375" customWidth="1"/>
    <col min="14" max="14" width="14.42578125" customWidth="1"/>
    <col min="15" max="15" width="15.85546875" customWidth="1"/>
  </cols>
  <sheetData>
    <row r="1" spans="1:16" x14ac:dyDescent="0.25">
      <c r="A1" t="s">
        <v>118</v>
      </c>
      <c r="C1" t="s">
        <v>38</v>
      </c>
      <c r="D1" t="s">
        <v>40</v>
      </c>
      <c r="E1" t="s">
        <v>39</v>
      </c>
      <c r="F1" t="s">
        <v>46</v>
      </c>
      <c r="G1" t="s">
        <v>47</v>
      </c>
      <c r="I1" t="s">
        <v>62</v>
      </c>
      <c r="J1" t="s">
        <v>63</v>
      </c>
      <c r="K1" t="s">
        <v>64</v>
      </c>
      <c r="N1" t="s">
        <v>72</v>
      </c>
      <c r="O1" t="s">
        <v>73</v>
      </c>
      <c r="P1" t="s">
        <v>74</v>
      </c>
    </row>
    <row r="2" spans="1:16" x14ac:dyDescent="0.25">
      <c r="A2" t="s">
        <v>126</v>
      </c>
      <c r="C2" t="s">
        <v>16</v>
      </c>
      <c r="D2" t="s">
        <v>32</v>
      </c>
      <c r="E2" t="s">
        <v>41</v>
      </c>
      <c r="F2" t="s">
        <v>41</v>
      </c>
      <c r="G2" t="s">
        <v>48</v>
      </c>
      <c r="I2" t="s">
        <v>32</v>
      </c>
      <c r="J2" t="s">
        <v>41</v>
      </c>
      <c r="K2" t="s">
        <v>41</v>
      </c>
      <c r="N2" t="s">
        <v>16</v>
      </c>
      <c r="O2" t="s">
        <v>32</v>
      </c>
      <c r="P2" t="s">
        <v>41</v>
      </c>
    </row>
    <row r="3" spans="1:16" x14ac:dyDescent="0.25">
      <c r="A3" t="s">
        <v>127</v>
      </c>
      <c r="C3" t="s">
        <v>17</v>
      </c>
      <c r="D3" t="s">
        <v>33</v>
      </c>
      <c r="E3" t="s">
        <v>42</v>
      </c>
      <c r="F3" t="s">
        <v>42</v>
      </c>
      <c r="G3" t="s">
        <v>49</v>
      </c>
      <c r="I3" t="s">
        <v>33</v>
      </c>
      <c r="J3" t="s">
        <v>42</v>
      </c>
      <c r="K3" t="s">
        <v>42</v>
      </c>
      <c r="N3" t="s">
        <v>17</v>
      </c>
      <c r="O3" t="s">
        <v>33</v>
      </c>
      <c r="P3" t="s">
        <v>42</v>
      </c>
    </row>
    <row r="4" spans="1:16" x14ac:dyDescent="0.25">
      <c r="A4" t="s">
        <v>128</v>
      </c>
      <c r="C4" t="s">
        <v>18</v>
      </c>
      <c r="D4" t="s">
        <v>34</v>
      </c>
      <c r="E4" t="s">
        <v>43</v>
      </c>
      <c r="F4" t="s">
        <v>43</v>
      </c>
      <c r="G4" t="s">
        <v>50</v>
      </c>
      <c r="I4" t="s">
        <v>65</v>
      </c>
      <c r="J4" t="s">
        <v>43</v>
      </c>
      <c r="K4" t="s">
        <v>43</v>
      </c>
      <c r="N4" t="s">
        <v>18</v>
      </c>
      <c r="O4" t="s">
        <v>65</v>
      </c>
      <c r="P4" t="s">
        <v>43</v>
      </c>
    </row>
    <row r="5" spans="1:16" x14ac:dyDescent="0.25">
      <c r="A5" t="s">
        <v>117</v>
      </c>
      <c r="C5" t="s">
        <v>19</v>
      </c>
      <c r="D5" t="s">
        <v>35</v>
      </c>
      <c r="E5" t="s">
        <v>44</v>
      </c>
      <c r="F5" t="s">
        <v>44</v>
      </c>
      <c r="G5" t="s">
        <v>51</v>
      </c>
      <c r="I5" t="s">
        <v>66</v>
      </c>
      <c r="J5" t="s">
        <v>44</v>
      </c>
      <c r="K5" t="s">
        <v>44</v>
      </c>
      <c r="N5" t="s">
        <v>19</v>
      </c>
      <c r="O5" t="s">
        <v>66</v>
      </c>
      <c r="P5" t="s">
        <v>44</v>
      </c>
    </row>
    <row r="6" spans="1:16" x14ac:dyDescent="0.25">
      <c r="A6" t="s">
        <v>116</v>
      </c>
      <c r="C6" t="s">
        <v>20</v>
      </c>
      <c r="D6" t="s">
        <v>36</v>
      </c>
      <c r="E6" t="s">
        <v>45</v>
      </c>
      <c r="F6" t="s">
        <v>45</v>
      </c>
      <c r="G6" t="s">
        <v>52</v>
      </c>
      <c r="I6" t="s">
        <v>67</v>
      </c>
      <c r="J6" t="s">
        <v>45</v>
      </c>
      <c r="K6" t="s">
        <v>45</v>
      </c>
      <c r="N6" t="s">
        <v>20</v>
      </c>
      <c r="O6" t="s">
        <v>67</v>
      </c>
      <c r="P6" t="s">
        <v>45</v>
      </c>
    </row>
    <row r="7" spans="1:16" x14ac:dyDescent="0.25">
      <c r="C7" t="s">
        <v>21</v>
      </c>
      <c r="D7" t="s">
        <v>37</v>
      </c>
      <c r="G7" t="s">
        <v>53</v>
      </c>
      <c r="I7" t="s">
        <v>37</v>
      </c>
      <c r="N7" t="s">
        <v>122</v>
      </c>
      <c r="O7" t="s">
        <v>37</v>
      </c>
    </row>
    <row r="8" spans="1:16" x14ac:dyDescent="0.25">
      <c r="C8" t="s">
        <v>22</v>
      </c>
      <c r="G8" t="s">
        <v>54</v>
      </c>
      <c r="N8" t="s">
        <v>22</v>
      </c>
    </row>
    <row r="9" spans="1:16" x14ac:dyDescent="0.25">
      <c r="C9" t="s">
        <v>23</v>
      </c>
      <c r="N9" t="s">
        <v>23</v>
      </c>
    </row>
    <row r="10" spans="1:16" x14ac:dyDescent="0.25">
      <c r="C10" t="s">
        <v>24</v>
      </c>
      <c r="N10" t="s">
        <v>123</v>
      </c>
    </row>
    <row r="11" spans="1:16" x14ac:dyDescent="0.25">
      <c r="C11" t="s">
        <v>25</v>
      </c>
      <c r="N11" t="s">
        <v>25</v>
      </c>
    </row>
    <row r="12" spans="1:16" x14ac:dyDescent="0.25">
      <c r="C12" t="s">
        <v>26</v>
      </c>
      <c r="N12" t="s">
        <v>26</v>
      </c>
    </row>
    <row r="13" spans="1:16" x14ac:dyDescent="0.25">
      <c r="C13" t="s">
        <v>27</v>
      </c>
      <c r="N13" t="s">
        <v>27</v>
      </c>
    </row>
    <row r="14" spans="1:16" x14ac:dyDescent="0.25">
      <c r="C14" t="s">
        <v>28</v>
      </c>
      <c r="N14" t="s">
        <v>28</v>
      </c>
    </row>
    <row r="15" spans="1:16" x14ac:dyDescent="0.25">
      <c r="C15" t="s">
        <v>29</v>
      </c>
      <c r="I15" t="s">
        <v>80</v>
      </c>
      <c r="K15" t="s">
        <v>92</v>
      </c>
      <c r="L15" t="s">
        <v>93</v>
      </c>
      <c r="N15" t="s">
        <v>124</v>
      </c>
    </row>
    <row r="16" spans="1:16" x14ac:dyDescent="0.25">
      <c r="C16" t="s">
        <v>30</v>
      </c>
      <c r="I16" t="s">
        <v>32</v>
      </c>
      <c r="K16" t="s">
        <v>42</v>
      </c>
      <c r="L16" t="s">
        <v>32</v>
      </c>
      <c r="N16" t="s">
        <v>30</v>
      </c>
    </row>
    <row r="17" spans="3:14" x14ac:dyDescent="0.25">
      <c r="C17" t="s">
        <v>31</v>
      </c>
      <c r="I17" t="s">
        <v>33</v>
      </c>
      <c r="K17" t="s">
        <v>94</v>
      </c>
      <c r="L17" t="s">
        <v>33</v>
      </c>
      <c r="N17" t="s">
        <v>125</v>
      </c>
    </row>
    <row r="18" spans="3:14" x14ac:dyDescent="0.25">
      <c r="I18" t="s">
        <v>65</v>
      </c>
      <c r="K18" t="s">
        <v>44</v>
      </c>
      <c r="L18" t="s">
        <v>65</v>
      </c>
    </row>
    <row r="19" spans="3:14" x14ac:dyDescent="0.25">
      <c r="I19" t="s">
        <v>66</v>
      </c>
      <c r="K19" t="s">
        <v>95</v>
      </c>
      <c r="L19" t="s">
        <v>66</v>
      </c>
    </row>
    <row r="20" spans="3:14" x14ac:dyDescent="0.25">
      <c r="I20" t="s">
        <v>81</v>
      </c>
      <c r="L20" t="s">
        <v>67</v>
      </c>
    </row>
    <row r="21" spans="3:14" x14ac:dyDescent="0.25">
      <c r="I21" t="s">
        <v>67</v>
      </c>
      <c r="L21" t="s">
        <v>37</v>
      </c>
    </row>
    <row r="22" spans="3:14" x14ac:dyDescent="0.25">
      <c r="I22" t="s">
        <v>310</v>
      </c>
      <c r="L22" t="s">
        <v>83</v>
      </c>
    </row>
    <row r="23" spans="3:14" x14ac:dyDescent="0.25">
      <c r="I23" t="s">
        <v>82</v>
      </c>
    </row>
    <row r="24" spans="3:14" x14ac:dyDescent="0.25">
      <c r="I24" t="s">
        <v>83</v>
      </c>
    </row>
  </sheetData>
  <sheetProtection algorithmName="SHA-512" hashValue="rCBPa+IviXtwCliWaWfFP7HPBemsk5jsFrHgq5VCr9PKNjMfVIehF+xtWtnLs0uUrhm4vNfgSWnJOMFFj37uIA==" saltValue="ZUDZcCHScyhTsVPk6/yAwA==" spinCount="100000" sheet="1" objects="1" scenarios="1"/>
  <pageMargins left="0.7" right="0.7" top="0.75" bottom="0.75" header="0.3" footer="0.3"/>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418AE8E6-4827-4F15-9CCA-90F60D35F592}"/>
</file>

<file path=customXml/itemProps2.xml><?xml version="1.0" encoding="utf-8"?>
<ds:datastoreItem xmlns:ds="http://schemas.openxmlformats.org/officeDocument/2006/customXml" ds:itemID="{9CD93DBF-59C7-40D4-B60F-5AAF21FD429F}"/>
</file>

<file path=customXml/itemProps3.xml><?xml version="1.0" encoding="utf-8"?>
<ds:datastoreItem xmlns:ds="http://schemas.openxmlformats.org/officeDocument/2006/customXml" ds:itemID="{A7E45AB8-E523-4689-9A3D-5581F8F619AF}"/>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RAID_List</vt:lpstr>
      <vt:lpstr>RAID_Counts</vt:lpstr>
      <vt:lpstr>Risk Tracking and Mitigation</vt:lpstr>
      <vt:lpstr>Issue Tracking and Resolution</vt:lpstr>
      <vt:lpstr>Impediments Tracking and Status</vt:lpstr>
      <vt:lpstr>Decisions log</vt:lpstr>
      <vt:lpstr>Action log</vt:lpstr>
      <vt:lpstr>DropDowns</vt:lpstr>
      <vt:lpstr>CDate</vt:lpstr>
      <vt:lpstr>Mdate</vt:lpstr>
    </vt:vector>
  </TitlesOfParts>
  <Manager>Sarah-Mae Amde</Manager>
  <Company>Paragon Digital Consulting,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RAID Log Template</dc:title>
  <dc:subject/>
  <dc:creator>AS</dc:creator>
  <cp:keywords/>
  <dc:description/>
  <cp:lastModifiedBy>Sarah-Mae Amde</cp:lastModifiedBy>
  <dcterms:created xsi:type="dcterms:W3CDTF">2021-01-24T21:36:15Z</dcterms:created>
  <dcterms:modified xsi:type="dcterms:W3CDTF">2021-02-04T21:49:30Z</dcterms:modified>
  <cp:category>Templates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530900</vt:r8>
  </property>
  <property fmtid="{D5CDD505-2E9C-101B-9397-08002B2CF9AE}" pid="4" name="URL">
    <vt:lpwstr/>
  </property>
</Properties>
</file>