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filterPrivacy="1"/>
  <xr:revisionPtr revIDLastSave="0" documentId="13_ncr:1_{2E7D71C6-8CF8-4160-BF3A-DA01BAB974C9}" xr6:coauthVersionLast="47" xr6:coauthVersionMax="47" xr10:uidLastSave="{00000000-0000-0000-0000-000000000000}"/>
  <bookViews>
    <workbookView xWindow="28680" yWindow="-120" windowWidth="29040" windowHeight="15840" tabRatio="901" xr2:uid="{00000000-000D-0000-FFFF-FFFF00000000}"/>
  </bookViews>
  <sheets>
    <sheet name="Revision Control" sheetId="1" r:id="rId1"/>
    <sheet name="List Values" sheetId="3" r:id="rId2"/>
    <sheet name="1. Entry Page" sheetId="41" r:id="rId3"/>
    <sheet name="2. Landing Page" sheetId="2" r:id="rId4"/>
    <sheet name="3. Existing Cust. Check" sheetId="42" r:id="rId5"/>
    <sheet name="DEPRECATED Okta login" sheetId="45" state="hidden" r:id="rId6"/>
    <sheet name="4. Contact Info" sheetId="5" r:id="rId7"/>
    <sheet name="4a. Mobile Verify" sheetId="35" r:id="rId8"/>
    <sheet name="5. Qualifying Questions" sheetId="9" r:id="rId9"/>
    <sheet name="6. IDScan" sheetId="11" r:id="rId10"/>
    <sheet name="7. Name &amp; Address" sheetId="12" r:id="rId11"/>
    <sheet name="DEPRECATED Address" sheetId="13" state="hidden" r:id="rId12"/>
    <sheet name="8. Birthday, SIN &amp; Occ." sheetId="14" r:id="rId13"/>
    <sheet name="9. Security Question" sheetId="43" r:id="rId14"/>
    <sheet name="10. eConsent" sheetId="16" r:id="rId15"/>
    <sheet name="10a. Lending Declined" sheetId="46" r:id="rId16"/>
    <sheet name="11. Alternate IDV" sheetId="29" r:id="rId17"/>
    <sheet name="12. Flinks" sheetId="31" r:id="rId18"/>
    <sheet name="13. Manual IDV" sheetId="36" r:id="rId19"/>
    <sheet name="14. Lending Disclosure" sheetId="47" state="hidden" r:id="rId20"/>
    <sheet name="DEPRECATED Dynamic Disclosures" sheetId="17" state="hidden" r:id="rId21"/>
    <sheet name="DEPRECATED Account Options" sheetId="18" state="hidden" r:id="rId22"/>
    <sheet name="A. Generic Error" sheetId="22" r:id="rId23"/>
    <sheet name="DEPRECATED Manual Review" sheetId="23" r:id="rId24"/>
    <sheet name="DEPRECATED Decline" sheetId="24" r:id="rId25"/>
    <sheet name="D. Cancel" sheetId="26" r:id="rId26"/>
    <sheet name="E. Save" sheetId="27" r:id="rId27"/>
    <sheet name="F. Resume" sheetId="28" r:id="rId28"/>
    <sheet name="G. Time Out" sheetId="33" r:id="rId29"/>
    <sheet name="H. Progress" sheetId="34" r:id="rId30"/>
    <sheet name="I. Previously Submitted" sheetId="37" r:id="rId31"/>
    <sheet name="J. Submission Complete" sheetId="44" r:id="rId32"/>
  </sheets>
  <externalReferences>
    <externalReference r:id="rId33"/>
    <externalReference r:id="rId34"/>
    <externalReference r:id="rId35"/>
  </externalReferences>
  <definedNames>
    <definedName name="_xlnm._FilterDatabase" localSheetId="2" hidden="1">'1. Entry Page'!$A$6:$P$6</definedName>
    <definedName name="_xlnm._FilterDatabase" localSheetId="14" hidden="1">'10. eConsent'!$A$6:$P$22</definedName>
    <definedName name="_xlnm._FilterDatabase" localSheetId="19" hidden="1">'14. Lending Disclosure'!$A$6:$P$6</definedName>
    <definedName name="_xlnm._FilterDatabase" localSheetId="7" hidden="1">'4a. Mobile Verify'!$A$6:$P$6</definedName>
    <definedName name="_xlnm._FilterDatabase" localSheetId="12" hidden="1">'8. Birthday, SIN &amp; Occ.'!$A$6:$P$13</definedName>
    <definedName name="_xlnm._FilterDatabase" localSheetId="13" hidden="1">'9. Security Question'!$A$6:$P$6</definedName>
    <definedName name="_xlnm._FilterDatabase" localSheetId="22" hidden="1">'A. Generic Error'!$A$6:$P$9</definedName>
    <definedName name="_xlnm._FilterDatabase" localSheetId="25" hidden="1">'D. Cancel'!$A$6:$P$9</definedName>
    <definedName name="_xlnm._FilterDatabase" localSheetId="21" hidden="1">'DEPRECATED Account Options'!$A$6:$P$13</definedName>
    <definedName name="_xlnm._FilterDatabase" localSheetId="24" hidden="1">'DEPRECATED Decline'!$A$6:$P$9</definedName>
    <definedName name="_xlnm._FilterDatabase" localSheetId="20" hidden="1">'DEPRECATED Dynamic Disclosures'!$A$6:$P$6</definedName>
    <definedName name="_xlnm._FilterDatabase" localSheetId="23" hidden="1">'DEPRECATED Manual Review'!$A$6:$P$9</definedName>
    <definedName name="_xlnm._FilterDatabase" localSheetId="26" hidden="1">'E. Save'!$A$6:$P$9</definedName>
    <definedName name="_xlnm._FilterDatabase" localSheetId="27" hidden="1">'F. Resume'!$A$6:$P$6</definedName>
    <definedName name="_xlnm._FilterDatabase" localSheetId="28" hidden="1">'G. Time Out'!$A$6:$P$6</definedName>
    <definedName name="_xlnm._FilterDatabase" localSheetId="29" hidden="1">'H. Progress'!$A$6:$P$6</definedName>
    <definedName name="_xlnm._FilterDatabase" localSheetId="30" hidden="1">'I. Previously Submitted'!$A$6:$P$6</definedName>
    <definedName name="_xlnm._FilterDatabase" localSheetId="31" hidden="1">'J. Submission Complete'!$A$6:$P$6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6" l="1"/>
  <c r="B11" i="16"/>
  <c r="B12" i="16"/>
  <c r="B15" i="29" l="1"/>
  <c r="B14" i="29"/>
  <c r="B24" i="16"/>
  <c r="B23" i="16"/>
  <c r="B19" i="2" l="1"/>
  <c r="B15" i="2"/>
  <c r="B11" i="46" l="1"/>
  <c r="B12" i="46"/>
  <c r="B20" i="16"/>
  <c r="B9" i="31" l="1"/>
  <c r="B18" i="16" l="1"/>
  <c r="B10" i="47"/>
  <c r="B9" i="47"/>
  <c r="B8" i="47"/>
  <c r="B7" i="47"/>
  <c r="B10" i="46"/>
  <c r="B9" i="46"/>
  <c r="B8" i="46"/>
  <c r="B7" i="46"/>
  <c r="B12" i="43" l="1"/>
  <c r="B13" i="43"/>
  <c r="B12" i="45"/>
  <c r="B11" i="45" l="1"/>
  <c r="B10" i="45"/>
  <c r="B9" i="45"/>
  <c r="B8" i="45"/>
  <c r="B7" i="45"/>
  <c r="B8" i="2" l="1"/>
  <c r="B7" i="44" l="1"/>
  <c r="B8" i="44"/>
  <c r="B11" i="44"/>
  <c r="B10" i="44"/>
  <c r="B9" i="44"/>
  <c r="B9" i="16"/>
  <c r="B13" i="16"/>
  <c r="B11" i="43"/>
  <c r="B10" i="43"/>
  <c r="B9" i="43"/>
  <c r="B8" i="43"/>
  <c r="B7" i="43"/>
  <c r="B11" i="17"/>
  <c r="B10" i="17"/>
  <c r="B12" i="17"/>
  <c r="B9" i="2"/>
  <c r="B7" i="22"/>
  <c r="B8" i="22"/>
  <c r="B9" i="22"/>
  <c r="B10" i="22"/>
  <c r="B13" i="2"/>
  <c r="B23" i="2"/>
  <c r="B24" i="2"/>
  <c r="B12" i="2"/>
  <c r="B21" i="2"/>
  <c r="B20" i="2"/>
  <c r="B15" i="9"/>
  <c r="B16" i="9"/>
  <c r="B17" i="9"/>
  <c r="B14" i="9"/>
  <c r="B11" i="12"/>
  <c r="B41" i="12"/>
  <c r="B40" i="12"/>
  <c r="B38" i="12"/>
  <c r="B37" i="12"/>
  <c r="B36" i="12"/>
  <c r="B35" i="12"/>
  <c r="B34" i="12"/>
  <c r="B33" i="12"/>
  <c r="B32" i="12"/>
  <c r="B31" i="12"/>
  <c r="B29" i="12"/>
  <c r="B28" i="12"/>
  <c r="B27" i="12"/>
  <c r="B26" i="12"/>
  <c r="B25" i="12"/>
  <c r="B24" i="12"/>
  <c r="B23" i="12"/>
  <c r="B22" i="12"/>
  <c r="B20" i="12"/>
  <c r="B19" i="12"/>
  <c r="B18" i="12"/>
  <c r="B17" i="12"/>
  <c r="B16" i="12"/>
  <c r="B15" i="12"/>
  <c r="B14" i="12"/>
  <c r="B12" i="5"/>
  <c r="B13" i="5"/>
  <c r="B11" i="42"/>
  <c r="B10" i="42"/>
  <c r="B9" i="42"/>
  <c r="B8" i="42"/>
  <c r="B7" i="42"/>
  <c r="B10" i="13"/>
  <c r="B17" i="2"/>
  <c r="B16" i="2"/>
  <c r="B12" i="31"/>
  <c r="B11" i="31"/>
  <c r="B10" i="37"/>
  <c r="B9" i="37"/>
  <c r="B8" i="37"/>
  <c r="B7" i="37"/>
  <c r="B7" i="36"/>
  <c r="B8" i="36"/>
  <c r="B10" i="18"/>
  <c r="B9" i="18"/>
  <c r="B11" i="14"/>
  <c r="B12" i="29"/>
  <c r="B9" i="36"/>
  <c r="B9" i="29"/>
  <c r="B13" i="29"/>
  <c r="B11" i="29"/>
  <c r="B10" i="29"/>
  <c r="B8" i="29"/>
  <c r="B7" i="29"/>
  <c r="B13" i="11"/>
  <c r="B12" i="11"/>
  <c r="B7" i="34"/>
  <c r="B10" i="33"/>
  <c r="B8" i="33"/>
  <c r="B9" i="33"/>
  <c r="B7" i="33"/>
  <c r="B10" i="31"/>
  <c r="B11" i="28"/>
  <c r="B10" i="28"/>
  <c r="B9" i="28"/>
  <c r="B8" i="28"/>
  <c r="B7" i="28"/>
  <c r="B9" i="17"/>
  <c r="B8" i="17"/>
  <c r="B7" i="17"/>
  <c r="B10" i="5"/>
  <c r="B8" i="31"/>
  <c r="B7" i="31"/>
  <c r="B15" i="11"/>
  <c r="B14" i="11"/>
  <c r="B11" i="11"/>
  <c r="B10" i="11"/>
  <c r="B9" i="11"/>
  <c r="B8" i="11"/>
  <c r="B7" i="11"/>
  <c r="B15" i="16"/>
  <c r="B16" i="16"/>
  <c r="B17" i="16"/>
  <c r="B26" i="13"/>
  <c r="B25" i="13"/>
  <c r="B10" i="27"/>
  <c r="B7" i="27"/>
  <c r="B9" i="27"/>
  <c r="B8" i="27"/>
  <c r="B7" i="26"/>
  <c r="B9" i="26"/>
  <c r="B8" i="26"/>
  <c r="B10" i="24"/>
  <c r="B7" i="24"/>
  <c r="B9" i="24"/>
  <c r="B8" i="24"/>
  <c r="B7" i="23"/>
  <c r="B9" i="23"/>
  <c r="B8" i="23"/>
  <c r="B12" i="9"/>
  <c r="B11" i="9"/>
  <c r="B10" i="9"/>
  <c r="B9" i="9"/>
  <c r="B11" i="18"/>
  <c r="B13" i="18"/>
  <c r="B12" i="18"/>
  <c r="B8" i="18"/>
  <c r="B7" i="18"/>
  <c r="B14" i="16"/>
  <c r="B19" i="16"/>
  <c r="B21" i="16"/>
  <c r="B22" i="16"/>
  <c r="B8" i="16"/>
  <c r="B7" i="16"/>
  <c r="B12" i="14"/>
  <c r="B13" i="14"/>
  <c r="B10" i="14"/>
  <c r="B9" i="14"/>
  <c r="B8" i="14"/>
  <c r="B7" i="14"/>
  <c r="B35" i="13"/>
  <c r="B34" i="13"/>
  <c r="B33" i="13"/>
  <c r="B32" i="13"/>
  <c r="B31" i="13"/>
  <c r="B30" i="13"/>
  <c r="B29" i="13"/>
  <c r="B28" i="13"/>
  <c r="B24" i="13"/>
  <c r="B23" i="13"/>
  <c r="B22" i="13"/>
  <c r="B21" i="13"/>
  <c r="B20" i="13"/>
  <c r="B19" i="13"/>
  <c r="B17" i="13"/>
  <c r="B16" i="13"/>
  <c r="B15" i="13"/>
  <c r="B14" i="13"/>
  <c r="B13" i="13"/>
  <c r="B12" i="13"/>
  <c r="B37" i="13"/>
  <c r="B38" i="13"/>
  <c r="B11" i="13"/>
  <c r="B8" i="13"/>
  <c r="B7" i="13"/>
  <c r="B10" i="12"/>
  <c r="B9" i="12"/>
  <c r="B8" i="12"/>
  <c r="B7" i="12"/>
  <c r="B7" i="9"/>
  <c r="B8" i="9"/>
  <c r="B11" i="5"/>
  <c r="B9" i="5"/>
  <c r="B8" i="5"/>
  <c r="B7" i="5"/>
  <c r="B27" i="2"/>
  <c r="B10" i="2"/>
  <c r="B25" i="2"/>
  <c r="B26" i="2"/>
  <c r="B7" i="2"/>
</calcChain>
</file>

<file path=xl/sharedStrings.xml><?xml version="1.0" encoding="utf-8"?>
<sst xmlns="http://schemas.openxmlformats.org/spreadsheetml/2006/main" count="3356" uniqueCount="589">
  <si>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</si>
  <si>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</si>
  <si>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</si>
  <si>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</si>
  <si>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</si>
  <si>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</si>
  <si>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</si>
  <si>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</si>
  <si>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</si>
  <si>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</si>
  <si>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</si>
  <si>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</si>
  <si>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</si>
  <si>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</si>
  <si>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</si>
  <si>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</si>
  <si>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</si>
  <si>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</si>
  <si>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</si>
  <si>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</si>
  <si>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</si>
  <si>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</si>
  <si>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</si>
  <si>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</si>
  <si>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</si>
  <si>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</si>
  <si>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</si>
  <si>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</si>
  <si>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</si>
  <si>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</si>
  <si>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</si>
  <si>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</si>
  <si>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</si>
  <si>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</si>
  <si>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</si>
  <si>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</si>
  <si>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</si>
  <si>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</si>
  <si>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</si>
  <si>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</si>
  <si>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</si>
  <si>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</si>
  <si>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</si>
  <si>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</si>
  <si>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</si>
  <si>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</si>
  <si>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</si>
  <si>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</si>
  <si>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</si>
  <si>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Alphanumeric</t>
  </si>
  <si>
    <t>54 characters</t>
  </si>
  <si>
    <t>Yes</t>
  </si>
  <si>
    <t>A) 10 digits
B) 14 incl. spaces, dashes, parentheses</t>
  </si>
  <si>
    <t>North American Numbering Plan (NANP) format:
"NXX-NXX-XXXX" 
or "(NXX) NXX-XXXX", 
where N is 2 to 9, and X is 0 to 9.</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</si>
  <si>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</si>
  <si>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</si>
  <si>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</si>
  <si>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</si>
  <si>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</si>
  <si>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</si>
  <si>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</si>
  <si>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</si>
  <si>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</si>
  <si>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</si>
  <si>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</si>
  <si>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</si>
  <si>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</si>
  <si>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Address</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</si>
  <si>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</si>
  <si>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</si>
  <si>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</si>
  <si>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</si>
  <si>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</si>
  <si>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</si>
  <si>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</si>
  <si>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</si>
  <si>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</si>
  <si>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</si>
  <si>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</si>
  <si>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</si>
  <si>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</si>
  <si>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</si>
  <si>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</si>
  <si>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</si>
  <si>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</si>
  <si>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</si>
  <si>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</si>
  <si>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</si>
  <si>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</si>
  <si>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</si>
  <si>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</si>
  <si>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</si>
  <si>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</si>
  <si>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</si>
  <si>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</si>
  <si>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</si>
  <si>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</si>
  <si>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</si>
  <si>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</si>
  <si>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</si>
  <si>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</si>
  <si>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</si>
  <si>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</si>
  <si>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</si>
  <si>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</si>
  <si>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Static text with hyperlink</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</si>
  <si>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</si>
  <si>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</si>
  <si>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</si>
  <si>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</si>
  <si>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</si>
  <si>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</si>
  <si>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</si>
  <si>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</si>
  <si>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</si>
  <si>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Image</t>
  </si>
  <si>
    <t>Section (heading)</t>
  </si>
  <si>
    <t>Generic Error Message</t>
  </si>
  <si>
    <t>Manual Review Message</t>
  </si>
  <si>
    <t>Decline Message</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</si>
  <si>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</si>
  <si>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</si>
  <si>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</si>
  <si>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</si>
  <si>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</si>
  <si>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</si>
  <si>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</si>
  <si>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We're reviewing your application.</t>
  </si>
  <si>
    <t>Choose your security question:</t>
  </si>
  <si>
    <t>Answer your security question:</t>
  </si>
  <si>
    <t>Please provide an answer to your security question.</t>
  </si>
  <si>
    <t>Do you need a debit card?</t>
  </si>
  <si>
    <t>We use this information to verify your identity, and that you are at least 18 years of age.</t>
  </si>
  <si>
    <t>Must match the format: 
###-###-###
Number provided must pass Luhn (Mod 10) Algorithm validation.</t>
  </si>
  <si>
    <t>A</t>
  </si>
  <si>
    <t>B</t>
  </si>
  <si>
    <t>C</t>
  </si>
  <si>
    <t>D</t>
  </si>
  <si>
    <t>E</t>
  </si>
  <si>
    <t>F</t>
  </si>
  <si>
    <t>Value must come from a drop down list of valid Canadian provinces. Note: "Quebec" is a valid selection for previous address.</t>
  </si>
  <si>
    <t>Value must come from a drop down list of valid Canadian provinces. Note: "Quebec" is a valid selection for mailing address.</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</si>
  <si>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</si>
  <si>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</si>
  <si>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</si>
  <si>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</si>
  <si>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</si>
  <si>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</si>
  <si>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</si>
  <si>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</si>
  <si>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</si>
  <si>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</si>
  <si>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Only visible when primary IDV fails</t>
  </si>
  <si>
    <t>Flinks IDV</t>
  </si>
  <si>
    <t>&lt;&lt;no caption&gt;&gt;</t>
  </si>
  <si>
    <t>Continue</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</si>
  <si>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</si>
  <si>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</si>
  <si>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</si>
  <si>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</si>
  <si>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</si>
  <si>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</si>
  <si>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</si>
  <si>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</si>
  <si>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</si>
  <si>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</si>
  <si>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</si>
  <si>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</si>
  <si>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</si>
  <si>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</si>
  <si>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Mobile Verification Page</t>
  </si>
  <si>
    <t>Please verify your mobile device</t>
  </si>
  <si>
    <t>Google reCAPTCHA</t>
  </si>
  <si>
    <t>The SIN you provided is not valid. Please provide a valid SIN.</t>
  </si>
  <si>
    <t>Please select your preferred method of identity verification</t>
  </si>
  <si>
    <t>Mandatory field.
The user must select one of the radio buttons from this group.</t>
  </si>
  <si>
    <t>Manual IDV</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</si>
  <si>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</si>
  <si>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</si>
  <si>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</si>
  <si>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</si>
  <si>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</si>
  <si>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</si>
  <si>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</si>
  <si>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</si>
  <si>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</si>
  <si>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</si>
  <si>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</si>
  <si>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</si>
  <si>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</si>
  <si>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</si>
  <si>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</si>
  <si>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Resend Token</t>
  </si>
  <si>
    <t>[Sample barcode image]</t>
  </si>
  <si>
    <t>On click, navigate to the "eConsent" page.</t>
  </si>
  <si>
    <t>On click, navigate back to the "Birthday &amp; SIN"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</si>
  <si>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</si>
  <si>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</si>
  <si>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</si>
  <si>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</si>
  <si>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</si>
  <si>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On click, resend token to mobile number.</t>
  </si>
  <si>
    <t>Always show</t>
  </si>
  <si>
    <t>About your application</t>
  </si>
  <si>
    <t>4a</t>
  </si>
  <si>
    <t>Step 6: What's your address?</t>
  </si>
  <si>
    <t>Please tell us whether you live with your co-applicant</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</si>
  <si>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</si>
  <si>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</si>
  <si>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</si>
  <si>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</si>
  <si>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</si>
  <si>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</si>
  <si>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</si>
  <si>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</si>
  <si>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</si>
  <si>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Review language</t>
  </si>
  <si>
    <t>We just sent a 4-7 digit token to your mobile number.  Please enter it below to continue with your application.
If you take a break from this application, we'll send a one-time password to your mobile phone, so that you may resume later.</t>
  </si>
  <si>
    <t>Before we continue, we need to confirm that you meet the following required conditions to open a CWB business account:
You are:</t>
  </si>
  <si>
    <t>CWB is unable to open an account that will be used by, or on behalf of, anyone other than the named account holder.</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</si>
  <si>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</si>
  <si>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</si>
  <si>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</si>
  <si>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As Required</t>
  </si>
  <si>
    <t>Small Business Digital Client Onboarding (DCO) - Authorized Signer Form</t>
  </si>
  <si>
    <t>Small Business Digital Client Onboarding (DCO)</t>
  </si>
  <si>
    <t>CWBSB-60</t>
  </si>
  <si>
    <t>CWBSB-61</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</si>
  <si>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</si>
  <si>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</si>
  <si>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</si>
  <si>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</si>
  <si>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</si>
  <si>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</si>
  <si>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</si>
  <si>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Changed to "resident of Canada" instead of "tax resident" (tax residency not required for auth signers).</t>
  </si>
  <si>
    <t>CWBSB-71</t>
  </si>
  <si>
    <t>1.0 WIP</t>
  </si>
  <si>
    <t>CWBSB-166</t>
  </si>
  <si>
    <t>CWBSB-167</t>
  </si>
  <si>
    <t>On click, navigate back to "Contact Info" page (CWBSB-166)</t>
  </si>
  <si>
    <t>CWBSB-64</t>
  </si>
  <si>
    <t>Name &amp; Address</t>
  </si>
  <si>
    <t>Deprecated for Auth Signer</t>
  </si>
  <si>
    <t>On click, navigate to "Name &amp; Address" page (CWBSB-64)</t>
  </si>
  <si>
    <t>DEPRECATED</t>
  </si>
  <si>
    <t>N/A</t>
  </si>
  <si>
    <t>Text/verbiage updates CWBSB-172</t>
  </si>
  <si>
    <t>On click, navigate to "Auth Signer ID Scan" page (CWBSB-62)</t>
  </si>
  <si>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</si>
  <si>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</si>
  <si>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</si>
  <si>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</si>
  <si>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</si>
  <si>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</si>
  <si>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</si>
  <si>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</si>
  <si>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t>Yes, I meet all of the above criteria</t>
  </si>
  <si>
    <t>Text/verbiage updates for SB CWBSB-222</t>
  </si>
  <si>
    <t>1.2 WIP</t>
  </si>
  <si>
    <t>Final language to be confirmed</t>
  </si>
  <si>
    <t>Text/verbiage updates - CWBSB-223</t>
  </si>
  <si>
    <t>CWBSB-228</t>
  </si>
  <si>
    <t>CWBSB-229</t>
  </si>
  <si>
    <t>On click, navigate to one of the following pages, based on the user's radio button selection:
A) "Flinks" page (CWBSB-229)
B) "Manual IDV" (CWBSB-230)</t>
  </si>
  <si>
    <t>On Click...
Navigate back to the Alternate IDV page (CWBSB-228)</t>
  </si>
  <si>
    <t>CWBSB-230</t>
  </si>
  <si>
    <t>Additional reusable pages identified from personal (co-app):
5. Qualifying Questions
10. eConsent
11. Alternate IDV
12. Flinks
13. Manual IDV</t>
  </si>
  <si>
    <t>1. Your personal details
2. Optionally, your Social Insurance Number and drivers license
3. About 10 minutes of your time</t>
  </si>
  <si>
    <t>You and these other individuals will have signing and transactional authority for the new account(s).</t>
  </si>
  <si>
    <t>Display this section for all individuals with Authorized Signer role (see CWBSB-43).
Hide section only if individual does NOT have Authorized Signer role.</t>
  </si>
  <si>
    <t>Conditional (see Business Rules)</t>
  </si>
  <si>
    <t>Welcome…</t>
  </si>
  <si>
    <t>Birthday, SIN &amp; Occupation</t>
  </si>
  <si>
    <t>CWBSB-73</t>
  </si>
  <si>
    <t>Our fine print</t>
  </si>
  <si>
    <t>CWBSB-235</t>
  </si>
  <si>
    <t>CWBSB-236</t>
  </si>
  <si>
    <t>Unfortunately, we are unable to approve your application at this time.</t>
  </si>
  <si>
    <t xml:space="preserve">You are welcome to reapply to CWB in six months. </t>
  </si>
  <si>
    <t>CWBSB-237</t>
  </si>
  <si>
    <t>CWBSB-238</t>
  </si>
  <si>
    <t>CWBSB-239</t>
  </si>
  <si>
    <t>We have saved your information so you can resume where you left off.</t>
  </si>
  <si>
    <t>Please check your email for instructions for resuming your application.</t>
  </si>
  <si>
    <t>Note: generic wording required in heading and main paragraph as this resume page is also used for initial invitation to Auth Signers.</t>
  </si>
  <si>
    <t>CWBSB-240</t>
  </si>
  <si>
    <t>CWBSB-241</t>
  </si>
  <si>
    <t>CWBSB-242</t>
  </si>
  <si>
    <t>CWBSB-244</t>
  </si>
  <si>
    <t>CWBSB-245</t>
  </si>
  <si>
    <t>On click, navigate to "Existing Customer Check" page CWBSB-245</t>
  </si>
  <si>
    <t>We can scan the back of your driver's licence to quickly fill in your personal information. Upload an image or skip this step if you wish to fill in this information yourself.</t>
  </si>
  <si>
    <t>Reviewed/updated verbiage (Connie S.)
- Caption</t>
  </si>
  <si>
    <t>CWBSB-246</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</si>
  <si>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</si>
  <si>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</si>
  <si>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t>Insert first name of Authorized Signer as indicated by &lt;&lt;&gt;&gt;tags</t>
  </si>
  <si>
    <t>Summary will need to include complementary products, applicant and other auth signers</t>
  </si>
  <si>
    <t>Text/verbiage updates CWBSB-279</t>
  </si>
  <si>
    <t>CWB Business Account Agreement</t>
  </si>
  <si>
    <t>Hyperlink to URL: TBD
Open in new window</t>
  </si>
  <si>
    <t>URL to be confirmed</t>
  </si>
  <si>
    <t>Almost there</t>
  </si>
  <si>
    <t>Let's get started</t>
  </si>
  <si>
    <t>A) No
B) Yes</t>
  </si>
  <si>
    <t>A) No</t>
  </si>
  <si>
    <t>On click, navigate to the "Auth Signer Landing Page" (CWBSB-61)</t>
  </si>
  <si>
    <t xml:space="preserve">If you ever need to contact a CWB Business representative, we may use this question to help confirm your identity and secure your account. </t>
  </si>
  <si>
    <t>By submission of this application, I certify that I understand and agree to the agreements listed.</t>
  </si>
  <si>
    <t>1.4 WIP</t>
  </si>
  <si>
    <t>This leads to the "authenticated path" if individual is an existing client</t>
  </si>
  <si>
    <t>Updates for development in Sprint 6:
3. Existing Customer Check</t>
  </si>
  <si>
    <t>19.17</t>
  </si>
  <si>
    <t>On behalf of the business entity named above, I certify this information</t>
  </si>
  <si>
    <t>Please check the box to confirm your agreement.</t>
  </si>
  <si>
    <t>If box is unchecked and user clicks "Next", remain on page and display mandatory message</t>
  </si>
  <si>
    <t>As an Authorized Signer for &lt;&lt;business legal name&gt;&gt;, I &lt;&lt;First Name&gt;&gt; &lt;&lt;Last Name&gt;&gt;, have read and agree to these terms and conditions:</t>
  </si>
  <si>
    <t>Security Question (Contact Log)</t>
  </si>
  <si>
    <t>If you ever need to contact a CWB representative about your business account(s), we may use this question to help confirm your identity and secure your account.</t>
  </si>
  <si>
    <t>Choose your security question</t>
  </si>
  <si>
    <t>Answer your security question</t>
  </si>
  <si>
    <t>On click, navigate to 'eConsent' page CWBSB-72</t>
  </si>
  <si>
    <t>On click, navigate back to 'Birthday, SIN and Occupation' page CWBSB-71</t>
  </si>
  <si>
    <t>CWBSB-481</t>
  </si>
  <si>
    <t>1.5 WIP</t>
  </si>
  <si>
    <t>Alphanumeric, spaces and special characters including ‘ ( ) + , - . / : ? &amp;</t>
  </si>
  <si>
    <t>With your permission…</t>
  </si>
  <si>
    <t>Addition of debit card question, move check box CWBSB-486</t>
  </si>
  <si>
    <t>Do you need a business debit card?</t>
  </si>
  <si>
    <t>No selection</t>
  </si>
  <si>
    <t>Please confirm whether you require a business debit card.</t>
  </si>
  <si>
    <t>DEPRECATED - not required for Auth Signer</t>
  </si>
  <si>
    <t>Security question moved to its own page - see tab 9 (CWBSB-481)</t>
  </si>
  <si>
    <t>Display standard cancel image</t>
  </si>
  <si>
    <t>Display standard generic error image</t>
  </si>
  <si>
    <t>See CWB design system for image assets.</t>
  </si>
  <si>
    <t>Display standard manual review image</t>
  </si>
  <si>
    <t>Display standard save image</t>
  </si>
  <si>
    <t>(no caption)</t>
  </si>
  <si>
    <t>Insert standard submission complete image</t>
  </si>
  <si>
    <t>Refer to CWB design system for image asset</t>
  </si>
  <si>
    <t>J</t>
  </si>
  <si>
    <t>Submission Complete Page</t>
  </si>
  <si>
    <t>CWBSB-522</t>
  </si>
  <si>
    <t>Updates for Sprint 8 and later:
- CWBSB-481 (tab 9) new page for Security Question (consistent with similar page in main SB DCO form).
- CWBSB-486 added debit card question to 10. eConsent page (CWBSB-72), consistent with main SB DCO form.
- Updated 7. Name &amp; Address (CWBSB-64) name fields to include all allowable characters for consistency.
- Reinstated C. Decline (CWBSB-237) and D. Cancel (CWBSB-238) pages as these (standard) pages will be required based on confirmed decision logic.
- Deprecated Dynamic Disclosures (confirmed with legal there are no T&amp;C/disclosures required for Auth Signers, other than debit card which is in the eConsent page).
- Added J. Submission Complete modal page (CWBSB-522) as termination page for end of Auth Signer flow</t>
  </si>
  <si>
    <t>1.6 WIP</t>
  </si>
  <si>
    <t>&lt;&lt;applicant fname&gt;&gt; &lt;&lt;applicant lname&gt;&gt;
&lt;&lt;auth signer fname&gt;&gt; &lt;&lt;auth signer lname&gt;&gt;
&lt;&lt;auth signer fname&gt;&gt; &lt;&lt;auth signer lname&gt;&gt;
&lt;&lt;auth signer fname&gt;&gt; &lt;&lt;auth signer lname&gt;&gt;</t>
  </si>
  <si>
    <t>Percentage complete value (progress bar)</t>
  </si>
  <si>
    <t>Step name (above progress bar)</t>
  </si>
  <si>
    <t>&lt;&lt;product catalogue.product tag-line&gt;&gt;</t>
  </si>
  <si>
    <t>Hello &lt;&lt;auth signer first name&gt;&gt;</t>
  </si>
  <si>
    <t>Product tag-line (short description) for this product card.</t>
  </si>
  <si>
    <t>Display product list (accounts) - repeat for each account selected in the primary application form</t>
  </si>
  <si>
    <t>&lt;&lt;complementary product name&gt;&gt;</t>
  </si>
  <si>
    <t>&lt;&lt;complementary product tag-line&gt;&gt;</t>
  </si>
  <si>
    <r>
      <t xml:space="preserve">Needs to include Applicant and Auth Signers </t>
    </r>
    <r>
      <rPr>
        <u/>
        <sz val="11"/>
        <color theme="1"/>
        <rFont val="Calibri"/>
        <family val="2"/>
        <scheme val="minor"/>
      </rPr>
      <t>other than</t>
    </r>
    <r>
      <rPr>
        <sz val="11"/>
        <color theme="1"/>
        <rFont val="Calibri"/>
        <family val="2"/>
        <scheme val="minor"/>
      </rPr>
      <t xml:space="preserve"> the "signed in" individual (bug CWBSB-568)</t>
    </r>
  </si>
  <si>
    <t>End product list</t>
  </si>
  <si>
    <t>Email address</t>
  </si>
  <si>
    <t>Mobile phone number</t>
  </si>
  <si>
    <t>Please provide a valid mobile phone number.</t>
  </si>
  <si>
    <t>Reviewed/updated verbiage (Connie S.)
- Inline Help, validation message, mandatory message</t>
  </si>
  <si>
    <t>Text/verbiage updates CWBSB-616</t>
  </si>
  <si>
    <t>Wording review - updated caption (Connie S.)</t>
  </si>
  <si>
    <t>First name</t>
  </si>
  <si>
    <t>Last name</t>
  </si>
  <si>
    <t>Enumerated list</t>
  </si>
  <si>
    <t>Canadian Postal Code (see DCO standards doc)</t>
  </si>
  <si>
    <t>Only if manual address mode is enabled on field 7.6 (current address).</t>
  </si>
  <si>
    <t>Pre-populate this field with IDScan data 
OR
Auth Signer first name as entered in the primary applicant form</t>
  </si>
  <si>
    <t>Updated to include all allowable characters for consistency. Elaborated pre-fill info (will populate name based on main form).</t>
  </si>
  <si>
    <t>Please tell us your physical address.</t>
  </si>
  <si>
    <t>Wording review - updated mandatory message (Connie S.)</t>
  </si>
  <si>
    <t>Please provide a street number.</t>
  </si>
  <si>
    <t>Please provide a street name.</t>
  </si>
  <si>
    <t>Please provide a city name.</t>
  </si>
  <si>
    <t>Please provide a postal code.</t>
  </si>
  <si>
    <t>Please select a province.</t>
  </si>
  <si>
    <t>Please provide a valid Canadian postal code.</t>
  </si>
  <si>
    <t>Canadian postal code - refer to DCO Standards doc</t>
  </si>
  <si>
    <t>Home (resides at) address section</t>
  </si>
  <si>
    <t>Mailing address section</t>
  </si>
  <si>
    <t>Previous address section</t>
  </si>
  <si>
    <t>Only if radio button 7.13 is "No".</t>
  </si>
  <si>
    <t>Only if radio button 7.13 is "No", and manual address mode is enabled on field 7.14 (previous address).</t>
  </si>
  <si>
    <t>Please tell us your previous physical address.</t>
  </si>
  <si>
    <t>Please tell us your mailing address.</t>
  </si>
  <si>
    <t>Yes, if radio button 7.21 is "No", and not in manual address mode.</t>
  </si>
  <si>
    <t xml:space="preserve">Please provide a street name or P.O. box number. </t>
  </si>
  <si>
    <t>Yes, if radio button 7.13 is "No", and not in manual address mode.</t>
  </si>
  <si>
    <t>Only if radio button 7.21 is "No".</t>
  </si>
  <si>
    <t>Only if radio button 7.21 is "No", and manual address mode is enabled on field 7.22 (mailing address).</t>
  </si>
  <si>
    <t>Wording review - updated mandatory message (Connie S.)
Apply standard treatment/validation for Canadian postal code, per Standards doc.</t>
  </si>
  <si>
    <t>Text/verbiage updates CWBSB-173</t>
  </si>
  <si>
    <t>Please tell us your birthday.</t>
  </si>
  <si>
    <t>Please tell us your current occupation.</t>
  </si>
  <si>
    <t>On click, navigate to "Security Question" page (CWBSB-481)</t>
  </si>
  <si>
    <t>Corrected navigation</t>
  </si>
  <si>
    <t>Text/verbiage updates CWBSB-98</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</si>
  <si>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</si>
  <si>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If your new business account(s) will only require one person to authorize a transaction, you can request a debit card for in-person transactions and ATM access.</t>
  </si>
  <si>
    <t>We require this information to open your new account.</t>
  </si>
  <si>
    <t>Wording review - updated inline help (Connie S.)</t>
  </si>
  <si>
    <t>- Collect and maintain the information submitted in this application.</t>
  </si>
  <si>
    <t>On click, navigate back to "Security Question" page CWBSB-481</t>
  </si>
  <si>
    <t>We were unable to verify some of your personal information. To protect your identity, we need a little help from you. Please choose one of the methods below to continue.</t>
  </si>
  <si>
    <t>Text/verbiage updates CWBSB-635</t>
  </si>
  <si>
    <t>Text/verbiage updates CWBSB-636</t>
  </si>
  <si>
    <t>Contacting you</t>
  </si>
  <si>
    <t>Wording review - updated (CS)</t>
  </si>
  <si>
    <t>A convenient option</t>
  </si>
  <si>
    <t>About you</t>
  </si>
  <si>
    <t>Wording review-updated (CS)</t>
  </si>
  <si>
    <t>Refer to CWB design kit for image assets</t>
  </si>
  <si>
    <t>Text/verbiage updates CWBSB-92 (note this story is in the main SB DCO form Epic CWBSB-1)</t>
  </si>
  <si>
    <t>As Required (in response to unexpected errors)</t>
  </si>
  <si>
    <t>The email address should by hyperlinked ("mailto" link) - see DCO standards document</t>
  </si>
  <si>
    <t>Please check your email for some next steps, or contact a CWB Business team member at business-onboarding@cwbank.com.</t>
  </si>
  <si>
    <t>The email address should be hyperlinked ("mailto" link) - see DCO standards doc.</t>
  </si>
  <si>
    <t>Format email address as Mailto link - see DCO standards doc.</t>
  </si>
  <si>
    <t>Text/verbiage updates CWBSB-213 (note this story is in the main SB DCO form Epic CWBSB-1)</t>
  </si>
  <si>
    <t>Text/verbiage updates CWBSB-177 (note this story is in the main SB DCO form Epic CWBSB-1)</t>
  </si>
  <si>
    <t>Text/verbiage updates CWBSB-178 (note this story is in the main SB DCO form Epic CWBSB-1)</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</si>
  <si>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</si>
  <si>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</si>
  <si>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Submission complete</t>
  </si>
  <si>
    <t>Text/verbiage updates CWBSB-95 (note this story is in the main SB DCO form Epic CWBSB-1)</t>
  </si>
  <si>
    <t>Submission complete.</t>
  </si>
  <si>
    <t>Text/verbiage updates CWBSB-533 (note this story is in the main SB DCO form Epic CWBSB-1)</t>
  </si>
  <si>
    <t>Deprecated - no decisioning in Auth Signer form to generate this screen</t>
  </si>
  <si>
    <r>
      <t xml:space="preserve">2. Landing page updated to clarify treatment for auth signer names (bug CWBSB-568)
Updated field types to include "Step name" (above Progress Bar) following navigation decision, with updated wording as reviewed by Connie and DCO/UX teams.
Updated all wording per Connie's review.
Linked verbiage update stories for modal pages used across both main and Auth Signer forms (A. Generic Error, D. Cancel, E. Save, F. Resume, I. Previously Submitted, J. Submission Complete).
Deprecated C. Manual Review as no decisioning to generate this page in Auth Signer form.
</t>
    </r>
    <r>
      <rPr>
        <b/>
        <sz val="10"/>
        <color theme="1"/>
        <rFont val="Calibri"/>
        <family val="2"/>
        <scheme val="minor"/>
      </rPr>
      <t>Note:</t>
    </r>
    <r>
      <rPr>
        <sz val="10"/>
        <color theme="1"/>
        <rFont val="Calibri"/>
        <family val="2"/>
        <scheme val="minor"/>
      </rPr>
      <t xml:space="preserve"> all pages complete in this version except 3. Existing Customer Check, 5. Qualifying Questions, 10. eConsent, 13. Manual IDV</t>
    </r>
  </si>
  <si>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</si>
  <si>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CWBSB-647</t>
  </si>
  <si>
    <t>Dynamic text</t>
  </si>
  <si>
    <t>Updated with quantity to address bug CWBSB-669</t>
  </si>
  <si>
    <t>1.7 WIP</t>
  </si>
  <si>
    <t>Uses standard Resume modal</t>
  </si>
  <si>
    <t>See F. Resume (CWBSB-240)</t>
  </si>
  <si>
    <t>Also used for 1. Entry Page and 4a. Mobile Verify</t>
  </si>
  <si>
    <t>3a</t>
  </si>
  <si>
    <t>Not needed - this is in field 7.6 (correction - bug CWBSB-725)</t>
  </si>
  <si>
    <t>Okta Login</t>
  </si>
  <si>
    <t>Log in to continue</t>
  </si>
  <si>
    <t>Please enter your CWB digital banking username and password to continue.</t>
  </si>
  <si>
    <t>Third Party Widget (e.g. Codat, Flinks)</t>
  </si>
  <si>
    <t>(no caption) Okta widget, presented in an iFrame</t>
  </si>
  <si>
    <t>CWBSB-577</t>
  </si>
  <si>
    <t>2. Landing page updated to include quantity on selected accounts section (bug CWBSB-669).
7. Name &amp; address - corrected spec to remove extra "what's your address" heading, left in error (bug CWBSB-725).
Updated 1. Entry Page and 4a. Mobile Verify to refer to tab F. Resume, as these pages use the standard "Resume" modal.
Added 3a. Okta Login for new page where Okta widget will be exposed via iFrame, for self-identified existing clients to log in/authenticate.
Note: yellow tabs denote pages with future content updates needed (e.g. hyperlinks, contact numbers) that may be unknown at present.</t>
  </si>
  <si>
    <t>Link URL added 4/15.</t>
  </si>
  <si>
    <t>Wording review - updated (CS).
Further modified to include advice on online access (following confirmation of Infinity/Okta provisioning approach)</t>
  </si>
  <si>
    <t>Lending Declined (NEW - added for SB lending)</t>
  </si>
  <si>
    <t>CWBSB-</t>
  </si>
  <si>
    <t>Your business lending application</t>
  </si>
  <si>
    <t>Conditional-see business rules</t>
  </si>
  <si>
    <t>10a</t>
  </si>
  <si>
    <t>Conditional - only show if business lending product was selected and auth signer personal bureau criteria FAILED</t>
  </si>
  <si>
    <t>Updated to include logic for small business lending.</t>
  </si>
  <si>
    <t>Because you are applying for a business lending product, we need to obtain a full credit report on you and any other individuals who will be Authorized Signers for your business.</t>
  </si>
  <si>
    <t>Added to cover requirements for business lending.</t>
  </si>
  <si>
    <t>Please confirm your agreement to the lending terms and conditions.</t>
  </si>
  <si>
    <t>Conditional - display only if lending product in application AND auth signer has passed credit check criteria</t>
  </si>
  <si>
    <r>
      <t xml:space="preserve">As an Authorized Signer for &lt;&lt;business legal name&gt;&gt;, I &lt;&lt;First Name&gt;&gt; &lt;&lt;Last Name&gt;&gt;, have read and agree to </t>
    </r>
    <r>
      <rPr>
        <u/>
        <sz val="11"/>
        <color theme="1"/>
        <rFont val="Calibri"/>
        <family val="2"/>
        <scheme val="minor"/>
      </rPr>
      <t>CWB's digital lending terms and conditions</t>
    </r>
    <r>
      <rPr>
        <sz val="11"/>
        <color theme="1"/>
        <rFont val="Calibri"/>
        <family val="2"/>
        <scheme val="minor"/>
      </rPr>
      <t>.</t>
    </r>
  </si>
  <si>
    <r>
      <t xml:space="preserve">Hyperlink underlined text to lending agreement URL:
</t>
    </r>
    <r>
      <rPr>
        <sz val="11"/>
        <color rgb="FFFF0000"/>
        <rFont val="Calibri"/>
        <family val="2"/>
        <scheme val="minor"/>
      </rPr>
      <t>https://www.cwbank.com/</t>
    </r>
  </si>
  <si>
    <t>On click, close/submit authorized signer form and navigate to 'Submission Complete' modal page CWBSB-521</t>
  </si>
  <si>
    <t>Hyperlink location for new lending agreement to be confirmed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</si>
  <si>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</si>
  <si>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</si>
  <si>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CWBSB-903</t>
  </si>
  <si>
    <t>Security question</t>
  </si>
  <si>
    <t>Card section - list applicant and any other individuals with Authorized Signer role</t>
  </si>
  <si>
    <r>
      <t xml:space="preserve">Always include name of applicant (from main SB DCO form) in &lt;&lt;applicant fname&gt;&gt; &lt;&lt;applicant lname&gt;&gt; fields.
Include names of Authorized Signers </t>
    </r>
    <r>
      <rPr>
        <u/>
        <sz val="11"/>
        <color theme="1"/>
        <rFont val="Calibri"/>
        <family val="2"/>
        <scheme val="minor"/>
      </rPr>
      <t>other than</t>
    </r>
    <r>
      <rPr>
        <sz val="11"/>
        <color theme="1"/>
        <rFont val="Calibri"/>
        <family val="2"/>
        <scheme val="minor"/>
      </rPr>
      <t xml:space="preserve"> the "signed in" individual only if applicable (omit if no other auth signers).
Insert names in &lt;&lt;&gt;&gt; tagged fields if applicable.</t>
    </r>
  </si>
  <si>
    <t>Your account(s)</t>
  </si>
  <si>
    <t>Your solution(s)</t>
  </si>
  <si>
    <t>Display solutions list (complementary products - may include business line of credit) for each complementary product selected in the primary application form</t>
  </si>
  <si>
    <t>&lt;&lt;product catalogue.product name&gt;&gt; (&lt;&lt;quantity&gt;&gt;)</t>
  </si>
  <si>
    <t>Product name for this product .
IF &gt;1 instance of the same product was selected, insert quantity in parentheses (&lt;&lt;quantity&gt;&gt;). Valid values are whole numbers 2 or 3.
Do not repeat product name/description.
ELSE IF only 1 instance of a product is selected, omit  (&lt;&lt;quantity&gt;&gt;)</t>
  </si>
  <si>
    <t>Always (see business rules)</t>
  </si>
  <si>
    <r>
      <t xml:space="preserve">Manage payments and receivables electronically via
- </t>
    </r>
    <r>
      <rPr>
        <i/>
        <sz val="11"/>
        <color theme="1"/>
        <rFont val="Calibri"/>
        <family val="2"/>
        <scheme val="minor"/>
      </rPr>
      <t>Interac</t>
    </r>
    <r>
      <rPr>
        <sz val="11"/>
        <color theme="1"/>
        <rFont val="Calibri"/>
        <family val="2"/>
        <scheme val="minor"/>
      </rPr>
      <t xml:space="preserve"> e-Transfer (including Request Money)
- Bill payments
- Government (tax) payment and filing
- Remote deposit capture</t>
    </r>
  </si>
  <si>
    <t>Needs to include all complementary products selected.
This section may include business line of credit product.</t>
  </si>
  <si>
    <t>We need some information about you! You've been identifed as an authorized signer on an application to open the business account(s) and complementary products listed below on behalf of &lt;&lt;business legal name&gt;&gt;.</t>
  </si>
  <si>
    <t>Insert business legal name as indicated by &lt;&lt;&gt;&gt; tags.</t>
  </si>
  <si>
    <r>
      <t xml:space="preserve">You won't need a debit card for online banking, but you will need one to use an ATM or make </t>
    </r>
    <r>
      <rPr>
        <i/>
        <sz val="11"/>
        <color theme="1"/>
        <rFont val="Calibri"/>
        <family val="2"/>
        <scheme val="minor"/>
      </rPr>
      <t>Interac</t>
    </r>
    <r>
      <rPr>
        <sz val="11"/>
        <color theme="1"/>
        <rFont val="Calibri"/>
        <family val="2"/>
        <scheme val="minor"/>
      </rPr>
      <t xml:space="preserve"> purchases.
If you choose "yes", we'll mail your card via Canada Post.</t>
    </r>
  </si>
  <si>
    <r>
      <t xml:space="preserve">Insert product name element for each Complementary Product selected (from the main SB DCO form).
</t>
    </r>
    <r>
      <rPr>
        <b/>
        <sz val="11"/>
        <color theme="1"/>
        <rFont val="Calibri"/>
        <family val="2"/>
        <scheme val="minor"/>
      </rPr>
      <t>Note:</t>
    </r>
    <r>
      <rPr>
        <sz val="11"/>
        <color theme="1"/>
        <rFont val="Calibri"/>
        <family val="2"/>
        <scheme val="minor"/>
      </rPr>
      <t xml:space="preserve"> may include business line of credit product.
Omit section if no Complementary Products selected.</t>
    </r>
  </si>
  <si>
    <t>Insert tag-line (short description) element for each Complementary Product selected (from the main SB DCO form).
Omit section if no Complementary Products selected.</t>
  </si>
  <si>
    <t>To proceed, we'll send you a one-time code to verify your number.</t>
  </si>
  <si>
    <t>Pre-fill auth signer e-mail address as provided by primary applicant.</t>
  </si>
  <si>
    <t>Pre-fill auth signer mobile number as provided by primary applicant.</t>
  </si>
  <si>
    <t>On click, apply the following conditional logic:
A) If the mobile number has not been verified (user changed their number), navigate to Auth Signer "Mobile Verify" page CWBSB-167
B) If the mobile number has been verified or is the same one originally provided by the primary applicant, navigate to "Qualifying Questions" page CWBSB-63</t>
  </si>
  <si>
    <t>Hyperlink phone number (click/tap to call)
See Next (5.9) for navigation logic.</t>
  </si>
  <si>
    <t>On click,
IF check box 5.8 is unchecked, display mandatory message and remain on page;
ELSE if check box 5.8 is checked, navigate to "ID Scan" page (CWBSB-62)</t>
  </si>
  <si>
    <t>Or skip this step</t>
  </si>
  <si>
    <t>[Sample barcode instruction text]</t>
  </si>
  <si>
    <t>What is your address?</t>
  </si>
  <si>
    <t>On click, navigate to "Auth Signer Birthday, SIN &amp; Occupation" page (CWBSB-71)</t>
  </si>
  <si>
    <t>Birthday (MM/DD/YYYY)</t>
  </si>
  <si>
    <t>Social Insurance Number (SIN)</t>
  </si>
  <si>
    <t>Occupation</t>
  </si>
  <si>
    <t>For the purposes of this application, CWB will:</t>
  </si>
  <si>
    <t>- Use your information to confirm your identity.</t>
  </si>
  <si>
    <t>We will use third party sources to validate and confirm the information you submitted.</t>
  </si>
  <si>
    <t>We will use a deposit inquiry credit score for opening your account.</t>
  </si>
  <si>
    <t>Hyperlink underlined text to the following URL:
https://www.cwb.com/about-us/privacy
(open in new browser tab)</t>
  </si>
  <si>
    <t>I, &lt;&lt;first name&gt;&gt; &lt;&lt;last name&gt;&gt;:</t>
  </si>
  <si>
    <t>Please confirm your agreement.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</si>
  <si>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</si>
  <si>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</si>
  <si>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</si>
  <si>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r>
      <t xml:space="preserve">Reveal only if application DOES NOT include a business lending (Line of Credit) product.
</t>
    </r>
    <r>
      <rPr>
        <b/>
        <sz val="11"/>
        <color theme="1"/>
        <rFont val="Calibri"/>
        <family val="2"/>
        <scheme val="minor"/>
      </rPr>
      <t>Note</t>
    </r>
    <r>
      <rPr>
        <sz val="11"/>
        <color theme="1"/>
        <rFont val="Calibri"/>
        <family val="2"/>
        <scheme val="minor"/>
      </rPr>
      <t>: this text will also apply if the original application included business lending, but the lending product was subsequently declined due to inadequate credit bureau score.</t>
    </r>
  </si>
  <si>
    <t>Insert authorized signer first and last name in &lt;&lt;&gt;&gt; tagged fields.
Users must check this box to proceed with their application.</t>
  </si>
  <si>
    <t>CWBSB-881</t>
  </si>
  <si>
    <t>Hyperlink phone number (click/tap to call);
hyperlink email address (mailto)</t>
  </si>
  <si>
    <r>
      <t xml:space="preserve">If you go back, you will lose the information you have already entered and you'll need to start again.
</t>
    </r>
    <r>
      <rPr>
        <u/>
        <sz val="11"/>
        <color theme="1"/>
        <rFont val="Calibri"/>
        <family val="2"/>
        <scheme val="minor"/>
      </rPr>
      <t>Continue my application
Start over</t>
    </r>
  </si>
  <si>
    <t>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IF no business lending product in application
THEN close/submit Auth Signer form and display 'Submission Complete' modal page CWBSB-522.
ELSE IF business lending product in application
AND credit score &lt;600
THEN navigate to 'Lending Declined' CWBSB-881.
IF primary IDV fails
AND business lending product in application
AND credit score &gt;=600
OR no business lending product in application
THEN navigate to Alternate IDV page CWBSB-228
ELSE IF business lending product in application
AND credit score &lt;600
THEN navigate to 'Lending Declined' CWBSB-881.</t>
  </si>
  <si>
    <t>IF selection = 'Continue my application', close modal
AND IF primary IDV successful
THEN close/submit Auth Signer form and display 'Submission Complete' modal page CWBSB-522.
ELSE IF primary IDV fails
THEN navigate to Alternate IDV page CWBSB-228
ELSE IF selection = 'Start over', set form status to withdrawn/cancelled, display 'Cancel' modal page (CWBSB-238) and generate 'Withdrawn' email notification (CWBSB-135) to applicant and other authorized signers.</t>
  </si>
  <si>
    <t>After the user clicks "Next", if radio button 11.5 has been selected.</t>
  </si>
  <si>
    <t>If the user selects radio button 11.5 and clicks "Next",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</si>
  <si>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Close/submit Auth Signer form and display 'Submission Complete' modal page CWBSB-522.</t>
  </si>
  <si>
    <t>IF selection = 'Continue my application', close modal and remain on page.
ELSE IF selection = 'Start over', set form status to withdrawn/cancelled, display 'Cancel' modal page (CWBSB-238) and generate 'Withdrawn' email notification (CWBSB-135) to applicant and other authorized signers.</t>
  </si>
  <si>
    <t>Display modal confirmation 11.9 - see CWBSB-934 and CWB design kit for back navigation details.</t>
  </si>
  <si>
    <t>Display modal confirmation 10a.6 - see CWBSB-934 and CWB design kit for back navigation details.</t>
  </si>
  <si>
    <t>The email address should by hyperlinked (mailto link); phone number should be hyperlinked (click/tap to call).</t>
  </si>
  <si>
    <t>2.0
(+Lending)</t>
  </si>
  <si>
    <t>Ian Hicks
Lorraine McLeod
Candyse Watkinson
Connie Smart
Sandra Murillo Paz
Kelvin Fernando</t>
  </si>
  <si>
    <t>Something went wrong</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</si>
  <si>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</si>
  <si>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Thank you for applying</t>
  </si>
  <si>
    <t>We're sorry to see you go</t>
  </si>
  <si>
    <t>Your application is safe with us</t>
  </si>
  <si>
    <t>Please verify your device</t>
  </si>
  <si>
    <t>We just sent a 4-7 digit code to your mobile number. Please enter it below to continue with your application.</t>
  </si>
  <si>
    <t>Enter your code</t>
  </si>
  <si>
    <t>Resend code</t>
  </si>
  <si>
    <t>On click, validate token, and resume application.</t>
  </si>
  <si>
    <t>Note: label "Enter your code" is shown as hint text within the field itself - see CWB design kit.</t>
  </si>
  <si>
    <r>
      <t>You have already submitted an application.
For assistance, please e-mail CWB at</t>
    </r>
    <r>
      <rPr>
        <u/>
        <sz val="11"/>
        <rFont val="Calibri"/>
        <family val="2"/>
        <scheme val="minor"/>
      </rPr>
      <t xml:space="preserve"> business-onboarding@cwbank.com</t>
    </r>
    <r>
      <rPr>
        <sz val="11"/>
        <rFont val="Calibri"/>
        <family val="2"/>
        <scheme val="minor"/>
      </rPr>
      <t>.
Your reference number is:</t>
    </r>
  </si>
  <si>
    <r>
      <t xml:space="preserve">Thank you for completing your application. You will receive an email with instructions for setting up online access to your CWB account(s) when the business application is approved.
If you need any assistance, please contact a CWB Business Team member at </t>
    </r>
    <r>
      <rPr>
        <u/>
        <sz val="11"/>
        <rFont val="Calibri"/>
        <family val="2"/>
        <scheme val="minor"/>
      </rPr>
      <t>business-onboarding@cwbank.com</t>
    </r>
    <r>
      <rPr>
        <sz val="11"/>
        <rFont val="Calibri"/>
        <family val="2"/>
        <scheme val="minor"/>
      </rPr>
      <t>.
Your reference number is:</t>
    </r>
  </si>
  <si>
    <r>
      <t xml:space="preserve">You must confirm you meet all of the conditions to proceed. For more information, please contact CWB at </t>
    </r>
    <r>
      <rPr>
        <u/>
        <sz val="11"/>
        <rFont val="Calibri"/>
        <family val="2"/>
        <scheme val="minor"/>
      </rPr>
      <t>1.833.456.7900</t>
    </r>
    <r>
      <rPr>
        <sz val="11"/>
        <rFont val="Calibri"/>
        <family val="2"/>
        <scheme val="minor"/>
      </rPr>
      <t>.</t>
    </r>
  </si>
  <si>
    <t>Deprecated: decisioning (apart from lending) is done in the main form</t>
  </si>
  <si>
    <t>Deprecated - no JM page for this function as solution will redirect to Okta, then return to JM.</t>
  </si>
  <si>
    <t>On click
IF radio button 3.3 = "No", navigate to the "Contact Info" page (CWBSB-166);
ELSE IF radio button 3.3 = "Yes" initiate redirect to OKTA (on return from Okta, 'Contact Info' page CWBSB-166 will load)</t>
  </si>
  <si>
    <t>Initial version to include added Small Business Lending scope:
10. eConsent (include consent for 'hard' credit check, lending agreement, updated navigation logic)
10a. Lending Declined (net new page)
Text/verbiage updates throughout, following full team review and alignment with main applicant form.
11. Alternate IDV - added modal to prevent back navigation (also in new Lending Declined page) - see CWBSB-934.
Added URL for linked form to 10. eConsent (Business Debit Card &amp; PIN Agreement).
Updated J. Submission Complete with wording to advise email will follow re: online banking access.
12. Flinks - added paragraph to align with new Flinks guidance from Privacy on Motive/Personal DCO.
Deprecated C. Decline page as all decisioning (apart from lending) is in the main SB form.
Deprecated 3a. Okta Login - no JM page is required for this function, as solution will redirect to Okta then return to JM after login.
Note: yellow tabs denote 'in progress' pages with updates pending.</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</si>
  <si>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</si>
  <si>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We use this information to verify your identity. Providing your SIN is optional.</t>
  </si>
  <si>
    <t>- Obtain credit bureau information about you for the purposes of opening an account.</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</si>
  <si>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</si>
  <si>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r>
      <t xml:space="preserve">- Use third party service providers to obtain and validate your personal information.
                                                                                                                                                                                                                                                                For more information about how we Use and protect your information, please view our </t>
    </r>
    <r>
      <rPr>
        <u/>
        <sz val="11"/>
        <color theme="1"/>
        <rFont val="Calibri"/>
        <family val="2"/>
        <scheme val="minor"/>
      </rPr>
      <t>privacy statement</t>
    </r>
    <r>
      <rPr>
        <sz val="11"/>
        <color theme="1"/>
        <rFont val="Calibri"/>
        <family val="2"/>
        <scheme val="minor"/>
      </rPr>
      <t>.</t>
    </r>
  </si>
  <si>
    <t>Understand that by continuing I consent to the collection and use of my information as described above.</t>
  </si>
  <si>
    <t>Lending updates CWBSB-826</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</si>
  <si>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t>
    </r>
    <r>
      <rPr>
        <u/>
        <sz val="11"/>
        <color theme="1"/>
        <rFont val="Calibri"/>
        <family val="2"/>
        <scheme val="minor"/>
      </rPr>
      <t>1.833.456.7900</t>
    </r>
    <r>
      <rPr>
        <sz val="11"/>
        <color theme="1"/>
        <rFont val="Calibri"/>
        <family val="2"/>
        <scheme val="minor"/>
      </rPr>
      <t>.</t>
    </r>
  </si>
  <si>
    <t>Christina Mullin
Stacy Schmidt</t>
  </si>
  <si>
    <t>2.1</t>
  </si>
  <si>
    <t>Pre-fill - mobile# provided by applicant. Numbers, spaces, dashes, parentheses</t>
  </si>
  <si>
    <t>Field is pre-filled and must be NON-EDITABLE, so no mandatory validation required.</t>
  </si>
  <si>
    <t>Pre-fill - email address provided by applicant and NON-EDITABLE</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</si>
  <si>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</si>
  <si>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Updated text due to change to email address field - see below.</t>
  </si>
  <si>
    <t>Modified 4. Contact Info as email address cannot be edited in Auth Signer form (JM limitation - bug CWBSB-1011, page update story CWBSB-1022).
Updated lending agreement verbiage in 10. eConsent for consistency with main applicant form.</t>
  </si>
  <si>
    <t>Updated to a non-editable field due to JM limitation (email address is linked to the transaction); removed inline help as not possible to associate info icon with a disabled/non-editable field.
Bug CWBSB-1011 / page update story CWBSB-1022.</t>
  </si>
  <si>
    <t>2.2</t>
  </si>
  <si>
    <r>
      <t xml:space="preserve">Looks like, at this time, we are unable to approve your application for business lending. However, you may continue with your application for a business account and any services you've selected.
For more information, or if you need to talk to us, please call 1.833.456.7900 or send an email to </t>
    </r>
    <r>
      <rPr>
        <u/>
        <sz val="11"/>
        <rFont val="Calibri"/>
        <family val="2"/>
        <scheme val="minor"/>
      </rPr>
      <t>business-onboarding@cwbank.com</t>
    </r>
    <r>
      <rPr>
        <sz val="11"/>
        <rFont val="Calibri"/>
        <family val="2"/>
        <scheme val="minor"/>
      </rPr>
      <t>.</t>
    </r>
  </si>
  <si>
    <t>Modified text content following Sprint 16 demo.</t>
  </si>
  <si>
    <t>Updated text content in 10a. Lending Declined following Sprint 16 demo.</t>
  </si>
  <si>
    <t>2.3</t>
  </si>
  <si>
    <t>Stacy Schmidt</t>
  </si>
  <si>
    <t>Conditional - see business rules.</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</si>
  <si>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CWBSB-245</t>
  </si>
  <si>
    <t>7/8 - modified logic to handle scenario where client has gone out to Okta and returned to form. In this case, it will be new transaction, so 'Back' navigation is not possible and 'Back' button should not be shown on page.</t>
  </si>
  <si>
    <t>Are you already a CWB personal banking client?</t>
  </si>
  <si>
    <t>Digital banking</t>
  </si>
  <si>
    <t>Revolving line of credit</t>
  </si>
  <si>
    <t>Insert only if application includes a business lending (Line of Credit) product.</t>
  </si>
  <si>
    <t>Updated to include text/controls for disclosure of rates/amounts and agreement to conditions for SB lending.</t>
  </si>
  <si>
    <r>
      <t xml:space="preserve">The line of credit interest rate is based upon our </t>
    </r>
    <r>
      <rPr>
        <u/>
        <sz val="11"/>
        <color theme="1"/>
        <rFont val="Calibri"/>
        <family val="2"/>
        <scheme val="minor"/>
      </rPr>
      <t>Prime Rate</t>
    </r>
    <r>
      <rPr>
        <sz val="11"/>
        <color theme="1"/>
        <rFont val="Calibri"/>
        <family val="2"/>
        <scheme val="minor"/>
      </rPr>
      <t>. Our Prime Rate is subject to change from time to time without notice. Minimum payment is
based on the calculated interest amount on the outstanding balance every month.
If approved for a line of credit, the amount will be between $10,000 and $50,000 at a variable interest rate of Prime Rate plus &lt;&lt;rate tier 1&gt;&gt;% to &lt;&lt;rate tier
3&gt;&gt;%.</t>
    </r>
  </si>
  <si>
    <t>Insert only if application includes a business lending (Line of Credit) product.
Hyperlink underlined text to the following URL (open in new tab/window):
https://www.cwbank.com/en/personal/investing/products/gics/gic-rates#CWB-Prime-rate
Insert interest rate tiers from product catalogue as indicated by &lt;&lt;&gt;&gt; tagged fields.</t>
  </si>
  <si>
    <t>Do you wish to continue your application including the revolving line of credit?</t>
  </si>
  <si>
    <t>Please make a selection to continue.</t>
  </si>
  <si>
    <t>A) Yes
B) No, continue the application but remove the line of credit</t>
  </si>
  <si>
    <t>Always (progressive reveal)</t>
  </si>
  <si>
    <t>Conditional-see business rules (progressive reveal)</t>
  </si>
  <si>
    <t>Reveal only if radio button 10.3 selection = "Yes".
Hyperlink underlined text to this URL:
https://www.cwbank.com/-/media/Documents/BusinessDCOForms/4007 Business Debit Card+PIN Agreement.pdf
(open in new browser tab)</t>
  </si>
  <si>
    <t>Navigate to 'Submission Complete' modal page CWBSB-522
AND generate Lending Declined email (CWBSB-883) to applicant and any authorized signers with application status of "in progress" or "complete".</t>
  </si>
  <si>
    <t>Insert only if application includes a business lending (Line of Credit) product. 
Selection required.
IF 'Yes', reveal the following:
10.7 through 10.9, 10.11 through 10.14, 10.15 (only if debit card selection 10.3 = YES), 10.16.
ELSE IF 'No', reveal the following:
10.7 through 10.10, 10.12 through 10.14, 10.15 (only if debit card selection 10.3 = YES)
AND line of credit product must be removed from the application on page exit;
AND generate "LOC removed" email.</t>
  </si>
  <si>
    <t>I'd like to log into my other bank or financial institution to verify my identity.</t>
  </si>
  <si>
    <t>Final wording review - change "sign into" to "log into" per DBX/UX guidelines.</t>
  </si>
  <si>
    <r>
      <t xml:space="preserve">Agree to CWB’s </t>
    </r>
    <r>
      <rPr>
        <u/>
        <sz val="11"/>
        <color theme="1"/>
        <rFont val="Calibri"/>
        <family val="2"/>
        <scheme val="minor"/>
      </rPr>
      <t>Digital Lending Agreement</t>
    </r>
    <r>
      <rPr>
        <sz val="11"/>
        <color theme="1"/>
        <rFont val="Calibri"/>
        <family val="2"/>
        <scheme val="minor"/>
      </rPr>
      <t>. I understand that this document outlines the conditions for the Loan (if approved) and specifies what I am and am not permitted to do while this agreement is in effect.</t>
    </r>
  </si>
  <si>
    <r>
      <t xml:space="preserve">Reveal only if check box 13.3 selection = "Yes".
Hyperlink underlined text to this URL:
</t>
    </r>
    <r>
      <rPr>
        <sz val="11"/>
        <rFont val="Calibri"/>
        <family val="2"/>
        <scheme val="minor"/>
      </rPr>
      <t>http://www.cwbank.com/digital-lending-agreement</t>
    </r>
    <r>
      <rPr>
        <sz val="11"/>
        <color theme="1"/>
        <rFont val="Calibri"/>
        <family val="2"/>
        <scheme val="minor"/>
      </rPr>
      <t xml:space="preserve">
(open in new browser tab)</t>
    </r>
  </si>
  <si>
    <t>Added URL for digital lending agreeement.</t>
  </si>
  <si>
    <r>
      <t xml:space="preserve">Updated business rules for 'Back' button in 4. Contact Info due to technical limitation (CWBSB-985).
Final copy updates in 3. Existing Customer Check, J. Submission Complete
Updated 10. eConsent to reflect agreed solution for auth signers (incl. rate/amount and acknowledgment of LOC conditions).
Added URL for digital lending agreement to 10. eConsent.
</t>
    </r>
    <r>
      <rPr>
        <b/>
        <sz val="10"/>
        <color theme="1"/>
        <rFont val="Calibri"/>
        <family val="2"/>
        <scheme val="minor"/>
      </rPr>
      <t>UX/DBX consistency updates:</t>
    </r>
    <r>
      <rPr>
        <sz val="10"/>
        <color theme="1"/>
        <rFont val="Calibri"/>
        <family val="2"/>
        <scheme val="minor"/>
      </rPr>
      <t xml:space="preserve">
(1) Modified references to "digital banking" to use sentence case in
2. Landing Page
(2) Replaced references to "sign into" with "log into" in
11. Alternate IDV</t>
    </r>
  </si>
  <si>
    <t>New story required for final text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</si>
</sst>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strike/>
      <sz val="11"/>
      <color theme="1"/>
      <name val="Calibri"/>
      <family val="2"/>
      <scheme val="minor"/>
    </font>
    <font>
      <u/>
      <sz val="11"/>
      <color theme="10"/>
      <name val="Calibri"/>
      <family val="2"/>
      <scheme val="minor"/>
    </font>
    <font>
      <i/>
      <sz val="11"/>
      <color theme="1"/>
      <name val="Calibri"/>
      <family val="2"/>
      <scheme val="minor"/>
    </font>
    <font>
      <b/>
      <sz val="10"/>
      <color theme="1"/>
      <name val="Calibri"/>
      <family val="2"/>
      <scheme val="minor"/>
    </font>
    <font>
      <strike/>
      <sz val="14"/>
      <color theme="1"/>
      <name val="Calibri"/>
      <family val="2"/>
      <scheme val="minor"/>
    </font>
    <font>
      <sz val="11"/>
      <color rgb="FFFF0000"/>
      <name val="Calibri"/>
      <family val="2"/>
      <scheme val="minor"/>
    </font>
    <font>
      <u/>
      <sz val="11"/>
      <name val="Calibri"/>
      <family val="2"/>
      <scheme val="minor"/>
    </font>
    <font>
      <sz val="8"/>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rgb="FF00B050"/>
        <bgColor indexed="64"/>
      </patternFill>
    </fill>
  </fills>
  <borders count="22">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1" fillId="0" borderId="0" applyNumberFormat="0" applyFill="0" applyBorder="0" applyAlignment="0" applyProtection="0"/>
  </cellStyleXfs>
  <cellXfs count="11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horizontal="left" vertical="center"/>
    </xf>
    <xf numFmtId="0" fontId="8" fillId="0" borderId="0" xfId="0" applyFont="1" applyAlignment="1">
      <alignment vertical="top"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horizontal="left" vertical="center"/>
    </xf>
    <xf numFmtId="0" fontId="0" fillId="0" borderId="0" xfId="0" applyFont="1" applyAlignment="1">
      <alignment horizontal="center" vertical="center" wrapText="1"/>
    </xf>
    <xf numFmtId="0" fontId="14" fillId="0" borderId="0" xfId="0" applyFont="1" applyAlignment="1">
      <alignment horizontal="left" vertical="center"/>
    </xf>
    <xf numFmtId="0" fontId="11" fillId="0" borderId="0" xfId="1" applyAlignment="1">
      <alignment horizontal="left" vertical="center"/>
    </xf>
    <xf numFmtId="0" fontId="10" fillId="0" borderId="0" xfId="0" applyFont="1" applyFill="1" applyAlignment="1">
      <alignment vertical="center" wrapText="1"/>
    </xf>
    <xf numFmtId="0" fontId="10" fillId="0" borderId="0" xfId="0" applyFont="1" applyAlignment="1">
      <alignment vertical="top" wrapText="1"/>
    </xf>
    <xf numFmtId="0" fontId="10" fillId="0" borderId="0" xfId="0" applyFont="1" applyAlignment="1">
      <alignment vertical="center" wrapText="1"/>
    </xf>
    <xf numFmtId="0" fontId="8" fillId="0" borderId="0" xfId="0" applyFont="1" applyAlignment="1">
      <alignment horizontal="center" vertical="center" wrapText="1"/>
    </xf>
    <xf numFmtId="0" fontId="0" fillId="7" borderId="0" xfId="0" applyFill="1" applyAlignment="1">
      <alignment vertical="center" wrapText="1"/>
    </xf>
    <xf numFmtId="0" fontId="5" fillId="7" borderId="0" xfId="0" applyFont="1" applyFill="1" applyAlignment="1">
      <alignment vertical="center"/>
    </xf>
    <xf numFmtId="0" fontId="5" fillId="7" borderId="0" xfId="0" applyFont="1" applyFill="1" applyAlignment="1">
      <alignment horizontal="center" vertical="center"/>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1" fillId="3"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xf>
    <xf numFmtId="0" fontId="0" fillId="0" borderId="0" xfId="0" applyAlignment="1">
      <alignment vertical="top" wrapText="1"/>
    </xf>
    <xf numFmtId="49" fontId="0" fillId="0" borderId="18" xfId="0" applyNumberFormat="1" applyBorder="1" applyAlignment="1">
      <alignment horizontal="center" vertical="center" wrapText="1"/>
    </xf>
    <xf numFmtId="164" fontId="0" fillId="0" borderId="19" xfId="0" applyNumberFormat="1" applyBorder="1" applyAlignment="1">
      <alignment horizontal="center" vertical="center"/>
    </xf>
    <xf numFmtId="0" fontId="3" fillId="0" borderId="19" xfId="0" applyFont="1" applyBorder="1" applyAlignment="1">
      <alignment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xf>
    <xf numFmtId="49" fontId="0" fillId="0" borderId="7" xfId="0" applyNumberFormat="1" applyBorder="1" applyAlignment="1">
      <alignment horizontal="center" vertical="center" wrapText="1"/>
    </xf>
    <xf numFmtId="0" fontId="3" fillId="0" borderId="8" xfId="0" applyFont="1" applyBorder="1" applyAlignment="1">
      <alignment vertical="center" wrapText="1"/>
    </xf>
    <xf numFmtId="0" fontId="0" fillId="0" borderId="9" xfId="0" applyBorder="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9" fillId="5" borderId="0" xfId="0" applyFont="1" applyFill="1" applyAlignment="1">
      <alignment horizontal="left" vertical="center" wrapText="1"/>
    </xf>
    <xf numFmtId="0" fontId="5" fillId="7" borderId="0" xfId="0" applyFont="1" applyFill="1" applyAlignment="1">
      <alignment horizontal="left" vertical="center"/>
    </xf>
    <xf numFmtId="0" fontId="8" fillId="0" borderId="0" xfId="0" applyFont="1" applyFill="1" applyAlignment="1">
      <alignment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498">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cwb.local/projects/pmo2/Digital%20Program/Digital%20Program%20SharePoint/2%20Digital%20Client%20Onboarding/4%20Small%20Business%20Lending/2%20Design/Field%20Specs/Small%20Business%20DCO%20SmallBiz%20Field%20Spec%20v3.0-LENDING%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 val="Revision Control"/>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Qualifying Questions"/>
      <sheetName val="1a. Not Qualified Info Page"/>
      <sheetName val="2. Existing Cust. Check"/>
      <sheetName val="2a. Okta Login"/>
      <sheetName val="3. Contact Info"/>
      <sheetName val="4. Verify Mobile"/>
      <sheetName val="DEPRECATED Screening Questions"/>
      <sheetName val="DEPRECATED Failed Screening"/>
      <sheetName val="5. Business eConsent"/>
      <sheetName val="DEPRECATED CODAT"/>
      <sheetName val="7. Log into CODAT"/>
      <sheetName val="8. Your Business"/>
      <sheetName val="9. More About Your Business"/>
      <sheetName val="9a. Lending Declined"/>
      <sheetName val="10. App - IDScan"/>
      <sheetName val="11. App - Name &amp; Address"/>
      <sheetName val="12. App - Birthday, SIN &amp; Occ."/>
      <sheetName val="12a. App-Security Question"/>
      <sheetName val="13. App - eConsent"/>
      <sheetName val="14. App- Alternate IDV"/>
      <sheetName val="15. App - Flinks"/>
      <sheetName val="16. App - Manual IDV"/>
      <sheetName val="17. Your Role"/>
      <sheetName val="18. Owners, Directors+Signers"/>
      <sheetName val="18. Authorized Signers"/>
      <sheetName val="18a. Non-signing Owners"/>
      <sheetName val="19a. Disclosures-Tax Residency"/>
      <sheetName val="19. Business Disclosures"/>
      <sheetName val="20. Await Auth Signers"/>
      <sheetName val="21. Account Options"/>
      <sheetName val="22. Complementary Services"/>
      <sheetName val="22a. Lending Decision"/>
      <sheetName val="23. Online Banking+Delegates"/>
      <sheetName val="A. Generic Error"/>
      <sheetName val="B. Manual Review"/>
      <sheetName val="C. Decline"/>
      <sheetName val="D. Cancel"/>
      <sheetName val="E. Save"/>
      <sheetName val="F. Resume"/>
      <sheetName val="G. Time Out"/>
      <sheetName val="H. Progress"/>
      <sheetName val="I. Previously Submitted"/>
      <sheetName val="J. Concurrent App"/>
      <sheetName val="DEPRECATED Unable to Resume"/>
      <sheetName val="L. Submission Complete"/>
      <sheetName val="M. DEPRECATED Auth Signer modal"/>
      <sheetName val="Not Qualified"/>
      <sheetName val="Failed Scree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
  <sheetViews>
    <sheetView tabSelected="1" zoomScaleNormal="100" workbookViewId="0">
      <pane ySplit="2" topLeftCell="A17" activePane="bottomLeft" state="frozen"/>
      <selection pane="bottomLeft" activeCell="A18" sqref="A18"/>
    </sheetView>
  </sheetViews>
  <sheetFormatPr defaultRowHeight="14.5" x14ac:dyDescent="0.35"/>
  <cols>
    <col min="1" max="1" width="19.81640625" customWidth="1"/>
    <col min="2" max="2" width="18.7265625" bestFit="1" customWidth="1"/>
    <col min="3" max="3" width="67.54296875" customWidth="1"/>
    <col min="4" max="6" width="21.54296875" customWidth="1"/>
    <col min="7" max="7" width="20.1796875" customWidth="1"/>
  </cols>
  <sheetData>
    <row r="1" spans="1:16" s="1" customFormat="1" ht="18.5" x14ac:dyDescent="0.35">
      <c r="A1" s="1" t="s">
        <v>224</v>
      </c>
      <c r="B1" s="2"/>
      <c r="C1" s="2"/>
      <c r="D1" s="2"/>
      <c r="E1" s="2"/>
      <c r="F1" s="2"/>
      <c r="G1" s="3"/>
      <c r="H1" s="2"/>
      <c r="I1" s="3"/>
      <c r="J1" s="3"/>
      <c r="K1" s="3"/>
      <c r="L1" s="2"/>
      <c r="M1" s="2"/>
      <c r="N1" s="2"/>
      <c r="O1" s="2"/>
      <c r="P1" s="2"/>
    </row>
    <row r="2" spans="1:16" s="1" customFormat="1" ht="18.5" x14ac:dyDescent="0.35">
      <c r="A2" s="1" t="s">
        <v>0</v>
      </c>
      <c r="B2" s="2"/>
      <c r="C2" s="2"/>
      <c r="D2" s="2"/>
      <c r="E2" s="2"/>
      <c r="F2" s="2"/>
      <c r="G2" s="3"/>
      <c r="H2" s="2"/>
      <c r="I2" s="3"/>
      <c r="J2" s="3"/>
      <c r="K2" s="3"/>
      <c r="L2" s="2"/>
      <c r="M2" s="2"/>
      <c r="N2" s="2"/>
      <c r="O2" s="2"/>
      <c r="P2" s="2"/>
    </row>
    <row r="3" spans="1:16" s="4" customFormat="1" x14ac:dyDescent="0.35">
      <c r="C3" s="6"/>
    </row>
    <row r="4" spans="1:16" ht="15" thickBot="1" x14ac:dyDescent="0.4"/>
    <row r="5" spans="1:16" s="11" customFormat="1" ht="15" thickBot="1" x14ac:dyDescent="0.4">
      <c r="A5" s="7" t="s">
        <v>1</v>
      </c>
      <c r="B5" s="8" t="s">
        <v>2</v>
      </c>
      <c r="C5" s="9" t="s">
        <v>3</v>
      </c>
      <c r="D5" s="8" t="s">
        <v>4</v>
      </c>
      <c r="E5" s="95"/>
      <c r="F5" s="10" t="s">
        <v>5</v>
      </c>
    </row>
    <row r="6" spans="1:16" s="4" customFormat="1" ht="15" customHeight="1" x14ac:dyDescent="0.35">
      <c r="A6" s="12" t="s">
        <v>213</v>
      </c>
      <c r="B6" s="13">
        <v>44026</v>
      </c>
      <c r="C6" s="14" t="s">
        <v>214</v>
      </c>
      <c r="D6" s="19" t="s">
        <v>215</v>
      </c>
      <c r="E6" s="96"/>
      <c r="F6" s="20"/>
    </row>
    <row r="7" spans="1:16" s="4" customFormat="1" ht="52" x14ac:dyDescent="0.35">
      <c r="A7" s="15" t="s">
        <v>237</v>
      </c>
      <c r="B7" s="16">
        <v>44036</v>
      </c>
      <c r="C7" s="17" t="s">
        <v>252</v>
      </c>
      <c r="D7" s="21" t="s">
        <v>215</v>
      </c>
      <c r="E7" s="97"/>
      <c r="F7" s="18" t="s">
        <v>254</v>
      </c>
    </row>
    <row r="8" spans="1:16" s="4" customFormat="1" ht="78" x14ac:dyDescent="0.35">
      <c r="A8" s="15" t="s">
        <v>251</v>
      </c>
      <c r="B8" s="16">
        <v>44056</v>
      </c>
      <c r="C8" s="17" t="s">
        <v>253</v>
      </c>
      <c r="D8" s="21" t="s">
        <v>215</v>
      </c>
      <c r="E8" s="97"/>
      <c r="F8" s="18" t="s">
        <v>254</v>
      </c>
    </row>
    <row r="9" spans="1:16" s="4" customFormat="1" ht="78" x14ac:dyDescent="0.35">
      <c r="A9" s="15" t="s">
        <v>259</v>
      </c>
      <c r="B9" s="16">
        <v>44085</v>
      </c>
      <c r="C9" s="17" t="s">
        <v>267</v>
      </c>
      <c r="D9" s="21" t="s">
        <v>215</v>
      </c>
      <c r="E9" s="97"/>
      <c r="F9" s="18"/>
    </row>
    <row r="10" spans="1:16" s="4" customFormat="1" ht="208" x14ac:dyDescent="0.35">
      <c r="A10" s="15" t="s">
        <v>295</v>
      </c>
      <c r="B10" s="16">
        <v>44134</v>
      </c>
      <c r="C10" s="17" t="s">
        <v>296</v>
      </c>
      <c r="D10" s="21" t="s">
        <v>215</v>
      </c>
      <c r="E10" s="97"/>
      <c r="F10" s="18"/>
    </row>
    <row r="11" spans="1:16" s="4" customFormat="1" ht="26" x14ac:dyDescent="0.35">
      <c r="A11" s="15" t="s">
        <v>310</v>
      </c>
      <c r="B11" s="16">
        <v>44218</v>
      </c>
      <c r="C11" s="17" t="s">
        <v>312</v>
      </c>
      <c r="D11" s="21" t="s">
        <v>215</v>
      </c>
      <c r="E11" s="97"/>
      <c r="F11" s="18"/>
    </row>
    <row r="12" spans="1:16" s="4" customFormat="1" ht="169" x14ac:dyDescent="0.35">
      <c r="A12" s="15" t="s">
        <v>325</v>
      </c>
      <c r="B12" s="16">
        <v>44239</v>
      </c>
      <c r="C12" s="17" t="s">
        <v>345</v>
      </c>
      <c r="D12" s="21" t="s">
        <v>215</v>
      </c>
      <c r="E12" s="97"/>
      <c r="F12" s="18"/>
    </row>
    <row r="13" spans="1:16" s="4" customFormat="1" ht="143" x14ac:dyDescent="0.35">
      <c r="A13" s="15" t="s">
        <v>346</v>
      </c>
      <c r="B13" s="16">
        <v>44267</v>
      </c>
      <c r="C13" s="17" t="s">
        <v>430</v>
      </c>
      <c r="D13" s="21" t="s">
        <v>215</v>
      </c>
      <c r="E13" s="97"/>
      <c r="F13" s="18"/>
    </row>
    <row r="14" spans="1:16" s="4" customFormat="1" ht="130" x14ac:dyDescent="0.35">
      <c r="A14" s="49" t="s">
        <v>435</v>
      </c>
      <c r="B14" s="50">
        <v>44295</v>
      </c>
      <c r="C14" s="51" t="s">
        <v>447</v>
      </c>
      <c r="D14" s="52" t="s">
        <v>215</v>
      </c>
      <c r="E14" s="98"/>
      <c r="F14" s="53"/>
    </row>
    <row r="15" spans="1:16" s="4" customFormat="1" ht="247" x14ac:dyDescent="0.35">
      <c r="A15" s="106" t="s">
        <v>521</v>
      </c>
      <c r="B15" s="16">
        <v>44344</v>
      </c>
      <c r="C15" s="107" t="s">
        <v>540</v>
      </c>
      <c r="D15" s="21" t="s">
        <v>215</v>
      </c>
      <c r="E15" s="97" t="s">
        <v>522</v>
      </c>
      <c r="F15" s="108" t="s">
        <v>549</v>
      </c>
    </row>
    <row r="16" spans="1:16" ht="87" x14ac:dyDescent="0.35">
      <c r="A16" s="106" t="s">
        <v>550</v>
      </c>
      <c r="B16" s="16">
        <v>44365</v>
      </c>
      <c r="C16" s="107" t="s">
        <v>556</v>
      </c>
      <c r="D16" s="21" t="s">
        <v>215</v>
      </c>
      <c r="E16" s="97" t="s">
        <v>522</v>
      </c>
      <c r="F16" s="18"/>
    </row>
    <row r="17" spans="1:6" ht="87" x14ac:dyDescent="0.35">
      <c r="A17" s="106" t="s">
        <v>558</v>
      </c>
      <c r="B17" s="16">
        <v>44370</v>
      </c>
      <c r="C17" s="107" t="s">
        <v>561</v>
      </c>
      <c r="D17" s="21" t="s">
        <v>215</v>
      </c>
      <c r="E17" s="97" t="s">
        <v>522</v>
      </c>
      <c r="F17" s="18"/>
    </row>
    <row r="18" spans="1:6" ht="143.5" thickBot="1" x14ac:dyDescent="0.4">
      <c r="A18" s="100" t="s">
        <v>562</v>
      </c>
      <c r="B18" s="101">
        <v>44397</v>
      </c>
      <c r="C18" s="102" t="s">
        <v>587</v>
      </c>
      <c r="D18" s="103" t="s">
        <v>215</v>
      </c>
      <c r="E18" s="104" t="s">
        <v>522</v>
      </c>
      <c r="F18" s="105" t="s">
        <v>563</v>
      </c>
    </row>
  </sheetData>
  <phoneticPr fontId="17" type="noConversion"/>
  <conditionalFormatting sqref="I1:J2">
    <cfRule type="cellIs" dxfId="497" priority="10" operator="equal">
      <formula>"Not Applicable"</formula>
    </cfRule>
    <cfRule type="cellIs" dxfId="496" priority="11" operator="equal">
      <formula>"4 - Future Initiative (out of scope)"</formula>
    </cfRule>
    <cfRule type="cellIs" dxfId="495" priority="12" operator="equal">
      <formula>"3 - Desirable (Nice To Have)"</formula>
    </cfRule>
    <cfRule type="cellIs" dxfId="494" priority="13" operator="equal">
      <formula>"2 - Recommended (Best Practice)"</formula>
    </cfRule>
    <cfRule type="cellIs" dxfId="493" priority="14" operator="equal">
      <formula>"1 - Mandatory (Must Have)"</formula>
    </cfRule>
  </conditionalFormatting>
  <conditionalFormatting sqref="G1:G2">
    <cfRule type="cellIs" dxfId="492" priority="8" operator="equal">
      <formula>"Non-functional"</formula>
    </cfRule>
    <cfRule type="cellIs" dxfId="491"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selection activeCell="A30" sqref="A30"/>
    </sheetView>
  </sheetViews>
  <sheetFormatPr defaultRowHeight="14.5" x14ac:dyDescent="0.35"/>
  <cols>
    <col min="1" max="1" width="47.26953125" bestFit="1" customWidth="1"/>
    <col min="2" max="2" width="25.54296875" customWidth="1"/>
  </cols>
  <sheetData>
    <row r="1" spans="1:15" s="1" customFormat="1" ht="18.5" x14ac:dyDescent="0.35">
      <c r="A1" s="1" t="s">
        <v>225</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2" customFormat="1" x14ac:dyDescent="0.35">
      <c r="A4" s="22" t="s">
        <v>28</v>
      </c>
      <c r="B4" s="22" t="s">
        <v>39</v>
      </c>
    </row>
    <row r="5" spans="1:15" x14ac:dyDescent="0.35">
      <c r="A5" t="s">
        <v>43</v>
      </c>
      <c r="B5" t="s">
        <v>42</v>
      </c>
    </row>
    <row r="6" spans="1:15" x14ac:dyDescent="0.35">
      <c r="A6" t="s">
        <v>30</v>
      </c>
      <c r="B6" t="s">
        <v>40</v>
      </c>
    </row>
    <row r="7" spans="1:15" x14ac:dyDescent="0.35">
      <c r="A7" t="s">
        <v>58</v>
      </c>
      <c r="B7" t="s">
        <v>41</v>
      </c>
    </row>
    <row r="8" spans="1:15" x14ac:dyDescent="0.35">
      <c r="A8" t="s">
        <v>182</v>
      </c>
      <c r="B8" t="s">
        <v>38</v>
      </c>
    </row>
    <row r="9" spans="1:15" x14ac:dyDescent="0.35">
      <c r="A9" t="s">
        <v>84</v>
      </c>
      <c r="B9" t="s">
        <v>45</v>
      </c>
    </row>
    <row r="10" spans="1:15" x14ac:dyDescent="0.35">
      <c r="A10" t="s">
        <v>35</v>
      </c>
    </row>
    <row r="11" spans="1:15" x14ac:dyDescent="0.35">
      <c r="A11" t="s">
        <v>433</v>
      </c>
    </row>
    <row r="12" spans="1:15" x14ac:dyDescent="0.35">
      <c r="A12" t="s">
        <v>156</v>
      </c>
    </row>
    <row r="13" spans="1:15" x14ac:dyDescent="0.35">
      <c r="A13" t="s">
        <v>172</v>
      </c>
    </row>
    <row r="14" spans="1:15" x14ac:dyDescent="0.35">
      <c r="A14" t="s">
        <v>145</v>
      </c>
    </row>
    <row r="15" spans="1:15" x14ac:dyDescent="0.35">
      <c r="A15" t="s">
        <v>115</v>
      </c>
    </row>
    <row r="16" spans="1:15" x14ac:dyDescent="0.35">
      <c r="A16" t="s">
        <v>48</v>
      </c>
    </row>
    <row r="17" spans="1:1" x14ac:dyDescent="0.35">
      <c r="A17" t="s">
        <v>349</v>
      </c>
    </row>
    <row r="18" spans="1:1" x14ac:dyDescent="0.35">
      <c r="A18" t="s">
        <v>348</v>
      </c>
    </row>
    <row r="19" spans="1:1" x14ac:dyDescent="0.35">
      <c r="A19" t="s">
        <v>32</v>
      </c>
    </row>
    <row r="20" spans="1:1" x14ac:dyDescent="0.35">
      <c r="A20" t="s">
        <v>31</v>
      </c>
    </row>
    <row r="21" spans="1:1" x14ac:dyDescent="0.35">
      <c r="A21" t="s">
        <v>116</v>
      </c>
    </row>
    <row r="22" spans="1:1" x14ac:dyDescent="0.35">
      <c r="A22" t="s">
        <v>29</v>
      </c>
    </row>
    <row r="23" spans="1:1" x14ac:dyDescent="0.35">
      <c r="A23" t="s">
        <v>105</v>
      </c>
    </row>
    <row r="24" spans="1:1" x14ac:dyDescent="0.35">
      <c r="A24" t="s">
        <v>34</v>
      </c>
    </row>
    <row r="25" spans="1:1" x14ac:dyDescent="0.35">
      <c r="A25" t="s">
        <v>36</v>
      </c>
    </row>
    <row r="26" spans="1:1" x14ac:dyDescent="0.35">
      <c r="A26" t="s">
        <v>33</v>
      </c>
    </row>
    <row r="27" spans="1:1" x14ac:dyDescent="0.35">
      <c r="A27" t="s">
        <v>200</v>
      </c>
    </row>
    <row r="28" spans="1:1" x14ac:dyDescent="0.35">
      <c r="A28" t="s">
        <v>74</v>
      </c>
    </row>
    <row r="29" spans="1:1" x14ac:dyDescent="0.35">
      <c r="A29" t="s">
        <v>164</v>
      </c>
    </row>
  </sheetData>
  <sortState xmlns:xlrd2="http://schemas.microsoft.com/office/spreadsheetml/2017/richdata2" ref="A5:A15">
    <sortCondition ref="A16"/>
  </sortState>
  <conditionalFormatting sqref="H1:I2">
    <cfRule type="cellIs" dxfId="490" priority="3" operator="equal">
      <formula>"Not Applicable"</formula>
    </cfRule>
    <cfRule type="cellIs" dxfId="489" priority="4" operator="equal">
      <formula>"4 - Future Initiative (out of scope)"</formula>
    </cfRule>
    <cfRule type="cellIs" dxfId="488" priority="5" operator="equal">
      <formula>"3 - Desirable (Nice To Have)"</formula>
    </cfRule>
    <cfRule type="cellIs" dxfId="487" priority="6" operator="equal">
      <formula>"2 - Recommended (Best Practice)"</formula>
    </cfRule>
    <cfRule type="cellIs" dxfId="486" priority="7" operator="equal">
      <formula>"1 - Mandatory (Must Have)"</formula>
    </cfRule>
  </conditionalFormatting>
  <conditionalFormatting sqref="F1:F2">
    <cfRule type="cellIs" dxfId="485" priority="1" operator="equal">
      <formula>"Non-functional"</formula>
    </cfRule>
    <cfRule type="cellIs" dxfId="484"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3"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198</v>
      </c>
      <c r="C1" s="27"/>
      <c r="D1" s="24" t="s">
        <v>436</v>
      </c>
      <c r="H1" s="30"/>
    </row>
    <row r="2" spans="1:16" s="25" customFormat="1" ht="18.5" x14ac:dyDescent="0.35">
      <c r="A2" s="23" t="s">
        <v>7</v>
      </c>
      <c r="B2" s="31">
        <v>1</v>
      </c>
      <c r="C2" s="30"/>
      <c r="D2" s="31"/>
      <c r="H2" s="30"/>
    </row>
    <row r="3" spans="1:16" s="25" customFormat="1" ht="18.5" x14ac:dyDescent="0.35">
      <c r="A3" s="23" t="s">
        <v>44</v>
      </c>
      <c r="B3" s="83" t="s">
        <v>226</v>
      </c>
      <c r="C3" s="30"/>
      <c r="D3" s="84" t="s">
        <v>437</v>
      </c>
      <c r="H3" s="30"/>
    </row>
    <row r="4" spans="1:16" s="25" customFormat="1" ht="18.5" x14ac:dyDescent="0.35">
      <c r="A4" s="23" t="s">
        <v>8</v>
      </c>
      <c r="B4" s="25" t="s">
        <v>10</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D7" s="85" t="s">
        <v>272</v>
      </c>
      <c r="E7" s="35"/>
      <c r="I7" s="35"/>
    </row>
    <row r="8" spans="1:16" ht="43.5" x14ac:dyDescent="0.35">
      <c r="C8" s="73"/>
      <c r="D8" s="86" t="s">
        <v>199</v>
      </c>
      <c r="E8" s="35"/>
      <c r="I8" s="35"/>
    </row>
    <row r="9" spans="1:16" x14ac:dyDescent="0.35">
      <c r="C9" s="73"/>
      <c r="D9" s="87" t="s">
        <v>37</v>
      </c>
      <c r="E9" s="35"/>
      <c r="I9" s="35"/>
    </row>
    <row r="10" spans="1:16" x14ac:dyDescent="0.35">
      <c r="C10" s="73"/>
      <c r="D10" s="87" t="s">
        <v>192</v>
      </c>
      <c r="I10" s="35"/>
      <c r="O10" s="35"/>
    </row>
    <row r="11" spans="1:16" x14ac:dyDescent="0.35">
      <c r="C11" s="73"/>
      <c r="D11" s="87" t="s">
        <v>155</v>
      </c>
      <c r="I11" s="35"/>
      <c r="O11" s="35"/>
    </row>
  </sheetData>
  <autoFilter ref="A6:P6" xr:uid="{00000000-0009-0000-0000-000002000000}"/>
  <conditionalFormatting sqref="C7:C1048576">
    <cfRule type="cellIs" dxfId="483" priority="19" operator="equal">
      <formula>"WIP (see comments)"</formula>
    </cfRule>
    <cfRule type="cellIs" dxfId="482" priority="20" operator="equal">
      <formula>"Removed"</formula>
    </cfRule>
    <cfRule type="cellIs" dxfId="481" priority="21" operator="equal">
      <formula>"Updated"</formula>
    </cfRule>
    <cfRule type="cellIs" dxfId="480" priority="22" operator="equal">
      <formula>"New"</formula>
    </cfRule>
  </conditionalFormatting>
  <conditionalFormatting sqref="A12:XFD1048576 A4:XFD6 A1:C3 C8:C11 E1:XFD3">
    <cfRule type="cellIs" dxfId="479" priority="18" operator="equal">
      <formula>"n/a"</formula>
    </cfRule>
  </conditionalFormatting>
  <conditionalFormatting sqref="D8:D9">
    <cfRule type="cellIs" dxfId="478" priority="17" operator="equal">
      <formula>"-"</formula>
    </cfRule>
  </conditionalFormatting>
  <conditionalFormatting sqref="A8:B9 D9:XFD9 D8:O8 Q8:XFD8">
    <cfRule type="cellIs" dxfId="477" priority="16" operator="equal">
      <formula>"n/a"</formula>
    </cfRule>
  </conditionalFormatting>
  <conditionalFormatting sqref="A7:XFD7">
    <cfRule type="cellIs" dxfId="476" priority="11" operator="equal">
      <formula>"n/a"</formula>
    </cfRule>
  </conditionalFormatting>
  <conditionalFormatting sqref="A11:B11 D11:XFD11">
    <cfRule type="cellIs" dxfId="475" priority="10" operator="equal">
      <formula>"n/a"</formula>
    </cfRule>
  </conditionalFormatting>
  <conditionalFormatting sqref="A10:B10 D10:XFD10">
    <cfRule type="cellIs" dxfId="474" priority="9" operator="equal">
      <formula>"n/a"</formula>
    </cfRule>
  </conditionalFormatting>
  <conditionalFormatting sqref="P8">
    <cfRule type="cellIs" dxfId="473" priority="2" operator="equal">
      <formula>"n/a"</formula>
    </cfRule>
  </conditionalFormatting>
  <conditionalFormatting sqref="D1:D3">
    <cfRule type="cellIs" dxfId="472" priority="1" operator="equal">
      <formula>"n/a"</formula>
    </cfRule>
  </conditionalFormatting>
  <dataValidations count="1">
    <dataValidation type="list" allowBlank="1" showInputMessage="1" showErrorMessage="1" sqref="E8:E1048576" xr:uid="{00000000-0002-0000-0200-000000000000}">
      <formula1>$A$5:$A$29</formula1>
    </dataValidation>
  </dataValidations>
  <hyperlinks>
    <hyperlink ref="D3" location="'F. Resume'!A1" display="See F. Resume (CWBSB-240)" xr:uid="{00000000-0004-0000-02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'List Values'!$A$5:$A$31</xm:f>
          </x14:formula1>
          <xm:sqref>E7</xm:sqref>
        </x14:dataValidation>
        <x14:dataValidation type="list" allowBlank="1" showInputMessage="1" showErrorMessage="1" xr:uid="{00000000-0002-0000-0200-000002000000}">
          <x14:formula1>
            <xm:f>'List Values'!$B$5:$B$13</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7"/>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9</v>
      </c>
      <c r="C1" s="27"/>
      <c r="D1" s="24"/>
    </row>
    <row r="2" spans="1:16" s="25" customFormat="1" ht="18.5" x14ac:dyDescent="0.35">
      <c r="A2" s="23" t="s">
        <v>7</v>
      </c>
      <c r="B2" s="31">
        <v>2</v>
      </c>
      <c r="C2" s="30"/>
      <c r="D2" s="31" t="s">
        <v>298</v>
      </c>
    </row>
    <row r="3" spans="1:16" s="25" customFormat="1" ht="18.5" x14ac:dyDescent="0.35">
      <c r="A3" s="23" t="s">
        <v>44</v>
      </c>
      <c r="B3" s="31" t="s">
        <v>227</v>
      </c>
      <c r="C3" s="30"/>
      <c r="D3" s="58" t="s">
        <v>299</v>
      </c>
    </row>
    <row r="4" spans="1:16" s="25" customFormat="1" ht="18.5" x14ac:dyDescent="0.35">
      <c r="A4" s="23" t="s">
        <v>8</v>
      </c>
      <c r="B4" s="25" t="s">
        <v>202</v>
      </c>
      <c r="C4" s="30"/>
      <c r="D4" s="31"/>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CONCATENATE($B$2, ".", A7)</f>
        <v>2.1</v>
      </c>
      <c r="C7" s="29" t="s">
        <v>40</v>
      </c>
      <c r="D7" s="34" t="s">
        <v>203</v>
      </c>
      <c r="E7" s="6" t="s">
        <v>349</v>
      </c>
      <c r="F7" s="6" t="s">
        <v>37</v>
      </c>
      <c r="G7" s="6" t="s">
        <v>37</v>
      </c>
      <c r="H7" s="6" t="s">
        <v>37</v>
      </c>
      <c r="I7" s="34" t="s">
        <v>10</v>
      </c>
      <c r="J7" s="5" t="s">
        <v>37</v>
      </c>
      <c r="K7" s="5" t="s">
        <v>37</v>
      </c>
      <c r="L7" s="5" t="s">
        <v>37</v>
      </c>
      <c r="M7" s="5" t="s">
        <v>37</v>
      </c>
      <c r="N7" s="5" t="s">
        <v>37</v>
      </c>
      <c r="O7" s="5"/>
    </row>
    <row r="8" spans="1:16" x14ac:dyDescent="0.35">
      <c r="A8" s="6">
        <v>2</v>
      </c>
      <c r="B8" s="6" t="str">
        <f>CONCATENATE($B$2, ".", A8)</f>
        <v>2.2</v>
      </c>
      <c r="C8" s="29" t="s">
        <v>40</v>
      </c>
      <c r="D8" s="34" t="s">
        <v>37</v>
      </c>
      <c r="E8" s="34" t="s">
        <v>48</v>
      </c>
      <c r="F8" s="6" t="s">
        <v>37</v>
      </c>
      <c r="G8" s="6" t="s">
        <v>37</v>
      </c>
      <c r="H8" s="6" t="s">
        <v>37</v>
      </c>
      <c r="I8" s="34" t="s">
        <v>10</v>
      </c>
      <c r="J8" s="5" t="s">
        <v>37</v>
      </c>
      <c r="K8" s="5" t="s">
        <v>37</v>
      </c>
      <c r="L8" s="5" t="s">
        <v>37</v>
      </c>
      <c r="M8" s="5" t="s">
        <v>37</v>
      </c>
      <c r="N8" s="5" t="s">
        <v>37</v>
      </c>
      <c r="O8" s="5" t="s">
        <v>37</v>
      </c>
    </row>
    <row r="9" spans="1:16" ht="29" x14ac:dyDescent="0.35">
      <c r="A9" s="6">
        <v>3</v>
      </c>
      <c r="B9" s="6" t="str">
        <f>CONCATENATE($B$2, ".", A9)</f>
        <v>2.3</v>
      </c>
      <c r="C9" s="29" t="s">
        <v>40</v>
      </c>
      <c r="D9" s="34" t="s">
        <v>351</v>
      </c>
      <c r="E9" s="6" t="s">
        <v>36</v>
      </c>
      <c r="F9" s="6" t="s">
        <v>37</v>
      </c>
      <c r="G9" s="6" t="s">
        <v>37</v>
      </c>
      <c r="H9" s="6" t="s">
        <v>37</v>
      </c>
      <c r="I9" s="34" t="s">
        <v>10</v>
      </c>
      <c r="J9" s="5" t="s">
        <v>37</v>
      </c>
      <c r="K9" s="5" t="s">
        <v>37</v>
      </c>
      <c r="L9" s="5" t="s">
        <v>37</v>
      </c>
      <c r="M9" s="5" t="s">
        <v>37</v>
      </c>
      <c r="N9" s="5" t="s">
        <v>37</v>
      </c>
      <c r="O9" s="5" t="s">
        <v>297</v>
      </c>
    </row>
    <row r="10" spans="1:16" ht="128.25" customHeight="1" x14ac:dyDescent="0.35">
      <c r="A10" s="6">
        <v>4</v>
      </c>
      <c r="B10" s="6" t="str">
        <f>CONCATENATE($B$2, ".", A10)</f>
        <v>2.4</v>
      </c>
      <c r="C10" s="29" t="s">
        <v>38</v>
      </c>
      <c r="D10" s="34" t="s">
        <v>479</v>
      </c>
      <c r="E10" s="6" t="s">
        <v>36</v>
      </c>
      <c r="F10" s="6" t="s">
        <v>37</v>
      </c>
      <c r="G10" s="6" t="s">
        <v>37</v>
      </c>
      <c r="H10" s="6" t="s">
        <v>37</v>
      </c>
      <c r="I10" s="34" t="s">
        <v>10</v>
      </c>
      <c r="J10" s="5" t="s">
        <v>37</v>
      </c>
      <c r="K10" s="5" t="s">
        <v>37</v>
      </c>
      <c r="L10" s="5" t="s">
        <v>37</v>
      </c>
      <c r="M10" s="5" t="s">
        <v>37</v>
      </c>
      <c r="N10" s="5" t="s">
        <v>37</v>
      </c>
      <c r="O10" s="5" t="s">
        <v>480</v>
      </c>
      <c r="P10" s="6" t="s">
        <v>363</v>
      </c>
    </row>
    <row r="11" spans="1:16" s="70" customFormat="1" ht="14.5" customHeight="1" x14ac:dyDescent="0.35">
      <c r="A11" s="81" t="s">
        <v>469</v>
      </c>
      <c r="B11" s="81"/>
      <c r="C11" s="81"/>
      <c r="D11" s="81"/>
      <c r="E11" s="81"/>
    </row>
    <row r="12" spans="1:16" ht="60" customHeight="1" x14ac:dyDescent="0.35">
      <c r="A12" s="6">
        <v>5</v>
      </c>
      <c r="B12" s="6" t="str">
        <f>CONCATENATE($B$2, ".", A12)</f>
        <v>2.5</v>
      </c>
      <c r="C12" s="29" t="s">
        <v>40</v>
      </c>
      <c r="D12" s="34" t="s">
        <v>269</v>
      </c>
      <c r="E12" s="6" t="s">
        <v>29</v>
      </c>
      <c r="F12" s="6" t="s">
        <v>37</v>
      </c>
      <c r="G12" s="6" t="s">
        <v>37</v>
      </c>
      <c r="H12" s="6" t="s">
        <v>37</v>
      </c>
      <c r="I12" s="6" t="s">
        <v>271</v>
      </c>
      <c r="J12" s="5" t="s">
        <v>37</v>
      </c>
      <c r="K12" s="5" t="s">
        <v>37</v>
      </c>
      <c r="L12" s="5" t="s">
        <v>37</v>
      </c>
      <c r="M12" s="5" t="s">
        <v>37</v>
      </c>
      <c r="N12" s="5" t="s">
        <v>37</v>
      </c>
      <c r="O12" s="6" t="s">
        <v>270</v>
      </c>
    </row>
    <row r="13" spans="1:16" ht="128.25" customHeight="1" x14ac:dyDescent="0.35">
      <c r="A13" s="6">
        <v>6</v>
      </c>
      <c r="B13" s="6" t="str">
        <f>CONCATENATE($B$2, ".", A13)</f>
        <v>2.6</v>
      </c>
      <c r="C13" s="29" t="s">
        <v>38</v>
      </c>
      <c r="D13" s="34" t="s">
        <v>347</v>
      </c>
      <c r="E13" s="6" t="s">
        <v>433</v>
      </c>
      <c r="F13" s="6" t="s">
        <v>37</v>
      </c>
      <c r="G13" s="6" t="s">
        <v>37</v>
      </c>
      <c r="H13" s="6" t="s">
        <v>37</v>
      </c>
      <c r="I13" s="34" t="s">
        <v>271</v>
      </c>
      <c r="J13" s="5" t="s">
        <v>37</v>
      </c>
      <c r="K13" s="5" t="s">
        <v>37</v>
      </c>
      <c r="L13" s="5" t="s">
        <v>37</v>
      </c>
      <c r="M13" s="5" t="s">
        <v>37</v>
      </c>
      <c r="N13" s="5" t="s">
        <v>37</v>
      </c>
      <c r="O13" s="5" t="s">
        <v>470</v>
      </c>
      <c r="P13" s="6" t="s">
        <v>356</v>
      </c>
    </row>
    <row r="14" spans="1:16" s="70" customFormat="1" ht="14.5" customHeight="1" x14ac:dyDescent="0.35">
      <c r="A14" s="81" t="s">
        <v>353</v>
      </c>
      <c r="B14" s="81"/>
      <c r="C14" s="81"/>
      <c r="D14" s="81"/>
      <c r="E14" s="81"/>
    </row>
    <row r="15" spans="1:16" x14ac:dyDescent="0.35">
      <c r="A15" s="6">
        <v>7</v>
      </c>
      <c r="B15" s="6" t="str">
        <f>CONCATENATE($B$2, ".", A15)</f>
        <v>2.7</v>
      </c>
      <c r="C15" s="29" t="s">
        <v>42</v>
      </c>
      <c r="D15" s="34" t="s">
        <v>471</v>
      </c>
      <c r="E15" s="6" t="s">
        <v>29</v>
      </c>
      <c r="F15" s="6" t="s">
        <v>37</v>
      </c>
      <c r="G15" s="6" t="s">
        <v>37</v>
      </c>
      <c r="H15" s="6" t="s">
        <v>37</v>
      </c>
      <c r="I15" s="34" t="s">
        <v>10</v>
      </c>
      <c r="J15" s="6" t="s">
        <v>37</v>
      </c>
      <c r="K15" s="6" t="s">
        <v>37</v>
      </c>
      <c r="L15" s="6" t="s">
        <v>37</v>
      </c>
      <c r="M15" s="6" t="s">
        <v>37</v>
      </c>
      <c r="N15" s="6" t="s">
        <v>37</v>
      </c>
      <c r="O15" s="5"/>
    </row>
    <row r="16" spans="1:16" ht="101.5" x14ac:dyDescent="0.35">
      <c r="A16" s="6">
        <v>8</v>
      </c>
      <c r="B16" s="6" t="str">
        <f>CONCATENATE($B$2, ".", A16)</f>
        <v>2.8</v>
      </c>
      <c r="C16" s="29" t="s">
        <v>38</v>
      </c>
      <c r="D16" s="34" t="s">
        <v>474</v>
      </c>
      <c r="E16" s="6" t="s">
        <v>433</v>
      </c>
      <c r="F16" s="6" t="s">
        <v>37</v>
      </c>
      <c r="G16" s="6" t="s">
        <v>37</v>
      </c>
      <c r="H16" s="6" t="s">
        <v>37</v>
      </c>
      <c r="I16" s="34" t="s">
        <v>476</v>
      </c>
      <c r="J16" s="6" t="s">
        <v>37</v>
      </c>
      <c r="K16" s="6" t="s">
        <v>37</v>
      </c>
      <c r="L16" s="6" t="s">
        <v>37</v>
      </c>
      <c r="M16" s="6" t="s">
        <v>37</v>
      </c>
      <c r="N16" s="6" t="s">
        <v>37</v>
      </c>
      <c r="O16" s="5" t="s">
        <v>475</v>
      </c>
      <c r="P16" s="6" t="s">
        <v>434</v>
      </c>
    </row>
    <row r="17" spans="1:16" ht="29" x14ac:dyDescent="0.35">
      <c r="A17" s="6">
        <v>9</v>
      </c>
      <c r="B17" s="6" t="str">
        <f>CONCATENATE($B$2, ".", A17)</f>
        <v>2.9</v>
      </c>
      <c r="C17" s="29" t="s">
        <v>40</v>
      </c>
      <c r="D17" s="34" t="s">
        <v>350</v>
      </c>
      <c r="E17" s="6" t="s">
        <v>433</v>
      </c>
      <c r="F17" s="6" t="s">
        <v>37</v>
      </c>
      <c r="G17" s="6" t="s">
        <v>37</v>
      </c>
      <c r="H17" s="6" t="s">
        <v>37</v>
      </c>
      <c r="I17" s="34" t="s">
        <v>10</v>
      </c>
      <c r="J17" s="6" t="s">
        <v>37</v>
      </c>
      <c r="K17" s="6" t="s">
        <v>37</v>
      </c>
      <c r="L17" s="6" t="s">
        <v>37</v>
      </c>
      <c r="M17" s="6" t="s">
        <v>37</v>
      </c>
      <c r="N17" s="6" t="s">
        <v>37</v>
      </c>
      <c r="O17" s="5" t="s">
        <v>352</v>
      </c>
    </row>
    <row r="18" spans="1:16" s="70" customFormat="1" x14ac:dyDescent="0.35">
      <c r="A18" s="81" t="s">
        <v>473</v>
      </c>
      <c r="B18" s="81"/>
      <c r="C18" s="81"/>
      <c r="D18" s="81"/>
      <c r="E18" s="81"/>
    </row>
    <row r="19" spans="1:16" x14ac:dyDescent="0.35">
      <c r="A19" s="6">
        <v>10</v>
      </c>
      <c r="B19" s="6" t="str">
        <f>CONCATENATE($B$2, ".", A19)</f>
        <v>2.10</v>
      </c>
      <c r="C19" s="29" t="s">
        <v>42</v>
      </c>
      <c r="D19" s="34" t="s">
        <v>472</v>
      </c>
      <c r="E19" s="6" t="s">
        <v>29</v>
      </c>
      <c r="F19" s="6" t="s">
        <v>37</v>
      </c>
      <c r="G19" s="6" t="s">
        <v>37</v>
      </c>
      <c r="H19" s="6" t="s">
        <v>37</v>
      </c>
      <c r="I19" s="34" t="s">
        <v>453</v>
      </c>
      <c r="J19" s="6" t="s">
        <v>37</v>
      </c>
      <c r="K19" s="6" t="s">
        <v>37</v>
      </c>
      <c r="L19" s="6" t="s">
        <v>37</v>
      </c>
      <c r="M19" s="6" t="s">
        <v>37</v>
      </c>
      <c r="N19" s="6" t="s">
        <v>37</v>
      </c>
      <c r="O19" s="5"/>
    </row>
    <row r="20" spans="1:16" ht="58" x14ac:dyDescent="0.35">
      <c r="A20" s="89">
        <v>11</v>
      </c>
      <c r="B20" s="6" t="str">
        <f>CONCATENATE($B$2, ".", A20)</f>
        <v>2.11</v>
      </c>
      <c r="C20" s="29" t="s">
        <v>40</v>
      </c>
      <c r="D20" s="34" t="s">
        <v>354</v>
      </c>
      <c r="E20" s="6" t="s">
        <v>433</v>
      </c>
      <c r="F20" s="6" t="s">
        <v>37</v>
      </c>
      <c r="G20" s="6" t="s">
        <v>37</v>
      </c>
      <c r="H20" s="6" t="s">
        <v>37</v>
      </c>
      <c r="I20" s="34" t="s">
        <v>453</v>
      </c>
      <c r="J20" s="6" t="s">
        <v>37</v>
      </c>
      <c r="K20" s="6" t="s">
        <v>37</v>
      </c>
      <c r="L20" s="6" t="s">
        <v>37</v>
      </c>
      <c r="M20" s="6" t="s">
        <v>37</v>
      </c>
      <c r="N20" s="6" t="s">
        <v>37</v>
      </c>
      <c r="O20" s="5" t="s">
        <v>482</v>
      </c>
      <c r="P20" s="6" t="s">
        <v>478</v>
      </c>
    </row>
    <row r="21" spans="1:16" ht="58" x14ac:dyDescent="0.35">
      <c r="A21" s="6">
        <v>12</v>
      </c>
      <c r="B21" s="6" t="str">
        <f>CONCATENATE($B$2, ".", A21)</f>
        <v>2.12</v>
      </c>
      <c r="C21" s="29" t="s">
        <v>40</v>
      </c>
      <c r="D21" s="34" t="s">
        <v>355</v>
      </c>
      <c r="E21" s="6" t="s">
        <v>433</v>
      </c>
      <c r="F21" s="6" t="s">
        <v>37</v>
      </c>
      <c r="G21" s="6" t="s">
        <v>37</v>
      </c>
      <c r="H21" s="6" t="s">
        <v>37</v>
      </c>
      <c r="I21" s="34" t="s">
        <v>453</v>
      </c>
      <c r="J21" s="6" t="s">
        <v>37</v>
      </c>
      <c r="K21" s="6" t="s">
        <v>37</v>
      </c>
      <c r="L21" s="6" t="s">
        <v>37</v>
      </c>
      <c r="M21" s="6" t="s">
        <v>37</v>
      </c>
      <c r="N21" s="6" t="s">
        <v>37</v>
      </c>
      <c r="O21" s="5" t="s">
        <v>483</v>
      </c>
    </row>
    <row r="22" spans="1:16" s="70" customFormat="1" x14ac:dyDescent="0.35">
      <c r="A22" s="81" t="s">
        <v>357</v>
      </c>
      <c r="B22" s="81"/>
      <c r="C22" s="81"/>
      <c r="D22" s="81"/>
      <c r="E22" s="81"/>
    </row>
    <row r="23" spans="1:16" x14ac:dyDescent="0.35">
      <c r="A23" s="6">
        <v>13</v>
      </c>
      <c r="B23" s="6" t="str">
        <f>CONCATENATE($B$2, ".", A23)</f>
        <v>2.13</v>
      </c>
      <c r="C23" s="29" t="s">
        <v>38</v>
      </c>
      <c r="D23" s="34" t="s">
        <v>568</v>
      </c>
      <c r="E23" s="6" t="s">
        <v>29</v>
      </c>
      <c r="F23" s="6" t="s">
        <v>37</v>
      </c>
      <c r="G23" s="6" t="s">
        <v>37</v>
      </c>
      <c r="H23" s="6" t="s">
        <v>37</v>
      </c>
      <c r="I23" s="34" t="s">
        <v>10</v>
      </c>
      <c r="J23" s="6" t="s">
        <v>37</v>
      </c>
      <c r="K23" s="6" t="s">
        <v>37</v>
      </c>
      <c r="L23" s="6" t="s">
        <v>37</v>
      </c>
      <c r="M23" s="6" t="s">
        <v>37</v>
      </c>
      <c r="N23" s="6" t="s">
        <v>37</v>
      </c>
      <c r="O23" s="5"/>
    </row>
    <row r="24" spans="1:16" ht="72.5" x14ac:dyDescent="0.35">
      <c r="A24" s="6">
        <v>14</v>
      </c>
      <c r="B24" s="6" t="str">
        <f>CONCATENATE($B$2, ".", A24)</f>
        <v>2.14</v>
      </c>
      <c r="C24" s="29" t="s">
        <v>38</v>
      </c>
      <c r="D24" s="34" t="s">
        <v>477</v>
      </c>
      <c r="E24" s="6" t="s">
        <v>34</v>
      </c>
      <c r="F24" s="6" t="s">
        <v>37</v>
      </c>
      <c r="G24" s="6" t="s">
        <v>37</v>
      </c>
      <c r="H24" s="6" t="s">
        <v>37</v>
      </c>
      <c r="I24" s="34" t="s">
        <v>10</v>
      </c>
      <c r="J24" s="6" t="s">
        <v>37</v>
      </c>
      <c r="K24" s="6" t="s">
        <v>37</v>
      </c>
      <c r="L24" s="6" t="s">
        <v>37</v>
      </c>
      <c r="M24" s="6" t="s">
        <v>37</v>
      </c>
      <c r="N24" s="6" t="s">
        <v>37</v>
      </c>
      <c r="O24" s="5"/>
      <c r="P24" s="6" t="s">
        <v>363</v>
      </c>
    </row>
    <row r="25" spans="1:16" ht="27" customHeight="1" x14ac:dyDescent="0.35">
      <c r="A25" s="6">
        <v>15</v>
      </c>
      <c r="B25" s="6" t="str">
        <f>CONCATENATE($B$2, ".", A25)</f>
        <v>2.15</v>
      </c>
      <c r="C25" s="29" t="s">
        <v>40</v>
      </c>
      <c r="D25" s="34" t="s">
        <v>104</v>
      </c>
      <c r="E25" s="6" t="s">
        <v>29</v>
      </c>
      <c r="F25" s="6" t="s">
        <v>37</v>
      </c>
      <c r="G25" s="6" t="s">
        <v>37</v>
      </c>
      <c r="H25" s="6" t="s">
        <v>37</v>
      </c>
      <c r="I25" s="6" t="s">
        <v>10</v>
      </c>
      <c r="J25" s="5" t="s">
        <v>37</v>
      </c>
      <c r="K25" s="5" t="s">
        <v>37</v>
      </c>
      <c r="L25" s="5" t="s">
        <v>37</v>
      </c>
      <c r="M25" s="5" t="s">
        <v>37</v>
      </c>
      <c r="N25" s="5" t="s">
        <v>37</v>
      </c>
      <c r="O25" s="6" t="s">
        <v>37</v>
      </c>
    </row>
    <row r="26" spans="1:16" ht="66.75" customHeight="1" x14ac:dyDescent="0.35">
      <c r="A26" s="6">
        <v>16</v>
      </c>
      <c r="B26" s="6" t="str">
        <f>CONCATENATE($B$2, ".", A26)</f>
        <v>2.16</v>
      </c>
      <c r="C26" s="29" t="s">
        <v>40</v>
      </c>
      <c r="D26" s="34" t="s">
        <v>268</v>
      </c>
      <c r="E26" s="34" t="s">
        <v>34</v>
      </c>
      <c r="F26" s="6" t="s">
        <v>37</v>
      </c>
      <c r="G26" s="6" t="s">
        <v>37</v>
      </c>
      <c r="H26" s="6" t="s">
        <v>37</v>
      </c>
      <c r="I26" s="6" t="s">
        <v>10</v>
      </c>
      <c r="J26" s="5" t="s">
        <v>37</v>
      </c>
      <c r="K26" s="5" t="s">
        <v>37</v>
      </c>
      <c r="L26" s="5" t="s">
        <v>37</v>
      </c>
      <c r="M26" s="5" t="s">
        <v>37</v>
      </c>
      <c r="N26" s="5" t="s">
        <v>37</v>
      </c>
      <c r="O26" s="6" t="s">
        <v>37</v>
      </c>
    </row>
    <row r="27" spans="1:16" ht="29" x14ac:dyDescent="0.35">
      <c r="A27" s="6">
        <v>17</v>
      </c>
      <c r="B27" s="6" t="str">
        <f>CONCATENATE($B$2, ".", A27)</f>
        <v>2.17</v>
      </c>
      <c r="C27" s="29" t="s">
        <v>40</v>
      </c>
      <c r="D27" s="6" t="s">
        <v>55</v>
      </c>
      <c r="E27" s="6" t="s">
        <v>43</v>
      </c>
      <c r="F27" s="6" t="s">
        <v>37</v>
      </c>
      <c r="G27" s="6" t="s">
        <v>37</v>
      </c>
      <c r="H27" s="6" t="s">
        <v>37</v>
      </c>
      <c r="I27" s="6" t="s">
        <v>10</v>
      </c>
      <c r="J27" s="5" t="s">
        <v>37</v>
      </c>
      <c r="K27" s="5" t="s">
        <v>37</v>
      </c>
      <c r="L27" s="5" t="s">
        <v>37</v>
      </c>
      <c r="M27" s="5" t="s">
        <v>37</v>
      </c>
      <c r="N27" s="5" t="s">
        <v>37</v>
      </c>
      <c r="O27" s="6" t="s">
        <v>291</v>
      </c>
    </row>
  </sheetData>
  <conditionalFormatting sqref="C12:C13 C7 C9:C10 C28:C1048576 C15:C17">
    <cfRule type="cellIs" dxfId="471" priority="47" operator="equal">
      <formula>"WIP (see comments)"</formula>
    </cfRule>
    <cfRule type="cellIs" dxfId="470" priority="48" operator="equal">
      <formula>"Removed"</formula>
    </cfRule>
    <cfRule type="cellIs" dxfId="469" priority="49" operator="equal">
      <formula>"Updated"</formula>
    </cfRule>
    <cfRule type="cellIs" dxfId="468" priority="50" operator="equal">
      <formula>"New"</formula>
    </cfRule>
  </conditionalFormatting>
  <conditionalFormatting sqref="A1:C1 E1:XFD1 A2:XFD2 A3:C3 E3:XFD3 A12:XFD13 A28:XFD1048576 A4:XFD7 A9:XFD10 P8:XFD8 A8:B8 A15:XFD17 A25:B27 D25:XFD27">
    <cfRule type="cellIs" dxfId="467" priority="46" operator="equal">
      <formula>"n/a"</formula>
    </cfRule>
  </conditionalFormatting>
  <conditionalFormatting sqref="F14:XFD14 A14">
    <cfRule type="cellIs" dxfId="466" priority="45" operator="equal">
      <formula>"n/a"</formula>
    </cfRule>
  </conditionalFormatting>
  <conditionalFormatting sqref="F11:XFD11 A11">
    <cfRule type="cellIs" dxfId="465" priority="44" operator="equal">
      <formula>"n/a"</formula>
    </cfRule>
  </conditionalFormatting>
  <conditionalFormatting sqref="D1">
    <cfRule type="cellIs" dxfId="464" priority="42" operator="equal">
      <formula>"n/a"</formula>
    </cfRule>
  </conditionalFormatting>
  <conditionalFormatting sqref="D3">
    <cfRule type="cellIs" dxfId="463" priority="41" operator="equal">
      <formula>"n/a"</formula>
    </cfRule>
  </conditionalFormatting>
  <conditionalFormatting sqref="A20:B21 O23:XFD24 D20:H21 J20:XFD21 B19 A23:B24 D23:E24">
    <cfRule type="cellIs" dxfId="462" priority="36" operator="equal">
      <formula>"n/a"</formula>
    </cfRule>
  </conditionalFormatting>
  <conditionalFormatting sqref="F18:XFD18 A18">
    <cfRule type="cellIs" dxfId="461" priority="35" operator="equal">
      <formula>"n/a"</formula>
    </cfRule>
  </conditionalFormatting>
  <conditionalFormatting sqref="F23:N24">
    <cfRule type="cellIs" dxfId="460" priority="33" operator="equal">
      <formula>"n/a"</formula>
    </cfRule>
  </conditionalFormatting>
  <conditionalFormatting sqref="F22:XFD22 A22">
    <cfRule type="cellIs" dxfId="459" priority="31" operator="equal">
      <formula>"n/a"</formula>
    </cfRule>
  </conditionalFormatting>
  <conditionalFormatting sqref="C8">
    <cfRule type="cellIs" dxfId="458" priority="22" operator="equal">
      <formula>"WIP (see comments)"</formula>
    </cfRule>
    <cfRule type="cellIs" dxfId="457" priority="23" operator="equal">
      <formula>"Removed"</formula>
    </cfRule>
    <cfRule type="cellIs" dxfId="456" priority="24" operator="equal">
      <formula>"Updated"</formula>
    </cfRule>
    <cfRule type="cellIs" dxfId="455" priority="25" operator="equal">
      <formula>"New"</formula>
    </cfRule>
  </conditionalFormatting>
  <conditionalFormatting sqref="C8:O8">
    <cfRule type="cellIs" dxfId="454" priority="21" operator="equal">
      <formula>"n/a"</formula>
    </cfRule>
  </conditionalFormatting>
  <conditionalFormatting sqref="A19 D19:XFD19 I20:I21">
    <cfRule type="cellIs" dxfId="453" priority="16" operator="equal">
      <formula>"n/a"</formula>
    </cfRule>
  </conditionalFormatting>
  <conditionalFormatting sqref="C19:C21">
    <cfRule type="cellIs" dxfId="452" priority="12" operator="equal">
      <formula>"WIP (see comments)"</formula>
    </cfRule>
    <cfRule type="cellIs" dxfId="451" priority="13" operator="equal">
      <formula>"Removed"</formula>
    </cfRule>
    <cfRule type="cellIs" dxfId="450" priority="14" operator="equal">
      <formula>"Updated"</formula>
    </cfRule>
    <cfRule type="cellIs" dxfId="449" priority="15" operator="equal">
      <formula>"New"</formula>
    </cfRule>
  </conditionalFormatting>
  <conditionalFormatting sqref="C19:C21">
    <cfRule type="cellIs" dxfId="448" priority="11" operator="equal">
      <formula>"n/a"</formula>
    </cfRule>
  </conditionalFormatting>
  <conditionalFormatting sqref="C23:C27">
    <cfRule type="cellIs" dxfId="447" priority="2" operator="equal">
      <formula>"WIP (see comments)"</formula>
    </cfRule>
    <cfRule type="cellIs" dxfId="446" priority="3" operator="equal">
      <formula>"Removed"</formula>
    </cfRule>
    <cfRule type="cellIs" dxfId="445" priority="4" operator="equal">
      <formula>"Updated"</formula>
    </cfRule>
    <cfRule type="cellIs" dxfId="444" priority="5" operator="equal">
      <formula>"New"</formula>
    </cfRule>
  </conditionalFormatting>
  <conditionalFormatting sqref="C23:C27">
    <cfRule type="cellIs" dxfId="443" priority="1" operator="equal">
      <formula>"n/a"</formula>
    </cfRule>
  </conditionalFormatting>
  <dataValidations count="2">
    <dataValidation type="list" allowBlank="1" showInputMessage="1" showErrorMessage="1" sqref="C9:C10 C7 C28:C1048576" xr:uid="{00000000-0002-0000-0300-000000000000}">
      <formula1>$B$5:$B$14</formula1>
    </dataValidation>
    <dataValidation type="list" allowBlank="1" showInputMessage="1" showErrorMessage="1" sqref="E28:E1048576" xr:uid="{00000000-0002-0000-0300-000001000000}">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'List Values'!$B$5:$B$14</xm:f>
          </x14:formula1>
          <xm:sqref>C12:C13 C15:C17 C19:C21 C23:C27</xm:sqref>
        </x14:dataValidation>
        <x14:dataValidation type="list" allowBlank="1" showInputMessage="1" showErrorMessage="1" xr:uid="{00000000-0002-0000-0300-000003000000}">
          <x14:formula1>
            <xm:f>'List Values'!$B$5:$B$9</xm:f>
          </x14:formula1>
          <xm:sqref>C8</xm:sqref>
        </x14:dataValidation>
        <x14:dataValidation type="list" allowBlank="1" showInputMessage="1" showErrorMessage="1" xr:uid="{00000000-0002-0000-0300-000004000000}">
          <x14:formula1>
            <xm:f>'List Values'!$A$5:$A$29</xm:f>
          </x14:formula1>
          <xm:sqref>E7:E27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6.1796875" style="29"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56</v>
      </c>
      <c r="C1" s="27"/>
      <c r="D1" s="24"/>
    </row>
    <row r="2" spans="1:16" s="25" customFormat="1" ht="18.5" x14ac:dyDescent="0.35">
      <c r="A2" s="23" t="s">
        <v>7</v>
      </c>
      <c r="B2" s="31">
        <v>3</v>
      </c>
      <c r="C2" s="30"/>
      <c r="D2" s="31" t="s">
        <v>311</v>
      </c>
    </row>
    <row r="3" spans="1:16" s="25" customFormat="1" ht="18.5" x14ac:dyDescent="0.35">
      <c r="A3" s="23" t="s">
        <v>44</v>
      </c>
      <c r="B3" s="31" t="s">
        <v>290</v>
      </c>
      <c r="C3" s="30"/>
      <c r="D3" s="31" t="s">
        <v>362</v>
      </c>
    </row>
    <row r="4" spans="1:16" s="25" customFormat="1" ht="18.5" x14ac:dyDescent="0.35">
      <c r="A4" s="23" t="s">
        <v>8</v>
      </c>
      <c r="B4" s="25" t="s">
        <v>47</v>
      </c>
      <c r="C4" s="30"/>
      <c r="D4" s="24" t="s">
        <v>588</v>
      </c>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3.1</v>
      </c>
      <c r="C7" s="29" t="s">
        <v>40</v>
      </c>
      <c r="D7" s="34" t="s">
        <v>304</v>
      </c>
      <c r="E7" s="6" t="s">
        <v>349</v>
      </c>
      <c r="F7" s="6" t="s">
        <v>37</v>
      </c>
      <c r="G7" s="6" t="s">
        <v>37</v>
      </c>
      <c r="H7" s="6" t="s">
        <v>37</v>
      </c>
      <c r="I7" s="34" t="s">
        <v>10</v>
      </c>
      <c r="J7" s="5" t="s">
        <v>37</v>
      </c>
      <c r="K7" s="5" t="s">
        <v>37</v>
      </c>
      <c r="L7" s="5" t="s">
        <v>37</v>
      </c>
      <c r="M7" s="5" t="s">
        <v>37</v>
      </c>
      <c r="N7" s="5" t="s">
        <v>37</v>
      </c>
      <c r="O7" s="5" t="s">
        <v>37</v>
      </c>
    </row>
    <row r="8" spans="1:16" x14ac:dyDescent="0.35">
      <c r="A8" s="6">
        <v>2</v>
      </c>
      <c r="B8" s="6" t="str">
        <f t="shared" si="0"/>
        <v>3.2</v>
      </c>
      <c r="C8" s="29" t="s">
        <v>40</v>
      </c>
      <c r="D8" s="34" t="s">
        <v>37</v>
      </c>
      <c r="E8" s="34" t="s">
        <v>48</v>
      </c>
      <c r="F8" s="6" t="s">
        <v>37</v>
      </c>
      <c r="G8" s="6" t="s">
        <v>37</v>
      </c>
      <c r="H8" s="6" t="s">
        <v>37</v>
      </c>
      <c r="I8" s="34" t="s">
        <v>10</v>
      </c>
      <c r="J8" s="5" t="s">
        <v>37</v>
      </c>
      <c r="K8" s="5" t="s">
        <v>37</v>
      </c>
      <c r="L8" s="5" t="s">
        <v>37</v>
      </c>
      <c r="M8" s="5" t="s">
        <v>37</v>
      </c>
      <c r="N8" s="5" t="s">
        <v>37</v>
      </c>
      <c r="O8" s="5" t="s">
        <v>37</v>
      </c>
    </row>
    <row r="9" spans="1:16" ht="29" x14ac:dyDescent="0.35">
      <c r="A9" s="6">
        <v>3</v>
      </c>
      <c r="B9" s="6" t="str">
        <f t="shared" si="0"/>
        <v>3.3</v>
      </c>
      <c r="C9" s="29" t="s">
        <v>38</v>
      </c>
      <c r="D9" s="34" t="s">
        <v>567</v>
      </c>
      <c r="E9" s="34" t="s">
        <v>32</v>
      </c>
      <c r="F9" s="6" t="s">
        <v>305</v>
      </c>
      <c r="G9" s="6" t="s">
        <v>37</v>
      </c>
      <c r="H9" s="6" t="s">
        <v>37</v>
      </c>
      <c r="I9" s="34" t="s">
        <v>10</v>
      </c>
      <c r="J9" s="5" t="s">
        <v>306</v>
      </c>
      <c r="K9" s="5" t="s">
        <v>51</v>
      </c>
      <c r="L9" s="5" t="s">
        <v>37</v>
      </c>
      <c r="M9" s="5" t="s">
        <v>37</v>
      </c>
      <c r="N9" s="5" t="s">
        <v>37</v>
      </c>
      <c r="O9" s="5" t="s">
        <v>37</v>
      </c>
    </row>
    <row r="10" spans="1:16" ht="87" x14ac:dyDescent="0.35">
      <c r="A10" s="6">
        <v>4</v>
      </c>
      <c r="B10" s="6" t="str">
        <f>CONCATENATE($B$2, ".", A10)</f>
        <v>3.4</v>
      </c>
      <c r="C10" s="29" t="s">
        <v>40</v>
      </c>
      <c r="D10" s="34" t="s">
        <v>55</v>
      </c>
      <c r="E10" s="6" t="s">
        <v>43</v>
      </c>
      <c r="F10" s="6" t="s">
        <v>37</v>
      </c>
      <c r="G10" s="6" t="s">
        <v>37</v>
      </c>
      <c r="H10" s="6" t="s">
        <v>37</v>
      </c>
      <c r="I10" s="6" t="s">
        <v>10</v>
      </c>
      <c r="J10" s="6" t="s">
        <v>37</v>
      </c>
      <c r="K10" s="6" t="s">
        <v>37</v>
      </c>
      <c r="L10" s="6" t="s">
        <v>37</v>
      </c>
      <c r="M10" s="6" t="s">
        <v>37</v>
      </c>
      <c r="N10" s="6" t="s">
        <v>37</v>
      </c>
      <c r="O10" s="6" t="s">
        <v>539</v>
      </c>
    </row>
    <row r="11" spans="1:16" ht="29" x14ac:dyDescent="0.35">
      <c r="A11" s="6">
        <v>5</v>
      </c>
      <c r="B11" s="6" t="str">
        <f t="shared" si="0"/>
        <v>3.5</v>
      </c>
      <c r="C11" s="29" t="s">
        <v>40</v>
      </c>
      <c r="D11" s="34" t="s">
        <v>54</v>
      </c>
      <c r="E11" s="6" t="s">
        <v>43</v>
      </c>
      <c r="F11" s="6" t="s">
        <v>37</v>
      </c>
      <c r="G11" s="6" t="s">
        <v>37</v>
      </c>
      <c r="H11" s="6" t="s">
        <v>37</v>
      </c>
      <c r="I11" s="6" t="s">
        <v>10</v>
      </c>
      <c r="J11" s="6" t="s">
        <v>37</v>
      </c>
      <c r="K11" s="6" t="s">
        <v>37</v>
      </c>
      <c r="L11" s="6" t="s">
        <v>37</v>
      </c>
      <c r="M11" s="6" t="s">
        <v>37</v>
      </c>
      <c r="N11" s="6" t="s">
        <v>37</v>
      </c>
      <c r="O11" s="6" t="s">
        <v>307</v>
      </c>
    </row>
  </sheetData>
  <conditionalFormatting sqref="C7:C1048576">
    <cfRule type="cellIs" dxfId="442" priority="10" operator="equal">
      <formula>"WIP (see comments)"</formula>
    </cfRule>
    <cfRule type="cellIs" dxfId="441" priority="11" operator="equal">
      <formula>"Removed"</formula>
    </cfRule>
    <cfRule type="cellIs" dxfId="440" priority="12" operator="equal">
      <formula>"Updated"</formula>
    </cfRule>
    <cfRule type="cellIs" dxfId="439" priority="13" operator="equal">
      <formula>"New"</formula>
    </cfRule>
  </conditionalFormatting>
  <conditionalFormatting sqref="A1:C1 E1:XFD1 A2:XFD1048576">
    <cfRule type="cellIs" dxfId="438" priority="9" operator="equal">
      <formula>"n/a"</formula>
    </cfRule>
  </conditionalFormatting>
  <conditionalFormatting sqref="D1">
    <cfRule type="cellIs" dxfId="437" priority="7" operator="equal">
      <formula>"n/a"</formula>
    </cfRule>
  </conditionalFormatting>
  <dataValidations count="1">
    <dataValidation type="list" allowBlank="1" showInputMessage="1" showErrorMessage="1" sqref="C12:C1048576" xr:uid="{00000000-0002-0000-0400-000000000000}">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E12:E1048576</xm:sqref>
        </x14:dataValidation>
        <x14:dataValidation type="list" allowBlank="1" showInputMessage="1" showErrorMessage="1" xr:uid="{00000000-0002-0000-0400-000002000000}">
          <x14:formula1>
            <xm:f>'List Values'!$B$5:$B$9</xm:f>
          </x14:formula1>
          <xm:sqref>C7:C11</xm:sqref>
        </x14:dataValidation>
        <x14:dataValidation type="list" allowBlank="1" showInputMessage="1" showErrorMessage="1" xr:uid="{00000000-0002-0000-0400-000003000000}">
          <x14:formula1>
            <xm:f>'List Values'!$A$5:$A$29</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E7" activePane="bottomRight" state="frozen"/>
      <selection pane="topRight" activeCell="E1" sqref="E1"/>
      <selection pane="bottomLeft" activeCell="A7" sqref="A7"/>
      <selection pane="bottomRight" activeCell="D9" sqref="D9"/>
    </sheetView>
  </sheetViews>
  <sheetFormatPr defaultColWidth="9.1796875" defaultRowHeight="14.5" x14ac:dyDescent="0.35"/>
  <cols>
    <col min="1" max="1" width="14.7265625" style="6" customWidth="1"/>
    <col min="2" max="2" width="12.54296875" style="6" customWidth="1"/>
    <col min="3" max="3" width="16.1796875" style="29" customWidth="1"/>
    <col min="4" max="4" width="45.1796875" style="6" customWidth="1"/>
    <col min="5" max="5" width="28.7265625" style="6" customWidth="1"/>
    <col min="6" max="6" width="17" style="6" customWidth="1"/>
    <col min="7" max="7" width="21.26953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441</v>
      </c>
      <c r="C1" s="27" t="s">
        <v>245</v>
      </c>
      <c r="D1" s="24"/>
    </row>
    <row r="2" spans="1:16" s="25" customFormat="1" ht="18.5" x14ac:dyDescent="0.35">
      <c r="A2" s="23" t="s">
        <v>7</v>
      </c>
      <c r="B2" s="31" t="s">
        <v>439</v>
      </c>
      <c r="C2" s="30"/>
      <c r="D2" s="31"/>
    </row>
    <row r="3" spans="1:16" s="25" customFormat="1" ht="18.5" x14ac:dyDescent="0.35">
      <c r="A3" s="23" t="s">
        <v>44</v>
      </c>
      <c r="B3" s="83" t="s">
        <v>446</v>
      </c>
      <c r="C3" s="31"/>
      <c r="D3" s="31"/>
    </row>
    <row r="4" spans="1:16" s="25" customFormat="1" ht="18.5" x14ac:dyDescent="0.35">
      <c r="A4" s="23" t="s">
        <v>8</v>
      </c>
      <c r="B4" s="25" t="s">
        <v>538</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3a.1</v>
      </c>
      <c r="C7" s="29" t="s">
        <v>41</v>
      </c>
      <c r="D7" s="34" t="s">
        <v>442</v>
      </c>
      <c r="E7" s="6" t="s">
        <v>349</v>
      </c>
      <c r="I7" s="34"/>
      <c r="J7" s="5"/>
      <c r="K7" s="5"/>
      <c r="L7" s="5"/>
      <c r="M7" s="5"/>
      <c r="N7" s="5"/>
      <c r="O7" s="5"/>
    </row>
    <row r="8" spans="1:16" x14ac:dyDescent="0.35">
      <c r="A8" s="6">
        <v>2</v>
      </c>
      <c r="B8" s="6" t="str">
        <f t="shared" si="0"/>
        <v>3a.2</v>
      </c>
      <c r="C8" s="29" t="s">
        <v>41</v>
      </c>
      <c r="D8" s="34" t="s">
        <v>37</v>
      </c>
      <c r="E8" s="34" t="s">
        <v>48</v>
      </c>
      <c r="I8" s="34"/>
      <c r="J8" s="5"/>
      <c r="K8" s="5"/>
      <c r="L8" s="5"/>
      <c r="M8" s="5"/>
      <c r="N8" s="5"/>
      <c r="O8" s="5"/>
    </row>
    <row r="9" spans="1:16" ht="168" customHeight="1" x14ac:dyDescent="0.35">
      <c r="A9" s="6">
        <v>3</v>
      </c>
      <c r="B9" s="6" t="str">
        <f t="shared" si="0"/>
        <v>3a.3</v>
      </c>
      <c r="C9" s="29" t="s">
        <v>41</v>
      </c>
      <c r="D9" s="34" t="s">
        <v>443</v>
      </c>
      <c r="E9" s="34" t="s">
        <v>34</v>
      </c>
      <c r="I9" s="34"/>
      <c r="J9" s="5"/>
      <c r="K9" s="5"/>
      <c r="L9" s="5"/>
      <c r="M9" s="5"/>
      <c r="N9" s="5"/>
      <c r="O9" s="5"/>
    </row>
    <row r="10" spans="1:16" ht="29" x14ac:dyDescent="0.35">
      <c r="A10" s="6">
        <v>4</v>
      </c>
      <c r="B10" s="6" t="str">
        <f>CONCATENATE($B$2, ".", A10)</f>
        <v>3a.4</v>
      </c>
      <c r="C10" s="29" t="s">
        <v>41</v>
      </c>
      <c r="D10" s="34" t="s">
        <v>445</v>
      </c>
      <c r="E10" s="6" t="s">
        <v>444</v>
      </c>
    </row>
    <row r="11" spans="1:16" x14ac:dyDescent="0.35">
      <c r="A11" s="6">
        <v>5</v>
      </c>
      <c r="B11" s="6" t="str">
        <f t="shared" si="0"/>
        <v>3a.5</v>
      </c>
      <c r="C11" s="29" t="s">
        <v>41</v>
      </c>
      <c r="D11" s="34" t="s">
        <v>55</v>
      </c>
      <c r="E11" s="6" t="s">
        <v>43</v>
      </c>
    </row>
    <row r="12" spans="1:16" x14ac:dyDescent="0.35">
      <c r="A12" s="6">
        <v>6</v>
      </c>
      <c r="B12" s="6" t="str">
        <f t="shared" ref="B12" si="1">CONCATENATE($B$2, ".", A12)</f>
        <v>3a.6</v>
      </c>
      <c r="C12" s="29" t="s">
        <v>41</v>
      </c>
      <c r="D12" s="6" t="s">
        <v>54</v>
      </c>
      <c r="E12" s="6" t="s">
        <v>43</v>
      </c>
    </row>
  </sheetData>
  <conditionalFormatting sqref="C7:C1048576">
    <cfRule type="cellIs" dxfId="436" priority="5" operator="equal">
      <formula>"WIP (see comments)"</formula>
    </cfRule>
    <cfRule type="cellIs" dxfId="435" priority="6" operator="equal">
      <formula>"Removed"</formula>
    </cfRule>
    <cfRule type="cellIs" dxfId="434" priority="7" operator="equal">
      <formula>"Updated"</formula>
    </cfRule>
    <cfRule type="cellIs" dxfId="433" priority="8" operator="equal">
      <formula>"New"</formula>
    </cfRule>
  </conditionalFormatting>
  <conditionalFormatting sqref="A1:C1 E1:XFD1 A2:XFD3 A4 C4:XFD4 A5:XFD1048576">
    <cfRule type="cellIs" dxfId="432" priority="4" operator="equal">
      <formula>"n/a"</formula>
    </cfRule>
  </conditionalFormatting>
  <conditionalFormatting sqref="D1">
    <cfRule type="cellIs" dxfId="431" priority="3" operator="equal">
      <formula>"n/a"</formula>
    </cfRule>
  </conditionalFormatting>
  <conditionalFormatting sqref="B4">
    <cfRule type="cellIs" dxfId="430" priority="1" operator="equal">
      <formula>"n/a"</formula>
    </cfRule>
  </conditionalFormatting>
  <dataValidations count="1">
    <dataValidation type="list" allowBlank="1" showInputMessage="1" showErrorMessage="1" sqref="C13:C1048576" xr:uid="{00000000-0002-0000-0500-000000000000}">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Values'!$A$5:$A$29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4" customWidth="1"/>
    <col min="2" max="2" width="12.54296875" style="34" customWidth="1"/>
    <col min="3" max="3" width="13" style="42" customWidth="1"/>
    <col min="4" max="4" width="45.1796875" style="34" customWidth="1"/>
    <col min="5" max="5" width="28.7265625" style="34" customWidth="1"/>
    <col min="6" max="6" width="17" style="34" customWidth="1"/>
    <col min="7" max="7" width="17.7265625" style="34" customWidth="1"/>
    <col min="8" max="8" width="27.81640625" style="34" customWidth="1"/>
    <col min="9" max="9" width="34.81640625" style="34" customWidth="1"/>
    <col min="10" max="10" width="23.453125" style="34" customWidth="1"/>
    <col min="11" max="11" width="10.7265625" style="34" bestFit="1" customWidth="1"/>
    <col min="12" max="12" width="19.26953125" style="34" bestFit="1" customWidth="1"/>
    <col min="13" max="13" width="29" style="34" customWidth="1"/>
    <col min="14" max="14" width="18.7265625" style="34" bestFit="1" customWidth="1"/>
    <col min="15" max="15" width="48.453125" style="34" customWidth="1"/>
    <col min="16" max="16" width="41.81640625" style="34" customWidth="1"/>
    <col min="17" max="16384" width="9.1796875" style="34"/>
  </cols>
  <sheetData>
    <row r="1" spans="1:16" s="57" customFormat="1" ht="18.5" x14ac:dyDescent="0.35">
      <c r="A1" s="54" t="s">
        <v>6</v>
      </c>
      <c r="B1" s="55" t="s">
        <v>46</v>
      </c>
      <c r="C1" s="56"/>
      <c r="D1" s="24"/>
    </row>
    <row r="2" spans="1:16" s="57" customFormat="1" ht="18.5" x14ac:dyDescent="0.35">
      <c r="A2" s="54" t="s">
        <v>7</v>
      </c>
      <c r="B2" s="58">
        <v>4</v>
      </c>
      <c r="C2" s="59"/>
      <c r="D2" s="58"/>
    </row>
    <row r="3" spans="1:16" s="57" customFormat="1" ht="18.5" x14ac:dyDescent="0.35">
      <c r="A3" s="54" t="s">
        <v>44</v>
      </c>
      <c r="B3" s="58" t="s">
        <v>238</v>
      </c>
      <c r="C3" s="59"/>
      <c r="D3" s="58" t="s">
        <v>247</v>
      </c>
    </row>
    <row r="4" spans="1:16" s="57" customFormat="1" ht="18.5" x14ac:dyDescent="0.35">
      <c r="A4" s="54" t="s">
        <v>8</v>
      </c>
      <c r="B4" s="57" t="s">
        <v>47</v>
      </c>
      <c r="C4" s="59"/>
    </row>
    <row r="5" spans="1:16" s="60" customFormat="1" x14ac:dyDescent="0.35">
      <c r="C5" s="61"/>
    </row>
    <row r="6" spans="1:16" s="62" customFormat="1" ht="15" thickBot="1" x14ac:dyDescent="0.4">
      <c r="A6" s="62" t="s">
        <v>11</v>
      </c>
      <c r="B6" s="62" t="s">
        <v>12</v>
      </c>
      <c r="C6" s="63" t="s">
        <v>26</v>
      </c>
      <c r="D6" s="62" t="s">
        <v>25</v>
      </c>
      <c r="E6" s="62" t="s">
        <v>13</v>
      </c>
      <c r="F6" s="62" t="s">
        <v>14</v>
      </c>
      <c r="G6" s="62" t="s">
        <v>15</v>
      </c>
      <c r="H6" s="62" t="s">
        <v>16</v>
      </c>
      <c r="I6" s="62" t="s">
        <v>17</v>
      </c>
      <c r="J6" s="62" t="s">
        <v>18</v>
      </c>
      <c r="K6" s="62" t="s">
        <v>19</v>
      </c>
      <c r="L6" s="62" t="s">
        <v>20</v>
      </c>
      <c r="M6" s="62" t="s">
        <v>21</v>
      </c>
      <c r="N6" s="62" t="s">
        <v>22</v>
      </c>
      <c r="O6" s="62" t="s">
        <v>23</v>
      </c>
      <c r="P6" s="62" t="s">
        <v>24</v>
      </c>
    </row>
    <row r="7" spans="1:16" x14ac:dyDescent="0.35">
      <c r="A7" s="34">
        <v>1</v>
      </c>
      <c r="B7" s="34" t="str">
        <f t="shared" ref="B7:B11" si="0">CONCATENATE($B$2, ".", A7)</f>
        <v>4.1</v>
      </c>
      <c r="C7" s="42" t="s">
        <v>38</v>
      </c>
      <c r="D7" s="34" t="s">
        <v>408</v>
      </c>
      <c r="E7" s="34" t="s">
        <v>349</v>
      </c>
      <c r="F7" s="34" t="s">
        <v>37</v>
      </c>
      <c r="G7" s="34" t="s">
        <v>37</v>
      </c>
      <c r="H7" s="34" t="s">
        <v>37</v>
      </c>
      <c r="I7" s="34" t="s">
        <v>10</v>
      </c>
      <c r="J7" s="35" t="s">
        <v>37</v>
      </c>
      <c r="K7" s="35" t="s">
        <v>37</v>
      </c>
      <c r="L7" s="35" t="s">
        <v>37</v>
      </c>
      <c r="M7" s="35" t="s">
        <v>37</v>
      </c>
      <c r="N7" s="35" t="s">
        <v>37</v>
      </c>
      <c r="O7" s="35" t="s">
        <v>37</v>
      </c>
      <c r="P7" s="34" t="s">
        <v>409</v>
      </c>
    </row>
    <row r="8" spans="1:16" x14ac:dyDescent="0.35">
      <c r="A8" s="34">
        <v>2</v>
      </c>
      <c r="B8" s="34" t="str">
        <f t="shared" si="0"/>
        <v>4.2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ht="100.5" customHeight="1" x14ac:dyDescent="0.35">
      <c r="A9" s="34">
        <v>3</v>
      </c>
      <c r="B9" s="34" t="str">
        <f t="shared" si="0"/>
        <v>4.3</v>
      </c>
      <c r="C9" s="42" t="s">
        <v>38</v>
      </c>
      <c r="D9" s="34" t="s">
        <v>554</v>
      </c>
      <c r="E9" s="34" t="s">
        <v>105</v>
      </c>
      <c r="F9" s="34" t="s">
        <v>37</v>
      </c>
      <c r="G9" s="34" t="s">
        <v>37</v>
      </c>
      <c r="H9" s="34" t="s">
        <v>37</v>
      </c>
      <c r="I9" s="34" t="s">
        <v>10</v>
      </c>
      <c r="J9" s="35" t="s">
        <v>37</v>
      </c>
      <c r="K9" s="35" t="s">
        <v>37</v>
      </c>
      <c r="L9" s="35" t="s">
        <v>37</v>
      </c>
      <c r="M9" s="35" t="s">
        <v>37</v>
      </c>
      <c r="N9" s="35" t="s">
        <v>37</v>
      </c>
      <c r="O9" s="35" t="s">
        <v>96</v>
      </c>
      <c r="P9" s="34" t="s">
        <v>555</v>
      </c>
    </row>
    <row r="10" spans="1:16" ht="132.5" customHeight="1" x14ac:dyDescent="0.35">
      <c r="A10" s="34">
        <v>4</v>
      </c>
      <c r="B10" s="34" t="str">
        <f t="shared" si="0"/>
        <v>4.4</v>
      </c>
      <c r="C10" s="42" t="s">
        <v>38</v>
      </c>
      <c r="D10" s="34" t="s">
        <v>358</v>
      </c>
      <c r="E10" s="34" t="s">
        <v>33</v>
      </c>
      <c r="F10" s="34" t="s">
        <v>553</v>
      </c>
      <c r="G10" s="34" t="s">
        <v>37</v>
      </c>
      <c r="H10" s="34" t="s">
        <v>50</v>
      </c>
      <c r="I10" s="34" t="s">
        <v>10</v>
      </c>
      <c r="J10" s="35" t="s">
        <v>485</v>
      </c>
      <c r="K10" s="35" t="s">
        <v>37</v>
      </c>
      <c r="L10" s="35" t="s">
        <v>37</v>
      </c>
      <c r="M10" s="35" t="s">
        <v>37</v>
      </c>
      <c r="N10" s="35" t="s">
        <v>37</v>
      </c>
      <c r="O10" s="35" t="s">
        <v>552</v>
      </c>
      <c r="P10" s="34" t="s">
        <v>557</v>
      </c>
    </row>
    <row r="11" spans="1:16" ht="149.25" customHeight="1" x14ac:dyDescent="0.35">
      <c r="A11" s="34">
        <v>5</v>
      </c>
      <c r="B11" s="34" t="str">
        <f t="shared" si="0"/>
        <v>4.5</v>
      </c>
      <c r="C11" s="42" t="s">
        <v>38</v>
      </c>
      <c r="D11" s="34" t="s">
        <v>359</v>
      </c>
      <c r="E11" s="34" t="s">
        <v>33</v>
      </c>
      <c r="F11" s="34" t="s">
        <v>551</v>
      </c>
      <c r="G11" s="6" t="s">
        <v>484</v>
      </c>
      <c r="H11" s="34" t="s">
        <v>52</v>
      </c>
      <c r="I11" s="34" t="s">
        <v>10</v>
      </c>
      <c r="J11" s="35" t="s">
        <v>486</v>
      </c>
      <c r="K11" s="34" t="s">
        <v>51</v>
      </c>
      <c r="L11" s="34" t="s">
        <v>360</v>
      </c>
      <c r="M11" s="34" t="s">
        <v>53</v>
      </c>
      <c r="N11" s="34" t="s">
        <v>360</v>
      </c>
      <c r="O11" s="35" t="s">
        <v>37</v>
      </c>
      <c r="P11" s="34" t="s">
        <v>361</v>
      </c>
    </row>
    <row r="12" spans="1:16" ht="156.75" customHeight="1" x14ac:dyDescent="0.35">
      <c r="A12" s="34">
        <v>6</v>
      </c>
      <c r="B12" s="34" t="str">
        <f t="shared" ref="B12:B13" si="1">CONCATENATE($B$2, ".", A12)</f>
        <v>4.6</v>
      </c>
      <c r="C12" s="42" t="s">
        <v>40</v>
      </c>
      <c r="D12" s="34" t="s">
        <v>55</v>
      </c>
      <c r="E12" s="34" t="s">
        <v>43</v>
      </c>
      <c r="F12" s="34" t="s">
        <v>37</v>
      </c>
      <c r="G12" s="34" t="s">
        <v>37</v>
      </c>
      <c r="H12" s="34" t="s">
        <v>37</v>
      </c>
      <c r="I12" s="34" t="s">
        <v>10</v>
      </c>
      <c r="J12" s="34" t="s">
        <v>37</v>
      </c>
      <c r="K12" s="34" t="s">
        <v>37</v>
      </c>
      <c r="L12" s="34" t="s">
        <v>37</v>
      </c>
      <c r="M12" s="34" t="s">
        <v>37</v>
      </c>
      <c r="N12" s="34" t="s">
        <v>37</v>
      </c>
      <c r="O12" s="34" t="s">
        <v>487</v>
      </c>
    </row>
    <row r="13" spans="1:16" ht="96" customHeight="1" x14ac:dyDescent="0.35">
      <c r="A13" s="34">
        <v>7</v>
      </c>
      <c r="B13" s="34" t="str">
        <f t="shared" si="1"/>
        <v>4.7</v>
      </c>
      <c r="C13" s="42" t="s">
        <v>38</v>
      </c>
      <c r="D13" s="34" t="s">
        <v>54</v>
      </c>
      <c r="E13" s="34" t="s">
        <v>43</v>
      </c>
      <c r="F13" s="34" t="s">
        <v>37</v>
      </c>
      <c r="G13" s="34" t="s">
        <v>37</v>
      </c>
      <c r="H13" s="34" t="s">
        <v>37</v>
      </c>
      <c r="I13" s="34" t="s">
        <v>564</v>
      </c>
      <c r="J13" s="34" t="s">
        <v>37</v>
      </c>
      <c r="K13" s="34" t="s">
        <v>37</v>
      </c>
      <c r="L13" s="34" t="s">
        <v>37</v>
      </c>
      <c r="M13" s="34" t="s">
        <v>37</v>
      </c>
      <c r="N13" s="34" t="s">
        <v>37</v>
      </c>
      <c r="O13" s="34" t="s">
        <v>565</v>
      </c>
      <c r="P13" s="6" t="s">
        <v>566</v>
      </c>
    </row>
  </sheetData>
  <conditionalFormatting sqref="C7:C1048576">
    <cfRule type="cellIs" dxfId="429" priority="26" operator="equal">
      <formula>"WIP (see comments)"</formula>
    </cfRule>
    <cfRule type="cellIs" dxfId="428" priority="27" operator="equal">
      <formula>"Removed"</formula>
    </cfRule>
    <cfRule type="cellIs" dxfId="427" priority="28" operator="equal">
      <formula>"Updated"</formula>
    </cfRule>
    <cfRule type="cellIs" dxfId="426" priority="29" operator="equal">
      <formula>"New"</formula>
    </cfRule>
  </conditionalFormatting>
  <conditionalFormatting sqref="A2:XFD9 A11:F11 Q10:XFD11 A1:C1 E1:XFD1 C9:C12 A12:XFD12 H11:N11 K10:N10 A14:XFD1048576 A13:O13 Q13:XFD13">
    <cfRule type="cellIs" dxfId="425" priority="17" operator="equal">
      <formula>"n/a"</formula>
    </cfRule>
  </conditionalFormatting>
  <conditionalFormatting sqref="A10:B10 D10:J10 P11 O10:P10">
    <cfRule type="cellIs" dxfId="424" priority="12" operator="equal">
      <formula>"n/a"</formula>
    </cfRule>
  </conditionalFormatting>
  <conditionalFormatting sqref="O11">
    <cfRule type="cellIs" dxfId="423" priority="11" operator="equal">
      <formula>"n/a"</formula>
    </cfRule>
  </conditionalFormatting>
  <conditionalFormatting sqref="D1">
    <cfRule type="cellIs" dxfId="422" priority="9" operator="equal">
      <formula>"n/a"</formula>
    </cfRule>
  </conditionalFormatting>
  <conditionalFormatting sqref="G11">
    <cfRule type="cellIs" dxfId="421" priority="2" operator="equal">
      <formula>"n/a"</formula>
    </cfRule>
  </conditionalFormatting>
  <conditionalFormatting sqref="P13">
    <cfRule type="cellIs" dxfId="420" priority="1" operator="equal">
      <formula>"n/a"</formula>
    </cfRule>
  </conditionalFormatting>
  <dataValidations count="2">
    <dataValidation type="list" allowBlank="1" showInputMessage="1" showErrorMessage="1" sqref="E14:E1048576" xr:uid="{00000000-0002-0000-0600-000000000000}">
      <formula1>$A$5:$A$30</formula1>
    </dataValidation>
    <dataValidation type="list" allowBlank="1" showInputMessage="1" showErrorMessage="1" sqref="C14:C1048576" xr:uid="{00000000-0002-0000-0600-000001000000}">
      <formula1>$B$5:$B$13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2000000}">
          <x14:formula1>
            <xm:f>'List Values'!$A$5:$A$30</xm:f>
          </x14:formula1>
          <xm:sqref>E7:E13</xm:sqref>
        </x14:dataValidation>
        <x14:dataValidation type="list" allowBlank="1" showInputMessage="1" showErrorMessage="1" xr:uid="{00000000-0002-0000-0600-000003000000}">
          <x14:formula1>
            <xm:f>'List Values'!$B$5:$B$13</xm:f>
          </x14:formula1>
          <xm:sqref>C7:C13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workbookViewId="0">
      <pane xSplit="4" ySplit="6" topLeftCell="M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8.54296875" style="65" customWidth="1"/>
    <col min="4" max="4" width="45.1796875" style="5" customWidth="1"/>
    <col min="5" max="5" width="28.7265625" style="5" customWidth="1"/>
    <col min="6" max="6" width="37" style="5" customWidth="1"/>
    <col min="7" max="7" width="29.26953125" style="5" customWidth="1"/>
    <col min="8" max="8" width="11.54296875" style="6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170</v>
      </c>
      <c r="C1" s="27"/>
      <c r="D1" s="24" t="s">
        <v>436</v>
      </c>
      <c r="H1" s="30"/>
    </row>
    <row r="2" spans="1:16" s="25" customFormat="1" ht="18.5" x14ac:dyDescent="0.35">
      <c r="A2" s="23" t="s">
        <v>7</v>
      </c>
      <c r="B2" s="31" t="s">
        <v>204</v>
      </c>
      <c r="C2" s="30"/>
      <c r="D2" s="31"/>
      <c r="H2" s="30"/>
    </row>
    <row r="3" spans="1:16" s="25" customFormat="1" ht="18.5" x14ac:dyDescent="0.35">
      <c r="A3" s="23" t="s">
        <v>44</v>
      </c>
      <c r="B3" s="83" t="s">
        <v>239</v>
      </c>
      <c r="C3" s="30"/>
      <c r="D3" s="84" t="s">
        <v>437</v>
      </c>
      <c r="H3" s="30"/>
    </row>
    <row r="4" spans="1:16" s="25" customFormat="1" ht="18.5" x14ac:dyDescent="0.35">
      <c r="A4" s="23" t="s">
        <v>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D7" s="85" t="s">
        <v>171</v>
      </c>
      <c r="E7" s="35"/>
      <c r="I7" s="35"/>
    </row>
    <row r="8" spans="1:16" ht="105.75" customHeight="1" x14ac:dyDescent="0.35">
      <c r="D8" s="86" t="s">
        <v>217</v>
      </c>
      <c r="E8" s="35"/>
      <c r="I8" s="35"/>
    </row>
    <row r="9" spans="1:16" x14ac:dyDescent="0.35">
      <c r="C9" s="68"/>
      <c r="D9" s="86" t="s">
        <v>154</v>
      </c>
      <c r="E9" s="35"/>
      <c r="I9" s="35"/>
    </row>
    <row r="10" spans="1:16" x14ac:dyDescent="0.35">
      <c r="C10" s="68"/>
      <c r="D10" s="87" t="s">
        <v>192</v>
      </c>
      <c r="I10" s="35"/>
      <c r="O10" s="35"/>
    </row>
    <row r="11" spans="1:16" x14ac:dyDescent="0.35">
      <c r="C11" s="68"/>
      <c r="D11" s="87" t="s">
        <v>155</v>
      </c>
      <c r="I11" s="35"/>
      <c r="O11" s="34"/>
    </row>
    <row r="12" spans="1:16" s="34" customFormat="1" x14ac:dyDescent="0.35">
      <c r="C12" s="68"/>
      <c r="D12" s="85" t="s">
        <v>54</v>
      </c>
      <c r="H12" s="42"/>
    </row>
  </sheetData>
  <autoFilter ref="A6:P6" xr:uid="{00000000-0009-0000-0000-000007000000}"/>
  <conditionalFormatting sqref="C7:C1048576">
    <cfRule type="cellIs" dxfId="419" priority="21" operator="equal">
      <formula>"WIP (see comments)"</formula>
    </cfRule>
    <cfRule type="cellIs" dxfId="418" priority="22" operator="equal">
      <formula>"Removed"</formula>
    </cfRule>
    <cfRule type="cellIs" dxfId="417" priority="23" operator="equal">
      <formula>"Updated"</formula>
    </cfRule>
    <cfRule type="cellIs" dxfId="416" priority="24" operator="equal">
      <formula>"New"</formula>
    </cfRule>
  </conditionalFormatting>
  <conditionalFormatting sqref="A1:XFD6 A13:XFD1048576 C8:C12">
    <cfRule type="cellIs" dxfId="415" priority="20" operator="equal">
      <formula>"n/a"</formula>
    </cfRule>
  </conditionalFormatting>
  <conditionalFormatting sqref="D8:D9">
    <cfRule type="cellIs" dxfId="414" priority="19" operator="equal">
      <formula>"-"</formula>
    </cfRule>
  </conditionalFormatting>
  <conditionalFormatting sqref="A8:B9 D8:XFD9">
    <cfRule type="cellIs" dxfId="413" priority="18" operator="equal">
      <formula>"n/a"</formula>
    </cfRule>
  </conditionalFormatting>
  <conditionalFormatting sqref="A7:XFD7">
    <cfRule type="cellIs" dxfId="412" priority="13" operator="equal">
      <formula>"n/a"</formula>
    </cfRule>
  </conditionalFormatting>
  <conditionalFormatting sqref="A11:B11 D11:N11 P11:XFD11">
    <cfRule type="cellIs" dxfId="411" priority="12" operator="equal">
      <formula>"n/a"</formula>
    </cfRule>
  </conditionalFormatting>
  <conditionalFormatting sqref="A10:B10 D10:XFD10">
    <cfRule type="cellIs" dxfId="410" priority="11" operator="equal">
      <formula>"n/a"</formula>
    </cfRule>
  </conditionalFormatting>
  <conditionalFormatting sqref="A12:B12 D12:XFD12">
    <cfRule type="cellIs" dxfId="409" priority="2" operator="equal">
      <formula>"n/a"</formula>
    </cfRule>
  </conditionalFormatting>
  <conditionalFormatting sqref="O11">
    <cfRule type="cellIs" dxfId="408" priority="1" operator="equal">
      <formula>"n/a"</formula>
    </cfRule>
  </conditionalFormatting>
  <dataValidations count="3">
    <dataValidation type="list" allowBlank="1" showInputMessage="1" showErrorMessage="1" sqref="C13:C1048576" xr:uid="{00000000-0002-0000-0700-000000000000}">
      <formula1>$B$5:$B$12</formula1>
    </dataValidation>
    <dataValidation type="list" allowBlank="1" showInputMessage="1" showErrorMessage="1" sqref="E10 E12:E1048576" xr:uid="{00000000-0002-0000-0700-000001000000}">
      <formula1>$A$5:$A$26</formula1>
    </dataValidation>
    <dataValidation type="list" allowBlank="1" showInputMessage="1" showErrorMessage="1" sqref="E11" xr:uid="{00000000-0002-0000-0700-000002000000}">
      <formula1>$A$5:$A$27</formula1>
    </dataValidation>
  </dataValidations>
  <hyperlinks>
    <hyperlink ref="D3" location="'F. Resume'!A1" display="See F. Resume (CWBSB-240)" xr:uid="{00000000-0004-0000-07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3000000}">
          <x14:formula1>
            <xm:f>'List Values'!$B$5:$B$13</xm:f>
          </x14:formula1>
          <xm:sqref>C7:C12</xm:sqref>
        </x14:dataValidation>
        <x14:dataValidation type="list" allowBlank="1" showInputMessage="1" showErrorMessage="1" xr:uid="{00000000-0002-0000-0700-000004000000}">
          <x14:formula1>
            <xm:f>'List Values'!$A$5:$A$30</xm:f>
          </x14:formula1>
          <xm:sqref>E7:E9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4" customWidth="1"/>
    <col min="2" max="2" width="12.54296875" style="34" customWidth="1"/>
    <col min="3" max="3" width="13" style="42" customWidth="1"/>
    <col min="4" max="4" width="45.1796875" style="34" customWidth="1"/>
    <col min="5" max="5" width="28.7265625" style="34" customWidth="1"/>
    <col min="6" max="6" width="17" style="34" customWidth="1"/>
    <col min="7" max="7" width="29.26953125" style="34" customWidth="1"/>
    <col min="8" max="8" width="27.81640625" style="34" customWidth="1"/>
    <col min="9" max="9" width="34.81640625" style="34" customWidth="1"/>
    <col min="10" max="10" width="28.1796875" style="34" customWidth="1"/>
    <col min="11" max="11" width="10.7265625" style="34" bestFit="1" customWidth="1"/>
    <col min="12" max="12" width="23" style="34" customWidth="1"/>
    <col min="13" max="13" width="29" style="34" customWidth="1"/>
    <col min="14" max="14" width="18.7265625" style="34" bestFit="1" customWidth="1"/>
    <col min="15" max="15" width="48.453125" style="34" customWidth="1"/>
    <col min="16" max="16" width="41.81640625" style="34" customWidth="1"/>
    <col min="17" max="16384" width="9.1796875" style="34"/>
  </cols>
  <sheetData>
    <row r="1" spans="1:16" s="57" customFormat="1" ht="18.5" x14ac:dyDescent="0.35">
      <c r="A1" s="54" t="s">
        <v>6</v>
      </c>
      <c r="B1" s="55" t="s">
        <v>60</v>
      </c>
      <c r="C1" s="56"/>
      <c r="D1" s="24"/>
    </row>
    <row r="2" spans="1:16" s="57" customFormat="1" ht="18.5" x14ac:dyDescent="0.35">
      <c r="A2" s="54" t="s">
        <v>7</v>
      </c>
      <c r="B2" s="58">
        <v>5</v>
      </c>
      <c r="C2" s="59"/>
      <c r="D2" s="58"/>
    </row>
    <row r="3" spans="1:16" s="57" customFormat="1" ht="18.5" x14ac:dyDescent="0.35">
      <c r="A3" s="54" t="s">
        <v>44</v>
      </c>
      <c r="B3" s="58" t="s">
        <v>231</v>
      </c>
      <c r="C3" s="59"/>
      <c r="D3" s="58" t="s">
        <v>258</v>
      </c>
    </row>
    <row r="4" spans="1:16" s="57" customFormat="1" ht="18.5" x14ac:dyDescent="0.35">
      <c r="A4" s="54" t="s">
        <v>8</v>
      </c>
      <c r="B4" s="57" t="s">
        <v>47</v>
      </c>
      <c r="C4" s="59"/>
    </row>
    <row r="5" spans="1:16" s="60" customFormat="1" x14ac:dyDescent="0.35">
      <c r="C5" s="61"/>
    </row>
    <row r="6" spans="1:16" s="62" customFormat="1" ht="15" thickBot="1" x14ac:dyDescent="0.4">
      <c r="A6" s="62" t="s">
        <v>11</v>
      </c>
      <c r="B6" s="62" t="s">
        <v>12</v>
      </c>
      <c r="C6" s="63" t="s">
        <v>26</v>
      </c>
      <c r="D6" s="62" t="s">
        <v>25</v>
      </c>
      <c r="E6" s="62" t="s">
        <v>13</v>
      </c>
      <c r="F6" s="62" t="s">
        <v>14</v>
      </c>
      <c r="G6" s="62" t="s">
        <v>15</v>
      </c>
      <c r="H6" s="62" t="s">
        <v>16</v>
      </c>
      <c r="I6" s="62" t="s">
        <v>17</v>
      </c>
      <c r="J6" s="62" t="s">
        <v>18</v>
      </c>
      <c r="K6" s="62" t="s">
        <v>19</v>
      </c>
      <c r="L6" s="62" t="s">
        <v>20</v>
      </c>
      <c r="M6" s="62" t="s">
        <v>21</v>
      </c>
      <c r="N6" s="62" t="s">
        <v>22</v>
      </c>
      <c r="O6" s="62" t="s">
        <v>23</v>
      </c>
      <c r="P6" s="62" t="s">
        <v>24</v>
      </c>
    </row>
    <row r="7" spans="1:16" x14ac:dyDescent="0.35">
      <c r="A7" s="34">
        <v>1</v>
      </c>
      <c r="B7" s="34" t="str">
        <f>CONCATENATE($B$2, ".", A7)</f>
        <v>5.1</v>
      </c>
      <c r="C7" s="42" t="s">
        <v>38</v>
      </c>
      <c r="D7" s="34" t="s">
        <v>304</v>
      </c>
      <c r="E7" s="34" t="s">
        <v>349</v>
      </c>
      <c r="F7" s="34" t="s">
        <v>37</v>
      </c>
      <c r="G7" s="34" t="s">
        <v>37</v>
      </c>
      <c r="H7" s="34" t="s">
        <v>37</v>
      </c>
      <c r="I7" s="34" t="s">
        <v>10</v>
      </c>
      <c r="J7" s="35" t="s">
        <v>37</v>
      </c>
      <c r="K7" s="35" t="s">
        <v>37</v>
      </c>
      <c r="L7" s="35" t="s">
        <v>37</v>
      </c>
      <c r="M7" s="35" t="s">
        <v>37</v>
      </c>
      <c r="N7" s="35" t="s">
        <v>37</v>
      </c>
      <c r="O7" s="35" t="s">
        <v>37</v>
      </c>
      <c r="P7" s="34" t="s">
        <v>409</v>
      </c>
    </row>
    <row r="8" spans="1:16" x14ac:dyDescent="0.35">
      <c r="A8" s="34">
        <v>2</v>
      </c>
      <c r="B8" s="34" t="str">
        <f t="shared" ref="B8:B12" si="0">CONCATENATE($B$2, ".", A8)</f>
        <v>5.2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ht="84.75" customHeight="1" x14ac:dyDescent="0.35">
      <c r="A9" s="34">
        <v>3</v>
      </c>
      <c r="B9" s="34" t="str">
        <f t="shared" si="0"/>
        <v>5.3</v>
      </c>
      <c r="C9" s="42" t="s">
        <v>40</v>
      </c>
      <c r="D9" s="34" t="s">
        <v>218</v>
      </c>
      <c r="E9" s="34" t="s">
        <v>34</v>
      </c>
      <c r="F9" s="34" t="s">
        <v>37</v>
      </c>
      <c r="G9" s="34" t="s">
        <v>37</v>
      </c>
      <c r="H9" s="34" t="s">
        <v>37</v>
      </c>
      <c r="I9" s="34" t="s">
        <v>10</v>
      </c>
      <c r="J9" s="35" t="s">
        <v>37</v>
      </c>
      <c r="K9" s="35" t="s">
        <v>37</v>
      </c>
      <c r="L9" s="35" t="s">
        <v>37</v>
      </c>
      <c r="M9" s="35" t="s">
        <v>37</v>
      </c>
      <c r="N9" s="35" t="s">
        <v>37</v>
      </c>
      <c r="O9" s="35" t="s">
        <v>37</v>
      </c>
    </row>
    <row r="10" spans="1:16" ht="53.25" customHeight="1" x14ac:dyDescent="0.35">
      <c r="A10" s="34">
        <v>4</v>
      </c>
      <c r="B10" s="34" t="str">
        <f t="shared" si="0"/>
        <v>5.4</v>
      </c>
      <c r="C10" s="42" t="s">
        <v>40</v>
      </c>
      <c r="D10" s="41" t="s">
        <v>209</v>
      </c>
      <c r="E10" s="34" t="s">
        <v>34</v>
      </c>
      <c r="F10" s="34" t="s">
        <v>37</v>
      </c>
      <c r="G10" s="34" t="s">
        <v>256</v>
      </c>
      <c r="H10" s="34" t="s">
        <v>37</v>
      </c>
      <c r="I10" s="34" t="s">
        <v>10</v>
      </c>
      <c r="J10" s="35" t="s">
        <v>37</v>
      </c>
      <c r="K10" s="35" t="s">
        <v>37</v>
      </c>
      <c r="L10" s="35" t="s">
        <v>37</v>
      </c>
      <c r="M10" s="35" t="s">
        <v>37</v>
      </c>
      <c r="N10" s="35" t="s">
        <v>37</v>
      </c>
      <c r="O10" s="35" t="s">
        <v>37</v>
      </c>
    </row>
    <row r="11" spans="1:16" ht="43.5" x14ac:dyDescent="0.35">
      <c r="A11" s="34">
        <v>5</v>
      </c>
      <c r="B11" s="34" t="str">
        <f t="shared" si="0"/>
        <v>5.5</v>
      </c>
      <c r="C11" s="42" t="s">
        <v>40</v>
      </c>
      <c r="D11" s="41" t="s">
        <v>233</v>
      </c>
      <c r="E11" s="34" t="s">
        <v>34</v>
      </c>
      <c r="F11" s="34" t="s">
        <v>37</v>
      </c>
      <c r="G11" s="34" t="s">
        <v>232</v>
      </c>
      <c r="H11" s="34" t="s">
        <v>37</v>
      </c>
      <c r="I11" s="34" t="s">
        <v>10</v>
      </c>
      <c r="J11" s="35" t="s">
        <v>37</v>
      </c>
      <c r="K11" s="35" t="s">
        <v>37</v>
      </c>
      <c r="L11" s="35" t="s">
        <v>37</v>
      </c>
      <c r="M11" s="35" t="s">
        <v>37</v>
      </c>
      <c r="N11" s="35" t="s">
        <v>37</v>
      </c>
      <c r="O11" s="35" t="s">
        <v>37</v>
      </c>
      <c r="P11" s="34" t="s">
        <v>235</v>
      </c>
    </row>
    <row r="12" spans="1:16" ht="29" x14ac:dyDescent="0.35">
      <c r="A12" s="34">
        <v>6</v>
      </c>
      <c r="B12" s="34" t="str">
        <f t="shared" si="0"/>
        <v>5.6</v>
      </c>
      <c r="C12" s="42" t="s">
        <v>40</v>
      </c>
      <c r="D12" s="41" t="s">
        <v>210</v>
      </c>
      <c r="E12" s="34" t="s">
        <v>34</v>
      </c>
      <c r="F12" s="34" t="s">
        <v>37</v>
      </c>
      <c r="G12" s="34" t="s">
        <v>113</v>
      </c>
      <c r="H12" s="34" t="s">
        <v>37</v>
      </c>
      <c r="I12" s="34" t="s">
        <v>10</v>
      </c>
      <c r="J12" s="35" t="s">
        <v>37</v>
      </c>
      <c r="K12" s="35" t="s">
        <v>37</v>
      </c>
      <c r="L12" s="35" t="s">
        <v>37</v>
      </c>
      <c r="M12" s="35" t="s">
        <v>37</v>
      </c>
      <c r="N12" s="35" t="s">
        <v>37</v>
      </c>
      <c r="O12" s="35" t="s">
        <v>37</v>
      </c>
    </row>
    <row r="13" spans="1:16" ht="95.25" hidden="1" customHeight="1" x14ac:dyDescent="0.35">
      <c r="C13" s="42" t="s">
        <v>41</v>
      </c>
      <c r="D13" s="41" t="s">
        <v>211</v>
      </c>
      <c r="E13" s="34" t="s">
        <v>34</v>
      </c>
      <c r="F13" s="34" t="s">
        <v>37</v>
      </c>
      <c r="G13" s="34" t="s">
        <v>114</v>
      </c>
      <c r="H13" s="34" t="s">
        <v>37</v>
      </c>
      <c r="I13" s="34" t="s">
        <v>10</v>
      </c>
      <c r="J13" s="35" t="s">
        <v>37</v>
      </c>
      <c r="K13" s="35" t="s">
        <v>37</v>
      </c>
      <c r="L13" s="35" t="s">
        <v>37</v>
      </c>
      <c r="M13" s="35" t="s">
        <v>37</v>
      </c>
      <c r="N13" s="35" t="s">
        <v>37</v>
      </c>
      <c r="O13" s="35" t="s">
        <v>37</v>
      </c>
      <c r="P13" s="34" t="s">
        <v>234</v>
      </c>
    </row>
    <row r="14" spans="1:16" ht="95.25" customHeight="1" x14ac:dyDescent="0.35">
      <c r="A14" s="34">
        <v>7</v>
      </c>
      <c r="B14" s="34" t="str">
        <f t="shared" ref="B14" si="1">CONCATENATE($B$2, ".", A14)</f>
        <v>5.7</v>
      </c>
      <c r="C14" s="42" t="s">
        <v>40</v>
      </c>
      <c r="D14" s="41" t="s">
        <v>212</v>
      </c>
      <c r="E14" s="34" t="s">
        <v>34</v>
      </c>
      <c r="F14" s="34" t="s">
        <v>37</v>
      </c>
      <c r="G14" s="34" t="s">
        <v>219</v>
      </c>
      <c r="H14" s="36" t="s">
        <v>37</v>
      </c>
      <c r="I14" s="34" t="s">
        <v>10</v>
      </c>
      <c r="J14" s="34" t="s">
        <v>37</v>
      </c>
      <c r="K14" s="34" t="s">
        <v>37</v>
      </c>
      <c r="L14" s="34" t="s">
        <v>37</v>
      </c>
      <c r="M14" s="34" t="s">
        <v>37</v>
      </c>
      <c r="N14" s="34" t="s">
        <v>37</v>
      </c>
      <c r="O14" s="35" t="s">
        <v>37</v>
      </c>
    </row>
    <row r="15" spans="1:16" ht="142.5" customHeight="1" x14ac:dyDescent="0.35">
      <c r="A15" s="34">
        <v>8</v>
      </c>
      <c r="B15" s="34" t="str">
        <f t="shared" ref="B15:B17" si="2">CONCATENATE($B$2, ".", A15)</f>
        <v>5.8</v>
      </c>
      <c r="C15" s="42" t="s">
        <v>38</v>
      </c>
      <c r="D15" s="34" t="s">
        <v>257</v>
      </c>
      <c r="E15" s="34" t="s">
        <v>30</v>
      </c>
      <c r="F15" s="34" t="s">
        <v>59</v>
      </c>
      <c r="G15" s="34" t="s">
        <v>37</v>
      </c>
      <c r="H15" s="34" t="s">
        <v>37</v>
      </c>
      <c r="I15" s="34" t="s">
        <v>10</v>
      </c>
      <c r="J15" s="35" t="s">
        <v>97</v>
      </c>
      <c r="K15" s="35" t="s">
        <v>51</v>
      </c>
      <c r="L15" s="35" t="s">
        <v>536</v>
      </c>
      <c r="M15" s="35" t="s">
        <v>37</v>
      </c>
      <c r="N15" s="35" t="s">
        <v>37</v>
      </c>
      <c r="O15" s="35" t="s">
        <v>488</v>
      </c>
    </row>
    <row r="16" spans="1:16" ht="72.5" x14ac:dyDescent="0.35">
      <c r="A16" s="34">
        <v>9</v>
      </c>
      <c r="B16" s="34" t="str">
        <f t="shared" si="2"/>
        <v>5.9</v>
      </c>
      <c r="C16" s="42" t="s">
        <v>40</v>
      </c>
      <c r="D16" s="34" t="s">
        <v>55</v>
      </c>
      <c r="E16" s="34" t="s">
        <v>43</v>
      </c>
      <c r="F16" s="34" t="s">
        <v>37</v>
      </c>
      <c r="G16" s="34" t="s">
        <v>37</v>
      </c>
      <c r="H16" s="34" t="s">
        <v>37</v>
      </c>
      <c r="I16" s="34" t="s">
        <v>10</v>
      </c>
      <c r="J16" s="34" t="s">
        <v>37</v>
      </c>
      <c r="K16" s="34" t="s">
        <v>37</v>
      </c>
      <c r="L16" s="34" t="s">
        <v>37</v>
      </c>
      <c r="M16" s="34" t="s">
        <v>37</v>
      </c>
      <c r="N16" s="34" t="s">
        <v>37</v>
      </c>
      <c r="O16" s="34" t="s">
        <v>489</v>
      </c>
    </row>
    <row r="17" spans="1:15" ht="29" x14ac:dyDescent="0.35">
      <c r="A17" s="34">
        <v>10</v>
      </c>
      <c r="B17" s="34" t="str">
        <f t="shared" si="2"/>
        <v>5.10</v>
      </c>
      <c r="C17" s="42" t="s">
        <v>40</v>
      </c>
      <c r="D17" s="34" t="s">
        <v>54</v>
      </c>
      <c r="E17" s="34" t="s">
        <v>43</v>
      </c>
      <c r="F17" s="34" t="s">
        <v>37</v>
      </c>
      <c r="G17" s="34" t="s">
        <v>37</v>
      </c>
      <c r="H17" s="34" t="s">
        <v>37</v>
      </c>
      <c r="I17" s="34" t="s">
        <v>10</v>
      </c>
      <c r="J17" s="34" t="s">
        <v>37</v>
      </c>
      <c r="K17" s="34" t="s">
        <v>37</v>
      </c>
      <c r="L17" s="34" t="s">
        <v>37</v>
      </c>
      <c r="M17" s="34" t="s">
        <v>37</v>
      </c>
      <c r="N17" s="34" t="s">
        <v>37</v>
      </c>
      <c r="O17" s="34" t="s">
        <v>240</v>
      </c>
    </row>
  </sheetData>
  <conditionalFormatting sqref="C18:C1048576 C7:C14">
    <cfRule type="cellIs" dxfId="407" priority="57" operator="equal">
      <formula>"WIP (see comments)"</formula>
    </cfRule>
    <cfRule type="cellIs" dxfId="406" priority="58" operator="equal">
      <formula>"Removed"</formula>
    </cfRule>
    <cfRule type="cellIs" dxfId="405" priority="59" operator="equal">
      <formula>"Updated"</formula>
    </cfRule>
    <cfRule type="cellIs" dxfId="404" priority="60" operator="equal">
      <formula>"New"</formula>
    </cfRule>
  </conditionalFormatting>
  <conditionalFormatting sqref="C7:C14">
    <cfRule type="cellIs" dxfId="403" priority="49" operator="equal">
      <formula>"WIP (see comments)"</formula>
    </cfRule>
    <cfRule type="cellIs" dxfId="402" priority="50" operator="equal">
      <formula>"Removed"</formula>
    </cfRule>
    <cfRule type="cellIs" dxfId="401" priority="51" operator="equal">
      <formula>"Updated"</formula>
    </cfRule>
    <cfRule type="cellIs" dxfId="400" priority="52" operator="equal">
      <formula>"New"</formula>
    </cfRule>
  </conditionalFormatting>
  <conditionalFormatting sqref="A18:XFD1048576 P14:XFD14 D15:XFD17 C14 A1:C1 E1:XFD1 A2:XFD2 A4:XFD13 A3:C3 E3:XFD3">
    <cfRule type="cellIs" dxfId="399" priority="44" operator="equal">
      <formula>"n/a"</formula>
    </cfRule>
  </conditionalFormatting>
  <conditionalFormatting sqref="C15:C17">
    <cfRule type="cellIs" dxfId="398" priority="21" operator="equal">
      <formula>"WIP (see comments)"</formula>
    </cfRule>
    <cfRule type="cellIs" dxfId="397" priority="22" operator="equal">
      <formula>"Removed"</formula>
    </cfRule>
    <cfRule type="cellIs" dxfId="396" priority="23" operator="equal">
      <formula>"Updated"</formula>
    </cfRule>
    <cfRule type="cellIs" dxfId="395" priority="24" operator="equal">
      <formula>"New"</formula>
    </cfRule>
  </conditionalFormatting>
  <conditionalFormatting sqref="D14:O14">
    <cfRule type="cellIs" dxfId="394" priority="38" operator="equal">
      <formula>"n/a"</formula>
    </cfRule>
  </conditionalFormatting>
  <conditionalFormatting sqref="C15:C17">
    <cfRule type="cellIs" dxfId="393" priority="25" operator="equal">
      <formula>"WIP (see comments)"</formula>
    </cfRule>
    <cfRule type="cellIs" dxfId="392" priority="26" operator="equal">
      <formula>"Removed"</formula>
    </cfRule>
    <cfRule type="cellIs" dxfId="391" priority="27" operator="equal">
      <formula>"Updated"</formula>
    </cfRule>
    <cfRule type="cellIs" dxfId="390" priority="28" operator="equal">
      <formula>"New"</formula>
    </cfRule>
  </conditionalFormatting>
  <conditionalFormatting sqref="C15:C17">
    <cfRule type="cellIs" dxfId="389" priority="20" operator="equal">
      <formula>"n/a"</formula>
    </cfRule>
  </conditionalFormatting>
  <conditionalFormatting sqref="D1">
    <cfRule type="cellIs" dxfId="388" priority="9" operator="equal">
      <formula>"n/a"</formula>
    </cfRule>
  </conditionalFormatting>
  <conditionalFormatting sqref="D3">
    <cfRule type="cellIs" dxfId="387" priority="8" operator="equal">
      <formula>"n/a"</formula>
    </cfRule>
  </conditionalFormatting>
  <conditionalFormatting sqref="A14:B17">
    <cfRule type="cellIs" dxfId="386" priority="7" operator="equal">
      <formula>"n/a"</formula>
    </cfRule>
  </conditionalFormatting>
  <dataValidations count="2">
    <dataValidation type="list" allowBlank="1" showInputMessage="1" showErrorMessage="1" sqref="E18:E1048576" xr:uid="{00000000-0002-0000-0800-000000000000}">
      <formula1>$A$5:$A$30</formula1>
    </dataValidation>
    <dataValidation type="list" allowBlank="1" showInputMessage="1" showErrorMessage="1" sqref="C18:C1048576" xr:uid="{00000000-0002-0000-0800-000001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2000000}">
          <x14:formula1>
            <xm:f>'List Values'!$A$5:$A$30</xm:f>
          </x14:formula1>
          <xm:sqref>E7:E17</xm:sqref>
        </x14:dataValidation>
        <x14:dataValidation type="list" allowBlank="1" showInputMessage="1" showErrorMessage="1" xr:uid="{00000000-0002-0000-0800-000003000000}">
          <x14:formula1>
            <xm:f>'List Values'!$B$5:$B$13</xm:f>
          </x14:formula1>
          <xm:sqref>C7:C17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3"/>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62</v>
      </c>
      <c r="C1" s="27"/>
      <c r="D1" s="24"/>
    </row>
    <row r="2" spans="1:16" s="25" customFormat="1" ht="18.5" x14ac:dyDescent="0.35">
      <c r="A2" s="23" t="s">
        <v>7</v>
      </c>
      <c r="B2" s="31">
        <v>6</v>
      </c>
      <c r="C2" s="30"/>
      <c r="D2" s="31"/>
    </row>
    <row r="3" spans="1:16" s="25" customFormat="1" ht="18.5" x14ac:dyDescent="0.35">
      <c r="A3" s="23" t="s">
        <v>44</v>
      </c>
      <c r="B3" s="31" t="s">
        <v>228</v>
      </c>
      <c r="C3" s="30"/>
      <c r="D3" s="58" t="s">
        <v>230</v>
      </c>
    </row>
    <row r="4" spans="1:16" s="25" customFormat="1" ht="18.5" x14ac:dyDescent="0.35">
      <c r="A4" s="23" t="s">
        <v>8</v>
      </c>
      <c r="B4" s="25" t="s">
        <v>47</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43" customFormat="1" x14ac:dyDescent="0.35">
      <c r="A7" s="43">
        <v>1</v>
      </c>
      <c r="B7" s="43" t="str">
        <f>CONCATENATE($B$2, ".", A7)</f>
        <v>6.1</v>
      </c>
      <c r="C7" s="44" t="s">
        <v>38</v>
      </c>
      <c r="D7" s="45" t="s">
        <v>410</v>
      </c>
      <c r="E7" s="43" t="s">
        <v>349</v>
      </c>
      <c r="F7" s="43" t="s">
        <v>37</v>
      </c>
      <c r="G7" s="43" t="s">
        <v>37</v>
      </c>
      <c r="H7" s="43" t="s">
        <v>37</v>
      </c>
      <c r="I7" s="45" t="s">
        <v>10</v>
      </c>
      <c r="J7" s="43" t="s">
        <v>37</v>
      </c>
      <c r="K7" s="43" t="s">
        <v>37</v>
      </c>
      <c r="L7" s="43" t="s">
        <v>37</v>
      </c>
      <c r="M7" s="43" t="s">
        <v>37</v>
      </c>
      <c r="N7" s="43" t="s">
        <v>37</v>
      </c>
      <c r="O7" s="43" t="s">
        <v>37</v>
      </c>
      <c r="P7" s="43" t="s">
        <v>409</v>
      </c>
    </row>
    <row r="8" spans="1:16" s="43" customFormat="1" x14ac:dyDescent="0.35">
      <c r="A8" s="43">
        <v>2</v>
      </c>
      <c r="B8" s="43" t="str">
        <f t="shared" ref="B8:B13" si="0">CONCATENATE($B$2, ".", A8)</f>
        <v>6.2</v>
      </c>
      <c r="C8" s="47" t="s">
        <v>40</v>
      </c>
      <c r="D8" s="45" t="s">
        <v>37</v>
      </c>
      <c r="E8" s="45" t="s">
        <v>48</v>
      </c>
      <c r="F8" s="43" t="s">
        <v>37</v>
      </c>
      <c r="G8" s="43" t="s">
        <v>37</v>
      </c>
      <c r="H8" s="43" t="s">
        <v>37</v>
      </c>
      <c r="I8" s="45" t="s">
        <v>10</v>
      </c>
      <c r="J8" s="43" t="s">
        <v>37</v>
      </c>
      <c r="K8" s="43" t="s">
        <v>37</v>
      </c>
      <c r="L8" s="43" t="s">
        <v>37</v>
      </c>
      <c r="M8" s="43" t="s">
        <v>37</v>
      </c>
      <c r="N8" s="43" t="s">
        <v>37</v>
      </c>
      <c r="O8" s="43" t="s">
        <v>37</v>
      </c>
    </row>
    <row r="9" spans="1:16" s="43" customFormat="1" ht="84.75" customHeight="1" x14ac:dyDescent="0.35">
      <c r="A9" s="43">
        <v>3</v>
      </c>
      <c r="B9" s="43" t="str">
        <f t="shared" si="0"/>
        <v>6.3</v>
      </c>
      <c r="C9" s="47" t="s">
        <v>38</v>
      </c>
      <c r="D9" s="45" t="s">
        <v>292</v>
      </c>
      <c r="E9" s="45" t="s">
        <v>34</v>
      </c>
      <c r="F9" s="43" t="s">
        <v>37</v>
      </c>
      <c r="G9" s="43" t="s">
        <v>37</v>
      </c>
      <c r="H9" s="43" t="s">
        <v>37</v>
      </c>
      <c r="I9" s="45" t="s">
        <v>10</v>
      </c>
      <c r="J9" s="43" t="s">
        <v>37</v>
      </c>
      <c r="K9" s="43" t="s">
        <v>37</v>
      </c>
      <c r="L9" s="43" t="s">
        <v>37</v>
      </c>
      <c r="M9" s="43" t="s">
        <v>37</v>
      </c>
      <c r="N9" s="43" t="s">
        <v>37</v>
      </c>
      <c r="O9" s="43" t="s">
        <v>37</v>
      </c>
      <c r="P9" s="43" t="s">
        <v>293</v>
      </c>
    </row>
    <row r="10" spans="1:16" ht="99" customHeight="1" x14ac:dyDescent="0.35">
      <c r="A10" s="6">
        <v>4</v>
      </c>
      <c r="B10" s="43" t="str">
        <f t="shared" si="0"/>
        <v>6.4</v>
      </c>
      <c r="C10" s="47" t="s">
        <v>40</v>
      </c>
      <c r="D10" s="6" t="s">
        <v>37</v>
      </c>
      <c r="E10" s="6" t="s">
        <v>145</v>
      </c>
      <c r="F10" s="43" t="s">
        <v>37</v>
      </c>
      <c r="G10" s="43" t="s">
        <v>37</v>
      </c>
      <c r="H10" s="43" t="s">
        <v>37</v>
      </c>
      <c r="I10" s="45" t="s">
        <v>10</v>
      </c>
      <c r="J10" s="43" t="s">
        <v>37</v>
      </c>
      <c r="K10" s="109" t="s">
        <v>147</v>
      </c>
      <c r="L10" s="110" t="s">
        <v>148</v>
      </c>
      <c r="M10" s="43" t="s">
        <v>37</v>
      </c>
      <c r="N10" s="43" t="s">
        <v>37</v>
      </c>
      <c r="O10" s="35" t="s">
        <v>149</v>
      </c>
    </row>
    <row r="11" spans="1:16" ht="57.75" customHeight="1" x14ac:dyDescent="0.35">
      <c r="A11" s="6">
        <v>5</v>
      </c>
      <c r="B11" s="6" t="str">
        <f t="shared" si="0"/>
        <v>6.5</v>
      </c>
      <c r="C11" s="47" t="s">
        <v>38</v>
      </c>
      <c r="D11" s="6" t="s">
        <v>490</v>
      </c>
      <c r="E11" s="6" t="s">
        <v>30</v>
      </c>
      <c r="F11" s="6" t="s">
        <v>59</v>
      </c>
      <c r="G11" s="43" t="s">
        <v>37</v>
      </c>
      <c r="H11" s="43" t="s">
        <v>37</v>
      </c>
      <c r="I11" s="45" t="s">
        <v>10</v>
      </c>
      <c r="J11" s="5" t="s">
        <v>146</v>
      </c>
      <c r="K11" s="109"/>
      <c r="L11" s="110"/>
      <c r="M11" s="43" t="s">
        <v>37</v>
      </c>
      <c r="N11" s="43" t="s">
        <v>37</v>
      </c>
      <c r="O11" s="35" t="s">
        <v>150</v>
      </c>
    </row>
    <row r="12" spans="1:16" ht="57.75" customHeight="1" x14ac:dyDescent="0.35">
      <c r="A12" s="6">
        <v>6</v>
      </c>
      <c r="B12" s="6" t="str">
        <f t="shared" si="0"/>
        <v>6.6</v>
      </c>
      <c r="C12" s="67" t="s">
        <v>40</v>
      </c>
      <c r="D12" s="6" t="s">
        <v>491</v>
      </c>
      <c r="E12" s="6" t="s">
        <v>34</v>
      </c>
      <c r="F12" s="6" t="s">
        <v>37</v>
      </c>
      <c r="G12" s="43" t="s">
        <v>37</v>
      </c>
      <c r="H12" s="43" t="s">
        <v>37</v>
      </c>
      <c r="I12" s="45" t="s">
        <v>10</v>
      </c>
      <c r="J12" s="5" t="s">
        <v>37</v>
      </c>
      <c r="K12" s="5" t="s">
        <v>37</v>
      </c>
      <c r="L12" s="5" t="s">
        <v>37</v>
      </c>
      <c r="M12" s="5" t="s">
        <v>37</v>
      </c>
      <c r="N12" s="5" t="s">
        <v>37</v>
      </c>
      <c r="O12" s="5" t="s">
        <v>37</v>
      </c>
    </row>
    <row r="13" spans="1:16" ht="57.75" customHeight="1" x14ac:dyDescent="0.35">
      <c r="A13" s="6">
        <v>7</v>
      </c>
      <c r="B13" s="6" t="str">
        <f t="shared" si="0"/>
        <v>6.7</v>
      </c>
      <c r="C13" s="67" t="s">
        <v>40</v>
      </c>
      <c r="D13" s="6" t="s">
        <v>193</v>
      </c>
      <c r="E13" s="6" t="s">
        <v>115</v>
      </c>
      <c r="F13" s="6" t="s">
        <v>37</v>
      </c>
      <c r="G13" s="43" t="s">
        <v>37</v>
      </c>
      <c r="H13" s="43" t="s">
        <v>37</v>
      </c>
      <c r="I13" s="45" t="s">
        <v>10</v>
      </c>
      <c r="J13" s="5" t="s">
        <v>37</v>
      </c>
      <c r="K13" s="5" t="s">
        <v>37</v>
      </c>
      <c r="L13" s="5" t="s">
        <v>37</v>
      </c>
      <c r="M13" s="5" t="s">
        <v>37</v>
      </c>
      <c r="N13" s="5" t="s">
        <v>37</v>
      </c>
      <c r="O13" s="5" t="s">
        <v>37</v>
      </c>
    </row>
    <row r="14" spans="1:16" ht="29" x14ac:dyDescent="0.35">
      <c r="A14" s="6">
        <v>8</v>
      </c>
      <c r="B14" s="6" t="str">
        <f>CONCATENATE($B$2, ".", A14)</f>
        <v>6.8</v>
      </c>
      <c r="C14" s="47" t="s">
        <v>40</v>
      </c>
      <c r="D14" s="6" t="s">
        <v>55</v>
      </c>
      <c r="E14" s="6" t="s">
        <v>43</v>
      </c>
      <c r="F14" s="6" t="s">
        <v>37</v>
      </c>
      <c r="G14" s="6" t="s">
        <v>37</v>
      </c>
      <c r="H14" s="6" t="s">
        <v>37</v>
      </c>
      <c r="I14" s="6" t="s">
        <v>10</v>
      </c>
      <c r="J14" s="6" t="s">
        <v>37</v>
      </c>
      <c r="K14" s="6" t="s">
        <v>37</v>
      </c>
      <c r="L14" s="6" t="s">
        <v>37</v>
      </c>
      <c r="M14" s="6" t="s">
        <v>37</v>
      </c>
      <c r="N14" s="6" t="s">
        <v>37</v>
      </c>
      <c r="O14" s="6" t="s">
        <v>244</v>
      </c>
    </row>
    <row r="15" spans="1:16" ht="29" x14ac:dyDescent="0.35">
      <c r="A15" s="6">
        <v>9</v>
      </c>
      <c r="B15" s="6" t="str">
        <f t="shared" ref="B15" si="1">CONCATENATE($B$2, ".", A15)</f>
        <v>6.9</v>
      </c>
      <c r="C15" s="47" t="s">
        <v>40</v>
      </c>
      <c r="D15" s="6" t="s">
        <v>54</v>
      </c>
      <c r="E15" s="6" t="s">
        <v>43</v>
      </c>
      <c r="F15" s="6" t="s">
        <v>37</v>
      </c>
      <c r="G15" s="6" t="s">
        <v>37</v>
      </c>
      <c r="H15" s="6" t="s">
        <v>37</v>
      </c>
      <c r="I15" s="6" t="s">
        <v>10</v>
      </c>
      <c r="J15" s="6" t="s">
        <v>37</v>
      </c>
      <c r="K15" s="6" t="s">
        <v>37</v>
      </c>
      <c r="L15" s="6" t="s">
        <v>37</v>
      </c>
      <c r="M15" s="6" t="s">
        <v>37</v>
      </c>
      <c r="N15" s="6" t="s">
        <v>37</v>
      </c>
      <c r="O15" s="6" t="s">
        <v>229</v>
      </c>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row r="21" spans="9:15" x14ac:dyDescent="0.35">
      <c r="I21" s="34"/>
      <c r="J21" s="5"/>
      <c r="K21" s="5"/>
      <c r="L21" s="35"/>
      <c r="M21" s="35"/>
      <c r="N21" s="35"/>
      <c r="O21" s="35"/>
    </row>
    <row r="22" spans="9:15" x14ac:dyDescent="0.35">
      <c r="I22" s="34"/>
      <c r="J22" s="5"/>
      <c r="K22" s="5"/>
      <c r="L22" s="35"/>
      <c r="M22" s="35"/>
      <c r="N22" s="35"/>
      <c r="O22" s="35"/>
    </row>
    <row r="23" spans="9:15" x14ac:dyDescent="0.35">
      <c r="I23" s="34"/>
      <c r="J23" s="5"/>
      <c r="K23" s="5"/>
      <c r="L23" s="35"/>
      <c r="M23" s="35"/>
      <c r="N23" s="35"/>
      <c r="O23" s="35"/>
    </row>
  </sheetData>
  <mergeCells count="2">
    <mergeCell ref="K10:K11"/>
    <mergeCell ref="L10:L11"/>
  </mergeCells>
  <conditionalFormatting sqref="C16:C1048576">
    <cfRule type="cellIs" dxfId="385" priority="56" operator="equal">
      <formula>"WIP (see comments)"</formula>
    </cfRule>
    <cfRule type="cellIs" dxfId="384" priority="57" operator="equal">
      <formula>"Removed"</formula>
    </cfRule>
    <cfRule type="cellIs" dxfId="383" priority="58" operator="equal">
      <formula>"Updated"</formula>
    </cfRule>
    <cfRule type="cellIs" dxfId="382" priority="59" operator="equal">
      <formula>"New"</formula>
    </cfRule>
  </conditionalFormatting>
  <conditionalFormatting sqref="C7:C15">
    <cfRule type="cellIs" dxfId="381" priority="40" operator="equal">
      <formula>"WIP (see comments)"</formula>
    </cfRule>
    <cfRule type="cellIs" dxfId="380" priority="41" operator="equal">
      <formula>"Removed"</formula>
    </cfRule>
    <cfRule type="cellIs" dxfId="379" priority="42" operator="equal">
      <formula>"Updated"</formula>
    </cfRule>
    <cfRule type="cellIs" dxfId="378" priority="43" operator="equal">
      <formula>"New"</formula>
    </cfRule>
  </conditionalFormatting>
  <conditionalFormatting sqref="A2:XFD2 A16:XFD1048576 M11:XFD11 D11:J11 A8:B13 D8:XFD10 P12:XFD13 C8:C15 A1:C1 E1:XFD1 A4:XFD7 A3:C3 E3:XFD3">
    <cfRule type="cellIs" dxfId="377" priority="38" operator="equal">
      <formula>"n/a"</formula>
    </cfRule>
  </conditionalFormatting>
  <conditionalFormatting sqref="A14:B15 D14:XFD15">
    <cfRule type="cellIs" dxfId="376" priority="24" operator="equal">
      <formula>"n/a"</formula>
    </cfRule>
  </conditionalFormatting>
  <conditionalFormatting sqref="J13:K13 J12 D12:I13">
    <cfRule type="cellIs" dxfId="375" priority="19" operator="equal">
      <formula>"n/a"</formula>
    </cfRule>
  </conditionalFormatting>
  <conditionalFormatting sqref="K12">
    <cfRule type="cellIs" dxfId="374" priority="18" operator="equal">
      <formula>"n/a"</formula>
    </cfRule>
  </conditionalFormatting>
  <conditionalFormatting sqref="L13">
    <cfRule type="cellIs" dxfId="373" priority="17" operator="equal">
      <formula>"n/a"</formula>
    </cfRule>
  </conditionalFormatting>
  <conditionalFormatting sqref="L12">
    <cfRule type="cellIs" dxfId="372" priority="16" operator="equal">
      <formula>"n/a"</formula>
    </cfRule>
  </conditionalFormatting>
  <conditionalFormatting sqref="M13">
    <cfRule type="cellIs" dxfId="371" priority="15" operator="equal">
      <formula>"n/a"</formula>
    </cfRule>
  </conditionalFormatting>
  <conditionalFormatting sqref="M12">
    <cfRule type="cellIs" dxfId="370" priority="14" operator="equal">
      <formula>"n/a"</formula>
    </cfRule>
  </conditionalFormatting>
  <conditionalFormatting sqref="N13">
    <cfRule type="cellIs" dxfId="369" priority="13" operator="equal">
      <formula>"n/a"</formula>
    </cfRule>
  </conditionalFormatting>
  <conditionalFormatting sqref="N12">
    <cfRule type="cellIs" dxfId="368" priority="12" operator="equal">
      <formula>"n/a"</formula>
    </cfRule>
  </conditionalFormatting>
  <conditionalFormatting sqref="O13">
    <cfRule type="cellIs" dxfId="367" priority="11" operator="equal">
      <formula>"n/a"</formula>
    </cfRule>
  </conditionalFormatting>
  <conditionalFormatting sqref="O12">
    <cfRule type="cellIs" dxfId="366" priority="10" operator="equal">
      <formula>"n/a"</formula>
    </cfRule>
  </conditionalFormatting>
  <conditionalFormatting sqref="D1">
    <cfRule type="cellIs" dxfId="365" priority="8" operator="equal">
      <formula>"n/a"</formula>
    </cfRule>
  </conditionalFormatting>
  <conditionalFormatting sqref="D3">
    <cfRule type="cellIs" dxfId="364" priority="7" operator="equal">
      <formula>"n/a"</formula>
    </cfRule>
  </conditionalFormatting>
  <dataValidations count="2">
    <dataValidation type="list" allowBlank="1" showInputMessage="1" showErrorMessage="1" sqref="C16:C1048576" xr:uid="{00000000-0002-0000-0900-000000000000}">
      <formula1>$B$5:$B$12</formula1>
    </dataValidation>
    <dataValidation type="list" allowBlank="1" showInputMessage="1" showErrorMessage="1" sqref="E16:E1048576" xr:uid="{00000000-0002-0000-0900-000001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2000000}">
          <x14:formula1>
            <xm:f>'List Values'!$B$5:$B$12</xm:f>
          </x14:formula1>
          <xm:sqref>C7:C15</xm:sqref>
        </x14:dataValidation>
        <x14:dataValidation type="list" allowBlank="1" showInputMessage="1" showErrorMessage="1" xr:uid="{00000000-0002-0000-0900-000003000000}">
          <x14:formula1>
            <xm:f>'List Values'!$A$5:$A$31</xm:f>
          </x14:formula1>
          <xm:sqref>E7:E15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1"/>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242</v>
      </c>
      <c r="C1" s="27"/>
      <c r="D1" s="33" t="s">
        <v>249</v>
      </c>
    </row>
    <row r="2" spans="1:16" s="25" customFormat="1" ht="18.5" x14ac:dyDescent="0.35">
      <c r="A2" s="23" t="s">
        <v>7</v>
      </c>
      <c r="B2" s="31">
        <v>7</v>
      </c>
      <c r="C2" s="30"/>
      <c r="D2" s="31"/>
    </row>
    <row r="3" spans="1:16" s="25" customFormat="1" ht="18.5" x14ac:dyDescent="0.35">
      <c r="A3" s="23" t="s">
        <v>44</v>
      </c>
      <c r="B3" s="31" t="s">
        <v>241</v>
      </c>
      <c r="C3" s="30"/>
      <c r="D3" s="58" t="s">
        <v>393</v>
      </c>
    </row>
    <row r="4" spans="1:16" s="25" customFormat="1" ht="18.5" x14ac:dyDescent="0.35">
      <c r="A4" s="23" t="s">
        <v>8</v>
      </c>
      <c r="B4" s="25" t="s">
        <v>47</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34" customFormat="1" x14ac:dyDescent="0.35">
      <c r="A7" s="34">
        <v>1</v>
      </c>
      <c r="B7" s="34" t="str">
        <f t="shared" ref="B7:B10" si="0">CONCATENATE($B$2, ".", A7)</f>
        <v>7.1</v>
      </c>
      <c r="C7" s="42" t="s">
        <v>38</v>
      </c>
      <c r="D7" s="34" t="s">
        <v>411</v>
      </c>
      <c r="E7" s="34" t="s">
        <v>349</v>
      </c>
      <c r="F7" s="6" t="s">
        <v>37</v>
      </c>
      <c r="G7" s="6" t="s">
        <v>37</v>
      </c>
      <c r="H7" s="6" t="s">
        <v>37</v>
      </c>
      <c r="I7" s="34" t="s">
        <v>10</v>
      </c>
      <c r="J7" s="6" t="s">
        <v>37</v>
      </c>
      <c r="K7" s="6" t="s">
        <v>37</v>
      </c>
      <c r="L7" s="6" t="s">
        <v>37</v>
      </c>
      <c r="M7" s="6" t="s">
        <v>37</v>
      </c>
      <c r="N7" s="6" t="s">
        <v>37</v>
      </c>
      <c r="O7" s="6" t="s">
        <v>37</v>
      </c>
      <c r="P7" s="34" t="s">
        <v>412</v>
      </c>
    </row>
    <row r="8" spans="1:16" s="34" customFormat="1" x14ac:dyDescent="0.35">
      <c r="A8" s="34">
        <v>2</v>
      </c>
      <c r="B8" s="34" t="str">
        <f t="shared" si="0"/>
        <v>7.2</v>
      </c>
      <c r="C8" s="42" t="s">
        <v>40</v>
      </c>
      <c r="D8" s="34" t="s">
        <v>37</v>
      </c>
      <c r="E8" s="34" t="s">
        <v>48</v>
      </c>
      <c r="F8" s="6" t="s">
        <v>37</v>
      </c>
      <c r="G8" s="6" t="s">
        <v>37</v>
      </c>
      <c r="H8" s="6" t="s">
        <v>37</v>
      </c>
      <c r="I8" s="34" t="s">
        <v>10</v>
      </c>
      <c r="J8" s="6" t="s">
        <v>37</v>
      </c>
      <c r="K8" s="6" t="s">
        <v>37</v>
      </c>
      <c r="L8" s="6" t="s">
        <v>37</v>
      </c>
      <c r="M8" s="6" t="s">
        <v>37</v>
      </c>
      <c r="N8" s="6" t="s">
        <v>37</v>
      </c>
      <c r="O8" s="6" t="s">
        <v>37</v>
      </c>
    </row>
    <row r="9" spans="1:16" s="34" customFormat="1" ht="72.5" x14ac:dyDescent="0.35">
      <c r="A9" s="34">
        <v>3</v>
      </c>
      <c r="B9" s="34" t="str">
        <f t="shared" si="0"/>
        <v>7.3</v>
      </c>
      <c r="C9" s="42" t="s">
        <v>38</v>
      </c>
      <c r="D9" s="34" t="s">
        <v>364</v>
      </c>
      <c r="E9" s="34" t="s">
        <v>33</v>
      </c>
      <c r="F9" s="34" t="s">
        <v>326</v>
      </c>
      <c r="G9" s="6" t="s">
        <v>37</v>
      </c>
      <c r="H9" s="36">
        <v>50</v>
      </c>
      <c r="I9" s="34" t="s">
        <v>10</v>
      </c>
      <c r="J9" s="35" t="s">
        <v>63</v>
      </c>
      <c r="K9" s="35" t="s">
        <v>51</v>
      </c>
      <c r="L9" s="35" t="s">
        <v>65</v>
      </c>
      <c r="M9" s="6" t="s">
        <v>37</v>
      </c>
      <c r="N9" s="6" t="s">
        <v>37</v>
      </c>
      <c r="O9" s="35" t="s">
        <v>369</v>
      </c>
      <c r="P9" s="34" t="s">
        <v>370</v>
      </c>
    </row>
    <row r="10" spans="1:16" s="34" customFormat="1" ht="72.5" x14ac:dyDescent="0.35">
      <c r="A10" s="34">
        <v>4</v>
      </c>
      <c r="B10" s="34" t="str">
        <f t="shared" si="0"/>
        <v>7.4</v>
      </c>
      <c r="C10" s="42" t="s">
        <v>38</v>
      </c>
      <c r="D10" s="34" t="s">
        <v>365</v>
      </c>
      <c r="E10" s="34" t="s">
        <v>33</v>
      </c>
      <c r="F10" s="34" t="s">
        <v>326</v>
      </c>
      <c r="G10" s="6" t="s">
        <v>37</v>
      </c>
      <c r="H10" s="36">
        <v>50</v>
      </c>
      <c r="I10" s="34" t="s">
        <v>10</v>
      </c>
      <c r="J10" s="35" t="s">
        <v>64</v>
      </c>
      <c r="K10" s="35" t="s">
        <v>51</v>
      </c>
      <c r="L10" s="35" t="s">
        <v>66</v>
      </c>
      <c r="M10" s="6" t="s">
        <v>37</v>
      </c>
      <c r="N10" s="6" t="s">
        <v>37</v>
      </c>
      <c r="O10" s="35" t="s">
        <v>369</v>
      </c>
      <c r="P10" s="34" t="s">
        <v>370</v>
      </c>
    </row>
    <row r="11" spans="1:16" ht="29" x14ac:dyDescent="0.35">
      <c r="A11" s="34">
        <v>5</v>
      </c>
      <c r="B11" s="34" t="str">
        <f t="shared" ref="B11" si="1">CONCATENATE($B$2, ".", A11)</f>
        <v>7.5</v>
      </c>
      <c r="C11" s="29" t="s">
        <v>41</v>
      </c>
      <c r="D11" s="34" t="s">
        <v>492</v>
      </c>
      <c r="E11" s="6" t="s">
        <v>29</v>
      </c>
      <c r="F11" s="6" t="s">
        <v>37</v>
      </c>
      <c r="G11" s="6" t="s">
        <v>37</v>
      </c>
      <c r="H11" s="6" t="s">
        <v>37</v>
      </c>
      <c r="I11" s="34" t="s">
        <v>10</v>
      </c>
      <c r="J11" s="5" t="s">
        <v>37</v>
      </c>
      <c r="K11" s="5" t="s">
        <v>37</v>
      </c>
      <c r="L11" s="5" t="s">
        <v>37</v>
      </c>
      <c r="M11" s="5" t="s">
        <v>37</v>
      </c>
      <c r="N11" s="5" t="s">
        <v>37</v>
      </c>
      <c r="O11" s="5" t="s">
        <v>37</v>
      </c>
      <c r="P11" s="6" t="s">
        <v>440</v>
      </c>
    </row>
    <row r="12" spans="1:16" x14ac:dyDescent="0.35">
      <c r="A12" s="81" t="s">
        <v>380</v>
      </c>
      <c r="B12" s="81"/>
      <c r="C12" s="81"/>
      <c r="D12" s="81"/>
      <c r="E12" s="81"/>
      <c r="F12" s="70"/>
      <c r="G12" s="70"/>
      <c r="H12" s="70"/>
      <c r="I12" s="70"/>
      <c r="J12" s="70"/>
      <c r="K12" s="70"/>
      <c r="L12" s="70"/>
      <c r="M12" s="70"/>
      <c r="N12" s="70"/>
      <c r="O12" s="70"/>
      <c r="P12" s="70"/>
    </row>
    <row r="13" spans="1:16" ht="43.5" x14ac:dyDescent="0.35">
      <c r="A13" s="34"/>
      <c r="B13" s="34"/>
      <c r="C13" s="42" t="s">
        <v>41</v>
      </c>
      <c r="D13" s="34" t="s">
        <v>207</v>
      </c>
      <c r="E13" s="34" t="s">
        <v>32</v>
      </c>
      <c r="F13" s="34" t="s">
        <v>57</v>
      </c>
      <c r="G13" s="34" t="s">
        <v>37</v>
      </c>
      <c r="H13" s="34" t="s">
        <v>37</v>
      </c>
      <c r="I13" s="34" t="s">
        <v>10</v>
      </c>
      <c r="J13" s="35" t="s">
        <v>61</v>
      </c>
      <c r="K13" s="35" t="s">
        <v>51</v>
      </c>
      <c r="L13" s="35" t="s">
        <v>206</v>
      </c>
      <c r="M13" s="35" t="s">
        <v>37</v>
      </c>
      <c r="N13" s="35" t="s">
        <v>37</v>
      </c>
      <c r="O13" s="35" t="s">
        <v>37</v>
      </c>
      <c r="P13" s="34" t="s">
        <v>243</v>
      </c>
    </row>
    <row r="14" spans="1:16" ht="130.5" x14ac:dyDescent="0.35">
      <c r="A14" s="34">
        <v>6</v>
      </c>
      <c r="B14" s="34" t="str">
        <f t="shared" ref="B14:B19" si="2">CONCATENATE($B$2, ".", A14)</f>
        <v>7.6</v>
      </c>
      <c r="C14" s="42" t="s">
        <v>38</v>
      </c>
      <c r="D14" s="34" t="s">
        <v>106</v>
      </c>
      <c r="E14" s="34" t="s">
        <v>74</v>
      </c>
      <c r="F14" s="34" t="s">
        <v>326</v>
      </c>
      <c r="G14" s="34" t="s">
        <v>37</v>
      </c>
      <c r="H14" s="36">
        <v>35</v>
      </c>
      <c r="I14" s="34" t="s">
        <v>10</v>
      </c>
      <c r="J14" s="35" t="s">
        <v>69</v>
      </c>
      <c r="K14" s="35" t="s">
        <v>77</v>
      </c>
      <c r="L14" s="35" t="s">
        <v>371</v>
      </c>
      <c r="M14" s="35" t="s">
        <v>37</v>
      </c>
      <c r="N14" s="35" t="s">
        <v>185</v>
      </c>
      <c r="O14" s="35" t="s">
        <v>177</v>
      </c>
      <c r="P14" s="34" t="s">
        <v>372</v>
      </c>
    </row>
    <row r="15" spans="1:16" ht="72.5" x14ac:dyDescent="0.35">
      <c r="A15" s="34">
        <v>7</v>
      </c>
      <c r="B15" s="34" t="str">
        <f t="shared" si="2"/>
        <v>7.7</v>
      </c>
      <c r="C15" s="42" t="s">
        <v>38</v>
      </c>
      <c r="D15" s="34" t="s">
        <v>75</v>
      </c>
      <c r="E15" s="34" t="s">
        <v>33</v>
      </c>
      <c r="F15" s="34" t="s">
        <v>326</v>
      </c>
      <c r="G15" s="34" t="s">
        <v>37</v>
      </c>
      <c r="H15" s="36">
        <v>10</v>
      </c>
      <c r="I15" s="34" t="s">
        <v>368</v>
      </c>
      <c r="J15" s="35" t="s">
        <v>109</v>
      </c>
      <c r="K15" s="35" t="s">
        <v>76</v>
      </c>
      <c r="L15" s="35" t="s">
        <v>373</v>
      </c>
      <c r="M15" s="35" t="s">
        <v>37</v>
      </c>
      <c r="N15" s="35" t="s">
        <v>37</v>
      </c>
      <c r="O15" s="35"/>
      <c r="P15" s="34" t="s">
        <v>372</v>
      </c>
    </row>
    <row r="16" spans="1:16" ht="72.5" x14ac:dyDescent="0.35">
      <c r="A16" s="34">
        <v>8</v>
      </c>
      <c r="B16" s="34" t="str">
        <f t="shared" si="2"/>
        <v>7.8</v>
      </c>
      <c r="C16" s="42" t="s">
        <v>38</v>
      </c>
      <c r="D16" s="34" t="s">
        <v>110</v>
      </c>
      <c r="E16" s="34" t="s">
        <v>33</v>
      </c>
      <c r="F16" s="34" t="s">
        <v>326</v>
      </c>
      <c r="G16" s="34" t="s">
        <v>37</v>
      </c>
      <c r="H16" s="36">
        <v>35</v>
      </c>
      <c r="I16" s="34" t="s">
        <v>368</v>
      </c>
      <c r="J16" s="35" t="s">
        <v>109</v>
      </c>
      <c r="K16" s="35" t="s">
        <v>76</v>
      </c>
      <c r="L16" s="35" t="s">
        <v>374</v>
      </c>
      <c r="M16" s="35" t="s">
        <v>37</v>
      </c>
      <c r="N16" s="35" t="s">
        <v>37</v>
      </c>
      <c r="O16" s="35"/>
      <c r="P16" s="34" t="s">
        <v>372</v>
      </c>
    </row>
    <row r="17" spans="1:16" ht="72.5" x14ac:dyDescent="0.35">
      <c r="A17" s="34">
        <v>9</v>
      </c>
      <c r="B17" s="34" t="str">
        <f t="shared" si="2"/>
        <v>7.9</v>
      </c>
      <c r="C17" s="42" t="s">
        <v>40</v>
      </c>
      <c r="D17" s="34" t="s">
        <v>70</v>
      </c>
      <c r="E17" s="34" t="s">
        <v>33</v>
      </c>
      <c r="F17" s="34" t="s">
        <v>326</v>
      </c>
      <c r="G17" s="34" t="s">
        <v>37</v>
      </c>
      <c r="H17" s="36">
        <v>10</v>
      </c>
      <c r="I17" s="34" t="s">
        <v>368</v>
      </c>
      <c r="J17" s="35" t="s">
        <v>109</v>
      </c>
      <c r="K17" s="35" t="s">
        <v>78</v>
      </c>
      <c r="L17" s="35" t="s">
        <v>37</v>
      </c>
      <c r="M17" s="35" t="s">
        <v>37</v>
      </c>
      <c r="N17" s="35" t="s">
        <v>37</v>
      </c>
      <c r="O17" s="35"/>
      <c r="P17" s="34"/>
    </row>
    <row r="18" spans="1:16" ht="72.5" x14ac:dyDescent="0.35">
      <c r="A18" s="34">
        <v>10</v>
      </c>
      <c r="B18" s="34" t="str">
        <f t="shared" si="2"/>
        <v>7.10</v>
      </c>
      <c r="C18" s="42" t="s">
        <v>38</v>
      </c>
      <c r="D18" s="34" t="s">
        <v>71</v>
      </c>
      <c r="E18" s="34" t="s">
        <v>33</v>
      </c>
      <c r="F18" s="34" t="s">
        <v>326</v>
      </c>
      <c r="G18" s="34" t="s">
        <v>37</v>
      </c>
      <c r="H18" s="36">
        <v>20</v>
      </c>
      <c r="I18" s="34" t="s">
        <v>368</v>
      </c>
      <c r="J18" s="35" t="s">
        <v>109</v>
      </c>
      <c r="K18" s="35" t="s">
        <v>76</v>
      </c>
      <c r="L18" s="35" t="s">
        <v>375</v>
      </c>
      <c r="M18" s="35" t="s">
        <v>37</v>
      </c>
      <c r="N18" s="35" t="s">
        <v>37</v>
      </c>
      <c r="O18" s="35"/>
      <c r="P18" s="34" t="s">
        <v>372</v>
      </c>
    </row>
    <row r="19" spans="1:16" ht="116" x14ac:dyDescent="0.35">
      <c r="A19" s="34">
        <v>11</v>
      </c>
      <c r="B19" s="34" t="str">
        <f t="shared" si="2"/>
        <v>7.11</v>
      </c>
      <c r="C19" s="42" t="s">
        <v>38</v>
      </c>
      <c r="D19" s="34" t="s">
        <v>72</v>
      </c>
      <c r="E19" s="34" t="s">
        <v>35</v>
      </c>
      <c r="F19" s="34" t="s">
        <v>366</v>
      </c>
      <c r="G19" s="34" t="s">
        <v>37</v>
      </c>
      <c r="H19" s="36">
        <v>15</v>
      </c>
      <c r="I19" s="34" t="s">
        <v>368</v>
      </c>
      <c r="J19" s="35" t="s">
        <v>109</v>
      </c>
      <c r="K19" s="35" t="s">
        <v>76</v>
      </c>
      <c r="L19" s="35" t="s">
        <v>377</v>
      </c>
      <c r="M19" s="35" t="s">
        <v>79</v>
      </c>
      <c r="N19" s="35" t="s">
        <v>111</v>
      </c>
      <c r="O19" s="35"/>
      <c r="P19" s="34"/>
    </row>
    <row r="20" spans="1:16" ht="58" x14ac:dyDescent="0.35">
      <c r="A20" s="34">
        <v>12</v>
      </c>
      <c r="B20" s="34" t="str">
        <f>CONCATENATE($B$2, ".", A20)</f>
        <v>7.12</v>
      </c>
      <c r="C20" s="42" t="s">
        <v>38</v>
      </c>
      <c r="D20" s="34" t="s">
        <v>73</v>
      </c>
      <c r="E20" s="34" t="s">
        <v>33</v>
      </c>
      <c r="F20" s="34" t="s">
        <v>367</v>
      </c>
      <c r="G20" s="34" t="s">
        <v>37</v>
      </c>
      <c r="H20" s="36">
        <v>7</v>
      </c>
      <c r="I20" s="34" t="s">
        <v>368</v>
      </c>
      <c r="J20" s="35" t="s">
        <v>109</v>
      </c>
      <c r="K20" s="35" t="s">
        <v>76</v>
      </c>
      <c r="L20" s="35" t="s">
        <v>376</v>
      </c>
      <c r="M20" s="35" t="s">
        <v>379</v>
      </c>
      <c r="N20" s="35" t="s">
        <v>378</v>
      </c>
      <c r="O20" s="35"/>
      <c r="P20" s="34" t="s">
        <v>392</v>
      </c>
    </row>
    <row r="21" spans="1:16" x14ac:dyDescent="0.35">
      <c r="A21" s="81" t="s">
        <v>382</v>
      </c>
      <c r="B21" s="81"/>
      <c r="C21" s="81"/>
      <c r="D21" s="81"/>
      <c r="E21" s="81"/>
      <c r="F21" s="70"/>
      <c r="G21" s="70"/>
      <c r="H21" s="70"/>
      <c r="I21" s="70"/>
      <c r="J21" s="70"/>
      <c r="K21" s="70"/>
      <c r="L21" s="70"/>
      <c r="M21" s="70"/>
      <c r="N21" s="70"/>
      <c r="O21" s="70"/>
      <c r="P21" s="70"/>
    </row>
    <row r="22" spans="1:16" ht="58" x14ac:dyDescent="0.35">
      <c r="A22" s="34">
        <v>13</v>
      </c>
      <c r="B22" s="34" t="str">
        <f t="shared" ref="B22:B28" si="3">CONCATENATE($B$2, ".", A22)</f>
        <v>7.13</v>
      </c>
      <c r="C22" s="42" t="s">
        <v>40</v>
      </c>
      <c r="D22" s="34" t="s">
        <v>80</v>
      </c>
      <c r="E22" s="34" t="s">
        <v>32</v>
      </c>
      <c r="F22" s="34" t="s">
        <v>57</v>
      </c>
      <c r="G22" s="34" t="s">
        <v>37</v>
      </c>
      <c r="H22" s="34" t="s">
        <v>37</v>
      </c>
      <c r="I22" s="34" t="s">
        <v>208</v>
      </c>
      <c r="J22" s="35" t="s">
        <v>61</v>
      </c>
      <c r="K22" s="35" t="s">
        <v>51</v>
      </c>
      <c r="L22" s="35" t="s">
        <v>81</v>
      </c>
      <c r="M22" s="35" t="s">
        <v>37</v>
      </c>
      <c r="N22" s="35" t="s">
        <v>37</v>
      </c>
      <c r="O22" s="35" t="s">
        <v>37</v>
      </c>
      <c r="P22" s="34"/>
    </row>
    <row r="23" spans="1:16" ht="101.5" x14ac:dyDescent="0.35">
      <c r="A23" s="34">
        <v>14</v>
      </c>
      <c r="B23" s="34" t="str">
        <f t="shared" si="3"/>
        <v>7.14</v>
      </c>
      <c r="C23" s="42" t="s">
        <v>38</v>
      </c>
      <c r="D23" s="34" t="s">
        <v>107</v>
      </c>
      <c r="E23" s="34" t="s">
        <v>74</v>
      </c>
      <c r="F23" s="34" t="s">
        <v>326</v>
      </c>
      <c r="G23" s="34" t="s">
        <v>37</v>
      </c>
      <c r="H23" s="36">
        <v>35</v>
      </c>
      <c r="I23" s="34" t="s">
        <v>383</v>
      </c>
      <c r="J23" s="35" t="s">
        <v>109</v>
      </c>
      <c r="K23" s="35" t="s">
        <v>389</v>
      </c>
      <c r="L23" s="35" t="s">
        <v>385</v>
      </c>
      <c r="M23" s="35" t="s">
        <v>37</v>
      </c>
      <c r="N23" s="35" t="s">
        <v>37</v>
      </c>
      <c r="O23" s="35" t="s">
        <v>178</v>
      </c>
      <c r="P23" s="34" t="s">
        <v>372</v>
      </c>
    </row>
    <row r="24" spans="1:16" ht="72.5" x14ac:dyDescent="0.35">
      <c r="A24" s="34">
        <v>15</v>
      </c>
      <c r="B24" s="34" t="str">
        <f t="shared" si="3"/>
        <v>7.15</v>
      </c>
      <c r="C24" s="42" t="s">
        <v>38</v>
      </c>
      <c r="D24" s="34" t="s">
        <v>75</v>
      </c>
      <c r="E24" s="34" t="s">
        <v>33</v>
      </c>
      <c r="F24" s="34" t="s">
        <v>326</v>
      </c>
      <c r="G24" s="34" t="s">
        <v>37</v>
      </c>
      <c r="H24" s="36">
        <v>10</v>
      </c>
      <c r="I24" s="34" t="s">
        <v>384</v>
      </c>
      <c r="J24" s="35" t="s">
        <v>109</v>
      </c>
      <c r="K24" s="35" t="s">
        <v>76</v>
      </c>
      <c r="L24" s="35" t="s">
        <v>37</v>
      </c>
      <c r="M24" s="35" t="s">
        <v>37</v>
      </c>
      <c r="N24" s="35" t="s">
        <v>37</v>
      </c>
      <c r="O24" s="35"/>
      <c r="P24" s="34"/>
    </row>
    <row r="25" spans="1:16" ht="72.5" x14ac:dyDescent="0.35">
      <c r="A25" s="34">
        <v>16</v>
      </c>
      <c r="B25" s="34" t="str">
        <f t="shared" si="3"/>
        <v>7.16</v>
      </c>
      <c r="C25" s="42" t="s">
        <v>38</v>
      </c>
      <c r="D25" s="34" t="s">
        <v>110</v>
      </c>
      <c r="E25" s="34" t="s">
        <v>33</v>
      </c>
      <c r="F25" s="34" t="s">
        <v>326</v>
      </c>
      <c r="G25" s="34" t="s">
        <v>37</v>
      </c>
      <c r="H25" s="36">
        <v>35</v>
      </c>
      <c r="I25" s="34" t="s">
        <v>384</v>
      </c>
      <c r="J25" s="35" t="s">
        <v>109</v>
      </c>
      <c r="K25" s="35" t="s">
        <v>76</v>
      </c>
      <c r="L25" s="35" t="s">
        <v>374</v>
      </c>
      <c r="M25" s="35" t="s">
        <v>37</v>
      </c>
      <c r="N25" s="35" t="s">
        <v>37</v>
      </c>
      <c r="O25" s="35"/>
      <c r="P25" s="34" t="s">
        <v>372</v>
      </c>
    </row>
    <row r="26" spans="1:16" ht="72.5" x14ac:dyDescent="0.35">
      <c r="A26" s="34">
        <v>17</v>
      </c>
      <c r="B26" s="34" t="str">
        <f t="shared" si="3"/>
        <v>7.17</v>
      </c>
      <c r="C26" s="42" t="s">
        <v>40</v>
      </c>
      <c r="D26" s="34" t="s">
        <v>70</v>
      </c>
      <c r="E26" s="34" t="s">
        <v>33</v>
      </c>
      <c r="F26" s="34" t="s">
        <v>326</v>
      </c>
      <c r="G26" s="34" t="s">
        <v>37</v>
      </c>
      <c r="H26" s="36">
        <v>10</v>
      </c>
      <c r="I26" s="34" t="s">
        <v>384</v>
      </c>
      <c r="J26" s="35" t="s">
        <v>109</v>
      </c>
      <c r="K26" s="35" t="s">
        <v>78</v>
      </c>
      <c r="L26" s="35" t="s">
        <v>373</v>
      </c>
      <c r="M26" s="35" t="s">
        <v>37</v>
      </c>
      <c r="N26" s="35" t="s">
        <v>37</v>
      </c>
      <c r="O26" s="35"/>
      <c r="P26" s="34" t="s">
        <v>372</v>
      </c>
    </row>
    <row r="27" spans="1:16" ht="72.5" x14ac:dyDescent="0.35">
      <c r="A27" s="34">
        <v>19</v>
      </c>
      <c r="B27" s="34" t="str">
        <f t="shared" si="3"/>
        <v>7.19</v>
      </c>
      <c r="C27" s="42" t="s">
        <v>38</v>
      </c>
      <c r="D27" s="34" t="s">
        <v>71</v>
      </c>
      <c r="E27" s="34" t="s">
        <v>33</v>
      </c>
      <c r="F27" s="34" t="s">
        <v>326</v>
      </c>
      <c r="G27" s="34" t="s">
        <v>37</v>
      </c>
      <c r="H27" s="36">
        <v>20</v>
      </c>
      <c r="I27" s="34" t="s">
        <v>384</v>
      </c>
      <c r="J27" s="35" t="s">
        <v>109</v>
      </c>
      <c r="K27" s="35" t="s">
        <v>76</v>
      </c>
      <c r="L27" s="35" t="s">
        <v>375</v>
      </c>
      <c r="M27" s="35" t="s">
        <v>37</v>
      </c>
      <c r="N27" s="35" t="s">
        <v>37</v>
      </c>
      <c r="O27" s="35"/>
      <c r="P27" s="34" t="s">
        <v>372</v>
      </c>
    </row>
    <row r="28" spans="1:16" ht="72.5" x14ac:dyDescent="0.35">
      <c r="A28" s="34">
        <v>19</v>
      </c>
      <c r="B28" s="34" t="str">
        <f t="shared" si="3"/>
        <v>7.19</v>
      </c>
      <c r="C28" s="42" t="s">
        <v>38</v>
      </c>
      <c r="D28" s="34" t="s">
        <v>72</v>
      </c>
      <c r="E28" s="34" t="s">
        <v>35</v>
      </c>
      <c r="F28" s="34" t="s">
        <v>366</v>
      </c>
      <c r="G28" s="34" t="s">
        <v>37</v>
      </c>
      <c r="H28" s="36">
        <v>15</v>
      </c>
      <c r="I28" s="34" t="s">
        <v>384</v>
      </c>
      <c r="J28" s="35" t="s">
        <v>109</v>
      </c>
      <c r="K28" s="35" t="s">
        <v>76</v>
      </c>
      <c r="L28" s="35" t="s">
        <v>377</v>
      </c>
      <c r="M28" s="35" t="s">
        <v>140</v>
      </c>
      <c r="N28" s="35"/>
      <c r="O28" s="35"/>
      <c r="P28" s="34" t="s">
        <v>372</v>
      </c>
    </row>
    <row r="29" spans="1:16" ht="58" x14ac:dyDescent="0.35">
      <c r="A29" s="34">
        <v>20</v>
      </c>
      <c r="B29" s="34" t="str">
        <f>CONCATENATE($B$2, ".", A29)</f>
        <v>7.20</v>
      </c>
      <c r="C29" s="42" t="s">
        <v>38</v>
      </c>
      <c r="D29" s="34" t="s">
        <v>73</v>
      </c>
      <c r="E29" s="34" t="s">
        <v>33</v>
      </c>
      <c r="F29" s="34" t="s">
        <v>367</v>
      </c>
      <c r="G29" s="34" t="s">
        <v>37</v>
      </c>
      <c r="H29" s="36">
        <v>7</v>
      </c>
      <c r="I29" s="34" t="s">
        <v>384</v>
      </c>
      <c r="J29" s="35" t="s">
        <v>109</v>
      </c>
      <c r="K29" s="35" t="s">
        <v>76</v>
      </c>
      <c r="L29" s="35" t="s">
        <v>376</v>
      </c>
      <c r="M29" s="35" t="s">
        <v>379</v>
      </c>
      <c r="N29" s="35" t="s">
        <v>378</v>
      </c>
      <c r="O29" s="35"/>
      <c r="P29" s="34" t="s">
        <v>392</v>
      </c>
    </row>
    <row r="30" spans="1:16" x14ac:dyDescent="0.35">
      <c r="A30" s="81" t="s">
        <v>381</v>
      </c>
      <c r="B30" s="81"/>
      <c r="C30" s="81"/>
      <c r="D30" s="81"/>
      <c r="E30" s="81"/>
      <c r="F30" s="70"/>
      <c r="G30" s="70"/>
      <c r="H30" s="70"/>
      <c r="I30" s="70"/>
      <c r="J30" s="70"/>
      <c r="K30" s="70"/>
      <c r="L30" s="70"/>
      <c r="M30" s="70"/>
      <c r="N30" s="70"/>
      <c r="O30" s="70"/>
      <c r="P30" s="70"/>
    </row>
    <row r="31" spans="1:16" ht="58" x14ac:dyDescent="0.35">
      <c r="A31" s="34">
        <v>21</v>
      </c>
      <c r="B31" s="34" t="str">
        <f t="shared" ref="B31:B37" si="4">CONCATENATE($B$2, ".", A31)</f>
        <v>7.21</v>
      </c>
      <c r="C31" s="42" t="s">
        <v>40</v>
      </c>
      <c r="D31" s="34" t="s">
        <v>157</v>
      </c>
      <c r="E31" s="34" t="s">
        <v>32</v>
      </c>
      <c r="F31" s="34" t="s">
        <v>57</v>
      </c>
      <c r="G31" s="34" t="s">
        <v>37</v>
      </c>
      <c r="H31" s="34" t="s">
        <v>37</v>
      </c>
      <c r="I31" s="34" t="s">
        <v>208</v>
      </c>
      <c r="J31" s="35" t="s">
        <v>61</v>
      </c>
      <c r="K31" s="35" t="s">
        <v>51</v>
      </c>
      <c r="L31" s="35" t="s">
        <v>108</v>
      </c>
      <c r="M31" s="35" t="s">
        <v>37</v>
      </c>
      <c r="N31" s="35" t="s">
        <v>37</v>
      </c>
      <c r="O31" s="35" t="s">
        <v>37</v>
      </c>
      <c r="P31" s="34"/>
    </row>
    <row r="32" spans="1:16" ht="101.5" x14ac:dyDescent="0.35">
      <c r="A32" s="34">
        <v>22</v>
      </c>
      <c r="B32" s="34" t="str">
        <f t="shared" si="4"/>
        <v>7.22</v>
      </c>
      <c r="C32" s="42" t="s">
        <v>38</v>
      </c>
      <c r="D32" s="34" t="s">
        <v>82</v>
      </c>
      <c r="E32" s="34" t="s">
        <v>74</v>
      </c>
      <c r="F32" s="34" t="s">
        <v>326</v>
      </c>
      <c r="G32" s="34" t="s">
        <v>37</v>
      </c>
      <c r="H32" s="36">
        <v>35</v>
      </c>
      <c r="I32" s="34" t="s">
        <v>390</v>
      </c>
      <c r="J32" s="35" t="s">
        <v>109</v>
      </c>
      <c r="K32" s="35" t="s">
        <v>387</v>
      </c>
      <c r="L32" s="35" t="s">
        <v>386</v>
      </c>
      <c r="M32" s="35" t="s">
        <v>37</v>
      </c>
      <c r="N32" s="35" t="s">
        <v>37</v>
      </c>
      <c r="O32" s="35" t="s">
        <v>179</v>
      </c>
      <c r="P32" s="34" t="s">
        <v>372</v>
      </c>
    </row>
    <row r="33" spans="1:16" ht="72.5" x14ac:dyDescent="0.35">
      <c r="A33" s="34">
        <v>23</v>
      </c>
      <c r="B33" s="34" t="str">
        <f t="shared" si="4"/>
        <v>7.23</v>
      </c>
      <c r="C33" s="42" t="s">
        <v>40</v>
      </c>
      <c r="D33" s="34" t="s">
        <v>75</v>
      </c>
      <c r="E33" s="34" t="s">
        <v>33</v>
      </c>
      <c r="F33" s="34" t="s">
        <v>326</v>
      </c>
      <c r="G33" s="34" t="s">
        <v>37</v>
      </c>
      <c r="H33" s="36">
        <v>10</v>
      </c>
      <c r="I33" s="34" t="s">
        <v>391</v>
      </c>
      <c r="J33" s="35" t="s">
        <v>109</v>
      </c>
      <c r="K33" s="36" t="s">
        <v>83</v>
      </c>
      <c r="L33" s="36" t="s">
        <v>37</v>
      </c>
      <c r="M33" s="35" t="s">
        <v>37</v>
      </c>
      <c r="N33" s="35" t="s">
        <v>37</v>
      </c>
      <c r="O33" s="35"/>
      <c r="P33" s="34"/>
    </row>
    <row r="34" spans="1:16" ht="72.5" x14ac:dyDescent="0.35">
      <c r="A34" s="34">
        <v>24</v>
      </c>
      <c r="B34" s="34" t="str">
        <f t="shared" si="4"/>
        <v>7.24</v>
      </c>
      <c r="C34" s="42" t="s">
        <v>38</v>
      </c>
      <c r="D34" s="34" t="s">
        <v>112</v>
      </c>
      <c r="E34" s="34" t="s">
        <v>33</v>
      </c>
      <c r="F34" s="34" t="s">
        <v>326</v>
      </c>
      <c r="G34" s="34" t="s">
        <v>37</v>
      </c>
      <c r="H34" s="36">
        <v>35</v>
      </c>
      <c r="I34" s="34" t="s">
        <v>391</v>
      </c>
      <c r="J34" s="35" t="s">
        <v>109</v>
      </c>
      <c r="K34" s="35" t="s">
        <v>76</v>
      </c>
      <c r="L34" s="35" t="s">
        <v>388</v>
      </c>
      <c r="M34" s="35" t="s">
        <v>37</v>
      </c>
      <c r="N34" s="35" t="s">
        <v>37</v>
      </c>
      <c r="O34" s="35"/>
      <c r="P34" s="34" t="s">
        <v>372</v>
      </c>
    </row>
    <row r="35" spans="1:16" ht="72.5" x14ac:dyDescent="0.35">
      <c r="A35" s="34">
        <v>25</v>
      </c>
      <c r="B35" s="34" t="str">
        <f t="shared" si="4"/>
        <v>7.25</v>
      </c>
      <c r="C35" s="42" t="s">
        <v>40</v>
      </c>
      <c r="D35" s="34" t="s">
        <v>70</v>
      </c>
      <c r="E35" s="34" t="s">
        <v>33</v>
      </c>
      <c r="F35" s="34" t="s">
        <v>326</v>
      </c>
      <c r="G35" s="34" t="s">
        <v>37</v>
      </c>
      <c r="H35" s="36">
        <v>10</v>
      </c>
      <c r="I35" s="34" t="s">
        <v>391</v>
      </c>
      <c r="J35" s="35" t="s">
        <v>109</v>
      </c>
      <c r="K35" s="35" t="s">
        <v>78</v>
      </c>
      <c r="L35" s="35" t="s">
        <v>37</v>
      </c>
      <c r="M35" s="35" t="s">
        <v>37</v>
      </c>
      <c r="N35" s="35" t="s">
        <v>37</v>
      </c>
      <c r="O35" s="35"/>
      <c r="P35" s="34"/>
    </row>
    <row r="36" spans="1:16" ht="72.5" x14ac:dyDescent="0.35">
      <c r="A36" s="34">
        <v>26</v>
      </c>
      <c r="B36" s="34" t="str">
        <f t="shared" si="4"/>
        <v>7.26</v>
      </c>
      <c r="C36" s="42" t="s">
        <v>38</v>
      </c>
      <c r="D36" s="34" t="s">
        <v>71</v>
      </c>
      <c r="E36" s="34" t="s">
        <v>33</v>
      </c>
      <c r="F36" s="34" t="s">
        <v>326</v>
      </c>
      <c r="G36" s="34" t="s">
        <v>37</v>
      </c>
      <c r="H36" s="36">
        <v>20</v>
      </c>
      <c r="I36" s="34" t="s">
        <v>391</v>
      </c>
      <c r="J36" s="35" t="s">
        <v>109</v>
      </c>
      <c r="K36" s="35" t="s">
        <v>76</v>
      </c>
      <c r="L36" s="35" t="s">
        <v>375</v>
      </c>
      <c r="M36" s="35" t="s">
        <v>37</v>
      </c>
      <c r="N36" s="35" t="s">
        <v>37</v>
      </c>
      <c r="O36" s="35"/>
      <c r="P36" s="34" t="s">
        <v>372</v>
      </c>
    </row>
    <row r="37" spans="1:16" ht="72.5" x14ac:dyDescent="0.35">
      <c r="A37" s="34">
        <v>27</v>
      </c>
      <c r="B37" s="34" t="str">
        <f t="shared" si="4"/>
        <v>7.27</v>
      </c>
      <c r="C37" s="42" t="s">
        <v>38</v>
      </c>
      <c r="D37" s="34" t="s">
        <v>72</v>
      </c>
      <c r="E37" s="34" t="s">
        <v>35</v>
      </c>
      <c r="F37" s="34" t="s">
        <v>366</v>
      </c>
      <c r="G37" s="34" t="s">
        <v>37</v>
      </c>
      <c r="H37" s="36">
        <v>15</v>
      </c>
      <c r="I37" s="34" t="s">
        <v>391</v>
      </c>
      <c r="J37" s="35" t="s">
        <v>109</v>
      </c>
      <c r="K37" s="35" t="s">
        <v>76</v>
      </c>
      <c r="L37" s="35" t="s">
        <v>377</v>
      </c>
      <c r="M37" s="35" t="s">
        <v>141</v>
      </c>
      <c r="N37" s="35" t="s">
        <v>37</v>
      </c>
      <c r="O37" s="35"/>
      <c r="P37" s="34" t="s">
        <v>372</v>
      </c>
    </row>
    <row r="38" spans="1:16" ht="58" x14ac:dyDescent="0.35">
      <c r="A38" s="34">
        <v>28</v>
      </c>
      <c r="B38" s="34" t="str">
        <f>CONCATENATE($B$2, ".", A38)</f>
        <v>7.28</v>
      </c>
      <c r="C38" s="42" t="s">
        <v>38</v>
      </c>
      <c r="D38" s="34" t="s">
        <v>73</v>
      </c>
      <c r="E38" s="34" t="s">
        <v>33</v>
      </c>
      <c r="F38" s="34" t="s">
        <v>367</v>
      </c>
      <c r="G38" s="34" t="s">
        <v>37</v>
      </c>
      <c r="H38" s="36">
        <v>7</v>
      </c>
      <c r="I38" s="34" t="s">
        <v>391</v>
      </c>
      <c r="J38" s="35" t="s">
        <v>109</v>
      </c>
      <c r="K38" s="35" t="s">
        <v>76</v>
      </c>
      <c r="L38" s="35" t="s">
        <v>376</v>
      </c>
      <c r="M38" s="35" t="s">
        <v>379</v>
      </c>
      <c r="N38" s="35" t="s">
        <v>378</v>
      </c>
      <c r="O38" s="35"/>
      <c r="P38" s="34" t="s">
        <v>392</v>
      </c>
    </row>
    <row r="39" spans="1:16" x14ac:dyDescent="0.35">
      <c r="A39" s="81"/>
      <c r="B39" s="81"/>
      <c r="C39" s="81"/>
      <c r="D39" s="81"/>
      <c r="E39" s="81"/>
      <c r="F39" s="70"/>
      <c r="G39" s="70"/>
      <c r="H39" s="70"/>
      <c r="I39" s="70"/>
      <c r="J39" s="70"/>
      <c r="K39" s="70"/>
      <c r="L39" s="70"/>
      <c r="M39" s="70"/>
      <c r="N39" s="70"/>
      <c r="O39" s="70"/>
      <c r="P39" s="70"/>
    </row>
    <row r="40" spans="1:16" ht="29" x14ac:dyDescent="0.35">
      <c r="A40" s="6">
        <v>29</v>
      </c>
      <c r="B40" s="6" t="str">
        <f>CONCATENATE($B$2, ".", A40)</f>
        <v>7.29</v>
      </c>
      <c r="C40" s="29" t="s">
        <v>40</v>
      </c>
      <c r="D40" s="6" t="s">
        <v>55</v>
      </c>
      <c r="E40" s="6" t="s">
        <v>43</v>
      </c>
      <c r="F40" s="6" t="s">
        <v>37</v>
      </c>
      <c r="G40" s="6" t="s">
        <v>37</v>
      </c>
      <c r="H40" s="6" t="s">
        <v>37</v>
      </c>
      <c r="I40" s="6" t="s">
        <v>10</v>
      </c>
      <c r="J40" s="6" t="s">
        <v>37</v>
      </c>
      <c r="K40" s="6" t="s">
        <v>37</v>
      </c>
      <c r="L40" s="6" t="s">
        <v>37</v>
      </c>
      <c r="M40" s="6" t="s">
        <v>37</v>
      </c>
      <c r="N40" s="6" t="s">
        <v>37</v>
      </c>
      <c r="O40" s="6" t="s">
        <v>493</v>
      </c>
    </row>
    <row r="41" spans="1:16" ht="29" x14ac:dyDescent="0.35">
      <c r="A41" s="6">
        <v>30</v>
      </c>
      <c r="B41" s="6" t="str">
        <f>CONCATENATE($B$2, ".", A41)</f>
        <v>7.30</v>
      </c>
      <c r="C41" s="29" t="s">
        <v>40</v>
      </c>
      <c r="D41" s="6" t="s">
        <v>54</v>
      </c>
      <c r="E41" s="6" t="s">
        <v>43</v>
      </c>
      <c r="F41" s="6" t="s">
        <v>37</v>
      </c>
      <c r="G41" s="6" t="s">
        <v>37</v>
      </c>
      <c r="H41" s="6" t="s">
        <v>37</v>
      </c>
      <c r="I41" s="6" t="s">
        <v>10</v>
      </c>
      <c r="J41" s="6" t="s">
        <v>37</v>
      </c>
      <c r="K41" s="6" t="s">
        <v>37</v>
      </c>
      <c r="L41" s="6" t="s">
        <v>37</v>
      </c>
      <c r="M41" s="6" t="s">
        <v>37</v>
      </c>
      <c r="N41" s="6" t="s">
        <v>37</v>
      </c>
      <c r="O41" s="6" t="s">
        <v>248</v>
      </c>
    </row>
  </sheetData>
  <conditionalFormatting sqref="C42:C1048576">
    <cfRule type="cellIs" dxfId="363" priority="57" operator="equal">
      <formula>"WIP (see comments)"</formula>
    </cfRule>
    <cfRule type="cellIs" dxfId="362" priority="58" operator="equal">
      <formula>"Removed"</formula>
    </cfRule>
    <cfRule type="cellIs" dxfId="361" priority="59" operator="equal">
      <formula>"Updated"</formula>
    </cfRule>
    <cfRule type="cellIs" dxfId="360" priority="60" operator="equal">
      <formula>"New"</formula>
    </cfRule>
  </conditionalFormatting>
  <conditionalFormatting sqref="C7:C10">
    <cfRule type="cellIs" dxfId="359" priority="49" operator="equal">
      <formula>"WIP (see comments)"</formula>
    </cfRule>
    <cfRule type="cellIs" dxfId="358" priority="50" operator="equal">
      <formula>"Removed"</formula>
    </cfRule>
    <cfRule type="cellIs" dxfId="357" priority="51" operator="equal">
      <formula>"Updated"</formula>
    </cfRule>
    <cfRule type="cellIs" dxfId="356" priority="52" operator="equal">
      <formula>"New"</formula>
    </cfRule>
  </conditionalFormatting>
  <conditionalFormatting sqref="D1">
    <cfRule type="cellIs" dxfId="355" priority="44" operator="equal">
      <formula>"n/a"</formula>
    </cfRule>
  </conditionalFormatting>
  <conditionalFormatting sqref="D3">
    <cfRule type="cellIs" dxfId="354" priority="43" operator="equal">
      <formula>"n/a"</formula>
    </cfRule>
  </conditionalFormatting>
  <conditionalFormatting sqref="A13:P13 A14:A20">
    <cfRule type="cellIs" dxfId="353" priority="9" operator="equal">
      <formula>"n/a"</formula>
    </cfRule>
  </conditionalFormatting>
  <conditionalFormatting sqref="C40:C41 C14:C20 C23:C29 C32:C38">
    <cfRule type="cellIs" dxfId="352" priority="39" operator="equal">
      <formula>"WIP (see comments)"</formula>
    </cfRule>
    <cfRule type="cellIs" dxfId="351" priority="40" operator="equal">
      <formula>"Removed"</formula>
    </cfRule>
    <cfRule type="cellIs" dxfId="350" priority="41" operator="equal">
      <formula>"Updated"</formula>
    </cfRule>
    <cfRule type="cellIs" dxfId="349" priority="42" operator="equal">
      <formula>"New"</formula>
    </cfRule>
  </conditionalFormatting>
  <conditionalFormatting sqref="C11">
    <cfRule type="cellIs" dxfId="348" priority="35" operator="equal">
      <formula>"WIP (see comments)"</formula>
    </cfRule>
    <cfRule type="cellIs" dxfId="347" priority="36" operator="equal">
      <formula>"Removed"</formula>
    </cfRule>
    <cfRule type="cellIs" dxfId="346" priority="37" operator="equal">
      <formula>"Updated"</formula>
    </cfRule>
    <cfRule type="cellIs" dxfId="345" priority="38" operator="equal">
      <formula>"New"</formula>
    </cfRule>
  </conditionalFormatting>
  <conditionalFormatting sqref="C22:C28">
    <cfRule type="cellIs" dxfId="344" priority="31" operator="equal">
      <formula>"WIP (see comments)"</formula>
    </cfRule>
    <cfRule type="cellIs" dxfId="343" priority="32" operator="equal">
      <formula>"Removed"</formula>
    </cfRule>
    <cfRule type="cellIs" dxfId="342" priority="33" operator="equal">
      <formula>"Updated"</formula>
    </cfRule>
    <cfRule type="cellIs" dxfId="341" priority="34" operator="equal">
      <formula>"New"</formula>
    </cfRule>
  </conditionalFormatting>
  <conditionalFormatting sqref="C31:C38">
    <cfRule type="cellIs" dxfId="340" priority="27" operator="equal">
      <formula>"WIP (see comments)"</formula>
    </cfRule>
    <cfRule type="cellIs" dxfId="339" priority="28" operator="equal">
      <formula>"Removed"</formula>
    </cfRule>
    <cfRule type="cellIs" dxfId="338" priority="29" operator="equal">
      <formula>"Updated"</formula>
    </cfRule>
    <cfRule type="cellIs" dxfId="337" priority="30" operator="equal">
      <formula>"New"</formula>
    </cfRule>
  </conditionalFormatting>
  <conditionalFormatting sqref="C11:P11 A40:P41 B14:P20 A22:P29 A31:P38">
    <cfRule type="cellIs" dxfId="336" priority="26" operator="equal">
      <formula>"n/a"</formula>
    </cfRule>
  </conditionalFormatting>
  <conditionalFormatting sqref="C28">
    <cfRule type="cellIs" dxfId="335" priority="22" operator="equal">
      <formula>"WIP (see comments)"</formula>
    </cfRule>
    <cfRule type="cellIs" dxfId="334" priority="23" operator="equal">
      <formula>"Removed"</formula>
    </cfRule>
    <cfRule type="cellIs" dxfId="333" priority="24" operator="equal">
      <formula>"Updated"</formula>
    </cfRule>
    <cfRule type="cellIs" dxfId="332" priority="25" operator="equal">
      <formula>"New"</formula>
    </cfRule>
  </conditionalFormatting>
  <conditionalFormatting sqref="C29">
    <cfRule type="cellIs" dxfId="331" priority="18" operator="equal">
      <formula>"WIP (see comments)"</formula>
    </cfRule>
    <cfRule type="cellIs" dxfId="330" priority="19" operator="equal">
      <formula>"Removed"</formula>
    </cfRule>
    <cfRule type="cellIs" dxfId="329" priority="20" operator="equal">
      <formula>"Updated"</formula>
    </cfRule>
    <cfRule type="cellIs" dxfId="328" priority="21" operator="equal">
      <formula>"New"</formula>
    </cfRule>
  </conditionalFormatting>
  <conditionalFormatting sqref="F12:P12 A12">
    <cfRule type="cellIs" dxfId="327" priority="17" operator="equal">
      <formula>"n/a"</formula>
    </cfRule>
  </conditionalFormatting>
  <conditionalFormatting sqref="F21:P21 A21">
    <cfRule type="cellIs" dxfId="326" priority="16" operator="equal">
      <formula>"n/a"</formula>
    </cfRule>
  </conditionalFormatting>
  <conditionalFormatting sqref="F30:P30 A30">
    <cfRule type="cellIs" dxfId="325" priority="15" operator="equal">
      <formula>"n/a"</formula>
    </cfRule>
  </conditionalFormatting>
  <conditionalFormatting sqref="F39:P39 A39">
    <cfRule type="cellIs" dxfId="324" priority="14" operator="equal">
      <formula>"n/a"</formula>
    </cfRule>
  </conditionalFormatting>
  <conditionalFormatting sqref="C13">
    <cfRule type="cellIs" dxfId="323" priority="10" operator="equal">
      <formula>"WIP (see comments)"</formula>
    </cfRule>
    <cfRule type="cellIs" dxfId="322" priority="11" operator="equal">
      <formula>"Removed"</formula>
    </cfRule>
    <cfRule type="cellIs" dxfId="321" priority="12" operator="equal">
      <formula>"Updated"</formula>
    </cfRule>
    <cfRule type="cellIs" dxfId="320" priority="13" operator="equal">
      <formula>"New"</formula>
    </cfRule>
  </conditionalFormatting>
  <conditionalFormatting sqref="F7:H8 G9:G10">
    <cfRule type="cellIs" dxfId="319" priority="8" operator="equal">
      <formula>"n/a"</formula>
    </cfRule>
  </conditionalFormatting>
  <conditionalFormatting sqref="J7:O8 M9:N10">
    <cfRule type="cellIs" dxfId="318" priority="7" operator="equal">
      <formula>"n/a"</formula>
    </cfRule>
  </conditionalFormatting>
  <dataValidations count="2">
    <dataValidation type="list" allowBlank="1" showInputMessage="1" showErrorMessage="1" sqref="C42:C1048576" xr:uid="{00000000-0002-0000-0A00-000000000000}">
      <formula1>$B$5:$B$10</formula1>
    </dataValidation>
    <dataValidation type="list" allowBlank="1" showInputMessage="1" showErrorMessage="1" sqref="C40:C41 C31:C38 C22:C29 C13:C20" xr:uid="{00000000-0002-0000-0A00-000001000000}">
      <formula1>$B$5:$B$12</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2000000}">
          <x14:formula1>
            <xm:f>'List Values'!$B$5:$B$14</xm:f>
          </x14:formula1>
          <xm:sqref>C7:C10</xm:sqref>
        </x14:dataValidation>
        <x14:dataValidation type="list" allowBlank="1" showInputMessage="1" showErrorMessage="1" xr:uid="{00000000-0002-0000-0A00-000003000000}">
          <x14:formula1>
            <xm:f>'List Values'!$A$5:$A$30</xm:f>
          </x14:formula1>
          <xm:sqref>E42:E1048576</xm:sqref>
        </x14:dataValidation>
        <x14:dataValidation type="list" allowBlank="1" showInputMessage="1" showErrorMessage="1" xr:uid="{00000000-0002-0000-0A00-000004000000}">
          <x14:formula1>
            <xm:f>'List Values'!$B$5:$B$12</xm:f>
          </x14:formula1>
          <xm:sqref>C11</xm:sqref>
        </x14:dataValidation>
        <x14:dataValidation type="list" allowBlank="1" showInputMessage="1" showErrorMessage="1" xr:uid="{00000000-0002-0000-0A00-000005000000}">
          <x14:formula1>
            <xm:f>'List Values'!$A$5:$A$29</xm:f>
          </x14:formula1>
          <xm:sqref>E7:E41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25" customFormat="1" ht="18.5" x14ac:dyDescent="0.35">
      <c r="A1" s="23" t="s">
        <v>6</v>
      </c>
      <c r="B1" s="33" t="s">
        <v>67</v>
      </c>
      <c r="C1" s="27"/>
      <c r="D1" s="24" t="s">
        <v>250</v>
      </c>
    </row>
    <row r="2" spans="1:16" s="25" customFormat="1" ht="18.5" x14ac:dyDescent="0.35">
      <c r="A2" s="23" t="s">
        <v>7</v>
      </c>
      <c r="B2" s="31">
        <v>8</v>
      </c>
      <c r="C2" s="30"/>
      <c r="D2" s="31"/>
    </row>
    <row r="3" spans="1:16" s="25" customFormat="1" ht="18.5" x14ac:dyDescent="0.35">
      <c r="A3" s="23" t="s">
        <v>44</v>
      </c>
      <c r="B3" s="31" t="s">
        <v>246</v>
      </c>
      <c r="C3" s="30"/>
      <c r="D3" s="31"/>
    </row>
    <row r="4" spans="1:16" s="25" customFormat="1" ht="18.5" x14ac:dyDescent="0.35">
      <c r="A4" s="23" t="s">
        <v>8</v>
      </c>
      <c r="B4" s="25" t="s">
        <v>245</v>
      </c>
      <c r="C4" s="30"/>
    </row>
    <row r="5" spans="1:16" s="4" customFormat="1" x14ac:dyDescent="0.35">
      <c r="A5" s="60"/>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CONCATENATE($B$2, ".", A7)</f>
        <v>8.1</v>
      </c>
      <c r="C7" s="29" t="s">
        <v>41</v>
      </c>
      <c r="D7" s="34" t="s">
        <v>205</v>
      </c>
      <c r="I7" s="34"/>
      <c r="J7" s="5" t="s">
        <v>37</v>
      </c>
      <c r="K7" s="5"/>
      <c r="L7" s="5"/>
      <c r="M7" s="5"/>
      <c r="N7" s="5"/>
      <c r="O7" s="5"/>
    </row>
    <row r="8" spans="1:16" x14ac:dyDescent="0.35">
      <c r="A8" s="6">
        <v>2</v>
      </c>
      <c r="B8" s="6" t="str">
        <f>CONCATENATE($B$2, ".", A8)</f>
        <v>8.2</v>
      </c>
      <c r="C8" s="29" t="s">
        <v>41</v>
      </c>
      <c r="D8" s="34" t="s">
        <v>68</v>
      </c>
      <c r="E8" s="34"/>
      <c r="I8" s="34"/>
      <c r="J8" s="5" t="s">
        <v>37</v>
      </c>
      <c r="K8" s="5"/>
      <c r="L8" s="5"/>
      <c r="M8" s="5"/>
      <c r="N8" s="5"/>
      <c r="O8" s="5"/>
    </row>
    <row r="9" spans="1:16" s="70" customFormat="1" x14ac:dyDescent="0.35">
      <c r="A9" s="111"/>
      <c r="B9" s="111"/>
      <c r="C9" s="111"/>
      <c r="D9" s="111"/>
      <c r="E9" s="111"/>
    </row>
    <row r="10" spans="1:16" s="34" customFormat="1" ht="66" customHeight="1" x14ac:dyDescent="0.35">
      <c r="A10" s="34">
        <v>3</v>
      </c>
      <c r="B10" s="34" t="str">
        <f t="shared" ref="B10" si="0">CONCATENATE($B$2, ".", A10)</f>
        <v>8.3</v>
      </c>
      <c r="C10" s="42" t="s">
        <v>41</v>
      </c>
      <c r="D10" s="34" t="s">
        <v>207</v>
      </c>
      <c r="J10" s="35"/>
      <c r="K10" s="35"/>
      <c r="L10" s="35"/>
      <c r="M10" s="35"/>
      <c r="N10" s="35"/>
      <c r="O10" s="35"/>
    </row>
    <row r="11" spans="1:16" s="34" customFormat="1" ht="128.25" customHeight="1" x14ac:dyDescent="0.35">
      <c r="A11" s="34">
        <v>4</v>
      </c>
      <c r="B11" s="34" t="str">
        <f t="shared" ref="B11:B16" si="1">CONCATENATE($B$2, ".", A11)</f>
        <v>8.4</v>
      </c>
      <c r="C11" s="42" t="s">
        <v>41</v>
      </c>
      <c r="D11" s="34" t="s">
        <v>106</v>
      </c>
      <c r="H11" s="36"/>
      <c r="J11" s="35"/>
      <c r="K11" s="35"/>
      <c r="L11" s="35"/>
      <c r="M11" s="35"/>
      <c r="N11" s="35"/>
      <c r="O11" s="35"/>
    </row>
    <row r="12" spans="1:16" s="34" customFormat="1" x14ac:dyDescent="0.35">
      <c r="A12" s="34">
        <v>5</v>
      </c>
      <c r="B12" s="34" t="str">
        <f t="shared" si="1"/>
        <v>8.5</v>
      </c>
      <c r="C12" s="42" t="s">
        <v>41</v>
      </c>
      <c r="D12" s="34" t="s">
        <v>75</v>
      </c>
      <c r="H12" s="36"/>
      <c r="J12" s="35"/>
      <c r="K12" s="35"/>
      <c r="L12" s="35"/>
      <c r="M12" s="35"/>
      <c r="N12" s="35"/>
      <c r="O12" s="35"/>
    </row>
    <row r="13" spans="1:16" s="34" customFormat="1" x14ac:dyDescent="0.35">
      <c r="A13" s="34">
        <v>6</v>
      </c>
      <c r="B13" s="34" t="str">
        <f t="shared" si="1"/>
        <v>8.6</v>
      </c>
      <c r="C13" s="42" t="s">
        <v>41</v>
      </c>
      <c r="D13" s="34" t="s">
        <v>110</v>
      </c>
      <c r="H13" s="36"/>
      <c r="J13" s="35"/>
      <c r="K13" s="35"/>
      <c r="L13" s="35"/>
      <c r="M13" s="35"/>
      <c r="N13" s="35"/>
      <c r="O13" s="35"/>
    </row>
    <row r="14" spans="1:16" s="34" customFormat="1" x14ac:dyDescent="0.35">
      <c r="A14" s="34">
        <v>7</v>
      </c>
      <c r="B14" s="34" t="str">
        <f t="shared" si="1"/>
        <v>8.7</v>
      </c>
      <c r="C14" s="42" t="s">
        <v>41</v>
      </c>
      <c r="D14" s="34" t="s">
        <v>70</v>
      </c>
      <c r="H14" s="36"/>
      <c r="J14" s="35"/>
      <c r="K14" s="35"/>
      <c r="L14" s="35"/>
      <c r="M14" s="35"/>
      <c r="N14" s="35"/>
      <c r="O14" s="35"/>
    </row>
    <row r="15" spans="1:16" s="34" customFormat="1" x14ac:dyDescent="0.35">
      <c r="A15" s="34">
        <v>8</v>
      </c>
      <c r="B15" s="34" t="str">
        <f t="shared" si="1"/>
        <v>8.8</v>
      </c>
      <c r="C15" s="42" t="s">
        <v>41</v>
      </c>
      <c r="D15" s="34" t="s">
        <v>71</v>
      </c>
      <c r="H15" s="36"/>
      <c r="J15" s="35"/>
      <c r="K15" s="35"/>
      <c r="L15" s="35"/>
      <c r="M15" s="35"/>
      <c r="N15" s="35"/>
      <c r="O15" s="35"/>
    </row>
    <row r="16" spans="1:16" s="34" customFormat="1" ht="96.75" customHeight="1" x14ac:dyDescent="0.35">
      <c r="A16" s="34">
        <v>9</v>
      </c>
      <c r="B16" s="34" t="str">
        <f t="shared" si="1"/>
        <v>8.9</v>
      </c>
      <c r="C16" s="42" t="s">
        <v>41</v>
      </c>
      <c r="D16" s="34" t="s">
        <v>72</v>
      </c>
      <c r="H16" s="36"/>
      <c r="J16" s="35"/>
      <c r="K16" s="35"/>
      <c r="L16" s="35"/>
      <c r="M16" s="35"/>
      <c r="N16" s="35"/>
      <c r="O16" s="35"/>
    </row>
    <row r="17" spans="1:15" s="34" customFormat="1" x14ac:dyDescent="0.35">
      <c r="A17" s="34">
        <v>10</v>
      </c>
      <c r="B17" s="34" t="str">
        <f>CONCATENATE($B$2, ".", A17)</f>
        <v>8.10</v>
      </c>
      <c r="C17" s="42" t="s">
        <v>41</v>
      </c>
      <c r="D17" s="34" t="s">
        <v>73</v>
      </c>
      <c r="H17" s="36"/>
      <c r="J17" s="35"/>
      <c r="K17" s="35"/>
      <c r="L17" s="35"/>
      <c r="M17" s="35"/>
      <c r="N17" s="35"/>
      <c r="O17" s="35"/>
    </row>
    <row r="18" spans="1:15" s="70" customFormat="1" x14ac:dyDescent="0.35">
      <c r="A18" s="111"/>
      <c r="B18" s="111"/>
      <c r="C18" s="111"/>
      <c r="D18" s="111"/>
      <c r="E18" s="111"/>
    </row>
    <row r="19" spans="1:15" s="34" customFormat="1" ht="66" customHeight="1" x14ac:dyDescent="0.35">
      <c r="A19" s="34">
        <v>11</v>
      </c>
      <c r="B19" s="34" t="str">
        <f t="shared" ref="B19:B25" si="2">CONCATENATE($B$2, ".", A19)</f>
        <v>8.11</v>
      </c>
      <c r="C19" s="42" t="s">
        <v>41</v>
      </c>
      <c r="D19" s="34" t="s">
        <v>80</v>
      </c>
      <c r="J19" s="35"/>
      <c r="K19" s="35"/>
      <c r="L19" s="35"/>
      <c r="M19" s="35"/>
      <c r="N19" s="35"/>
      <c r="O19" s="35"/>
    </row>
    <row r="20" spans="1:15" s="34" customFormat="1" ht="81.75" customHeight="1" x14ac:dyDescent="0.35">
      <c r="A20" s="34">
        <v>12</v>
      </c>
      <c r="B20" s="34" t="str">
        <f t="shared" si="2"/>
        <v>8.12</v>
      </c>
      <c r="C20" s="42" t="s">
        <v>41</v>
      </c>
      <c r="D20" s="34" t="s">
        <v>107</v>
      </c>
      <c r="H20" s="36"/>
      <c r="J20" s="35"/>
      <c r="K20" s="35"/>
      <c r="L20" s="35"/>
      <c r="M20" s="35"/>
      <c r="N20" s="35"/>
      <c r="O20" s="35"/>
    </row>
    <row r="21" spans="1:15" s="34" customFormat="1" ht="49.5" customHeight="1" x14ac:dyDescent="0.35">
      <c r="A21" s="34">
        <v>13</v>
      </c>
      <c r="B21" s="34" t="str">
        <f t="shared" si="2"/>
        <v>8.13</v>
      </c>
      <c r="C21" s="42" t="s">
        <v>41</v>
      </c>
      <c r="D21" s="34" t="s">
        <v>75</v>
      </c>
      <c r="H21" s="36"/>
      <c r="J21" s="35"/>
      <c r="K21" s="35"/>
      <c r="L21" s="35"/>
      <c r="M21" s="35"/>
      <c r="N21" s="35"/>
      <c r="O21" s="35"/>
    </row>
    <row r="22" spans="1:15" s="34" customFormat="1" ht="54" customHeight="1" x14ac:dyDescent="0.35">
      <c r="A22" s="34">
        <v>14</v>
      </c>
      <c r="B22" s="34" t="str">
        <f t="shared" si="2"/>
        <v>8.14</v>
      </c>
      <c r="C22" s="42" t="s">
        <v>41</v>
      </c>
      <c r="D22" s="34" t="s">
        <v>110</v>
      </c>
      <c r="H22" s="36"/>
      <c r="J22" s="35"/>
      <c r="K22" s="35"/>
      <c r="L22" s="35"/>
      <c r="M22" s="35"/>
      <c r="N22" s="35"/>
      <c r="O22" s="35"/>
    </row>
    <row r="23" spans="1:15" s="34" customFormat="1" ht="54" customHeight="1" x14ac:dyDescent="0.35">
      <c r="A23" s="34">
        <v>15</v>
      </c>
      <c r="B23" s="34" t="str">
        <f t="shared" si="2"/>
        <v>8.15</v>
      </c>
      <c r="C23" s="42" t="s">
        <v>41</v>
      </c>
      <c r="D23" s="34" t="s">
        <v>70</v>
      </c>
      <c r="H23" s="36"/>
      <c r="J23" s="35"/>
      <c r="K23" s="35"/>
      <c r="L23" s="35"/>
      <c r="M23" s="35"/>
      <c r="N23" s="35"/>
      <c r="O23" s="35"/>
    </row>
    <row r="24" spans="1:15" s="34" customFormat="1" ht="50.25" customHeight="1" x14ac:dyDescent="0.35">
      <c r="A24" s="34">
        <v>16</v>
      </c>
      <c r="B24" s="34" t="str">
        <f t="shared" si="2"/>
        <v>8.16</v>
      </c>
      <c r="C24" s="42" t="s">
        <v>41</v>
      </c>
      <c r="D24" s="34" t="s">
        <v>71</v>
      </c>
      <c r="H24" s="36"/>
      <c r="J24" s="35"/>
      <c r="K24" s="35"/>
      <c r="L24" s="35"/>
      <c r="M24" s="35"/>
      <c r="N24" s="35"/>
      <c r="O24" s="35"/>
    </row>
    <row r="25" spans="1:15" s="34" customFormat="1" x14ac:dyDescent="0.35">
      <c r="A25" s="34">
        <v>17</v>
      </c>
      <c r="B25" s="34" t="str">
        <f t="shared" si="2"/>
        <v>8.17</v>
      </c>
      <c r="C25" s="42" t="s">
        <v>41</v>
      </c>
      <c r="D25" s="34" t="s">
        <v>72</v>
      </c>
      <c r="H25" s="36"/>
      <c r="J25" s="35"/>
      <c r="K25" s="35"/>
      <c r="L25" s="35"/>
      <c r="M25" s="35"/>
      <c r="N25" s="35"/>
      <c r="O25" s="35"/>
    </row>
    <row r="26" spans="1:15" s="34" customFormat="1" x14ac:dyDescent="0.35">
      <c r="A26" s="34">
        <v>18</v>
      </c>
      <c r="B26" s="34" t="str">
        <f>CONCATENATE($B$2, ".", A26)</f>
        <v>8.18</v>
      </c>
      <c r="C26" s="42" t="s">
        <v>41</v>
      </c>
      <c r="D26" s="34" t="s">
        <v>73</v>
      </c>
      <c r="H26" s="36"/>
      <c r="J26" s="35"/>
      <c r="K26" s="35"/>
      <c r="L26" s="35"/>
      <c r="M26" s="35"/>
      <c r="N26" s="35"/>
      <c r="O26" s="35"/>
    </row>
    <row r="27" spans="1:15" s="70" customFormat="1" x14ac:dyDescent="0.35">
      <c r="A27" s="111"/>
      <c r="B27" s="111"/>
      <c r="C27" s="111"/>
      <c r="D27" s="111"/>
      <c r="E27" s="111"/>
    </row>
    <row r="28" spans="1:15" s="34" customFormat="1" ht="29" x14ac:dyDescent="0.35">
      <c r="A28" s="34">
        <v>19</v>
      </c>
      <c r="B28" s="34" t="str">
        <f t="shared" ref="B28:B34" si="3">CONCATENATE($B$2, ".", A28)</f>
        <v>8.19</v>
      </c>
      <c r="C28" s="42" t="s">
        <v>41</v>
      </c>
      <c r="D28" s="34" t="s">
        <v>157</v>
      </c>
      <c r="J28" s="35"/>
      <c r="K28" s="35"/>
      <c r="L28" s="35"/>
      <c r="M28" s="35"/>
      <c r="N28" s="35"/>
      <c r="O28" s="35"/>
    </row>
    <row r="29" spans="1:15" s="34" customFormat="1" ht="81.75" customHeight="1" x14ac:dyDescent="0.35">
      <c r="A29" s="34">
        <v>20</v>
      </c>
      <c r="B29" s="34" t="str">
        <f t="shared" si="3"/>
        <v>8.20</v>
      </c>
      <c r="C29" s="42" t="s">
        <v>41</v>
      </c>
      <c r="D29" s="34" t="s">
        <v>82</v>
      </c>
      <c r="H29" s="36"/>
      <c r="J29" s="35"/>
      <c r="K29" s="35"/>
      <c r="L29" s="35"/>
      <c r="M29" s="35"/>
      <c r="N29" s="35"/>
      <c r="O29" s="35"/>
    </row>
    <row r="30" spans="1:15" s="34" customFormat="1" ht="49.5" customHeight="1" x14ac:dyDescent="0.35">
      <c r="A30" s="34">
        <v>21</v>
      </c>
      <c r="B30" s="34" t="str">
        <f t="shared" si="3"/>
        <v>8.21</v>
      </c>
      <c r="C30" s="42" t="s">
        <v>41</v>
      </c>
      <c r="D30" s="34" t="s">
        <v>75</v>
      </c>
      <c r="H30" s="36"/>
      <c r="J30" s="35"/>
      <c r="K30" s="36"/>
      <c r="L30" s="36"/>
      <c r="M30" s="35"/>
      <c r="N30" s="35"/>
      <c r="O30" s="35"/>
    </row>
    <row r="31" spans="1:15" s="34" customFormat="1" x14ac:dyDescent="0.35">
      <c r="A31" s="34">
        <v>22</v>
      </c>
      <c r="B31" s="34" t="str">
        <f t="shared" si="3"/>
        <v>8.22</v>
      </c>
      <c r="C31" s="42" t="s">
        <v>41</v>
      </c>
      <c r="D31" s="34" t="s">
        <v>112</v>
      </c>
      <c r="H31" s="36"/>
      <c r="J31" s="35"/>
      <c r="K31" s="35"/>
      <c r="L31" s="35"/>
      <c r="M31" s="35"/>
      <c r="N31" s="35"/>
      <c r="O31" s="35"/>
    </row>
    <row r="32" spans="1:15" s="34" customFormat="1" ht="54" customHeight="1" x14ac:dyDescent="0.35">
      <c r="A32" s="34">
        <v>23</v>
      </c>
      <c r="B32" s="34" t="str">
        <f t="shared" si="3"/>
        <v>8.23</v>
      </c>
      <c r="C32" s="42" t="s">
        <v>41</v>
      </c>
      <c r="D32" s="34" t="s">
        <v>70</v>
      </c>
      <c r="H32" s="36"/>
      <c r="J32" s="35"/>
      <c r="K32" s="35"/>
      <c r="L32" s="35"/>
      <c r="M32" s="35"/>
      <c r="N32" s="35"/>
      <c r="O32" s="35"/>
    </row>
    <row r="33" spans="1:15" s="34" customFormat="1" ht="50.25" customHeight="1" x14ac:dyDescent="0.35">
      <c r="A33" s="34">
        <v>24</v>
      </c>
      <c r="B33" s="34" t="str">
        <f t="shared" si="3"/>
        <v>8.24</v>
      </c>
      <c r="C33" s="42" t="s">
        <v>41</v>
      </c>
      <c r="D33" s="34" t="s">
        <v>71</v>
      </c>
      <c r="H33" s="36"/>
      <c r="J33" s="35"/>
      <c r="K33" s="35"/>
      <c r="L33" s="35"/>
      <c r="M33" s="35"/>
      <c r="N33" s="35"/>
      <c r="O33" s="35"/>
    </row>
    <row r="34" spans="1:15" s="34" customFormat="1" x14ac:dyDescent="0.35">
      <c r="A34" s="34">
        <v>25</v>
      </c>
      <c r="B34" s="34" t="str">
        <f t="shared" si="3"/>
        <v>8.25</v>
      </c>
      <c r="C34" s="42" t="s">
        <v>41</v>
      </c>
      <c r="D34" s="34" t="s">
        <v>72</v>
      </c>
      <c r="H34" s="36"/>
      <c r="J34" s="35"/>
      <c r="K34" s="35"/>
      <c r="L34" s="35"/>
      <c r="M34" s="35"/>
      <c r="N34" s="35"/>
      <c r="O34" s="35"/>
    </row>
    <row r="35" spans="1:15" s="34" customFormat="1" x14ac:dyDescent="0.35">
      <c r="A35" s="34">
        <v>26</v>
      </c>
      <c r="B35" s="34" t="str">
        <f>CONCATENATE($B$2, ".", A35)</f>
        <v>8.26</v>
      </c>
      <c r="C35" s="42" t="s">
        <v>41</v>
      </c>
      <c r="D35" s="34" t="s">
        <v>73</v>
      </c>
      <c r="H35" s="36"/>
      <c r="J35" s="35"/>
      <c r="K35" s="35"/>
      <c r="L35" s="35"/>
      <c r="M35" s="35"/>
      <c r="N35" s="35"/>
      <c r="O35" s="35"/>
    </row>
    <row r="36" spans="1:15" s="70" customFormat="1" x14ac:dyDescent="0.35">
      <c r="A36" s="111"/>
      <c r="B36" s="111"/>
      <c r="C36" s="111"/>
      <c r="D36" s="111"/>
      <c r="E36" s="111"/>
    </row>
    <row r="37" spans="1:15" x14ac:dyDescent="0.35">
      <c r="A37" s="6">
        <v>27</v>
      </c>
      <c r="B37" s="6" t="str">
        <f>CONCATENATE($B$2, ".", A37)</f>
        <v>8.27</v>
      </c>
      <c r="C37" s="29" t="s">
        <v>41</v>
      </c>
      <c r="D37" s="6" t="s">
        <v>55</v>
      </c>
    </row>
    <row r="38" spans="1:15" x14ac:dyDescent="0.35">
      <c r="A38" s="6">
        <v>28</v>
      </c>
      <c r="B38" s="6" t="str">
        <f>CONCATENATE($B$2, ".", A38)</f>
        <v>8.28</v>
      </c>
      <c r="C38" s="29" t="s">
        <v>41</v>
      </c>
      <c r="D38" s="6" t="s">
        <v>54</v>
      </c>
    </row>
    <row r="39" spans="1:15" x14ac:dyDescent="0.35">
      <c r="I39" s="34"/>
      <c r="J39" s="5"/>
      <c r="K39" s="5"/>
      <c r="L39" s="35"/>
      <c r="M39" s="35"/>
      <c r="N39" s="35"/>
      <c r="O39" s="35"/>
    </row>
    <row r="40" spans="1:15" x14ac:dyDescent="0.35">
      <c r="I40" s="34"/>
      <c r="J40" s="5"/>
      <c r="K40" s="5"/>
      <c r="L40" s="35"/>
      <c r="M40" s="35"/>
      <c r="N40" s="35"/>
      <c r="O40" s="35"/>
    </row>
    <row r="41" spans="1:15" x14ac:dyDescent="0.35">
      <c r="I41" s="34"/>
      <c r="J41" s="5"/>
      <c r="K41" s="5"/>
      <c r="L41" s="35"/>
      <c r="M41" s="35"/>
      <c r="N41" s="35"/>
      <c r="O41" s="35"/>
    </row>
    <row r="42" spans="1:15" x14ac:dyDescent="0.35">
      <c r="I42" s="34"/>
      <c r="J42" s="5"/>
      <c r="K42" s="5"/>
      <c r="L42" s="35"/>
      <c r="M42" s="35"/>
      <c r="N42" s="35"/>
      <c r="O42" s="35"/>
    </row>
    <row r="43" spans="1:15" x14ac:dyDescent="0.35">
      <c r="I43" s="34"/>
      <c r="J43" s="5"/>
      <c r="K43" s="5"/>
      <c r="L43" s="35"/>
      <c r="M43" s="35"/>
      <c r="N43" s="35"/>
      <c r="O43" s="35"/>
    </row>
    <row r="44" spans="1:15" x14ac:dyDescent="0.35">
      <c r="I44" s="34"/>
      <c r="J44" s="5"/>
      <c r="K44" s="5"/>
      <c r="L44" s="35"/>
      <c r="M44" s="35"/>
      <c r="N44" s="35"/>
      <c r="O44" s="35"/>
    </row>
    <row r="45" spans="1:15" x14ac:dyDescent="0.35">
      <c r="I45" s="34"/>
      <c r="J45" s="5"/>
      <c r="K45" s="5"/>
      <c r="L45" s="35"/>
      <c r="M45" s="35"/>
      <c r="N45" s="35"/>
      <c r="O45" s="35"/>
    </row>
    <row r="46" spans="1:15" x14ac:dyDescent="0.35">
      <c r="I46" s="34"/>
      <c r="J46" s="5"/>
      <c r="K46" s="5"/>
      <c r="L46" s="35"/>
      <c r="M46" s="35"/>
      <c r="N46" s="35"/>
      <c r="O46" s="35"/>
    </row>
  </sheetData>
  <mergeCells count="4">
    <mergeCell ref="A9:E9"/>
    <mergeCell ref="A18:E18"/>
    <mergeCell ref="A27:E27"/>
    <mergeCell ref="A36:E36"/>
  </mergeCells>
  <conditionalFormatting sqref="C37:C1048576 C29:C35 C20:C26 C8">
    <cfRule type="cellIs" dxfId="317" priority="52" operator="equal">
      <formula>"WIP (see comments)"</formula>
    </cfRule>
    <cfRule type="cellIs" dxfId="316" priority="53" operator="equal">
      <formula>"Removed"</formula>
    </cfRule>
    <cfRule type="cellIs" dxfId="315" priority="54" operator="equal">
      <formula>"Updated"</formula>
    </cfRule>
    <cfRule type="cellIs" dxfId="314" priority="55" operator="equal">
      <formula>"New"</formula>
    </cfRule>
  </conditionalFormatting>
  <conditionalFormatting sqref="C7:C8">
    <cfRule type="cellIs" dxfId="313" priority="44" operator="equal">
      <formula>"WIP (see comments)"</formula>
    </cfRule>
    <cfRule type="cellIs" dxfId="312" priority="45" operator="equal">
      <formula>"Removed"</formula>
    </cfRule>
    <cfRule type="cellIs" dxfId="311" priority="46" operator="equal">
      <formula>"Updated"</formula>
    </cfRule>
    <cfRule type="cellIs" dxfId="310" priority="47" operator="equal">
      <formula>"New"</formula>
    </cfRule>
  </conditionalFormatting>
  <conditionalFormatting sqref="C19:C26">
    <cfRule type="cellIs" dxfId="309" priority="36" operator="equal">
      <formula>"WIP (see comments)"</formula>
    </cfRule>
    <cfRule type="cellIs" dxfId="308" priority="37" operator="equal">
      <formula>"Removed"</formula>
    </cfRule>
    <cfRule type="cellIs" dxfId="307" priority="38" operator="equal">
      <formula>"Updated"</formula>
    </cfRule>
    <cfRule type="cellIs" dxfId="306" priority="39" operator="equal">
      <formula>"New"</formula>
    </cfRule>
  </conditionalFormatting>
  <conditionalFormatting sqref="C28:C35">
    <cfRule type="cellIs" dxfId="305" priority="28" operator="equal">
      <formula>"WIP (see comments)"</formula>
    </cfRule>
    <cfRule type="cellIs" dxfId="304" priority="29" operator="equal">
      <formula>"Removed"</formula>
    </cfRule>
    <cfRule type="cellIs" dxfId="303" priority="30" operator="equal">
      <formula>"Updated"</formula>
    </cfRule>
    <cfRule type="cellIs" dxfId="302" priority="31" operator="equal">
      <formula>"New"</formula>
    </cfRule>
  </conditionalFormatting>
  <conditionalFormatting sqref="A2:XFD8 A37:XFD1048576 A1:C1 E1:XFD1 A11:B17 D11:XFD17 A19:XFD26 A28:XFD35">
    <cfRule type="cellIs" dxfId="301" priority="19" operator="equal">
      <formula>"n/a"</formula>
    </cfRule>
  </conditionalFormatting>
  <conditionalFormatting sqref="C25">
    <cfRule type="cellIs" dxfId="300" priority="15" operator="equal">
      <formula>"WIP (see comments)"</formula>
    </cfRule>
    <cfRule type="cellIs" dxfId="299" priority="16" operator="equal">
      <formula>"Removed"</formula>
    </cfRule>
    <cfRule type="cellIs" dxfId="298" priority="17" operator="equal">
      <formula>"Updated"</formula>
    </cfRule>
    <cfRule type="cellIs" dxfId="297" priority="18" operator="equal">
      <formula>"New"</formula>
    </cfRule>
  </conditionalFormatting>
  <conditionalFormatting sqref="C26">
    <cfRule type="cellIs" dxfId="296" priority="11" operator="equal">
      <formula>"WIP (see comments)"</formula>
    </cfRule>
    <cfRule type="cellIs" dxfId="295" priority="12" operator="equal">
      <formula>"Removed"</formula>
    </cfRule>
    <cfRule type="cellIs" dxfId="294" priority="13" operator="equal">
      <formula>"Updated"</formula>
    </cfRule>
    <cfRule type="cellIs" dxfId="293" priority="14" operator="equal">
      <formula>"New"</formula>
    </cfRule>
  </conditionalFormatting>
  <conditionalFormatting sqref="F9:XFD9 A9">
    <cfRule type="cellIs" dxfId="292" priority="10" operator="equal">
      <formula>"n/a"</formula>
    </cfRule>
  </conditionalFormatting>
  <conditionalFormatting sqref="F18:XFD18 A18">
    <cfRule type="cellIs" dxfId="291" priority="9" operator="equal">
      <formula>"n/a"</formula>
    </cfRule>
  </conditionalFormatting>
  <conditionalFormatting sqref="F27:XFD27 A27">
    <cfRule type="cellIs" dxfId="290" priority="8" operator="equal">
      <formula>"n/a"</formula>
    </cfRule>
  </conditionalFormatting>
  <conditionalFormatting sqref="F36:XFD36 A36">
    <cfRule type="cellIs" dxfId="289" priority="7" operator="equal">
      <formula>"n/a"</formula>
    </cfRule>
  </conditionalFormatting>
  <conditionalFormatting sqref="C10:C17">
    <cfRule type="cellIs" dxfId="288" priority="3" operator="equal">
      <formula>"WIP (see comments)"</formula>
    </cfRule>
    <cfRule type="cellIs" dxfId="287" priority="4" operator="equal">
      <formula>"Removed"</formula>
    </cfRule>
    <cfRule type="cellIs" dxfId="286" priority="5" operator="equal">
      <formula>"Updated"</formula>
    </cfRule>
    <cfRule type="cellIs" dxfId="285" priority="6" operator="equal">
      <formula>"New"</formula>
    </cfRule>
  </conditionalFormatting>
  <conditionalFormatting sqref="A10:XFD10 C11:C17">
    <cfRule type="cellIs" dxfId="284" priority="2" operator="equal">
      <formula>"n/a"</formula>
    </cfRule>
  </conditionalFormatting>
  <conditionalFormatting sqref="D1">
    <cfRule type="cellIs" dxfId="283" priority="1" operator="equal">
      <formula>"n/a"</formula>
    </cfRule>
  </conditionalFormatting>
  <dataValidations count="2">
    <dataValidation type="list" allowBlank="1" showInputMessage="1" showErrorMessage="1" sqref="E10:E17 E37:E1048576 E28:E35 E19:E26" xr:uid="{00000000-0002-0000-0B00-000000000000}">
      <formula1>$A$5:$A$28</formula1>
    </dataValidation>
    <dataValidation type="list" allowBlank="1" showInputMessage="1" showErrorMessage="1" sqref="C37:C1048576 C28:C35 C19:C26 C10:C17" xr:uid="{00000000-0002-0000-0B00-000001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2000000}">
          <x14:formula1>
            <xm:f>'List Values'!$A$5:$A$30</xm:f>
          </x14:formula1>
          <xm:sqref>E7:E8</xm:sqref>
        </x14:dataValidation>
        <x14:dataValidation type="list" allowBlank="1" showInputMessage="1" showErrorMessage="1" xr:uid="{00000000-0002-0000-0B00-000003000000}">
          <x14:formula1>
            <xm:f>'List Values'!$B$5:$B$12</xm:f>
          </x14:formula1>
          <xm:sqref>C7:C8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0"/>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273</v>
      </c>
      <c r="C1" s="27"/>
      <c r="D1" s="24"/>
    </row>
    <row r="2" spans="1:16" s="25" customFormat="1" ht="18.5" x14ac:dyDescent="0.35">
      <c r="A2" s="23" t="s">
        <v>7</v>
      </c>
      <c r="B2" s="31">
        <v>8</v>
      </c>
      <c r="C2" s="30"/>
      <c r="D2" s="31"/>
    </row>
    <row r="3" spans="1:16" s="25" customFormat="1" ht="18.5" x14ac:dyDescent="0.35">
      <c r="A3" s="23" t="s">
        <v>44</v>
      </c>
      <c r="B3" s="31" t="s">
        <v>236</v>
      </c>
      <c r="C3" s="30"/>
      <c r="D3" s="58" t="s">
        <v>398</v>
      </c>
      <c r="E3" s="25" t="s">
        <v>68</v>
      </c>
    </row>
    <row r="4" spans="1:16" s="25" customFormat="1" ht="18.5" x14ac:dyDescent="0.35">
      <c r="A4" s="23" t="s">
        <v>8</v>
      </c>
      <c r="B4" s="25" t="s">
        <v>47</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34" customFormat="1" x14ac:dyDescent="0.35">
      <c r="A7" s="34">
        <v>1</v>
      </c>
      <c r="B7" s="34" t="str">
        <f t="shared" ref="B7:B13" si="0">CONCATENATE($B$2, ".", A7)</f>
        <v>8.1</v>
      </c>
      <c r="C7" s="42" t="s">
        <v>38</v>
      </c>
      <c r="D7" s="34" t="s">
        <v>411</v>
      </c>
      <c r="E7" s="34" t="s">
        <v>349</v>
      </c>
      <c r="F7" s="34" t="s">
        <v>37</v>
      </c>
      <c r="G7" s="34" t="s">
        <v>37</v>
      </c>
      <c r="H7" s="34" t="s">
        <v>37</v>
      </c>
      <c r="I7" s="34" t="s">
        <v>10</v>
      </c>
      <c r="J7" s="35" t="s">
        <v>37</v>
      </c>
      <c r="K7" s="35" t="s">
        <v>37</v>
      </c>
      <c r="L7" s="35" t="s">
        <v>37</v>
      </c>
      <c r="M7" s="35" t="s">
        <v>37</v>
      </c>
      <c r="N7" s="35" t="s">
        <v>37</v>
      </c>
      <c r="O7" s="35" t="s">
        <v>37</v>
      </c>
      <c r="P7" s="34" t="s">
        <v>412</v>
      </c>
    </row>
    <row r="8" spans="1:16" s="34" customFormat="1" x14ac:dyDescent="0.35">
      <c r="A8" s="34">
        <v>2</v>
      </c>
      <c r="B8" s="34" t="str">
        <f t="shared" si="0"/>
        <v>8.2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s="34" customFormat="1" ht="80.25" customHeight="1" x14ac:dyDescent="0.35">
      <c r="A9" s="34">
        <v>3</v>
      </c>
      <c r="B9" s="34" t="str">
        <f t="shared" si="0"/>
        <v>8.3</v>
      </c>
      <c r="C9" s="42" t="s">
        <v>38</v>
      </c>
      <c r="D9" s="34" t="s">
        <v>494</v>
      </c>
      <c r="E9" s="34" t="s">
        <v>84</v>
      </c>
      <c r="F9" s="34" t="s">
        <v>85</v>
      </c>
      <c r="G9" s="34" t="s">
        <v>132</v>
      </c>
      <c r="H9" s="34" t="s">
        <v>37</v>
      </c>
      <c r="I9" s="34" t="s">
        <v>10</v>
      </c>
      <c r="J9" s="35" t="s">
        <v>87</v>
      </c>
      <c r="K9" s="35" t="s">
        <v>51</v>
      </c>
      <c r="L9" s="35" t="s">
        <v>394</v>
      </c>
      <c r="M9" s="35" t="s">
        <v>88</v>
      </c>
      <c r="N9" s="35" t="s">
        <v>89</v>
      </c>
      <c r="O9" s="35" t="s">
        <v>90</v>
      </c>
      <c r="P9" s="34" t="s">
        <v>372</v>
      </c>
    </row>
    <row r="10" spans="1:16" s="34" customFormat="1" ht="102.75" customHeight="1" x14ac:dyDescent="0.35">
      <c r="A10" s="34">
        <v>4</v>
      </c>
      <c r="B10" s="34" t="str">
        <f t="shared" si="0"/>
        <v>8.4</v>
      </c>
      <c r="C10" s="42" t="s">
        <v>38</v>
      </c>
      <c r="D10" s="34" t="s">
        <v>495</v>
      </c>
      <c r="E10" s="34" t="s">
        <v>33</v>
      </c>
      <c r="F10" s="34" t="s">
        <v>86</v>
      </c>
      <c r="G10" s="34" t="s">
        <v>542</v>
      </c>
      <c r="H10" s="36">
        <v>9</v>
      </c>
      <c r="I10" s="34" t="s">
        <v>10</v>
      </c>
      <c r="J10" s="35" t="s">
        <v>37</v>
      </c>
      <c r="K10" s="35" t="s">
        <v>83</v>
      </c>
      <c r="L10" s="34" t="s">
        <v>37</v>
      </c>
      <c r="M10" s="35" t="s">
        <v>133</v>
      </c>
      <c r="N10" s="35" t="s">
        <v>173</v>
      </c>
      <c r="O10" s="35" t="s">
        <v>37</v>
      </c>
    </row>
    <row r="11" spans="1:16" s="34" customFormat="1" ht="114" customHeight="1" x14ac:dyDescent="0.35">
      <c r="A11" s="34">
        <v>5</v>
      </c>
      <c r="B11" s="34" t="str">
        <f t="shared" si="0"/>
        <v>8.5</v>
      </c>
      <c r="C11" s="42" t="s">
        <v>38</v>
      </c>
      <c r="D11" s="34" t="s">
        <v>496</v>
      </c>
      <c r="E11" s="34" t="s">
        <v>74</v>
      </c>
      <c r="F11" s="34" t="s">
        <v>49</v>
      </c>
      <c r="G11" s="34" t="s">
        <v>144</v>
      </c>
      <c r="H11" s="36">
        <v>200</v>
      </c>
      <c r="I11" s="34" t="s">
        <v>10</v>
      </c>
      <c r="J11" s="35" t="s">
        <v>92</v>
      </c>
      <c r="K11" s="35" t="s">
        <v>51</v>
      </c>
      <c r="L11" s="35" t="s">
        <v>395</v>
      </c>
      <c r="M11" s="35" t="s">
        <v>94</v>
      </c>
      <c r="N11" s="35" t="s">
        <v>37</v>
      </c>
      <c r="O11" s="35" t="s">
        <v>143</v>
      </c>
      <c r="P11" s="34" t="s">
        <v>372</v>
      </c>
    </row>
    <row r="12" spans="1:16" s="34" customFormat="1" ht="29" x14ac:dyDescent="0.35">
      <c r="A12" s="34">
        <v>6</v>
      </c>
      <c r="B12" s="34" t="str">
        <f>CONCATENATE($B$2, ".", A12)</f>
        <v>8.6</v>
      </c>
      <c r="C12" s="42" t="s">
        <v>38</v>
      </c>
      <c r="D12" s="34" t="s">
        <v>55</v>
      </c>
      <c r="E12" s="34" t="s">
        <v>43</v>
      </c>
      <c r="F12" s="34" t="s">
        <v>37</v>
      </c>
      <c r="G12" s="34" t="s">
        <v>37</v>
      </c>
      <c r="H12" s="34" t="s">
        <v>37</v>
      </c>
      <c r="I12" s="34" t="s">
        <v>10</v>
      </c>
      <c r="J12" s="34" t="s">
        <v>37</v>
      </c>
      <c r="K12" s="34" t="s">
        <v>37</v>
      </c>
      <c r="L12" s="34" t="s">
        <v>37</v>
      </c>
      <c r="M12" s="34" t="s">
        <v>37</v>
      </c>
      <c r="N12" s="34" t="s">
        <v>37</v>
      </c>
      <c r="O12" s="34" t="s">
        <v>396</v>
      </c>
      <c r="P12" s="34" t="s">
        <v>397</v>
      </c>
    </row>
    <row r="13" spans="1:16" s="34" customFormat="1" ht="29" x14ac:dyDescent="0.35">
      <c r="A13" s="34">
        <v>7</v>
      </c>
      <c r="B13" s="34" t="str">
        <f t="shared" si="0"/>
        <v>8.7</v>
      </c>
      <c r="C13" s="42" t="s">
        <v>40</v>
      </c>
      <c r="D13" s="34" t="s">
        <v>54</v>
      </c>
      <c r="E13" s="34" t="s">
        <v>43</v>
      </c>
      <c r="F13" s="34" t="s">
        <v>37</v>
      </c>
      <c r="G13" s="34" t="s">
        <v>37</v>
      </c>
      <c r="H13" s="34" t="s">
        <v>37</v>
      </c>
      <c r="I13" s="34" t="s">
        <v>10</v>
      </c>
      <c r="J13" s="34" t="s">
        <v>37</v>
      </c>
      <c r="K13" s="34" t="s">
        <v>37</v>
      </c>
      <c r="L13" s="34" t="s">
        <v>37</v>
      </c>
      <c r="M13" s="34" t="s">
        <v>37</v>
      </c>
      <c r="N13" s="34" t="s">
        <v>37</v>
      </c>
      <c r="O13" s="34" t="s">
        <v>244</v>
      </c>
    </row>
    <row r="14" spans="1:16" x14ac:dyDescent="0.35">
      <c r="D14" s="6" t="s">
        <v>68</v>
      </c>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sheetData>
  <autoFilter ref="A6:P13" xr:uid="{00000000-0009-0000-0000-00000C000000}"/>
  <conditionalFormatting sqref="C14:C1048576">
    <cfRule type="cellIs" dxfId="282" priority="24" operator="equal">
      <formula>"WIP (see comments)"</formula>
    </cfRule>
    <cfRule type="cellIs" dxfId="281" priority="25" operator="equal">
      <formula>"Removed"</formula>
    </cfRule>
    <cfRule type="cellIs" dxfId="280" priority="26" operator="equal">
      <formula>"Updated"</formula>
    </cfRule>
    <cfRule type="cellIs" dxfId="279" priority="27" operator="equal">
      <formula>"New"</formula>
    </cfRule>
  </conditionalFormatting>
  <conditionalFormatting sqref="C7:C13">
    <cfRule type="cellIs" dxfId="278" priority="16" operator="equal">
      <formula>"WIP (see comments)"</formula>
    </cfRule>
    <cfRule type="cellIs" dxfId="277" priority="17" operator="equal">
      <formula>"Removed"</formula>
    </cfRule>
    <cfRule type="cellIs" dxfId="276" priority="18" operator="equal">
      <formula>"Updated"</formula>
    </cfRule>
    <cfRule type="cellIs" dxfId="275" priority="19" operator="equal">
      <formula>"New"</formula>
    </cfRule>
  </conditionalFormatting>
  <conditionalFormatting sqref="B4">
    <cfRule type="cellIs" dxfId="274" priority="11" operator="equal">
      <formula>"n/a"</formula>
    </cfRule>
  </conditionalFormatting>
  <conditionalFormatting sqref="D11:O11">
    <cfRule type="cellIs" dxfId="273" priority="10" operator="equal">
      <formula>"n/a"</formula>
    </cfRule>
  </conditionalFormatting>
  <conditionalFormatting sqref="D1">
    <cfRule type="cellIs" dxfId="272" priority="9" operator="equal">
      <formula>"n/a"</formula>
    </cfRule>
  </conditionalFormatting>
  <conditionalFormatting sqref="D3">
    <cfRule type="cellIs" dxfId="271" priority="7" operator="equal">
      <formula>"n/a"</formula>
    </cfRule>
  </conditionalFormatting>
  <dataValidations count="2">
    <dataValidation type="list" allowBlank="1" showInputMessage="1" showErrorMessage="1" sqref="C14:C1048576" xr:uid="{00000000-0002-0000-0C00-000000000000}">
      <formula1>$B$5:$B$12</formula1>
    </dataValidation>
    <dataValidation type="list" allowBlank="1" showInputMessage="1" showErrorMessage="1" sqref="E14:E1048576" xr:uid="{00000000-0002-0000-0C00-000001000000}">
      <formula1>$A$5:$A$30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C7:C13</xm:sqref>
        </x14:dataValidation>
        <x14:dataValidation type="list" allowBlank="1" showInputMessage="1" showErrorMessage="1" xr:uid="{00000000-0002-0000-0C00-000003000000}">
          <x14:formula1>
            <xm:f>'List Values'!$A$5:$A$30</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318</v>
      </c>
      <c r="C1" s="27"/>
      <c r="D1" s="24"/>
      <c r="H1" s="30"/>
    </row>
    <row r="2" spans="1:16" s="25" customFormat="1" ht="18.5" x14ac:dyDescent="0.35">
      <c r="A2" s="23" t="s">
        <v>7</v>
      </c>
      <c r="B2" s="31">
        <v>9</v>
      </c>
      <c r="C2" s="30"/>
      <c r="D2" s="31"/>
      <c r="H2" s="30"/>
    </row>
    <row r="3" spans="1:16" s="25" customFormat="1" ht="18.5" x14ac:dyDescent="0.35">
      <c r="A3" s="23" t="s">
        <v>44</v>
      </c>
      <c r="B3" s="31" t="s">
        <v>324</v>
      </c>
      <c r="C3" s="30"/>
      <c r="D3" s="31" t="s">
        <v>432</v>
      </c>
      <c r="H3" s="30"/>
    </row>
    <row r="4" spans="1:16" s="25" customFormat="1" ht="18.5" x14ac:dyDescent="0.35">
      <c r="A4" s="23" t="s">
        <v>8</v>
      </c>
      <c r="B4" s="25" t="s">
        <v>47</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s="6" customFormat="1" x14ac:dyDescent="0.35">
      <c r="A7" s="5">
        <v>1</v>
      </c>
      <c r="B7" s="5" t="str">
        <f t="shared" ref="B7:B11" si="0">CONCATENATE($B$2, ".", A7)</f>
        <v>9.1</v>
      </c>
      <c r="C7" s="77" t="s">
        <v>38</v>
      </c>
      <c r="D7" s="6" t="s">
        <v>468</v>
      </c>
      <c r="E7" s="6" t="s">
        <v>349</v>
      </c>
      <c r="F7" s="6" t="s">
        <v>37</v>
      </c>
      <c r="G7" s="6" t="s">
        <v>37</v>
      </c>
      <c r="H7" s="29" t="s">
        <v>37</v>
      </c>
      <c r="I7" s="6" t="s">
        <v>10</v>
      </c>
      <c r="J7" s="6" t="s">
        <v>37</v>
      </c>
      <c r="K7" s="6" t="s">
        <v>37</v>
      </c>
      <c r="L7" s="6" t="s">
        <v>37</v>
      </c>
      <c r="M7" s="6" t="s">
        <v>37</v>
      </c>
      <c r="N7" s="6" t="s">
        <v>37</v>
      </c>
    </row>
    <row r="8" spans="1:16" s="6" customFormat="1" x14ac:dyDescent="0.35">
      <c r="A8" s="34">
        <v>2</v>
      </c>
      <c r="B8" s="34" t="str">
        <f t="shared" si="0"/>
        <v>9.2</v>
      </c>
      <c r="C8" s="78" t="s">
        <v>40</v>
      </c>
      <c r="D8" s="34" t="s">
        <v>37</v>
      </c>
      <c r="E8" s="34" t="s">
        <v>48</v>
      </c>
      <c r="F8" s="34" t="s">
        <v>37</v>
      </c>
      <c r="G8" s="34" t="s">
        <v>37</v>
      </c>
      <c r="H8" s="42" t="s">
        <v>37</v>
      </c>
      <c r="I8" s="34" t="s">
        <v>10</v>
      </c>
      <c r="J8" s="35" t="s">
        <v>37</v>
      </c>
      <c r="K8" s="35" t="s">
        <v>37</v>
      </c>
      <c r="L8" s="35" t="s">
        <v>37</v>
      </c>
      <c r="M8" s="35" t="s">
        <v>37</v>
      </c>
      <c r="N8" s="35" t="s">
        <v>37</v>
      </c>
      <c r="O8" s="35" t="s">
        <v>37</v>
      </c>
      <c r="P8" s="34"/>
    </row>
    <row r="9" spans="1:16" s="6" customFormat="1" ht="67.5" customHeight="1" x14ac:dyDescent="0.35">
      <c r="A9" s="5">
        <v>3</v>
      </c>
      <c r="B9" s="5" t="str">
        <f t="shared" si="0"/>
        <v>9.3</v>
      </c>
      <c r="C9" s="77" t="s">
        <v>40</v>
      </c>
      <c r="D9" s="6" t="s">
        <v>319</v>
      </c>
      <c r="E9" s="6" t="s">
        <v>34</v>
      </c>
      <c r="F9" s="6" t="s">
        <v>37</v>
      </c>
      <c r="G9" s="6" t="s">
        <v>37</v>
      </c>
      <c r="H9" s="29" t="s">
        <v>37</v>
      </c>
      <c r="I9" s="6" t="s">
        <v>10</v>
      </c>
      <c r="J9" s="6" t="s">
        <v>37</v>
      </c>
      <c r="K9" s="6" t="s">
        <v>37</v>
      </c>
      <c r="L9" s="6" t="s">
        <v>37</v>
      </c>
      <c r="M9" s="6" t="s">
        <v>37</v>
      </c>
      <c r="N9" s="6" t="s">
        <v>37</v>
      </c>
    </row>
    <row r="10" spans="1:16" s="6" customFormat="1" ht="130.5" customHeight="1" x14ac:dyDescent="0.35">
      <c r="A10" s="5">
        <v>4</v>
      </c>
      <c r="B10" s="5" t="str">
        <f t="shared" si="0"/>
        <v>9.4</v>
      </c>
      <c r="C10" s="80" t="s">
        <v>38</v>
      </c>
      <c r="D10" s="6" t="s">
        <v>320</v>
      </c>
      <c r="E10" s="6" t="s">
        <v>35</v>
      </c>
      <c r="F10" s="6" t="s">
        <v>431</v>
      </c>
      <c r="G10" s="6" t="s">
        <v>37</v>
      </c>
      <c r="H10" s="29" t="s">
        <v>37</v>
      </c>
      <c r="I10" s="6" t="s">
        <v>10</v>
      </c>
      <c r="J10" s="6" t="s">
        <v>92</v>
      </c>
      <c r="K10" s="6" t="s">
        <v>51</v>
      </c>
      <c r="L10" s="6" t="s">
        <v>91</v>
      </c>
      <c r="M10" s="6" t="s">
        <v>37</v>
      </c>
      <c r="N10" s="6" t="s">
        <v>37</v>
      </c>
      <c r="O10" s="6" t="s">
        <v>37</v>
      </c>
      <c r="P10" s="6" t="s">
        <v>409</v>
      </c>
    </row>
    <row r="11" spans="1:16" ht="145" x14ac:dyDescent="0.35">
      <c r="A11" s="5">
        <v>5</v>
      </c>
      <c r="B11" s="5" t="str">
        <f t="shared" si="0"/>
        <v>9.5</v>
      </c>
      <c r="C11" s="80" t="s">
        <v>40</v>
      </c>
      <c r="D11" s="6" t="s">
        <v>321</v>
      </c>
      <c r="E11" s="6" t="s">
        <v>33</v>
      </c>
      <c r="F11" s="6" t="s">
        <v>49</v>
      </c>
      <c r="G11" s="6" t="s">
        <v>37</v>
      </c>
      <c r="H11" s="29">
        <v>30</v>
      </c>
      <c r="I11" s="6" t="s">
        <v>10</v>
      </c>
      <c r="J11" s="6" t="s">
        <v>92</v>
      </c>
      <c r="K11" s="6" t="s">
        <v>51</v>
      </c>
      <c r="L11" s="6" t="s">
        <v>130</v>
      </c>
      <c r="M11" s="6" t="s">
        <v>37</v>
      </c>
      <c r="N11" s="6" t="s">
        <v>37</v>
      </c>
      <c r="O11" s="6" t="s">
        <v>399</v>
      </c>
      <c r="P11" s="6"/>
    </row>
    <row r="12" spans="1:16" ht="29" x14ac:dyDescent="0.35">
      <c r="A12" s="5">
        <v>6</v>
      </c>
      <c r="B12" s="5" t="str">
        <f t="shared" ref="B12:B13" si="1">CONCATENATE($B$2, ".", A12)</f>
        <v>9.6</v>
      </c>
      <c r="C12" s="80" t="s">
        <v>40</v>
      </c>
      <c r="D12" s="35" t="s">
        <v>55</v>
      </c>
      <c r="E12" s="5" t="s">
        <v>43</v>
      </c>
      <c r="F12" s="5" t="s">
        <v>37</v>
      </c>
      <c r="G12" s="5" t="s">
        <v>37</v>
      </c>
      <c r="H12" s="77" t="s">
        <v>37</v>
      </c>
      <c r="I12" s="35" t="s">
        <v>10</v>
      </c>
      <c r="J12" s="5" t="s">
        <v>37</v>
      </c>
      <c r="K12" s="5" t="s">
        <v>37</v>
      </c>
      <c r="L12" s="5" t="s">
        <v>37</v>
      </c>
      <c r="M12" s="5" t="s">
        <v>37</v>
      </c>
      <c r="N12" s="5" t="s">
        <v>37</v>
      </c>
      <c r="O12" s="34" t="s">
        <v>323</v>
      </c>
    </row>
    <row r="13" spans="1:16" x14ac:dyDescent="0.35">
      <c r="A13" s="5">
        <v>7</v>
      </c>
      <c r="B13" s="5" t="str">
        <f t="shared" si="1"/>
        <v>9.7</v>
      </c>
      <c r="C13" s="80" t="s">
        <v>40</v>
      </c>
      <c r="D13" s="35" t="s">
        <v>54</v>
      </c>
      <c r="E13" s="5" t="s">
        <v>43</v>
      </c>
      <c r="F13" s="5" t="s">
        <v>37</v>
      </c>
      <c r="G13" s="5" t="s">
        <v>37</v>
      </c>
      <c r="H13" s="77" t="s">
        <v>37</v>
      </c>
      <c r="I13" s="35" t="s">
        <v>10</v>
      </c>
      <c r="J13" s="5" t="s">
        <v>37</v>
      </c>
      <c r="K13" s="5" t="s">
        <v>37</v>
      </c>
      <c r="L13" s="5" t="s">
        <v>37</v>
      </c>
      <c r="M13" s="5" t="s">
        <v>37</v>
      </c>
      <c r="N13" s="5" t="s">
        <v>37</v>
      </c>
      <c r="O13" s="34" t="s">
        <v>322</v>
      </c>
    </row>
  </sheetData>
  <autoFilter ref="A6:P6" xr:uid="{00000000-0009-0000-0000-00000D000000}"/>
  <conditionalFormatting sqref="A1:XFD6 F7:N7 A7:C7 D11:H11 F9:N9 J11:P11 A9:C11 Q10:XFD1048576 C10:C13 A12:P1048576 G10">
    <cfRule type="cellIs" dxfId="270" priority="15" operator="equal">
      <formula>"n/a"</formula>
    </cfRule>
  </conditionalFormatting>
  <conditionalFormatting sqref="C1:C7 C9:C1048576">
    <cfRule type="cellIs" dxfId="269" priority="16" operator="equal">
      <formula>"WIP (see comments)"</formula>
    </cfRule>
    <cfRule type="cellIs" dxfId="268" priority="17" operator="equal">
      <formula>"Removed"</formula>
    </cfRule>
    <cfRule type="cellIs" dxfId="267" priority="18" operator="equal">
      <formula>"Updated"</formula>
    </cfRule>
    <cfRule type="cellIs" dxfId="266" priority="19" operator="equal">
      <formula>"New"</formula>
    </cfRule>
  </conditionalFormatting>
  <conditionalFormatting sqref="D10:E10 Q9:XFD9">
    <cfRule type="cellIs" dxfId="265" priority="14" operator="equal">
      <formula>"n/a"</formula>
    </cfRule>
  </conditionalFormatting>
  <conditionalFormatting sqref="F10 I11 H10:P10">
    <cfRule type="cellIs" dxfId="264" priority="13" operator="equal">
      <formula>"n/a"</formula>
    </cfRule>
  </conditionalFormatting>
  <conditionalFormatting sqref="A8:B8 D8:P8">
    <cfRule type="cellIs" dxfId="263" priority="12" operator="equal">
      <formula>"n/a"</formula>
    </cfRule>
  </conditionalFormatting>
  <conditionalFormatting sqref="C8">
    <cfRule type="cellIs" dxfId="262" priority="8" operator="equal">
      <formula>"WIP (see comments)"</formula>
    </cfRule>
    <cfRule type="cellIs" dxfId="261" priority="9" operator="equal">
      <formula>"Removed"</formula>
    </cfRule>
    <cfRule type="cellIs" dxfId="260" priority="10" operator="equal">
      <formula>"Updated"</formula>
    </cfRule>
    <cfRule type="cellIs" dxfId="259" priority="11" operator="equal">
      <formula>"New"</formula>
    </cfRule>
  </conditionalFormatting>
  <conditionalFormatting sqref="C8">
    <cfRule type="cellIs" dxfId="258" priority="7"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D00-000000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0D00-000001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0D00-000002000000}">
          <x14:formula1>
            <xm:f>'List Values'!$B$5:$B$9</xm:f>
          </x14:formula1>
          <xm:sqref>C7:C13</xm:sqref>
        </x14:dataValidation>
        <x14:dataValidation type="list" allowBlank="1" showInputMessage="1" showErrorMessage="1" xr:uid="{00000000-0002-0000-0D00-000003000000}">
          <x14:formula1>
            <xm:f>'List Values'!$A$5:$A$29</xm:f>
          </x14:formula1>
          <xm:sqref>E7:E13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P29"/>
  <sheetViews>
    <sheetView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95</v>
      </c>
      <c r="C1" s="27"/>
      <c r="D1" s="24"/>
      <c r="H1" s="30"/>
    </row>
    <row r="2" spans="1:16" s="25" customFormat="1" ht="18.5" x14ac:dyDescent="0.35">
      <c r="A2" s="23" t="s">
        <v>7</v>
      </c>
      <c r="B2" s="31">
        <v>10</v>
      </c>
      <c r="C2" s="30"/>
      <c r="D2" s="31" t="s">
        <v>328</v>
      </c>
      <c r="H2" s="30"/>
    </row>
    <row r="3" spans="1:16" s="25" customFormat="1" ht="18.5" x14ac:dyDescent="0.35">
      <c r="A3" s="23" t="s">
        <v>44</v>
      </c>
      <c r="B3" s="31" t="s">
        <v>255</v>
      </c>
      <c r="C3" s="30"/>
      <c r="D3" s="31" t="s">
        <v>261</v>
      </c>
      <c r="H3" s="30"/>
    </row>
    <row r="4" spans="1:16" s="25" customFormat="1" ht="18.5" x14ac:dyDescent="0.35">
      <c r="A4" s="23" t="s">
        <v>8</v>
      </c>
      <c r="B4" s="25" t="s">
        <v>47</v>
      </c>
      <c r="C4" s="30"/>
      <c r="D4" s="25" t="s">
        <v>547</v>
      </c>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s="34" customFormat="1" x14ac:dyDescent="0.35">
      <c r="A7" s="34">
        <v>1</v>
      </c>
      <c r="B7" s="34" t="str">
        <f t="shared" ref="B7:B22" si="0">CONCATENATE($B$2, ".", A7)</f>
        <v>10.1</v>
      </c>
      <c r="C7" s="42" t="s">
        <v>38</v>
      </c>
      <c r="D7" s="34" t="s">
        <v>327</v>
      </c>
      <c r="E7" s="34" t="s">
        <v>349</v>
      </c>
      <c r="F7" s="34" t="s">
        <v>37</v>
      </c>
      <c r="G7" s="34" t="s">
        <v>37</v>
      </c>
      <c r="H7" s="42" t="s">
        <v>37</v>
      </c>
      <c r="I7" s="34" t="s">
        <v>10</v>
      </c>
      <c r="J7" s="35" t="s">
        <v>37</v>
      </c>
      <c r="K7" s="35" t="s">
        <v>37</v>
      </c>
      <c r="L7" s="35" t="s">
        <v>37</v>
      </c>
      <c r="M7" s="35" t="s">
        <v>37</v>
      </c>
      <c r="N7" s="35" t="s">
        <v>37</v>
      </c>
      <c r="O7" s="35" t="s">
        <v>37</v>
      </c>
    </row>
    <row r="8" spans="1:16" s="34" customFormat="1" x14ac:dyDescent="0.35">
      <c r="A8" s="34">
        <v>2</v>
      </c>
      <c r="B8" s="34" t="str">
        <f t="shared" si="0"/>
        <v>10.2</v>
      </c>
      <c r="C8" s="42" t="s">
        <v>40</v>
      </c>
      <c r="D8" s="34" t="s">
        <v>37</v>
      </c>
      <c r="E8" s="34" t="s">
        <v>48</v>
      </c>
      <c r="F8" s="34" t="s">
        <v>37</v>
      </c>
      <c r="G8" s="34" t="s">
        <v>37</v>
      </c>
      <c r="H8" s="42" t="s">
        <v>37</v>
      </c>
      <c r="I8" s="34" t="s">
        <v>10</v>
      </c>
      <c r="J8" s="35" t="s">
        <v>37</v>
      </c>
      <c r="K8" s="35" t="s">
        <v>37</v>
      </c>
      <c r="L8" s="35" t="s">
        <v>37</v>
      </c>
      <c r="M8" s="35" t="s">
        <v>37</v>
      </c>
      <c r="N8" s="35" t="s">
        <v>37</v>
      </c>
      <c r="O8" s="35" t="s">
        <v>37</v>
      </c>
    </row>
    <row r="9" spans="1:16" s="34" customFormat="1" ht="72.5" x14ac:dyDescent="0.35">
      <c r="A9" s="34">
        <v>3</v>
      </c>
      <c r="B9" s="34" t="str">
        <f t="shared" si="0"/>
        <v>10.3</v>
      </c>
      <c r="C9" s="42" t="s">
        <v>38</v>
      </c>
      <c r="D9" s="34" t="s">
        <v>329</v>
      </c>
      <c r="E9" s="34" t="s">
        <v>32</v>
      </c>
      <c r="F9" s="34" t="s">
        <v>57</v>
      </c>
      <c r="G9" s="34" t="s">
        <v>400</v>
      </c>
      <c r="H9" s="42" t="s">
        <v>37</v>
      </c>
      <c r="I9" s="34" t="s">
        <v>10</v>
      </c>
      <c r="J9" s="35" t="s">
        <v>330</v>
      </c>
      <c r="K9" s="35" t="s">
        <v>51</v>
      </c>
      <c r="L9" s="35" t="s">
        <v>331</v>
      </c>
      <c r="M9" s="35" t="s">
        <v>37</v>
      </c>
      <c r="N9" s="35" t="s">
        <v>37</v>
      </c>
      <c r="O9" s="35" t="s">
        <v>37</v>
      </c>
      <c r="P9" s="34" t="s">
        <v>402</v>
      </c>
    </row>
    <row r="10" spans="1:16" s="34" customFormat="1" ht="43.5" x14ac:dyDescent="0.35">
      <c r="A10" s="34">
        <v>4</v>
      </c>
      <c r="B10" s="34" t="str">
        <f t="shared" ref="B10:B12" si="1">CONCATENATE($B$2, ".", A10)</f>
        <v>10.4</v>
      </c>
      <c r="C10" s="42" t="s">
        <v>42</v>
      </c>
      <c r="D10" s="34" t="s">
        <v>569</v>
      </c>
      <c r="E10" s="34" t="s">
        <v>29</v>
      </c>
      <c r="F10" s="6" t="s">
        <v>37</v>
      </c>
      <c r="G10" s="6" t="s">
        <v>37</v>
      </c>
      <c r="H10" s="29" t="s">
        <v>37</v>
      </c>
      <c r="I10" s="6" t="s">
        <v>453</v>
      </c>
      <c r="J10" s="6" t="s">
        <v>37</v>
      </c>
      <c r="K10" s="6" t="s">
        <v>37</v>
      </c>
      <c r="L10" s="6" t="s">
        <v>37</v>
      </c>
      <c r="M10" s="6" t="s">
        <v>37</v>
      </c>
      <c r="N10" s="6" t="s">
        <v>37</v>
      </c>
      <c r="O10" s="35" t="s">
        <v>570</v>
      </c>
      <c r="P10" s="34" t="s">
        <v>571</v>
      </c>
    </row>
    <row r="11" spans="1:16" s="34" customFormat="1" ht="174" x14ac:dyDescent="0.35">
      <c r="A11" s="34">
        <v>5</v>
      </c>
      <c r="B11" s="34" t="str">
        <f t="shared" si="1"/>
        <v>10.5</v>
      </c>
      <c r="C11" s="42" t="s">
        <v>42</v>
      </c>
      <c r="D11" s="34" t="s">
        <v>572</v>
      </c>
      <c r="E11" s="34" t="s">
        <v>36</v>
      </c>
      <c r="F11" s="6" t="s">
        <v>37</v>
      </c>
      <c r="G11" s="6" t="s">
        <v>37</v>
      </c>
      <c r="H11" s="29" t="s">
        <v>37</v>
      </c>
      <c r="I11" s="6" t="s">
        <v>453</v>
      </c>
      <c r="J11" s="6" t="s">
        <v>37</v>
      </c>
      <c r="K11" s="6" t="s">
        <v>37</v>
      </c>
      <c r="L11" s="6" t="s">
        <v>37</v>
      </c>
      <c r="M11" s="6" t="s">
        <v>37</v>
      </c>
      <c r="N11" s="6" t="s">
        <v>37</v>
      </c>
      <c r="O11" s="35" t="s">
        <v>573</v>
      </c>
      <c r="P11" s="34" t="s">
        <v>571</v>
      </c>
    </row>
    <row r="12" spans="1:16" s="34" customFormat="1" ht="203" x14ac:dyDescent="0.35">
      <c r="A12" s="34">
        <v>6</v>
      </c>
      <c r="B12" s="34" t="str">
        <f t="shared" si="1"/>
        <v>10.6</v>
      </c>
      <c r="C12" s="42" t="s">
        <v>42</v>
      </c>
      <c r="D12" s="34" t="s">
        <v>574</v>
      </c>
      <c r="E12" s="34" t="s">
        <v>32</v>
      </c>
      <c r="F12" s="34" t="s">
        <v>576</v>
      </c>
      <c r="G12" s="6" t="s">
        <v>37</v>
      </c>
      <c r="H12" s="42" t="s">
        <v>37</v>
      </c>
      <c r="I12" s="6" t="s">
        <v>453</v>
      </c>
      <c r="J12" s="35" t="s">
        <v>330</v>
      </c>
      <c r="K12" s="35" t="s">
        <v>51</v>
      </c>
      <c r="L12" s="6" t="s">
        <v>575</v>
      </c>
      <c r="M12" s="6" t="s">
        <v>37</v>
      </c>
      <c r="N12" s="6" t="s">
        <v>37</v>
      </c>
      <c r="O12" s="6" t="s">
        <v>581</v>
      </c>
      <c r="P12" s="34" t="s">
        <v>571</v>
      </c>
    </row>
    <row r="13" spans="1:16" s="34" customFormat="1" x14ac:dyDescent="0.35">
      <c r="A13" s="34">
        <v>7</v>
      </c>
      <c r="B13" s="34" t="str">
        <f t="shared" si="0"/>
        <v>10.7</v>
      </c>
      <c r="C13" s="42" t="s">
        <v>38</v>
      </c>
      <c r="D13" s="6" t="s">
        <v>497</v>
      </c>
      <c r="E13" s="6" t="s">
        <v>34</v>
      </c>
      <c r="F13" s="6" t="s">
        <v>37</v>
      </c>
      <c r="G13" s="6" t="s">
        <v>37</v>
      </c>
      <c r="H13" s="29" t="s">
        <v>37</v>
      </c>
      <c r="I13" s="6" t="s">
        <v>577</v>
      </c>
      <c r="J13" s="6" t="s">
        <v>37</v>
      </c>
      <c r="K13" s="6" t="s">
        <v>37</v>
      </c>
      <c r="L13" s="6" t="s">
        <v>37</v>
      </c>
      <c r="M13" s="6" t="s">
        <v>37</v>
      </c>
      <c r="N13" s="6" t="s">
        <v>37</v>
      </c>
      <c r="O13" s="6"/>
      <c r="P13" s="6"/>
    </row>
    <row r="14" spans="1:16" s="34" customFormat="1" ht="32.5" customHeight="1" x14ac:dyDescent="0.35">
      <c r="A14" s="34">
        <v>8</v>
      </c>
      <c r="B14" s="34" t="str">
        <f>CONCATENATE($B$2, ".", A14)</f>
        <v>10.8</v>
      </c>
      <c r="C14" s="42" t="s">
        <v>38</v>
      </c>
      <c r="D14" s="94" t="s">
        <v>403</v>
      </c>
      <c r="E14" s="6" t="s">
        <v>34</v>
      </c>
      <c r="F14" s="6" t="s">
        <v>37</v>
      </c>
      <c r="G14" s="6" t="s">
        <v>401</v>
      </c>
      <c r="H14" s="29" t="s">
        <v>37</v>
      </c>
      <c r="I14" s="6" t="s">
        <v>577</v>
      </c>
      <c r="J14" s="6" t="s">
        <v>37</v>
      </c>
      <c r="K14" s="6" t="s">
        <v>37</v>
      </c>
      <c r="L14" s="6" t="s">
        <v>37</v>
      </c>
      <c r="M14" s="6" t="s">
        <v>37</v>
      </c>
      <c r="N14" s="6" t="s">
        <v>37</v>
      </c>
      <c r="O14" s="6"/>
      <c r="P14" s="6"/>
    </row>
    <row r="15" spans="1:16" s="34" customFormat="1" ht="43.5" x14ac:dyDescent="0.35">
      <c r="A15" s="34">
        <v>9</v>
      </c>
      <c r="B15" s="34" t="str">
        <f t="shared" ref="B15:B17" si="2">CONCATENATE($B$2, ".", A15)</f>
        <v>10.9</v>
      </c>
      <c r="C15" s="42" t="s">
        <v>38</v>
      </c>
      <c r="D15" s="94" t="s">
        <v>498</v>
      </c>
      <c r="E15" s="6" t="s">
        <v>34</v>
      </c>
      <c r="F15" s="6" t="s">
        <v>37</v>
      </c>
      <c r="G15" s="6" t="s">
        <v>499</v>
      </c>
      <c r="H15" s="29" t="s">
        <v>37</v>
      </c>
      <c r="I15" s="6" t="s">
        <v>577</v>
      </c>
      <c r="J15" s="6" t="s">
        <v>37</v>
      </c>
      <c r="K15" s="6" t="s">
        <v>37</v>
      </c>
      <c r="L15" s="6" t="s">
        <v>37</v>
      </c>
      <c r="M15" s="6" t="s">
        <v>37</v>
      </c>
      <c r="N15" s="6" t="s">
        <v>37</v>
      </c>
      <c r="O15" s="6"/>
      <c r="P15" s="6"/>
    </row>
    <row r="16" spans="1:16" s="34" customFormat="1" ht="87" x14ac:dyDescent="0.35">
      <c r="A16" s="89">
        <v>10</v>
      </c>
      <c r="B16" s="34" t="str">
        <f t="shared" si="2"/>
        <v>10.10</v>
      </c>
      <c r="C16" s="42" t="s">
        <v>38</v>
      </c>
      <c r="D16" s="94" t="s">
        <v>543</v>
      </c>
      <c r="E16" s="6" t="s">
        <v>34</v>
      </c>
      <c r="F16" s="6" t="s">
        <v>37</v>
      </c>
      <c r="G16" s="6" t="s">
        <v>500</v>
      </c>
      <c r="H16" s="29" t="s">
        <v>37</v>
      </c>
      <c r="I16" s="6" t="s">
        <v>578</v>
      </c>
      <c r="J16" s="6" t="s">
        <v>37</v>
      </c>
      <c r="K16" s="6" t="s">
        <v>37</v>
      </c>
      <c r="L16" s="6" t="s">
        <v>37</v>
      </c>
      <c r="M16" s="6" t="s">
        <v>37</v>
      </c>
      <c r="N16" s="6" t="s">
        <v>37</v>
      </c>
      <c r="O16" s="6" t="s">
        <v>507</v>
      </c>
      <c r="P16" s="6"/>
    </row>
    <row r="17" spans="1:16" s="34" customFormat="1" ht="145" x14ac:dyDescent="0.35">
      <c r="A17" s="89">
        <v>11</v>
      </c>
      <c r="B17" s="34" t="str">
        <f t="shared" si="2"/>
        <v>10.11</v>
      </c>
      <c r="C17" s="42" t="s">
        <v>42</v>
      </c>
      <c r="D17" s="94" t="s">
        <v>544</v>
      </c>
      <c r="E17" s="6" t="s">
        <v>34</v>
      </c>
      <c r="F17" s="6" t="s">
        <v>37</v>
      </c>
      <c r="G17" s="6" t="s">
        <v>457</v>
      </c>
      <c r="H17" s="29"/>
      <c r="I17" s="6" t="s">
        <v>578</v>
      </c>
      <c r="J17" s="6" t="s">
        <v>37</v>
      </c>
      <c r="K17" s="6" t="s">
        <v>37</v>
      </c>
      <c r="L17" s="6" t="s">
        <v>37</v>
      </c>
      <c r="M17" s="6" t="s">
        <v>37</v>
      </c>
      <c r="N17" s="6" t="s">
        <v>37</v>
      </c>
      <c r="O17" s="6" t="s">
        <v>570</v>
      </c>
      <c r="P17" s="6" t="s">
        <v>458</v>
      </c>
    </row>
    <row r="18" spans="1:16" s="34" customFormat="1" ht="87" x14ac:dyDescent="0.35">
      <c r="A18" s="34">
        <v>12</v>
      </c>
      <c r="B18" s="34" t="str">
        <f t="shared" ref="B18" si="3">CONCATENATE($B$2, ".", A18)</f>
        <v>10.12</v>
      </c>
      <c r="C18" s="42" t="s">
        <v>38</v>
      </c>
      <c r="D18" s="94" t="s">
        <v>545</v>
      </c>
      <c r="E18" s="6" t="s">
        <v>105</v>
      </c>
      <c r="F18" s="6" t="s">
        <v>37</v>
      </c>
      <c r="G18" s="6" t="s">
        <v>37</v>
      </c>
      <c r="H18" s="29" t="s">
        <v>37</v>
      </c>
      <c r="I18" s="6" t="s">
        <v>577</v>
      </c>
      <c r="J18" s="6" t="s">
        <v>37</v>
      </c>
      <c r="K18" s="6" t="s">
        <v>37</v>
      </c>
      <c r="L18" s="6" t="s">
        <v>37</v>
      </c>
      <c r="M18" s="6" t="s">
        <v>37</v>
      </c>
      <c r="N18" s="6" t="s">
        <v>37</v>
      </c>
      <c r="O18" s="6" t="s">
        <v>501</v>
      </c>
      <c r="P18" s="6"/>
    </row>
    <row r="19" spans="1:16" s="34" customFormat="1" ht="75.5" customHeight="1" x14ac:dyDescent="0.35">
      <c r="A19" s="34">
        <v>13</v>
      </c>
      <c r="B19" s="34" t="str">
        <f t="shared" si="0"/>
        <v>10.13</v>
      </c>
      <c r="C19" s="42" t="s">
        <v>38</v>
      </c>
      <c r="D19" s="6" t="s">
        <v>502</v>
      </c>
      <c r="E19" s="6" t="s">
        <v>30</v>
      </c>
      <c r="F19" s="6" t="s">
        <v>59</v>
      </c>
      <c r="G19" s="6" t="s">
        <v>37</v>
      </c>
      <c r="H19" s="29" t="s">
        <v>37</v>
      </c>
      <c r="I19" s="6" t="s">
        <v>577</v>
      </c>
      <c r="J19" s="6" t="s">
        <v>97</v>
      </c>
      <c r="K19" s="6" t="s">
        <v>51</v>
      </c>
      <c r="L19" s="6" t="s">
        <v>503</v>
      </c>
      <c r="M19" s="6" t="s">
        <v>37</v>
      </c>
      <c r="N19" s="6" t="s">
        <v>37</v>
      </c>
      <c r="O19" s="6" t="s">
        <v>508</v>
      </c>
      <c r="P19" s="6"/>
    </row>
    <row r="20" spans="1:16" s="34" customFormat="1" ht="75.5" customHeight="1" x14ac:dyDescent="0.35">
      <c r="A20" s="34">
        <v>14</v>
      </c>
      <c r="B20" s="34" t="str">
        <f t="shared" ref="B20" si="4">CONCATENATE($B$2, ".", A20)</f>
        <v>10.14</v>
      </c>
      <c r="C20" s="42" t="s">
        <v>38</v>
      </c>
      <c r="D20" s="6" t="s">
        <v>546</v>
      </c>
      <c r="E20" s="6" t="s">
        <v>504</v>
      </c>
      <c r="F20" s="6" t="s">
        <v>37</v>
      </c>
      <c r="G20" s="6" t="s">
        <v>37</v>
      </c>
      <c r="H20" s="29" t="s">
        <v>37</v>
      </c>
      <c r="I20" s="6" t="s">
        <v>577</v>
      </c>
      <c r="J20" s="6" t="s">
        <v>37</v>
      </c>
      <c r="K20" s="6" t="s">
        <v>37</v>
      </c>
      <c r="L20" s="6" t="s">
        <v>37</v>
      </c>
      <c r="M20" s="6" t="s">
        <v>37</v>
      </c>
      <c r="N20" s="6" t="s">
        <v>37</v>
      </c>
      <c r="O20" s="6" t="s">
        <v>37</v>
      </c>
      <c r="P20" s="6"/>
    </row>
    <row r="21" spans="1:16" s="34" customFormat="1" ht="101.5" x14ac:dyDescent="0.35">
      <c r="A21" s="34">
        <v>15</v>
      </c>
      <c r="B21" s="34" t="str">
        <f>CONCATENATE($B$2, ".", A21)</f>
        <v>10.15</v>
      </c>
      <c r="C21" s="42" t="s">
        <v>38</v>
      </c>
      <c r="D21" s="6" t="s">
        <v>505</v>
      </c>
      <c r="E21" s="6" t="s">
        <v>506</v>
      </c>
      <c r="F21" s="6" t="s">
        <v>37</v>
      </c>
      <c r="G21" s="6" t="s">
        <v>37</v>
      </c>
      <c r="H21" s="29" t="s">
        <v>37</v>
      </c>
      <c r="I21" s="6" t="s">
        <v>578</v>
      </c>
      <c r="J21" s="6" t="s">
        <v>37</v>
      </c>
      <c r="K21" s="6" t="s">
        <v>37</v>
      </c>
      <c r="L21" s="6" t="s">
        <v>37</v>
      </c>
      <c r="M21" s="6" t="s">
        <v>37</v>
      </c>
      <c r="N21" s="6" t="s">
        <v>37</v>
      </c>
      <c r="O21" s="6" t="s">
        <v>579</v>
      </c>
      <c r="P21" s="6" t="s">
        <v>448</v>
      </c>
    </row>
    <row r="22" spans="1:16" s="34" customFormat="1" ht="72.5" x14ac:dyDescent="0.35">
      <c r="A22" s="89">
        <v>16</v>
      </c>
      <c r="B22" s="34" t="str">
        <f t="shared" si="0"/>
        <v>10.16</v>
      </c>
      <c r="C22" s="42" t="s">
        <v>38</v>
      </c>
      <c r="D22" s="6" t="s">
        <v>584</v>
      </c>
      <c r="E22" s="6" t="s">
        <v>506</v>
      </c>
      <c r="F22" s="6" t="s">
        <v>37</v>
      </c>
      <c r="G22" s="6" t="s">
        <v>37</v>
      </c>
      <c r="H22" s="29" t="s">
        <v>37</v>
      </c>
      <c r="I22" s="6" t="s">
        <v>578</v>
      </c>
      <c r="J22" s="6" t="s">
        <v>37</v>
      </c>
      <c r="K22" s="6" t="s">
        <v>37</v>
      </c>
      <c r="L22" s="6" t="s">
        <v>37</v>
      </c>
      <c r="M22" s="6" t="s">
        <v>37</v>
      </c>
      <c r="N22" s="6" t="s">
        <v>37</v>
      </c>
      <c r="O22" s="6" t="s">
        <v>585</v>
      </c>
      <c r="P22" s="6" t="s">
        <v>586</v>
      </c>
    </row>
    <row r="23" spans="1:16" ht="362.5" x14ac:dyDescent="0.35">
      <c r="A23" s="89">
        <v>17</v>
      </c>
      <c r="B23" s="34" t="str">
        <f t="shared" ref="B23:B24" si="5">CONCATENATE($B$2, ".", A23)</f>
        <v>10.17</v>
      </c>
      <c r="C23" s="42" t="s">
        <v>38</v>
      </c>
      <c r="D23" s="6" t="s">
        <v>55</v>
      </c>
      <c r="E23" s="6" t="s">
        <v>43</v>
      </c>
      <c r="F23" s="6" t="s">
        <v>37</v>
      </c>
      <c r="G23" s="6" t="s">
        <v>37</v>
      </c>
      <c r="H23" s="29" t="s">
        <v>37</v>
      </c>
      <c r="I23" s="6" t="s">
        <v>10</v>
      </c>
      <c r="J23" s="6" t="s">
        <v>37</v>
      </c>
      <c r="K23" s="6" t="s">
        <v>37</v>
      </c>
      <c r="L23" s="6" t="s">
        <v>37</v>
      </c>
      <c r="M23" s="6" t="s">
        <v>37</v>
      </c>
      <c r="N23" s="6" t="s">
        <v>37</v>
      </c>
      <c r="O23" s="6" t="s">
        <v>512</v>
      </c>
      <c r="P23" s="6" t="s">
        <v>456</v>
      </c>
    </row>
    <row r="24" spans="1:16" ht="29" x14ac:dyDescent="0.35">
      <c r="A24" s="6">
        <v>18</v>
      </c>
      <c r="B24" s="6" t="str">
        <f t="shared" si="5"/>
        <v>10.18</v>
      </c>
      <c r="C24" s="42" t="s">
        <v>40</v>
      </c>
      <c r="D24" s="6" t="s">
        <v>54</v>
      </c>
      <c r="E24" s="6" t="s">
        <v>43</v>
      </c>
      <c r="F24" s="6" t="s">
        <v>37</v>
      </c>
      <c r="G24" s="6" t="s">
        <v>37</v>
      </c>
      <c r="H24" s="29" t="s">
        <v>37</v>
      </c>
      <c r="I24" s="6" t="s">
        <v>10</v>
      </c>
      <c r="J24" s="6" t="s">
        <v>37</v>
      </c>
      <c r="K24" s="6" t="s">
        <v>37</v>
      </c>
      <c r="L24" s="6" t="s">
        <v>37</v>
      </c>
      <c r="M24" s="6" t="s">
        <v>37</v>
      </c>
      <c r="N24" s="6" t="s">
        <v>37</v>
      </c>
      <c r="O24" s="6" t="s">
        <v>404</v>
      </c>
    </row>
    <row r="25" spans="1:16" x14ac:dyDescent="0.35">
      <c r="I25" s="34"/>
      <c r="J25" s="5"/>
      <c r="K25" s="5"/>
      <c r="L25" s="35"/>
      <c r="M25" s="35"/>
      <c r="N25" s="35"/>
      <c r="O25" s="35"/>
    </row>
    <row r="26" spans="1:16" x14ac:dyDescent="0.35">
      <c r="I26" s="34"/>
      <c r="J26" s="5"/>
      <c r="K26" s="5"/>
      <c r="L26" s="35"/>
      <c r="M26" s="35"/>
      <c r="N26" s="35"/>
      <c r="O26" s="35"/>
    </row>
    <row r="27" spans="1:16" x14ac:dyDescent="0.35">
      <c r="I27" s="34"/>
      <c r="J27" s="5"/>
      <c r="K27" s="5"/>
      <c r="L27" s="35"/>
      <c r="M27" s="35"/>
      <c r="N27" s="35"/>
      <c r="O27" s="35"/>
    </row>
    <row r="28" spans="1:16" x14ac:dyDescent="0.35">
      <c r="I28" s="34"/>
      <c r="J28" s="5"/>
      <c r="K28" s="5"/>
      <c r="L28" s="35"/>
      <c r="M28" s="35"/>
      <c r="N28" s="35"/>
      <c r="O28" s="35"/>
    </row>
    <row r="29" spans="1:16" x14ac:dyDescent="0.35">
      <c r="I29" s="34"/>
      <c r="J29" s="5"/>
      <c r="K29" s="5"/>
      <c r="L29" s="35"/>
      <c r="M29" s="35"/>
      <c r="N29" s="35"/>
      <c r="O29" s="35"/>
    </row>
  </sheetData>
  <autoFilter ref="A6:P22" xr:uid="{00000000-0009-0000-0000-00000E000000}"/>
  <conditionalFormatting sqref="C8:C11 C13:C1048576">
    <cfRule type="cellIs" dxfId="257" priority="50" operator="equal">
      <formula>"WIP (see comments)"</formula>
    </cfRule>
    <cfRule type="cellIs" dxfId="256" priority="51" operator="equal">
      <formula>"Removed"</formula>
    </cfRule>
    <cfRule type="cellIs" dxfId="255" priority="52" operator="equal">
      <formula>"Updated"</formula>
    </cfRule>
    <cfRule type="cellIs" dxfId="254" priority="53" operator="equal">
      <formula>"New"</formula>
    </cfRule>
  </conditionalFormatting>
  <conditionalFormatting sqref="C7:C11 C13:C24">
    <cfRule type="cellIs" dxfId="253" priority="42" operator="equal">
      <formula>"WIP (see comments)"</formula>
    </cfRule>
    <cfRule type="cellIs" dxfId="252" priority="43" operator="equal">
      <formula>"Removed"</formula>
    </cfRule>
    <cfRule type="cellIs" dxfId="251" priority="44" operator="equal">
      <formula>"Updated"</formula>
    </cfRule>
    <cfRule type="cellIs" dxfId="250" priority="45" operator="equal">
      <formula>"New"</formula>
    </cfRule>
  </conditionalFormatting>
  <conditionalFormatting sqref="A3:XFD3 A4 C4:XFD4 A1:C2 E1:XFD2 A25:XFD1048576 Q13:XFD23 P24:XFD24 A5:XFD9 C10:E11 O10:XFD11 P12 A10:B12 A13:C24">
    <cfRule type="cellIs" dxfId="249" priority="33" operator="equal">
      <formula>"n/a"</formula>
    </cfRule>
  </conditionalFormatting>
  <conditionalFormatting sqref="B4">
    <cfRule type="cellIs" dxfId="248" priority="32" operator="equal">
      <formula>"n/a"</formula>
    </cfRule>
  </conditionalFormatting>
  <conditionalFormatting sqref="C7">
    <cfRule type="cellIs" dxfId="247" priority="28" operator="equal">
      <formula>"WIP (see comments)"</formula>
    </cfRule>
    <cfRule type="cellIs" dxfId="246" priority="29" operator="equal">
      <formula>"Removed"</formula>
    </cfRule>
    <cfRule type="cellIs" dxfId="245" priority="30" operator="equal">
      <formula>"Updated"</formula>
    </cfRule>
    <cfRule type="cellIs" dxfId="244" priority="31" operator="equal">
      <formula>"New"</formula>
    </cfRule>
  </conditionalFormatting>
  <conditionalFormatting sqref="D1">
    <cfRule type="cellIs" dxfId="243" priority="27" operator="equal">
      <formula>"n/a"</formula>
    </cfRule>
  </conditionalFormatting>
  <conditionalFormatting sqref="D2">
    <cfRule type="cellIs" dxfId="242" priority="26" operator="equal">
      <formula>"n/a"</formula>
    </cfRule>
  </conditionalFormatting>
  <conditionalFormatting sqref="D24:O24">
    <cfRule type="cellIs" dxfId="241" priority="14" operator="equal">
      <formula>"n/a"</formula>
    </cfRule>
  </conditionalFormatting>
  <conditionalFormatting sqref="E16:P16 F10:N11 I12 G12 D13:P15 D17:P17 E18:P18 D19:P19 E20:P20 D21:P22">
    <cfRule type="cellIs" dxfId="240" priority="16" operator="equal">
      <formula>"n/a"</formula>
    </cfRule>
  </conditionalFormatting>
  <conditionalFormatting sqref="D23:P23">
    <cfRule type="cellIs" dxfId="239" priority="15" operator="equal">
      <formula>"n/a"</formula>
    </cfRule>
  </conditionalFormatting>
  <conditionalFormatting sqref="D16">
    <cfRule type="cellIs" dxfId="238" priority="13" operator="equal">
      <formula>"n/a"</formula>
    </cfRule>
  </conditionalFormatting>
  <conditionalFormatting sqref="D18">
    <cfRule type="cellIs" dxfId="237" priority="12" operator="equal">
      <formula>"n/a"</formula>
    </cfRule>
  </conditionalFormatting>
  <conditionalFormatting sqref="D20">
    <cfRule type="cellIs" dxfId="236" priority="11" operator="equal">
      <formula>"n/a"</formula>
    </cfRule>
  </conditionalFormatting>
  <conditionalFormatting sqref="C12">
    <cfRule type="cellIs" dxfId="235" priority="7" operator="equal">
      <formula>"WIP (see comments)"</formula>
    </cfRule>
    <cfRule type="cellIs" dxfId="234" priority="8" operator="equal">
      <formula>"Removed"</formula>
    </cfRule>
    <cfRule type="cellIs" dxfId="233" priority="9" operator="equal">
      <formula>"Updated"</formula>
    </cfRule>
    <cfRule type="cellIs" dxfId="232" priority="10" operator="equal">
      <formula>"New"</formula>
    </cfRule>
  </conditionalFormatting>
  <conditionalFormatting sqref="C12">
    <cfRule type="cellIs" dxfId="231" priority="3" operator="equal">
      <formula>"WIP (see comments)"</formula>
    </cfRule>
    <cfRule type="cellIs" dxfId="230" priority="4" operator="equal">
      <formula>"Removed"</formula>
    </cfRule>
    <cfRule type="cellIs" dxfId="229" priority="5" operator="equal">
      <formula>"Updated"</formula>
    </cfRule>
    <cfRule type="cellIs" dxfId="228" priority="6" operator="equal">
      <formula>"New"</formula>
    </cfRule>
  </conditionalFormatting>
  <conditionalFormatting sqref="C12:F12 Q12:XFD12 J12:K12 H12">
    <cfRule type="cellIs" dxfId="227" priority="2" operator="equal">
      <formula>"n/a"</formula>
    </cfRule>
  </conditionalFormatting>
  <conditionalFormatting sqref="L12:O12">
    <cfRule type="cellIs" dxfId="226" priority="1" operator="equal">
      <formula>"n/a"</formula>
    </cfRule>
  </conditionalFormatting>
  <dataValidations count="2">
    <dataValidation type="list" allowBlank="1" showInputMessage="1" showErrorMessage="1" sqref="C25:C1048576" xr:uid="{00000000-0002-0000-0E00-000000000000}">
      <formula1>$B$5:$B$19</formula1>
    </dataValidation>
    <dataValidation type="list" allowBlank="1" showInputMessage="1" showErrorMessage="1" sqref="E25:E1048576" xr:uid="{00000000-0002-0000-0E00-000001000000}">
      <formula1>$A$5:$A$35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2000000}">
          <x14:formula1>
            <xm:f>'List Values'!$B$5:$B$14</xm:f>
          </x14:formula1>
          <xm:sqref>C7:C24</xm:sqref>
        </x14:dataValidation>
        <x14:dataValidation type="list" allowBlank="1" showInputMessage="1" showErrorMessage="1" xr:uid="{00000000-0002-0000-0E00-000003000000}">
          <x14:formula1>
            <xm:f>'List Values'!$A$5:$A$30</xm:f>
          </x14:formula1>
          <xm:sqref>E7:E12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P19"/>
  <sheetViews>
    <sheetView workbookViewId="0">
      <pane xSplit="4" ySplit="6" topLeftCell="L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112" t="s">
        <v>450</v>
      </c>
      <c r="C1" s="112"/>
      <c r="D1" s="112"/>
    </row>
    <row r="2" spans="1:16" s="25" customFormat="1" ht="18.5" x14ac:dyDescent="0.35">
      <c r="A2" s="23" t="s">
        <v>7</v>
      </c>
      <c r="B2" s="31" t="s">
        <v>454</v>
      </c>
      <c r="C2" s="30"/>
      <c r="D2" s="31"/>
    </row>
    <row r="3" spans="1:16" s="25" customFormat="1" ht="18.5" x14ac:dyDescent="0.35">
      <c r="A3" s="23" t="s">
        <v>44</v>
      </c>
      <c r="B3" s="31" t="s">
        <v>509</v>
      </c>
      <c r="C3" s="30"/>
      <c r="D3" s="58"/>
    </row>
    <row r="4" spans="1:16" s="25" customFormat="1" ht="18.5" x14ac:dyDescent="0.35">
      <c r="A4" s="23" t="s">
        <v>8</v>
      </c>
      <c r="B4" s="31" t="s">
        <v>455</v>
      </c>
      <c r="C4" s="31"/>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43" customFormat="1" x14ac:dyDescent="0.35">
      <c r="A7" s="43">
        <v>1</v>
      </c>
      <c r="B7" s="43" t="str">
        <f>CONCATENATE($B$2, ".", A7)</f>
        <v>10a.1</v>
      </c>
      <c r="C7" s="88" t="s">
        <v>42</v>
      </c>
      <c r="D7" s="43" t="s">
        <v>452</v>
      </c>
      <c r="E7" s="43" t="s">
        <v>349</v>
      </c>
      <c r="F7" s="43" t="s">
        <v>37</v>
      </c>
      <c r="G7" s="43" t="s">
        <v>37</v>
      </c>
      <c r="H7" s="43" t="s">
        <v>37</v>
      </c>
      <c r="I7" s="43" t="s">
        <v>10</v>
      </c>
      <c r="J7" s="43" t="s">
        <v>37</v>
      </c>
      <c r="K7" s="43" t="s">
        <v>37</v>
      </c>
      <c r="L7" s="43" t="s">
        <v>37</v>
      </c>
      <c r="M7" s="43" t="s">
        <v>37</v>
      </c>
      <c r="N7" s="43" t="s">
        <v>37</v>
      </c>
      <c r="O7" s="43" t="s">
        <v>37</v>
      </c>
    </row>
    <row r="8" spans="1:16" s="43" customFormat="1" x14ac:dyDescent="0.35">
      <c r="A8" s="43">
        <v>2</v>
      </c>
      <c r="B8" s="43" t="str">
        <f t="shared" ref="B8:B9" si="0">CONCATENATE($B$2, ".", A8)</f>
        <v>10a.2</v>
      </c>
      <c r="C8" s="88" t="s">
        <v>42</v>
      </c>
      <c r="D8" s="43" t="s">
        <v>37</v>
      </c>
      <c r="E8" s="43" t="s">
        <v>48</v>
      </c>
      <c r="F8" s="43" t="s">
        <v>37</v>
      </c>
      <c r="G8" s="43" t="s">
        <v>37</v>
      </c>
      <c r="H8" s="43" t="s">
        <v>37</v>
      </c>
      <c r="I8" s="43" t="s">
        <v>10</v>
      </c>
      <c r="J8" s="43" t="s">
        <v>37</v>
      </c>
      <c r="K8" s="43" t="s">
        <v>37</v>
      </c>
      <c r="L8" s="43" t="s">
        <v>37</v>
      </c>
      <c r="M8" s="43" t="s">
        <v>37</v>
      </c>
      <c r="N8" s="43" t="s">
        <v>37</v>
      </c>
      <c r="O8" s="43" t="s">
        <v>37</v>
      </c>
    </row>
    <row r="9" spans="1:16" s="43" customFormat="1" ht="125.5" customHeight="1" x14ac:dyDescent="0.35">
      <c r="A9" s="43">
        <v>3</v>
      </c>
      <c r="B9" s="43" t="str">
        <f t="shared" si="0"/>
        <v>10a.3</v>
      </c>
      <c r="C9" s="88" t="s">
        <v>42</v>
      </c>
      <c r="D9" s="43" t="s">
        <v>559</v>
      </c>
      <c r="E9" s="43" t="s">
        <v>34</v>
      </c>
      <c r="F9" s="43" t="s">
        <v>37</v>
      </c>
      <c r="G9" s="43" t="s">
        <v>37</v>
      </c>
      <c r="H9" s="43" t="s">
        <v>37</v>
      </c>
      <c r="I9" s="43" t="s">
        <v>10</v>
      </c>
      <c r="J9" s="43" t="s">
        <v>37</v>
      </c>
      <c r="K9" s="43" t="s">
        <v>37</v>
      </c>
      <c r="L9" s="43" t="s">
        <v>37</v>
      </c>
      <c r="M9" s="43" t="s">
        <v>37</v>
      </c>
      <c r="N9" s="43" t="s">
        <v>37</v>
      </c>
      <c r="O9" s="43" t="s">
        <v>510</v>
      </c>
      <c r="P9" s="43" t="s">
        <v>560</v>
      </c>
    </row>
    <row r="10" spans="1:16" ht="72.5" x14ac:dyDescent="0.35">
      <c r="A10" s="6">
        <v>4</v>
      </c>
      <c r="B10" s="6" t="str">
        <f>CONCATENATE($B$2, ".", A10)</f>
        <v>10a.4</v>
      </c>
      <c r="C10" s="88" t="s">
        <v>42</v>
      </c>
      <c r="D10" s="6" t="s">
        <v>55</v>
      </c>
      <c r="E10" s="6" t="s">
        <v>43</v>
      </c>
      <c r="F10" s="6" t="s">
        <v>37</v>
      </c>
      <c r="G10" s="6" t="s">
        <v>37</v>
      </c>
      <c r="H10" s="6" t="s">
        <v>37</v>
      </c>
      <c r="I10" s="6" t="s">
        <v>10</v>
      </c>
      <c r="J10" s="6" t="s">
        <v>37</v>
      </c>
      <c r="K10" s="6" t="s">
        <v>37</v>
      </c>
      <c r="L10" s="6" t="s">
        <v>37</v>
      </c>
      <c r="M10" s="6" t="s">
        <v>37</v>
      </c>
      <c r="N10" s="6" t="s">
        <v>37</v>
      </c>
      <c r="O10" s="6" t="s">
        <v>580</v>
      </c>
    </row>
    <row r="11" spans="1:16" ht="29" x14ac:dyDescent="0.35">
      <c r="A11" s="6">
        <v>5</v>
      </c>
      <c r="B11" s="6" t="str">
        <f t="shared" ref="B11:B12" si="1">CONCATENATE($B$2, ".", A11)</f>
        <v>10a.5</v>
      </c>
      <c r="C11" s="92" t="s">
        <v>42</v>
      </c>
      <c r="D11" s="6" t="s">
        <v>54</v>
      </c>
      <c r="E11" s="6" t="s">
        <v>43</v>
      </c>
      <c r="F11" s="6" t="s">
        <v>37</v>
      </c>
      <c r="G11" s="6" t="s">
        <v>37</v>
      </c>
      <c r="H11" s="6" t="s">
        <v>37</v>
      </c>
      <c r="I11" s="6" t="s">
        <v>10</v>
      </c>
      <c r="J11" s="6" t="s">
        <v>37</v>
      </c>
      <c r="K11" s="6" t="s">
        <v>37</v>
      </c>
      <c r="L11" s="6" t="s">
        <v>37</v>
      </c>
      <c r="M11" s="6" t="s">
        <v>37</v>
      </c>
      <c r="N11" s="6" t="s">
        <v>37</v>
      </c>
      <c r="O11" s="6" t="s">
        <v>519</v>
      </c>
      <c r="P11" s="94"/>
    </row>
    <row r="12" spans="1:16" ht="174" x14ac:dyDescent="0.35">
      <c r="A12" s="6">
        <v>6</v>
      </c>
      <c r="B12" s="6" t="str">
        <f t="shared" si="1"/>
        <v>10a.6</v>
      </c>
      <c r="C12" s="92" t="s">
        <v>42</v>
      </c>
      <c r="D12" s="29" t="s">
        <v>511</v>
      </c>
      <c r="E12" s="6" t="s">
        <v>182</v>
      </c>
      <c r="F12" s="6" t="s">
        <v>37</v>
      </c>
      <c r="G12" s="6" t="s">
        <v>37</v>
      </c>
      <c r="H12" s="6" t="s">
        <v>37</v>
      </c>
      <c r="I12" s="43" t="s">
        <v>453</v>
      </c>
      <c r="J12" s="6" t="s">
        <v>37</v>
      </c>
      <c r="K12" s="6" t="s">
        <v>37</v>
      </c>
      <c r="L12" s="6" t="s">
        <v>37</v>
      </c>
      <c r="M12" s="6" t="s">
        <v>37</v>
      </c>
      <c r="N12" s="6" t="s">
        <v>37</v>
      </c>
      <c r="O12" s="43" t="s">
        <v>513</v>
      </c>
      <c r="P12" s="94"/>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sheetData>
  <mergeCells count="1">
    <mergeCell ref="B1:D1"/>
  </mergeCells>
  <conditionalFormatting sqref="C7:C1048576">
    <cfRule type="cellIs" dxfId="225" priority="12" operator="equal">
      <formula>"WIP (see comments)"</formula>
    </cfRule>
    <cfRule type="cellIs" dxfId="224" priority="13" operator="equal">
      <formula>"Removed"</formula>
    </cfRule>
    <cfRule type="cellIs" dxfId="223" priority="14" operator="equal">
      <formula>"Updated"</formula>
    </cfRule>
    <cfRule type="cellIs" dxfId="222" priority="15" operator="equal">
      <formula>"New"</formula>
    </cfRule>
  </conditionalFormatting>
  <conditionalFormatting sqref="A2:XFD2 A13:XFD1048576 A1:B1 E1:XFD1 A4:B4 D4:XFD4 A3:C3 E3:XFD3 A5:XFD6 Q12:XFD12 A7:C9 Q7:XFD9 C10:C12">
    <cfRule type="cellIs" dxfId="221" priority="11" operator="equal">
      <formula>"n/a"</formula>
    </cfRule>
  </conditionalFormatting>
  <conditionalFormatting sqref="A10:B12 Q10:XFD11">
    <cfRule type="cellIs" dxfId="220" priority="10" operator="equal">
      <formula>"n/a"</formula>
    </cfRule>
  </conditionalFormatting>
  <conditionalFormatting sqref="D3">
    <cfRule type="cellIs" dxfId="219" priority="9" operator="equal">
      <formula>"n/a"</formula>
    </cfRule>
  </conditionalFormatting>
  <conditionalFormatting sqref="P11:P12">
    <cfRule type="cellIs" dxfId="218" priority="3" operator="equal">
      <formula>"n/a"</formula>
    </cfRule>
  </conditionalFormatting>
  <conditionalFormatting sqref="D12">
    <cfRule type="cellIs" dxfId="217" priority="2" operator="equal">
      <formula>"n/a"</formula>
    </cfRule>
  </conditionalFormatting>
  <conditionalFormatting sqref="D7:P9 I12 O12 E12">
    <cfRule type="cellIs" dxfId="216" priority="5" operator="equal">
      <formula>"n/a"</formula>
    </cfRule>
  </conditionalFormatting>
  <conditionalFormatting sqref="F12:H12 J12:N12 D10:P10 D11:O11">
    <cfRule type="cellIs" dxfId="215" priority="4" operator="equal">
      <formula>"n/a"</formula>
    </cfRule>
  </conditionalFormatting>
  <conditionalFormatting sqref="D12">
    <cfRule type="cellIs" dxfId="214" priority="1"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F00-000000000000}">
          <x14:formula1>
            <xm:f>'https://sp.cwb.local/projects/pmo2/Digital Program/Digital Program SharePoint/2 Digital Client Onboarding/4 Small Business Lending/2 Design/Field Specs/[Small Business DCO SmallBiz Field Spec v3.0-LENDING DRAFT.xlsx]List Values'!#REF!</xm:f>
          </x14:formula1>
          <xm:sqref>C13:C1048576</xm:sqref>
        </x14:dataValidation>
        <x14:dataValidation type="list" allowBlank="1" showInputMessage="1" showErrorMessage="1" xr:uid="{00000000-0002-0000-0F00-000001000000}">
          <x14:formula1>
            <xm:f>'https://sp.cwb.local/projects/pmo2/Digital Program/Digital Program SharePoint/2 Digital Client Onboarding/4 Small Business Lending/2 Design/Field Specs/[Small Business DCO SmallBiz Field Spec v3.0-LENDING DRAFT.xlsx]List Values'!#REF!</xm:f>
          </x14:formula1>
          <xm:sqref>E13:E1048576</xm:sqref>
        </x14:dataValidation>
        <x14:dataValidation type="list" allowBlank="1" showInputMessage="1" showErrorMessage="1" xr:uid="{00000000-0002-0000-0F00-000002000000}">
          <x14:formula1>
            <xm:f>'List Values'!$B$5:$B$9</xm:f>
          </x14:formula1>
          <xm:sqref>C7:C12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0"/>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151</v>
      </c>
      <c r="C1" s="27"/>
      <c r="D1" s="24"/>
    </row>
    <row r="2" spans="1:16" s="25" customFormat="1" ht="18.5" x14ac:dyDescent="0.35">
      <c r="A2" s="23" t="s">
        <v>7</v>
      </c>
      <c r="B2" s="31">
        <v>11</v>
      </c>
      <c r="C2" s="30"/>
      <c r="D2" s="31"/>
    </row>
    <row r="3" spans="1:16" s="25" customFormat="1" ht="18.5" x14ac:dyDescent="0.35">
      <c r="A3" s="23" t="s">
        <v>44</v>
      </c>
      <c r="B3" s="31" t="s">
        <v>262</v>
      </c>
      <c r="C3" s="30"/>
      <c r="D3" s="31" t="s">
        <v>406</v>
      </c>
    </row>
    <row r="4" spans="1:16" s="25" customFormat="1" ht="18.5" x14ac:dyDescent="0.35">
      <c r="A4" s="23" t="s">
        <v>8</v>
      </c>
      <c r="B4" s="25" t="s">
        <v>152</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5" si="0">CONCATENATE($B$2, ".", A7)</f>
        <v>11.1</v>
      </c>
      <c r="C7" s="29" t="s">
        <v>38</v>
      </c>
      <c r="D7" s="34" t="s">
        <v>411</v>
      </c>
      <c r="E7" s="6" t="s">
        <v>349</v>
      </c>
      <c r="F7" s="6" t="s">
        <v>37</v>
      </c>
      <c r="G7" s="6" t="s">
        <v>37</v>
      </c>
      <c r="H7" s="29" t="s">
        <v>37</v>
      </c>
      <c r="I7" s="34" t="s">
        <v>10</v>
      </c>
      <c r="J7" s="5" t="s">
        <v>37</v>
      </c>
      <c r="K7" s="5" t="s">
        <v>37</v>
      </c>
      <c r="L7" s="5" t="s">
        <v>37</v>
      </c>
      <c r="M7" s="5" t="s">
        <v>37</v>
      </c>
      <c r="N7" s="5" t="s">
        <v>37</v>
      </c>
      <c r="O7" s="5" t="s">
        <v>37</v>
      </c>
      <c r="P7" s="6" t="s">
        <v>409</v>
      </c>
    </row>
    <row r="8" spans="1:16" x14ac:dyDescent="0.35">
      <c r="A8" s="6">
        <v>2</v>
      </c>
      <c r="B8" s="6" t="str">
        <f t="shared" si="0"/>
        <v>11.2</v>
      </c>
      <c r="C8" s="29" t="s">
        <v>40</v>
      </c>
      <c r="D8" s="34" t="s">
        <v>37</v>
      </c>
      <c r="E8" s="34" t="s">
        <v>48</v>
      </c>
      <c r="F8" s="6" t="s">
        <v>37</v>
      </c>
      <c r="G8" s="6" t="s">
        <v>37</v>
      </c>
      <c r="H8" s="29" t="s">
        <v>37</v>
      </c>
      <c r="I8" s="34" t="s">
        <v>10</v>
      </c>
      <c r="J8" s="5" t="s">
        <v>37</v>
      </c>
      <c r="K8" s="5" t="s">
        <v>37</v>
      </c>
      <c r="L8" s="5" t="s">
        <v>37</v>
      </c>
      <c r="M8" s="5" t="s">
        <v>37</v>
      </c>
      <c r="N8" s="5" t="s">
        <v>37</v>
      </c>
      <c r="O8" s="5" t="s">
        <v>37</v>
      </c>
    </row>
    <row r="9" spans="1:16" ht="58" x14ac:dyDescent="0.35">
      <c r="A9" s="6">
        <v>3</v>
      </c>
      <c r="B9" s="6" t="str">
        <f t="shared" si="0"/>
        <v>11.3</v>
      </c>
      <c r="C9" s="29" t="s">
        <v>38</v>
      </c>
      <c r="D9" s="34" t="s">
        <v>405</v>
      </c>
      <c r="E9" s="34" t="s">
        <v>34</v>
      </c>
      <c r="F9" s="6" t="s">
        <v>37</v>
      </c>
      <c r="G9" s="6" t="s">
        <v>37</v>
      </c>
      <c r="H9" s="29" t="s">
        <v>37</v>
      </c>
      <c r="I9" s="34" t="s">
        <v>10</v>
      </c>
      <c r="J9" s="5" t="s">
        <v>37</v>
      </c>
      <c r="K9" s="5" t="s">
        <v>37</v>
      </c>
      <c r="L9" s="5" t="s">
        <v>37</v>
      </c>
      <c r="M9" s="5" t="s">
        <v>37</v>
      </c>
      <c r="N9" s="5" t="s">
        <v>37</v>
      </c>
      <c r="O9" s="5" t="s">
        <v>37</v>
      </c>
      <c r="P9" s="6" t="s">
        <v>363</v>
      </c>
    </row>
    <row r="10" spans="1:16" ht="29" x14ac:dyDescent="0.35">
      <c r="A10" s="6">
        <v>4</v>
      </c>
      <c r="B10" s="6" t="str">
        <f t="shared" si="0"/>
        <v>11.4</v>
      </c>
      <c r="C10" s="29" t="s">
        <v>38</v>
      </c>
      <c r="D10" s="6" t="s">
        <v>582</v>
      </c>
      <c r="E10" s="114" t="s">
        <v>32</v>
      </c>
      <c r="F10" s="6" t="s">
        <v>59</v>
      </c>
      <c r="G10" s="6" t="s">
        <v>37</v>
      </c>
      <c r="H10" s="29" t="s">
        <v>37</v>
      </c>
      <c r="I10" s="34" t="s">
        <v>10</v>
      </c>
      <c r="J10" s="5" t="s">
        <v>146</v>
      </c>
      <c r="K10" s="109" t="s">
        <v>147</v>
      </c>
      <c r="L10" s="113" t="s">
        <v>174</v>
      </c>
      <c r="M10" s="5" t="s">
        <v>37</v>
      </c>
      <c r="N10" s="5" t="s">
        <v>37</v>
      </c>
      <c r="O10" s="115" t="s">
        <v>175</v>
      </c>
      <c r="P10" s="6" t="s">
        <v>583</v>
      </c>
    </row>
    <row r="11" spans="1:16" ht="40.5" customHeight="1" x14ac:dyDescent="0.35">
      <c r="A11" s="6">
        <v>5</v>
      </c>
      <c r="B11" s="6" t="str">
        <f t="shared" si="0"/>
        <v>11.5</v>
      </c>
      <c r="C11" s="29" t="s">
        <v>40</v>
      </c>
      <c r="D11" s="6" t="s">
        <v>220</v>
      </c>
      <c r="E11" s="114"/>
      <c r="F11" s="6" t="s">
        <v>59</v>
      </c>
      <c r="G11" s="43" t="s">
        <v>37</v>
      </c>
      <c r="H11" s="67" t="s">
        <v>37</v>
      </c>
      <c r="I11" s="45" t="s">
        <v>10</v>
      </c>
      <c r="J11" s="5" t="s">
        <v>146</v>
      </c>
      <c r="K11" s="109"/>
      <c r="L11" s="113"/>
      <c r="M11" s="5" t="s">
        <v>37</v>
      </c>
      <c r="N11" s="5" t="s">
        <v>37</v>
      </c>
      <c r="O11" s="115"/>
    </row>
    <row r="12" spans="1:16" ht="231.75" customHeight="1" x14ac:dyDescent="0.35">
      <c r="A12" s="6">
        <v>6</v>
      </c>
      <c r="B12" s="6" t="str">
        <f t="shared" si="0"/>
        <v>11.6</v>
      </c>
      <c r="C12" s="29" t="s">
        <v>40</v>
      </c>
      <c r="D12" s="29" t="s">
        <v>221</v>
      </c>
      <c r="E12" s="34" t="s">
        <v>182</v>
      </c>
      <c r="F12" s="6" t="s">
        <v>37</v>
      </c>
      <c r="G12" s="6" t="s">
        <v>37</v>
      </c>
      <c r="H12" s="67" t="s">
        <v>37</v>
      </c>
      <c r="I12" s="45" t="s">
        <v>514</v>
      </c>
      <c r="J12" s="5" t="s">
        <v>37</v>
      </c>
      <c r="K12" s="5" t="s">
        <v>37</v>
      </c>
      <c r="L12" s="5" t="s">
        <v>37</v>
      </c>
      <c r="M12" s="5" t="s">
        <v>37</v>
      </c>
      <c r="N12" s="5" t="s">
        <v>37</v>
      </c>
      <c r="O12" s="5" t="s">
        <v>515</v>
      </c>
    </row>
    <row r="13" spans="1:16" ht="81.75" customHeight="1" x14ac:dyDescent="0.35">
      <c r="A13" s="6">
        <v>7</v>
      </c>
      <c r="B13" s="6" t="str">
        <f t="shared" si="0"/>
        <v>11.7</v>
      </c>
      <c r="C13" s="29" t="s">
        <v>40</v>
      </c>
      <c r="D13" s="34" t="s">
        <v>55</v>
      </c>
      <c r="E13" s="34" t="s">
        <v>43</v>
      </c>
      <c r="F13" s="34" t="s">
        <v>37</v>
      </c>
      <c r="G13" s="34" t="s">
        <v>37</v>
      </c>
      <c r="H13" s="42" t="s">
        <v>37</v>
      </c>
      <c r="I13" s="34" t="s">
        <v>10</v>
      </c>
      <c r="J13" s="34" t="s">
        <v>37</v>
      </c>
      <c r="K13" s="34" t="s">
        <v>37</v>
      </c>
      <c r="L13" s="34" t="s">
        <v>37</v>
      </c>
      <c r="M13" s="34" t="s">
        <v>37</v>
      </c>
      <c r="N13" s="34" t="s">
        <v>37</v>
      </c>
      <c r="O13" s="34" t="s">
        <v>264</v>
      </c>
    </row>
    <row r="14" spans="1:16" ht="29" x14ac:dyDescent="0.35">
      <c r="A14" s="6">
        <v>8</v>
      </c>
      <c r="B14" s="6" t="str">
        <f t="shared" si="0"/>
        <v>11.8</v>
      </c>
      <c r="C14" s="29" t="s">
        <v>38</v>
      </c>
      <c r="D14" s="6" t="s">
        <v>54</v>
      </c>
      <c r="E14" s="6" t="s">
        <v>43</v>
      </c>
      <c r="F14" s="6" t="s">
        <v>37</v>
      </c>
      <c r="G14" s="6" t="s">
        <v>37</v>
      </c>
      <c r="H14" s="6" t="s">
        <v>37</v>
      </c>
      <c r="I14" s="6" t="s">
        <v>10</v>
      </c>
      <c r="J14" s="6" t="s">
        <v>37</v>
      </c>
      <c r="K14" s="6" t="s">
        <v>37</v>
      </c>
      <c r="L14" s="6" t="s">
        <v>37</v>
      </c>
      <c r="M14" s="6" t="s">
        <v>37</v>
      </c>
      <c r="N14" s="6" t="s">
        <v>37</v>
      </c>
      <c r="O14" s="6" t="s">
        <v>518</v>
      </c>
    </row>
    <row r="15" spans="1:16" ht="101.5" x14ac:dyDescent="0.35">
      <c r="A15" s="6">
        <v>9</v>
      </c>
      <c r="B15" s="6" t="str">
        <f t="shared" si="0"/>
        <v>11.9</v>
      </c>
      <c r="C15" s="29" t="s">
        <v>42</v>
      </c>
      <c r="D15" s="29" t="s">
        <v>511</v>
      </c>
      <c r="E15" s="6" t="s">
        <v>182</v>
      </c>
      <c r="F15" s="6" t="s">
        <v>37</v>
      </c>
      <c r="G15" s="6" t="s">
        <v>37</v>
      </c>
      <c r="H15" s="6" t="s">
        <v>37</v>
      </c>
      <c r="I15" s="43" t="s">
        <v>453</v>
      </c>
      <c r="J15" s="6" t="s">
        <v>37</v>
      </c>
      <c r="K15" s="6" t="s">
        <v>37</v>
      </c>
      <c r="L15" s="6" t="s">
        <v>37</v>
      </c>
      <c r="M15" s="6" t="s">
        <v>37</v>
      </c>
      <c r="N15" s="6" t="s">
        <v>37</v>
      </c>
      <c r="O15" s="43" t="s">
        <v>517</v>
      </c>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sheetData>
  <mergeCells count="4">
    <mergeCell ref="K10:K11"/>
    <mergeCell ref="L10:L11"/>
    <mergeCell ref="E10:E11"/>
    <mergeCell ref="O10:O11"/>
  </mergeCells>
  <conditionalFormatting sqref="C7:C1048576">
    <cfRule type="cellIs" dxfId="213" priority="35" operator="equal">
      <formula>"WIP (see comments)"</formula>
    </cfRule>
    <cfRule type="cellIs" dxfId="212" priority="36" operator="equal">
      <formula>"Removed"</formula>
    </cfRule>
    <cfRule type="cellIs" dxfId="211" priority="37" operator="equal">
      <formula>"Updated"</formula>
    </cfRule>
    <cfRule type="cellIs" dxfId="210" priority="38" operator="equal">
      <formula>"New"</formula>
    </cfRule>
  </conditionalFormatting>
  <conditionalFormatting sqref="D10:E10 G10:I10 M10:O10 A10:C12 M11:N11 C11:C13 A7:O9">
    <cfRule type="cellIs" dxfId="209" priority="26" operator="equal">
      <formula>"n/a"</formula>
    </cfRule>
  </conditionalFormatting>
  <conditionalFormatting sqref="D11:D12 F11:J12">
    <cfRule type="cellIs" dxfId="208" priority="25" operator="equal">
      <formula>"n/a"</formula>
    </cfRule>
  </conditionalFormatting>
  <conditionalFormatting sqref="K10:L10">
    <cfRule type="cellIs" dxfId="207" priority="24" operator="equal">
      <formula>"n/a"</formula>
    </cfRule>
  </conditionalFormatting>
  <conditionalFormatting sqref="A13:B13">
    <cfRule type="cellIs" dxfId="206" priority="18" operator="equal">
      <formula>"n/a"</formula>
    </cfRule>
  </conditionalFormatting>
  <conditionalFormatting sqref="D13:N13">
    <cfRule type="cellIs" dxfId="205" priority="17" operator="equal">
      <formula>"n/a"</formula>
    </cfRule>
  </conditionalFormatting>
  <conditionalFormatting sqref="F10">
    <cfRule type="cellIs" dxfId="204" priority="15" operator="equal">
      <formula>"n/a"</formula>
    </cfRule>
  </conditionalFormatting>
  <conditionalFormatting sqref="J10">
    <cfRule type="cellIs" dxfId="203" priority="14" operator="equal">
      <formula>"n/a"</formula>
    </cfRule>
  </conditionalFormatting>
  <conditionalFormatting sqref="E12">
    <cfRule type="cellIs" dxfId="202" priority="13" operator="equal">
      <formula>"n/a"</formula>
    </cfRule>
  </conditionalFormatting>
  <conditionalFormatting sqref="K12">
    <cfRule type="cellIs" dxfId="201" priority="12" operator="equal">
      <formula>"n/a"</formula>
    </cfRule>
  </conditionalFormatting>
  <conditionalFormatting sqref="L12">
    <cfRule type="cellIs" dxfId="200" priority="11" operator="equal">
      <formula>"n/a"</formula>
    </cfRule>
  </conditionalFormatting>
  <conditionalFormatting sqref="M12">
    <cfRule type="cellIs" dxfId="199" priority="10" operator="equal">
      <formula>"n/a"</formula>
    </cfRule>
  </conditionalFormatting>
  <conditionalFormatting sqref="N12">
    <cfRule type="cellIs" dxfId="198" priority="9" operator="equal">
      <formula>"n/a"</formula>
    </cfRule>
  </conditionalFormatting>
  <conditionalFormatting sqref="O12">
    <cfRule type="cellIs" dxfId="197" priority="8" operator="equal">
      <formula>"n/a"</formula>
    </cfRule>
  </conditionalFormatting>
  <conditionalFormatting sqref="D1">
    <cfRule type="cellIs" dxfId="196" priority="7" operator="equal">
      <formula>"n/a"</formula>
    </cfRule>
  </conditionalFormatting>
  <conditionalFormatting sqref="B4">
    <cfRule type="cellIs" dxfId="195" priority="6" operator="equal">
      <formula>"n/a"</formula>
    </cfRule>
  </conditionalFormatting>
  <conditionalFormatting sqref="P8">
    <cfRule type="cellIs" dxfId="194" priority="5" operator="equal">
      <formula>"n/a"</formula>
    </cfRule>
  </conditionalFormatting>
  <conditionalFormatting sqref="I15 O15 E15">
    <cfRule type="cellIs" dxfId="193" priority="4" operator="equal">
      <formula>"n/a"</formula>
    </cfRule>
  </conditionalFormatting>
  <conditionalFormatting sqref="F15:H15 J15:N15 D14:O14">
    <cfRule type="cellIs" dxfId="192" priority="3" operator="equal">
      <formula>"n/a"</formula>
    </cfRule>
  </conditionalFormatting>
  <conditionalFormatting sqref="D15">
    <cfRule type="cellIs" dxfId="191" priority="2" operator="equal">
      <formula>"n/a"</formula>
    </cfRule>
  </conditionalFormatting>
  <conditionalFormatting sqref="D15">
    <cfRule type="cellIs" dxfId="190" priority="1" operator="equal">
      <formula>"-"</formula>
    </cfRule>
  </conditionalFormatting>
  <dataValidations count="1">
    <dataValidation type="list" allowBlank="1" showInputMessage="1" showErrorMessage="1" sqref="E12:E13 E16:E1048576" xr:uid="{00000000-0002-0000-10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1000000}">
          <x14:formula1>
            <xm:f>'List Values'!$A$5:$A$30</xm:f>
          </x14:formula1>
          <xm:sqref>E7:E10</xm:sqref>
        </x14:dataValidation>
        <x14:dataValidation type="list" allowBlank="1" showInputMessage="1" showErrorMessage="1" xr:uid="{00000000-0002-0000-1000-000002000000}">
          <x14:formula1>
            <xm:f>'List Values'!$B$5:$B$14</xm:f>
          </x14:formula1>
          <xm:sqref>C14:C1048576</xm:sqref>
        </x14:dataValidation>
        <x14:dataValidation type="list" allowBlank="1" showInputMessage="1" showErrorMessage="1" xr:uid="{00000000-0002-0000-1000-000003000000}">
          <x14:formula1>
            <xm:f>'List Values'!$B$5:$B$13</xm:f>
          </x14:formula1>
          <xm:sqref>C7:C13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9"/>
  <sheetViews>
    <sheetView workbookViewId="0">
      <pane xSplit="4" ySplit="6" topLeftCell="M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153</v>
      </c>
      <c r="C1" s="27"/>
      <c r="D1" s="24"/>
    </row>
    <row r="2" spans="1:16" s="25" customFormat="1" ht="18.5" x14ac:dyDescent="0.35">
      <c r="A2" s="23" t="s">
        <v>7</v>
      </c>
      <c r="B2" s="31">
        <v>12</v>
      </c>
      <c r="C2" s="30"/>
      <c r="D2" s="31"/>
    </row>
    <row r="3" spans="1:16" s="25" customFormat="1" ht="18.5" x14ac:dyDescent="0.35">
      <c r="A3" s="23" t="s">
        <v>44</v>
      </c>
      <c r="B3" s="31" t="s">
        <v>263</v>
      </c>
      <c r="C3" s="30"/>
      <c r="D3" s="31" t="s">
        <v>467</v>
      </c>
    </row>
    <row r="4" spans="1:16" s="25" customFormat="1" ht="18.5" x14ac:dyDescent="0.35">
      <c r="A4" s="23" t="s">
        <v>8</v>
      </c>
      <c r="B4" s="25" t="s">
        <v>152</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2" si="0">CONCATENATE($B$2, ".", A7)</f>
        <v>12.1</v>
      </c>
      <c r="C7" s="29" t="s">
        <v>38</v>
      </c>
      <c r="D7" s="34" t="s">
        <v>410</v>
      </c>
      <c r="E7" s="6" t="s">
        <v>349</v>
      </c>
      <c r="F7" s="6" t="s">
        <v>37</v>
      </c>
      <c r="G7" s="6" t="s">
        <v>37</v>
      </c>
      <c r="H7" s="29" t="s">
        <v>37</v>
      </c>
      <c r="I7" s="34" t="s">
        <v>10</v>
      </c>
      <c r="J7" s="5" t="s">
        <v>37</v>
      </c>
      <c r="K7" s="5" t="s">
        <v>37</v>
      </c>
      <c r="L7" s="5" t="s">
        <v>37</v>
      </c>
      <c r="M7" s="5" t="s">
        <v>37</v>
      </c>
      <c r="N7" s="5" t="s">
        <v>37</v>
      </c>
      <c r="O7" s="5" t="s">
        <v>37</v>
      </c>
      <c r="P7" s="6" t="s">
        <v>409</v>
      </c>
    </row>
    <row r="8" spans="1:16" x14ac:dyDescent="0.35">
      <c r="A8" s="6">
        <v>2</v>
      </c>
      <c r="B8" s="6" t="str">
        <f t="shared" si="0"/>
        <v>12.2</v>
      </c>
      <c r="C8" s="29" t="s">
        <v>40</v>
      </c>
      <c r="D8" s="34" t="s">
        <v>37</v>
      </c>
      <c r="E8" s="34" t="s">
        <v>48</v>
      </c>
      <c r="F8" s="6" t="s">
        <v>37</v>
      </c>
      <c r="G8" s="6" t="s">
        <v>37</v>
      </c>
      <c r="H8" s="29" t="s">
        <v>37</v>
      </c>
      <c r="I8" s="34" t="s">
        <v>10</v>
      </c>
      <c r="J8" s="5" t="s">
        <v>37</v>
      </c>
      <c r="K8" s="5" t="s">
        <v>37</v>
      </c>
      <c r="L8" s="5" t="s">
        <v>37</v>
      </c>
      <c r="M8" s="5" t="s">
        <v>37</v>
      </c>
      <c r="N8" s="5" t="s">
        <v>37</v>
      </c>
      <c r="O8" s="5" t="s">
        <v>37</v>
      </c>
    </row>
    <row r="9" spans="1:16" ht="87" x14ac:dyDescent="0.35">
      <c r="A9" s="6">
        <v>3</v>
      </c>
      <c r="B9" s="6" t="str">
        <f t="shared" si="0"/>
        <v>12.3</v>
      </c>
      <c r="C9" s="29" t="s">
        <v>42</v>
      </c>
      <c r="D9" s="34" t="s">
        <v>465</v>
      </c>
      <c r="E9" s="34" t="s">
        <v>34</v>
      </c>
      <c r="F9" s="6" t="s">
        <v>37</v>
      </c>
      <c r="G9" s="6" t="s">
        <v>37</v>
      </c>
      <c r="H9" s="29" t="s">
        <v>37</v>
      </c>
      <c r="I9" s="34" t="s">
        <v>10</v>
      </c>
      <c r="J9" s="5" t="s">
        <v>37</v>
      </c>
      <c r="K9" s="5" t="s">
        <v>37</v>
      </c>
      <c r="L9" s="5" t="s">
        <v>37</v>
      </c>
      <c r="M9" s="5" t="s">
        <v>37</v>
      </c>
      <c r="N9" s="5" t="s">
        <v>37</v>
      </c>
      <c r="O9" s="5" t="s">
        <v>37</v>
      </c>
      <c r="P9" s="6" t="s">
        <v>466</v>
      </c>
    </row>
    <row r="10" spans="1:16" ht="81" customHeight="1" x14ac:dyDescent="0.35">
      <c r="A10" s="6">
        <v>4</v>
      </c>
      <c r="B10" s="6" t="str">
        <f t="shared" si="0"/>
        <v>12.4</v>
      </c>
      <c r="C10" s="29" t="s">
        <v>40</v>
      </c>
      <c r="D10" s="6" t="s">
        <v>37</v>
      </c>
      <c r="E10" s="6" t="s">
        <v>156</v>
      </c>
      <c r="F10" s="6" t="s">
        <v>37</v>
      </c>
      <c r="G10" s="6" t="s">
        <v>37</v>
      </c>
      <c r="H10" s="29" t="s">
        <v>37</v>
      </c>
      <c r="I10" s="34" t="s">
        <v>10</v>
      </c>
      <c r="J10" s="5" t="s">
        <v>37</v>
      </c>
      <c r="K10" s="5" t="s">
        <v>147</v>
      </c>
      <c r="L10" s="45" t="s">
        <v>37</v>
      </c>
      <c r="M10" s="5" t="s">
        <v>37</v>
      </c>
      <c r="N10" s="5" t="s">
        <v>37</v>
      </c>
      <c r="O10" s="35" t="s">
        <v>180</v>
      </c>
    </row>
    <row r="11" spans="1:16" ht="43.5" x14ac:dyDescent="0.35">
      <c r="A11" s="6">
        <v>5</v>
      </c>
      <c r="B11" s="6" t="str">
        <f>CONCATENATE($B$2, ".", A11)</f>
        <v>12.5</v>
      </c>
      <c r="C11" s="29" t="s">
        <v>38</v>
      </c>
      <c r="D11" s="34" t="s">
        <v>55</v>
      </c>
      <c r="E11" s="34" t="s">
        <v>43</v>
      </c>
      <c r="F11" s="34" t="s">
        <v>37</v>
      </c>
      <c r="G11" s="34" t="s">
        <v>37</v>
      </c>
      <c r="H11" s="42" t="s">
        <v>37</v>
      </c>
      <c r="I11" s="34" t="s">
        <v>10</v>
      </c>
      <c r="J11" s="34" t="s">
        <v>37</v>
      </c>
      <c r="K11" s="34" t="s">
        <v>37</v>
      </c>
      <c r="L11" s="34" t="s">
        <v>37</v>
      </c>
      <c r="M11" s="34" t="s">
        <v>37</v>
      </c>
      <c r="N11" s="34" t="s">
        <v>37</v>
      </c>
      <c r="O11" s="34" t="s">
        <v>516</v>
      </c>
    </row>
    <row r="12" spans="1:16" ht="77" customHeight="1" x14ac:dyDescent="0.35">
      <c r="A12" s="6">
        <v>6</v>
      </c>
      <c r="B12" s="6" t="str">
        <f t="shared" si="0"/>
        <v>12.6</v>
      </c>
      <c r="C12" s="29" t="s">
        <v>40</v>
      </c>
      <c r="D12" s="6" t="s">
        <v>54</v>
      </c>
      <c r="E12" s="6" t="s">
        <v>43</v>
      </c>
      <c r="F12" s="6" t="s">
        <v>37</v>
      </c>
      <c r="G12" s="6" t="s">
        <v>37</v>
      </c>
      <c r="H12" s="29" t="s">
        <v>37</v>
      </c>
      <c r="I12" s="34" t="s">
        <v>197</v>
      </c>
      <c r="J12" s="5" t="s">
        <v>37</v>
      </c>
      <c r="K12" s="5" t="s">
        <v>37</v>
      </c>
      <c r="L12" s="45" t="s">
        <v>37</v>
      </c>
      <c r="M12" s="5" t="s">
        <v>37</v>
      </c>
      <c r="N12" s="5" t="s">
        <v>37</v>
      </c>
      <c r="O12" s="35" t="s">
        <v>265</v>
      </c>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sheetData>
  <conditionalFormatting sqref="C13:C1048576">
    <cfRule type="cellIs" dxfId="189" priority="17" operator="equal">
      <formula>"WIP (see comments)"</formula>
    </cfRule>
    <cfRule type="cellIs" dxfId="188" priority="18" operator="equal">
      <formula>"Removed"</formula>
    </cfRule>
    <cfRule type="cellIs" dxfId="187" priority="19" operator="equal">
      <formula>"Updated"</formula>
    </cfRule>
    <cfRule type="cellIs" dxfId="186" priority="20" operator="equal">
      <formula>"New"</formula>
    </cfRule>
  </conditionalFormatting>
  <conditionalFormatting sqref="C7:C12">
    <cfRule type="cellIs" dxfId="185" priority="13" operator="equal">
      <formula>"WIP (see comments)"</formula>
    </cfRule>
    <cfRule type="cellIs" dxfId="184" priority="14" operator="equal">
      <formula>"Removed"</formula>
    </cfRule>
    <cfRule type="cellIs" dxfId="183" priority="15" operator="equal">
      <formula>"Updated"</formula>
    </cfRule>
    <cfRule type="cellIs" dxfId="182" priority="16" operator="equal">
      <formula>"New"</formula>
    </cfRule>
  </conditionalFormatting>
  <conditionalFormatting sqref="A13:XFD1048576 P10:XFD12 M10:N12 A10:J11 C12:J12 A1:C1 E1:XFD1 A2:XFD8 A9:C9 E9:XFD9 A11:B12">
    <cfRule type="cellIs" dxfId="181" priority="12" operator="equal">
      <formula>"n/a"</formula>
    </cfRule>
  </conditionalFormatting>
  <conditionalFormatting sqref="K10:L12">
    <cfRule type="cellIs" dxfId="180" priority="10" operator="equal">
      <formula>"n/a"</formula>
    </cfRule>
  </conditionalFormatting>
  <conditionalFormatting sqref="O10:O12">
    <cfRule type="cellIs" dxfId="179" priority="9" operator="equal">
      <formula>"n/a"</formula>
    </cfRule>
  </conditionalFormatting>
  <conditionalFormatting sqref="C11">
    <cfRule type="cellIs" dxfId="178" priority="5" operator="equal">
      <formula>"WIP (see comments)"</formula>
    </cfRule>
    <cfRule type="cellIs" dxfId="177" priority="6" operator="equal">
      <formula>"Removed"</formula>
    </cfRule>
    <cfRule type="cellIs" dxfId="176" priority="7" operator="equal">
      <formula>"Updated"</formula>
    </cfRule>
    <cfRule type="cellIs" dxfId="175" priority="8" operator="equal">
      <formula>"New"</formula>
    </cfRule>
  </conditionalFormatting>
  <conditionalFormatting sqref="P11:XFD11 C11">
    <cfRule type="cellIs" dxfId="174" priority="4" operator="equal">
      <formula>"n/a"</formula>
    </cfRule>
  </conditionalFormatting>
  <conditionalFormatting sqref="D11:N11">
    <cfRule type="cellIs" dxfId="173" priority="3" operator="equal">
      <formula>"n/a"</formula>
    </cfRule>
  </conditionalFormatting>
  <conditionalFormatting sqref="D1">
    <cfRule type="cellIs" dxfId="172" priority="2" operator="equal">
      <formula>"n/a"</formula>
    </cfRule>
  </conditionalFormatting>
  <conditionalFormatting sqref="D9">
    <cfRule type="cellIs" dxfId="17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Values'!$A$5:$A$30</xm:f>
          </x14:formula1>
          <xm:sqref>E13:E1048576 E7:E12</xm:sqref>
        </x14:dataValidation>
        <x14:dataValidation type="list" allowBlank="1" showInputMessage="1" showErrorMessage="1" xr:uid="{00000000-0002-0000-1100-000001000000}">
          <x14:formula1>
            <xm:f>'List Values'!$B$5:$B$13</xm:f>
          </x14:formula1>
          <xm:sqref>C13:C1048576 C7:C12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5"/>
  <sheetViews>
    <sheetView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176</v>
      </c>
      <c r="C1" s="27"/>
      <c r="D1" s="24"/>
    </row>
    <row r="2" spans="1:16" s="25" customFormat="1" ht="18.5" x14ac:dyDescent="0.35">
      <c r="A2" s="23" t="s">
        <v>7</v>
      </c>
      <c r="B2" s="31">
        <v>13</v>
      </c>
      <c r="C2" s="30"/>
      <c r="D2" s="31"/>
    </row>
    <row r="3" spans="1:16" s="25" customFormat="1" ht="18.5" x14ac:dyDescent="0.35">
      <c r="A3" s="23" t="s">
        <v>44</v>
      </c>
      <c r="B3" s="31" t="s">
        <v>266</v>
      </c>
      <c r="C3" s="30"/>
      <c r="D3" s="31" t="s">
        <v>407</v>
      </c>
    </row>
    <row r="4" spans="1:16" s="25" customFormat="1" ht="18.5" x14ac:dyDescent="0.35">
      <c r="A4" s="23" t="s">
        <v>8</v>
      </c>
      <c r="B4" s="25" t="s">
        <v>222</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5">
        <v>1</v>
      </c>
      <c r="B7" s="5" t="str">
        <f>CONCATENATE($B$2, ".", A7)</f>
        <v>13.1</v>
      </c>
      <c r="C7" s="66" t="s">
        <v>40</v>
      </c>
      <c r="D7" s="5" t="s">
        <v>37</v>
      </c>
      <c r="E7" s="35" t="s">
        <v>115</v>
      </c>
      <c r="F7" s="5" t="s">
        <v>37</v>
      </c>
      <c r="G7" s="5" t="s">
        <v>37</v>
      </c>
      <c r="H7" s="66" t="s">
        <v>37</v>
      </c>
      <c r="I7" s="35" t="s">
        <v>10</v>
      </c>
      <c r="J7" s="5" t="s">
        <v>37</v>
      </c>
      <c r="K7" s="5" t="s">
        <v>37</v>
      </c>
      <c r="L7" s="5" t="s">
        <v>37</v>
      </c>
      <c r="M7" s="5" t="s">
        <v>37</v>
      </c>
      <c r="N7" s="5" t="s">
        <v>37</v>
      </c>
      <c r="O7" s="35" t="s">
        <v>184</v>
      </c>
      <c r="P7" s="5" t="s">
        <v>413</v>
      </c>
    </row>
    <row r="8" spans="1:16" x14ac:dyDescent="0.35">
      <c r="A8" s="5">
        <v>2</v>
      </c>
      <c r="B8" s="5" t="str">
        <f t="shared" ref="B8" si="0">CONCATENATE($B$2, ".", A8)</f>
        <v>13.2</v>
      </c>
      <c r="C8" s="68" t="s">
        <v>186</v>
      </c>
      <c r="D8" s="35" t="s">
        <v>183</v>
      </c>
      <c r="E8" s="35" t="s">
        <v>116</v>
      </c>
      <c r="F8" s="5" t="s">
        <v>37</v>
      </c>
      <c r="G8" s="5" t="s">
        <v>37</v>
      </c>
      <c r="H8" s="66" t="s">
        <v>37</v>
      </c>
      <c r="I8" s="35" t="s">
        <v>10</v>
      </c>
      <c r="J8" s="5" t="s">
        <v>37</v>
      </c>
      <c r="K8" s="5" t="s">
        <v>37</v>
      </c>
      <c r="L8" s="5" t="s">
        <v>37</v>
      </c>
      <c r="M8" s="5" t="s">
        <v>37</v>
      </c>
      <c r="N8" s="5" t="s">
        <v>37</v>
      </c>
      <c r="O8" s="5"/>
      <c r="P8" s="5"/>
    </row>
    <row r="9" spans="1:16" ht="231" customHeight="1" x14ac:dyDescent="0.35">
      <c r="A9" s="6">
        <v>3</v>
      </c>
      <c r="B9" s="6" t="str">
        <f t="shared" ref="B9" si="1">CONCATENATE($B$2, ".", A9)</f>
        <v>13.3</v>
      </c>
      <c r="C9" s="68" t="s">
        <v>38</v>
      </c>
      <c r="D9" s="6" t="s">
        <v>548</v>
      </c>
      <c r="E9" s="34" t="s">
        <v>105</v>
      </c>
      <c r="F9" s="6" t="s">
        <v>37</v>
      </c>
      <c r="G9" s="6" t="s">
        <v>37</v>
      </c>
      <c r="H9" s="29" t="s">
        <v>37</v>
      </c>
      <c r="I9" s="34" t="s">
        <v>10</v>
      </c>
      <c r="J9" s="5" t="s">
        <v>37</v>
      </c>
      <c r="K9" s="5" t="s">
        <v>37</v>
      </c>
      <c r="L9" s="5" t="s">
        <v>37</v>
      </c>
      <c r="M9" s="5" t="s">
        <v>37</v>
      </c>
      <c r="N9" s="5" t="s">
        <v>37</v>
      </c>
      <c r="O9" s="6" t="s">
        <v>520</v>
      </c>
      <c r="P9" s="6" t="s">
        <v>363</v>
      </c>
    </row>
    <row r="10" spans="1:16" x14ac:dyDescent="0.35">
      <c r="I10" s="34"/>
      <c r="J10" s="5"/>
      <c r="K10" s="5"/>
      <c r="L10" s="35"/>
      <c r="M10" s="35"/>
      <c r="N10" s="35"/>
      <c r="O10" s="35"/>
    </row>
    <row r="11" spans="1:16" x14ac:dyDescent="0.35">
      <c r="I11" s="34"/>
      <c r="J11" s="5"/>
      <c r="K11" s="5"/>
      <c r="L11" s="35"/>
      <c r="M11" s="35"/>
      <c r="N11" s="35"/>
      <c r="O11" s="35"/>
    </row>
    <row r="12" spans="1:16" x14ac:dyDescent="0.35">
      <c r="I12" s="34"/>
      <c r="J12" s="5"/>
      <c r="K12" s="5"/>
      <c r="L12" s="35"/>
      <c r="M12" s="35"/>
      <c r="N12" s="35"/>
      <c r="O12" s="35"/>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sheetData>
  <conditionalFormatting sqref="C7:C1048576">
    <cfRule type="cellIs" dxfId="170" priority="25" operator="equal">
      <formula>"WIP (see comments)"</formula>
    </cfRule>
    <cfRule type="cellIs" dxfId="169" priority="26" operator="equal">
      <formula>"Removed"</formula>
    </cfRule>
    <cfRule type="cellIs" dxfId="168" priority="27" operator="equal">
      <formula>"Updated"</formula>
    </cfRule>
    <cfRule type="cellIs" dxfId="167" priority="28" operator="equal">
      <formula>"New"</formula>
    </cfRule>
  </conditionalFormatting>
  <conditionalFormatting sqref="A9:C9 E9:N9">
    <cfRule type="cellIs" dxfId="166" priority="24" operator="equal">
      <formula>"n/a"</formula>
    </cfRule>
  </conditionalFormatting>
  <conditionalFormatting sqref="A8:P8 E7:O7 A7:C7 C8:C9">
    <cfRule type="cellIs" dxfId="165" priority="8" operator="equal">
      <formula>"n/a"</formula>
    </cfRule>
  </conditionalFormatting>
  <conditionalFormatting sqref="P7">
    <cfRule type="cellIs" dxfId="164" priority="7" operator="equal">
      <formula>"n/a"</formula>
    </cfRule>
  </conditionalFormatting>
  <conditionalFormatting sqref="D7">
    <cfRule type="cellIs" dxfId="163" priority="6" operator="equal">
      <formula>"-"</formula>
    </cfRule>
  </conditionalFormatting>
  <conditionalFormatting sqref="D7">
    <cfRule type="cellIs" dxfId="162" priority="5" operator="equal">
      <formula>"n/a"</formula>
    </cfRule>
  </conditionalFormatting>
  <conditionalFormatting sqref="D1">
    <cfRule type="cellIs" dxfId="161" priority="4" operator="equal">
      <formula>"n/a"</formula>
    </cfRule>
  </conditionalFormatting>
  <conditionalFormatting sqref="O9">
    <cfRule type="cellIs" dxfId="160" priority="1" operator="equal">
      <formula>"n/a"</formula>
    </cfRule>
  </conditionalFormatting>
  <conditionalFormatting sqref="D9">
    <cfRule type="cellIs" dxfId="159"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Values'!$B$5:$B$14</xm:f>
          </x14:formula1>
          <xm:sqref>C7:C1048576</xm:sqref>
        </x14:dataValidation>
        <x14:dataValidation type="list" allowBlank="1" showInputMessage="1" showErrorMessage="1" xr:uid="{00000000-0002-0000-1200-000001000000}">
          <x14:formula1>
            <xm:f>'List Values'!$A$5:$A$30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499984740745262"/>
  </sheetPr>
  <dimension ref="A1:P10"/>
  <sheetViews>
    <sheetView workbookViewId="0">
      <pane xSplit="4" ySplit="6" topLeftCell="E7" activePane="bottomRight" state="frozen"/>
      <selection pane="topRight" activeCell="E1" sqref="E1"/>
      <selection pane="bottomLeft" activeCell="A7" sqref="A7"/>
      <selection pane="bottomRight" activeCell="B1" sqref="B1:B2"/>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90"/>
      <c r="C1" s="91"/>
      <c r="D1" s="90"/>
      <c r="H1" s="30"/>
    </row>
    <row r="2" spans="1:16" s="25" customFormat="1" ht="18.5" x14ac:dyDescent="0.35">
      <c r="A2" s="23" t="s">
        <v>7</v>
      </c>
      <c r="B2" s="31"/>
      <c r="C2" s="30"/>
      <c r="D2" s="24"/>
      <c r="H2" s="30"/>
    </row>
    <row r="3" spans="1:16" s="25" customFormat="1" ht="18.5" x14ac:dyDescent="0.35">
      <c r="A3" s="23" t="s">
        <v>44</v>
      </c>
      <c r="B3" s="31" t="s">
        <v>451</v>
      </c>
      <c r="C3" s="30"/>
      <c r="D3" s="31"/>
      <c r="H3" s="30"/>
    </row>
    <row r="4" spans="1:16" s="25" customFormat="1" ht="18.5" x14ac:dyDescent="0.35">
      <c r="A4" s="23" t="s">
        <v>8</v>
      </c>
      <c r="B4" s="25" t="s">
        <v>460</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9" si="0">CONCATENATE($B$2, ".", A7)</f>
        <v>.1</v>
      </c>
      <c r="C7" s="29" t="s">
        <v>42</v>
      </c>
      <c r="D7" s="34" t="s">
        <v>275</v>
      </c>
      <c r="E7" s="6" t="s">
        <v>29</v>
      </c>
      <c r="F7" s="6" t="s">
        <v>37</v>
      </c>
      <c r="G7" s="6" t="s">
        <v>37</v>
      </c>
      <c r="H7" s="29" t="s">
        <v>37</v>
      </c>
      <c r="I7" s="34" t="s">
        <v>10</v>
      </c>
      <c r="J7" s="5" t="s">
        <v>37</v>
      </c>
      <c r="K7" s="5" t="s">
        <v>37</v>
      </c>
      <c r="L7" s="5" t="s">
        <v>37</v>
      </c>
      <c r="M7" s="5" t="s">
        <v>37</v>
      </c>
      <c r="N7" s="5" t="s">
        <v>37</v>
      </c>
      <c r="O7" s="5" t="s">
        <v>37</v>
      </c>
    </row>
    <row r="8" spans="1:16" x14ac:dyDescent="0.35">
      <c r="A8" s="6">
        <v>2</v>
      </c>
      <c r="B8" s="6" t="str">
        <f t="shared" si="0"/>
        <v>.2</v>
      </c>
      <c r="C8" s="29" t="s">
        <v>42</v>
      </c>
      <c r="D8" s="34" t="s">
        <v>37</v>
      </c>
      <c r="E8" s="34" t="s">
        <v>48</v>
      </c>
      <c r="F8" s="6" t="s">
        <v>37</v>
      </c>
      <c r="G8" s="6" t="s">
        <v>37</v>
      </c>
      <c r="H8" s="29" t="s">
        <v>37</v>
      </c>
      <c r="I8" s="34" t="s">
        <v>10</v>
      </c>
      <c r="J8" s="5" t="s">
        <v>37</v>
      </c>
      <c r="K8" s="5" t="s">
        <v>37</v>
      </c>
      <c r="L8" s="5" t="s">
        <v>37</v>
      </c>
      <c r="M8" s="5" t="s">
        <v>37</v>
      </c>
      <c r="N8" s="5" t="s">
        <v>37</v>
      </c>
      <c r="O8" s="5" t="s">
        <v>37</v>
      </c>
    </row>
    <row r="9" spans="1:16" ht="58" x14ac:dyDescent="0.35">
      <c r="A9" s="6">
        <v>7</v>
      </c>
      <c r="B9" s="6" t="str">
        <f t="shared" si="0"/>
        <v>.7</v>
      </c>
      <c r="C9" s="29" t="s">
        <v>45</v>
      </c>
      <c r="D9" s="6" t="s">
        <v>461</v>
      </c>
      <c r="E9" s="34" t="s">
        <v>30</v>
      </c>
      <c r="F9" s="34" t="s">
        <v>37</v>
      </c>
      <c r="G9" s="34" t="s">
        <v>37</v>
      </c>
      <c r="H9" s="42" t="s">
        <v>37</v>
      </c>
      <c r="I9" s="6" t="s">
        <v>10</v>
      </c>
      <c r="J9" s="35" t="s">
        <v>97</v>
      </c>
      <c r="K9" s="35" t="s">
        <v>51</v>
      </c>
      <c r="L9" s="35" t="s">
        <v>459</v>
      </c>
      <c r="M9" s="35" t="s">
        <v>37</v>
      </c>
      <c r="N9" s="35" t="s">
        <v>37</v>
      </c>
      <c r="O9" s="35" t="s">
        <v>462</v>
      </c>
      <c r="P9" s="34" t="s">
        <v>464</v>
      </c>
    </row>
    <row r="10" spans="1:16" ht="43.5" x14ac:dyDescent="0.35">
      <c r="A10" s="6">
        <v>8</v>
      </c>
      <c r="B10" s="6" t="str">
        <f>CONCATENATE($B$2, ".", A10)</f>
        <v>.8</v>
      </c>
      <c r="C10" s="29" t="s">
        <v>42</v>
      </c>
      <c r="D10" s="34" t="s">
        <v>55</v>
      </c>
      <c r="E10" s="34" t="s">
        <v>43</v>
      </c>
      <c r="F10" s="34" t="s">
        <v>37</v>
      </c>
      <c r="G10" s="34" t="s">
        <v>37</v>
      </c>
      <c r="H10" s="42" t="s">
        <v>37</v>
      </c>
      <c r="I10" s="34" t="s">
        <v>10</v>
      </c>
      <c r="J10" s="34" t="s">
        <v>37</v>
      </c>
      <c r="K10" s="34" t="s">
        <v>37</v>
      </c>
      <c r="L10" s="34" t="s">
        <v>37</v>
      </c>
      <c r="M10" s="34" t="s">
        <v>37</v>
      </c>
      <c r="N10" s="34" t="s">
        <v>37</v>
      </c>
      <c r="O10" s="34" t="s">
        <v>463</v>
      </c>
    </row>
  </sheetData>
  <autoFilter ref="A6:P6" xr:uid="{00000000-0009-0000-0000-000013000000}"/>
  <conditionalFormatting sqref="C7:C1048576">
    <cfRule type="cellIs" dxfId="158" priority="9" operator="equal">
      <formula>"WIP (see comments)"</formula>
    </cfRule>
    <cfRule type="cellIs" dxfId="157" priority="10" operator="equal">
      <formula>"Removed"</formula>
    </cfRule>
    <cfRule type="cellIs" dxfId="156" priority="11" operator="equal">
      <formula>"Updated"</formula>
    </cfRule>
    <cfRule type="cellIs" dxfId="155" priority="12" operator="equal">
      <formula>"New"</formula>
    </cfRule>
  </conditionalFormatting>
  <conditionalFormatting sqref="P10:XFD10 A7:XFD7 D8:XFD8 A8:C10">
    <cfRule type="cellIs" dxfId="154" priority="4" operator="equal">
      <formula>"n/a"</formula>
    </cfRule>
  </conditionalFormatting>
  <conditionalFormatting sqref="D10:N10">
    <cfRule type="cellIs" dxfId="153" priority="3" operator="equal">
      <formula>"n/a"</formula>
    </cfRule>
  </conditionalFormatting>
  <conditionalFormatting sqref="D1:D2">
    <cfRule type="cellIs" dxfId="152" priority="2" operator="equal">
      <formula>"n/a"</formula>
    </cfRule>
  </conditionalFormatting>
  <conditionalFormatting sqref="E9:H9 J9:P9">
    <cfRule type="cellIs" dxfId="15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300-000000000000}">
          <x14:formula1>
            <xm:f>'List Values'!$B$5:$B$13</xm:f>
          </x14:formula1>
          <xm:sqref>C7:C1048576</xm:sqref>
        </x14:dataValidation>
        <x14:dataValidation type="list" allowBlank="1" showInputMessage="1" showErrorMessage="1" xr:uid="{00000000-0002-0000-1300-000001000000}">
          <x14:formula1>
            <xm:f>'List Values'!$A$5:$A$30</xm:f>
          </x14:formula1>
          <xm:sqref>E7:E1048576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100</v>
      </c>
      <c r="C1" s="27"/>
      <c r="D1" s="24" t="s">
        <v>245</v>
      </c>
      <c r="H1" s="30"/>
    </row>
    <row r="2" spans="1:16" s="25" customFormat="1" ht="18.5" x14ac:dyDescent="0.35">
      <c r="A2" s="23" t="s">
        <v>7</v>
      </c>
      <c r="B2" s="31">
        <v>14</v>
      </c>
      <c r="C2" s="30"/>
      <c r="D2" s="24"/>
      <c r="H2" s="30"/>
    </row>
    <row r="3" spans="1:16" s="25" customFormat="1" ht="18.5" x14ac:dyDescent="0.35">
      <c r="A3" s="23" t="s">
        <v>44</v>
      </c>
      <c r="B3" s="31" t="s">
        <v>274</v>
      </c>
      <c r="C3" s="30"/>
      <c r="D3" s="31"/>
      <c r="H3" s="30"/>
    </row>
    <row r="4" spans="1:16" s="25" customFormat="1" ht="18.5" x14ac:dyDescent="0.35">
      <c r="A4" s="23" t="s">
        <v>8</v>
      </c>
      <c r="B4" s="25" t="s">
        <v>47</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9" si="0">CONCATENATE($B$2, ".", A7)</f>
        <v>14.1</v>
      </c>
      <c r="C7" s="29" t="s">
        <v>41</v>
      </c>
      <c r="D7" s="34" t="s">
        <v>275</v>
      </c>
      <c r="E7" s="6" t="s">
        <v>29</v>
      </c>
      <c r="F7" s="6" t="s">
        <v>37</v>
      </c>
      <c r="G7" s="6" t="s">
        <v>37</v>
      </c>
      <c r="H7" s="29" t="s">
        <v>37</v>
      </c>
      <c r="I7" s="34" t="s">
        <v>10</v>
      </c>
      <c r="J7" s="5" t="s">
        <v>37</v>
      </c>
      <c r="K7" s="5" t="s">
        <v>37</v>
      </c>
      <c r="L7" s="5" t="s">
        <v>37</v>
      </c>
      <c r="M7" s="5" t="s">
        <v>37</v>
      </c>
      <c r="N7" s="5" t="s">
        <v>37</v>
      </c>
      <c r="O7" s="5" t="s">
        <v>37</v>
      </c>
      <c r="P7" s="6" t="s">
        <v>216</v>
      </c>
    </row>
    <row r="8" spans="1:16" x14ac:dyDescent="0.35">
      <c r="A8" s="6">
        <v>2</v>
      </c>
      <c r="B8" s="6" t="str">
        <f t="shared" si="0"/>
        <v>14.2</v>
      </c>
      <c r="C8" s="29" t="s">
        <v>41</v>
      </c>
      <c r="D8" s="34" t="s">
        <v>37</v>
      </c>
      <c r="E8" s="34" t="s">
        <v>48</v>
      </c>
      <c r="F8" s="6" t="s">
        <v>37</v>
      </c>
      <c r="G8" s="6" t="s">
        <v>37</v>
      </c>
      <c r="H8" s="29" t="s">
        <v>37</v>
      </c>
      <c r="I8" s="34" t="s">
        <v>10</v>
      </c>
      <c r="J8" s="5" t="s">
        <v>37</v>
      </c>
      <c r="K8" s="5" t="s">
        <v>37</v>
      </c>
      <c r="L8" s="5" t="s">
        <v>37</v>
      </c>
      <c r="M8" s="5" t="s">
        <v>37</v>
      </c>
      <c r="N8" s="5" t="s">
        <v>37</v>
      </c>
      <c r="O8" s="5" t="s">
        <v>37</v>
      </c>
    </row>
    <row r="9" spans="1:16" ht="43.5" x14ac:dyDescent="0.35">
      <c r="A9" s="6">
        <v>3</v>
      </c>
      <c r="B9" s="6" t="str">
        <f t="shared" si="0"/>
        <v>14.3</v>
      </c>
      <c r="C9" s="29" t="s">
        <v>41</v>
      </c>
      <c r="D9" s="34" t="s">
        <v>317</v>
      </c>
      <c r="E9" s="34" t="s">
        <v>36</v>
      </c>
      <c r="F9" s="6" t="s">
        <v>37</v>
      </c>
      <c r="G9" s="6" t="s">
        <v>37</v>
      </c>
      <c r="H9" s="29" t="s">
        <v>37</v>
      </c>
      <c r="I9" s="34" t="s">
        <v>10</v>
      </c>
      <c r="J9" s="6" t="s">
        <v>37</v>
      </c>
      <c r="K9" s="6" t="s">
        <v>37</v>
      </c>
      <c r="L9" s="6" t="s">
        <v>37</v>
      </c>
      <c r="M9" s="5" t="s">
        <v>37</v>
      </c>
      <c r="N9" s="5" t="s">
        <v>37</v>
      </c>
      <c r="O9" s="5" t="s">
        <v>37</v>
      </c>
    </row>
    <row r="10" spans="1:16" ht="29" x14ac:dyDescent="0.35">
      <c r="A10" s="6">
        <v>4</v>
      </c>
      <c r="B10" s="6" t="str">
        <f t="shared" ref="B10:B11" si="1">CONCATENATE($B$2, ".", A10)</f>
        <v>14.4</v>
      </c>
      <c r="C10" s="29" t="s">
        <v>41</v>
      </c>
      <c r="D10" s="6" t="s">
        <v>300</v>
      </c>
      <c r="E10" s="6" t="s">
        <v>105</v>
      </c>
      <c r="F10" s="6" t="s">
        <v>37</v>
      </c>
      <c r="G10" s="6" t="s">
        <v>37</v>
      </c>
      <c r="H10" s="29" t="s">
        <v>37</v>
      </c>
      <c r="I10" s="6" t="s">
        <v>10</v>
      </c>
      <c r="J10" s="6" t="s">
        <v>37</v>
      </c>
      <c r="K10" s="6" t="s">
        <v>37</v>
      </c>
      <c r="L10" s="6" t="s">
        <v>37</v>
      </c>
      <c r="M10" s="6" t="s">
        <v>37</v>
      </c>
      <c r="N10" s="6" t="s">
        <v>37</v>
      </c>
      <c r="O10" s="6" t="s">
        <v>301</v>
      </c>
      <c r="P10" s="6" t="s">
        <v>302</v>
      </c>
    </row>
    <row r="11" spans="1:16" ht="43.5" x14ac:dyDescent="0.35">
      <c r="A11" s="6">
        <v>7</v>
      </c>
      <c r="B11" s="6" t="str">
        <f t="shared" si="1"/>
        <v>14.7</v>
      </c>
      <c r="C11" s="29" t="s">
        <v>41</v>
      </c>
      <c r="D11" s="6" t="s">
        <v>309</v>
      </c>
      <c r="E11" s="34" t="s">
        <v>30</v>
      </c>
      <c r="F11" s="34" t="s">
        <v>59</v>
      </c>
      <c r="G11" s="34" t="s">
        <v>37</v>
      </c>
      <c r="H11" s="42" t="s">
        <v>37</v>
      </c>
      <c r="I11" s="34" t="s">
        <v>10</v>
      </c>
      <c r="J11" s="35" t="s">
        <v>97</v>
      </c>
      <c r="K11" s="35" t="s">
        <v>51</v>
      </c>
      <c r="L11" s="35" t="s">
        <v>98</v>
      </c>
      <c r="M11" s="35" t="s">
        <v>37</v>
      </c>
      <c r="N11" s="35" t="s">
        <v>37</v>
      </c>
      <c r="O11" s="35" t="s">
        <v>99</v>
      </c>
      <c r="P11" s="34" t="s">
        <v>260</v>
      </c>
    </row>
    <row r="12" spans="1:16" x14ac:dyDescent="0.35">
      <c r="A12" s="6">
        <v>8</v>
      </c>
      <c r="B12" s="6" t="str">
        <f>CONCATENATE($B$2, ".", A12)</f>
        <v>14.8</v>
      </c>
      <c r="C12" s="29" t="s">
        <v>41</v>
      </c>
      <c r="D12" s="34" t="s">
        <v>55</v>
      </c>
      <c r="E12" s="34" t="s">
        <v>43</v>
      </c>
      <c r="F12" s="34" t="s">
        <v>37</v>
      </c>
      <c r="G12" s="34" t="s">
        <v>37</v>
      </c>
      <c r="H12" s="42" t="s">
        <v>37</v>
      </c>
      <c r="I12" s="34" t="s">
        <v>10</v>
      </c>
      <c r="J12" s="34" t="s">
        <v>37</v>
      </c>
      <c r="K12" s="34" t="s">
        <v>37</v>
      </c>
      <c r="L12" s="34" t="s">
        <v>37</v>
      </c>
      <c r="M12" s="34" t="s">
        <v>37</v>
      </c>
      <c r="N12" s="34" t="s">
        <v>37</v>
      </c>
      <c r="O12" s="34" t="s">
        <v>196</v>
      </c>
    </row>
    <row r="13" spans="1:16" ht="29" x14ac:dyDescent="0.35">
      <c r="A13" s="6">
        <v>17</v>
      </c>
      <c r="B13" s="6" t="s">
        <v>313</v>
      </c>
      <c r="C13" s="29" t="s">
        <v>41</v>
      </c>
      <c r="D13" s="6" t="s">
        <v>314</v>
      </c>
      <c r="E13" s="6" t="s">
        <v>30</v>
      </c>
      <c r="F13" s="6" t="s">
        <v>59</v>
      </c>
      <c r="G13" s="6" t="s">
        <v>37</v>
      </c>
      <c r="H13" s="29" t="s">
        <v>37</v>
      </c>
      <c r="I13" s="6" t="s">
        <v>10</v>
      </c>
      <c r="J13" s="6" t="s">
        <v>97</v>
      </c>
      <c r="K13" s="6" t="s">
        <v>51</v>
      </c>
      <c r="L13" s="6" t="s">
        <v>315</v>
      </c>
      <c r="M13" s="6" t="s">
        <v>37</v>
      </c>
      <c r="N13" s="6" t="s">
        <v>37</v>
      </c>
      <c r="O13" s="6" t="s">
        <v>316</v>
      </c>
    </row>
  </sheetData>
  <autoFilter ref="A6:P6" xr:uid="{00000000-0009-0000-0000-000014000000}"/>
  <conditionalFormatting sqref="C14:C1048576">
    <cfRule type="cellIs" dxfId="150" priority="31" operator="equal">
      <formula>"WIP (see comments)"</formula>
    </cfRule>
    <cfRule type="cellIs" dxfId="149" priority="32" operator="equal">
      <formula>"Removed"</formula>
    </cfRule>
    <cfRule type="cellIs" dxfId="148" priority="33" operator="equal">
      <formula>"Updated"</formula>
    </cfRule>
    <cfRule type="cellIs" dxfId="147" priority="34" operator="equal">
      <formula>"New"</formula>
    </cfRule>
  </conditionalFormatting>
  <conditionalFormatting sqref="C7:C13">
    <cfRule type="cellIs" dxfId="146" priority="11" operator="equal">
      <formula>"WIP (see comments)"</formula>
    </cfRule>
    <cfRule type="cellIs" dxfId="145" priority="12" operator="equal">
      <formula>"Removed"</formula>
    </cfRule>
    <cfRule type="cellIs" dxfId="144" priority="13" operator="equal">
      <formula>"Updated"</formula>
    </cfRule>
    <cfRule type="cellIs" dxfId="143" priority="14" operator="equal">
      <formula>"New"</formula>
    </cfRule>
  </conditionalFormatting>
  <conditionalFormatting sqref="P12:XFD12 A7:XFD7 G9:I9 M9:XFD9 D9:E9 A8:B12 D8:XFD8 C8:C13">
    <cfRule type="cellIs" dxfId="142" priority="10" operator="equal">
      <formula>"n/a"</formula>
    </cfRule>
  </conditionalFormatting>
  <conditionalFormatting sqref="D12:N12">
    <cfRule type="cellIs" dxfId="141" priority="9" operator="equal">
      <formula>"n/a"</formula>
    </cfRule>
  </conditionalFormatting>
  <conditionalFormatting sqref="D1:D2">
    <cfRule type="cellIs" dxfId="140" priority="8" operator="equal">
      <formula>"n/a"</formula>
    </cfRule>
  </conditionalFormatting>
  <conditionalFormatting sqref="E11:P11">
    <cfRule type="cellIs" dxfId="1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0000000}">
          <x14:formula1>
            <xm:f>'List Values'!$A$5:$A$30</xm:f>
          </x14:formula1>
          <xm:sqref>E7:E1048576</xm:sqref>
        </x14:dataValidation>
        <x14:dataValidation type="list" allowBlank="1" showInputMessage="1" showErrorMessage="1" xr:uid="{00000000-0002-0000-1400-000001000000}">
          <x14:formula1>
            <xm:f>'List Values'!$B$5:$B$13</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499984740745262"/>
  </sheetPr>
  <dimension ref="A1:P21"/>
  <sheetViews>
    <sheetView workbookViewId="0">
      <pane xSplit="4" ySplit="6" topLeftCell="E10" activePane="bottomRight" state="frozen"/>
      <selection pane="topRight" activeCell="E1" sqref="E1"/>
      <selection pane="bottomLeft" activeCell="A7" sqref="A7"/>
      <selection pane="bottomRight" activeCell="G11" sqref="G11"/>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101</v>
      </c>
      <c r="C1" s="27"/>
      <c r="D1" s="24" t="s">
        <v>332</v>
      </c>
      <c r="H1" s="30"/>
    </row>
    <row r="2" spans="1:16" s="25" customFormat="1" ht="18.5" x14ac:dyDescent="0.35">
      <c r="A2" s="23" t="s">
        <v>7</v>
      </c>
      <c r="B2" s="31"/>
      <c r="C2" s="30"/>
      <c r="D2" s="31"/>
      <c r="H2" s="30"/>
    </row>
    <row r="3" spans="1:16" s="25" customFormat="1" ht="18.5" x14ac:dyDescent="0.35">
      <c r="A3" s="23" t="s">
        <v>44</v>
      </c>
      <c r="B3" s="31" t="s">
        <v>294</v>
      </c>
      <c r="C3" s="30"/>
      <c r="D3" s="31"/>
      <c r="H3" s="30"/>
    </row>
    <row r="4" spans="1:16" s="25" customFormat="1" ht="18.5" x14ac:dyDescent="0.35">
      <c r="A4" s="23" t="s">
        <v>8</v>
      </c>
      <c r="B4" s="25" t="s">
        <v>47</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.1</v>
      </c>
      <c r="C7" s="42" t="s">
        <v>41</v>
      </c>
      <c r="D7" s="34" t="s">
        <v>303</v>
      </c>
      <c r="E7" s="34" t="s">
        <v>29</v>
      </c>
      <c r="F7" s="34" t="s">
        <v>37</v>
      </c>
      <c r="G7" s="34" t="s">
        <v>37</v>
      </c>
      <c r="H7" s="29" t="s">
        <v>37</v>
      </c>
      <c r="I7" s="34" t="s">
        <v>10</v>
      </c>
      <c r="J7" s="5" t="s">
        <v>37</v>
      </c>
      <c r="K7" s="5" t="s">
        <v>37</v>
      </c>
      <c r="L7" s="5" t="s">
        <v>37</v>
      </c>
      <c r="M7" s="5" t="s">
        <v>37</v>
      </c>
      <c r="N7" s="5" t="s">
        <v>37</v>
      </c>
      <c r="O7" s="5" t="s">
        <v>37</v>
      </c>
      <c r="P7" s="6" t="s">
        <v>216</v>
      </c>
    </row>
    <row r="8" spans="1:16" x14ac:dyDescent="0.35">
      <c r="A8" s="6">
        <v>2</v>
      </c>
      <c r="B8" s="6" t="str">
        <f t="shared" si="0"/>
        <v>.2</v>
      </c>
      <c r="C8" s="42" t="s">
        <v>41</v>
      </c>
      <c r="D8" s="34" t="s">
        <v>37</v>
      </c>
      <c r="E8" s="34" t="s">
        <v>48</v>
      </c>
      <c r="F8" s="34" t="s">
        <v>37</v>
      </c>
      <c r="G8" s="34" t="s">
        <v>37</v>
      </c>
      <c r="H8" s="29" t="s">
        <v>37</v>
      </c>
      <c r="I8" s="34" t="s">
        <v>10</v>
      </c>
      <c r="J8" s="5" t="s">
        <v>37</v>
      </c>
      <c r="K8" s="5" t="s">
        <v>37</v>
      </c>
      <c r="L8" s="5" t="s">
        <v>37</v>
      </c>
      <c r="M8" s="5" t="s">
        <v>37</v>
      </c>
      <c r="N8" s="5" t="s">
        <v>37</v>
      </c>
      <c r="O8" s="5" t="s">
        <v>37</v>
      </c>
    </row>
    <row r="9" spans="1:16" s="34" customFormat="1" ht="144.75" customHeight="1" x14ac:dyDescent="0.35">
      <c r="A9" s="34">
        <v>3</v>
      </c>
      <c r="B9" s="34" t="str">
        <f t="shared" si="0"/>
        <v>.3</v>
      </c>
      <c r="C9" s="42" t="s">
        <v>41</v>
      </c>
      <c r="D9" s="34" t="s">
        <v>128</v>
      </c>
      <c r="E9" s="34" t="s">
        <v>35</v>
      </c>
      <c r="F9" s="34" t="s">
        <v>181</v>
      </c>
      <c r="G9" s="34" t="s">
        <v>308</v>
      </c>
      <c r="H9" s="42" t="s">
        <v>37</v>
      </c>
      <c r="I9" s="34" t="s">
        <v>10</v>
      </c>
      <c r="J9" s="35" t="s">
        <v>92</v>
      </c>
      <c r="K9" s="35" t="s">
        <v>51</v>
      </c>
      <c r="L9" s="35" t="s">
        <v>91</v>
      </c>
      <c r="M9" s="35" t="s">
        <v>37</v>
      </c>
      <c r="N9" s="35" t="s">
        <v>37</v>
      </c>
      <c r="O9" s="35" t="s">
        <v>37</v>
      </c>
      <c r="P9" s="34" t="s">
        <v>333</v>
      </c>
    </row>
    <row r="10" spans="1:16" s="34" customFormat="1" ht="185.25" customHeight="1" x14ac:dyDescent="0.35">
      <c r="A10" s="34">
        <v>4</v>
      </c>
      <c r="B10" s="34" t="str">
        <f t="shared" si="0"/>
        <v>.4</v>
      </c>
      <c r="C10" s="42" t="s">
        <v>41</v>
      </c>
      <c r="D10" s="34" t="s">
        <v>129</v>
      </c>
      <c r="E10" s="34" t="s">
        <v>33</v>
      </c>
      <c r="F10" s="34" t="s">
        <v>49</v>
      </c>
      <c r="G10" s="34" t="s">
        <v>37</v>
      </c>
      <c r="H10" s="42">
        <v>30</v>
      </c>
      <c r="I10" s="34" t="s">
        <v>142</v>
      </c>
      <c r="J10" s="35" t="s">
        <v>92</v>
      </c>
      <c r="K10" s="35" t="s">
        <v>51</v>
      </c>
      <c r="L10" s="35" t="s">
        <v>130</v>
      </c>
      <c r="M10" s="35" t="s">
        <v>37</v>
      </c>
      <c r="N10" s="35" t="s">
        <v>37</v>
      </c>
      <c r="O10" s="34" t="s">
        <v>93</v>
      </c>
    </row>
    <row r="11" spans="1:16" ht="119.25" customHeight="1" x14ac:dyDescent="0.35">
      <c r="A11" s="6">
        <v>5</v>
      </c>
      <c r="B11" s="6" t="str">
        <f t="shared" si="0"/>
        <v>.5</v>
      </c>
      <c r="C11" s="42" t="s">
        <v>41</v>
      </c>
      <c r="D11" s="34" t="s">
        <v>131</v>
      </c>
      <c r="E11" s="34" t="s">
        <v>32</v>
      </c>
      <c r="F11" s="6" t="s">
        <v>57</v>
      </c>
      <c r="G11" s="6" t="s">
        <v>481</v>
      </c>
      <c r="H11" s="29" t="s">
        <v>37</v>
      </c>
      <c r="I11" s="34" t="s">
        <v>102</v>
      </c>
      <c r="J11" s="5" t="s">
        <v>103</v>
      </c>
      <c r="K11" s="5" t="s">
        <v>51</v>
      </c>
      <c r="L11" s="5" t="s">
        <v>37</v>
      </c>
      <c r="M11" s="5" t="s">
        <v>37</v>
      </c>
      <c r="N11" s="5" t="s">
        <v>37</v>
      </c>
      <c r="O11" s="5"/>
    </row>
    <row r="12" spans="1:16" x14ac:dyDescent="0.35">
      <c r="A12" s="6">
        <v>6</v>
      </c>
      <c r="B12" s="6" t="str">
        <f>CONCATENATE($B$2, ".", A12)</f>
        <v>.6</v>
      </c>
      <c r="C12" s="42" t="s">
        <v>41</v>
      </c>
      <c r="D12" s="6" t="s">
        <v>55</v>
      </c>
      <c r="E12" s="6" t="s">
        <v>43</v>
      </c>
      <c r="F12" s="6" t="s">
        <v>37</v>
      </c>
      <c r="G12" s="6" t="s">
        <v>37</v>
      </c>
      <c r="H12" s="29" t="s">
        <v>37</v>
      </c>
      <c r="I12" s="6" t="s">
        <v>10</v>
      </c>
      <c r="J12" s="6" t="s">
        <v>37</v>
      </c>
      <c r="K12" s="6" t="s">
        <v>37</v>
      </c>
      <c r="L12" s="6" t="s">
        <v>37</v>
      </c>
      <c r="M12" s="6" t="s">
        <v>37</v>
      </c>
      <c r="N12" s="6" t="s">
        <v>37</v>
      </c>
      <c r="O12" s="6" t="s">
        <v>194</v>
      </c>
    </row>
    <row r="13" spans="1:16" x14ac:dyDescent="0.35">
      <c r="A13" s="6">
        <v>7</v>
      </c>
      <c r="B13" s="6" t="str">
        <f t="shared" ref="B13" si="1">CONCATENATE($B$2, ".", A13)</f>
        <v>.7</v>
      </c>
      <c r="C13" s="42" t="s">
        <v>41</v>
      </c>
      <c r="D13" s="6" t="s">
        <v>54</v>
      </c>
      <c r="E13" s="6" t="s">
        <v>43</v>
      </c>
      <c r="F13" s="6" t="s">
        <v>37</v>
      </c>
      <c r="G13" s="6" t="s">
        <v>37</v>
      </c>
      <c r="H13" s="29" t="s">
        <v>37</v>
      </c>
      <c r="I13" s="6" t="s">
        <v>10</v>
      </c>
      <c r="J13" s="6" t="s">
        <v>37</v>
      </c>
      <c r="K13" s="6" t="s">
        <v>37</v>
      </c>
      <c r="L13" s="6" t="s">
        <v>37</v>
      </c>
      <c r="M13" s="6" t="s">
        <v>37</v>
      </c>
      <c r="N13" s="6" t="s">
        <v>37</v>
      </c>
      <c r="O13" s="72" t="s">
        <v>195</v>
      </c>
    </row>
    <row r="14" spans="1:16" x14ac:dyDescent="0.35">
      <c r="I14" s="34"/>
      <c r="J14" s="5"/>
      <c r="K14" s="5"/>
      <c r="L14" s="35"/>
      <c r="M14" s="35"/>
      <c r="N14" s="35"/>
      <c r="O14" s="35"/>
    </row>
    <row r="15" spans="1:16" x14ac:dyDescent="0.35">
      <c r="D15" s="6" t="s">
        <v>68</v>
      </c>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row r="21" spans="9:15" x14ac:dyDescent="0.35">
      <c r="I21" s="34"/>
      <c r="J21" s="5"/>
      <c r="K21" s="5"/>
      <c r="L21" s="35"/>
      <c r="M21" s="35"/>
      <c r="N21" s="35"/>
      <c r="O21" s="35"/>
    </row>
  </sheetData>
  <autoFilter ref="A6:P13" xr:uid="{00000000-0009-0000-0000-000015000000}"/>
  <conditionalFormatting sqref="C7:C1048576">
    <cfRule type="cellIs" dxfId="138" priority="19" operator="equal">
      <formula>"WIP (see comments)"</formula>
    </cfRule>
    <cfRule type="cellIs" dxfId="137" priority="20" operator="equal">
      <formula>"Removed"</formula>
    </cfRule>
    <cfRule type="cellIs" dxfId="136" priority="21" operator="equal">
      <formula>"Updated"</formula>
    </cfRule>
    <cfRule type="cellIs" dxfId="135" priority="22" operator="equal">
      <formula>"New"</formula>
    </cfRule>
  </conditionalFormatting>
  <conditionalFormatting sqref="A9:B10 D9:XFD10">
    <cfRule type="cellIs" dxfId="134" priority="2" operator="equal">
      <formula>"n/a"</formula>
    </cfRule>
  </conditionalFormatting>
  <conditionalFormatting sqref="D1">
    <cfRule type="cellIs" dxfId="13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500-000000000000}">
          <x14:formula1>
            <xm:f>'List Values'!$A$5:$A$30</xm:f>
          </x14:formula1>
          <xm:sqref>E7:E1048576</xm:sqref>
        </x14:dataValidation>
        <x14:dataValidation type="list" allowBlank="1" showInputMessage="1" showErrorMessage="1" xr:uid="{00000000-0002-0000-1500-000001000000}">
          <x14:formula1>
            <xm:f>'List Values'!$B$5:$B$12</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2"/>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5" customWidth="1"/>
    <col min="2" max="2" width="12.54296875" style="5" customWidth="1"/>
    <col min="3" max="3" width="14.26953125"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117</v>
      </c>
      <c r="C1" s="27"/>
      <c r="D1" s="24"/>
      <c r="H1" s="30"/>
    </row>
    <row r="2" spans="1:16" s="25" customFormat="1" ht="18.5" x14ac:dyDescent="0.35">
      <c r="A2" s="23" t="s">
        <v>7</v>
      </c>
      <c r="B2" s="31" t="s">
        <v>134</v>
      </c>
      <c r="C2" s="30"/>
      <c r="D2" s="31"/>
      <c r="H2" s="30"/>
    </row>
    <row r="3" spans="1:16" s="25" customFormat="1" ht="18.5" x14ac:dyDescent="0.35">
      <c r="A3" s="23" t="s">
        <v>44</v>
      </c>
      <c r="B3" s="31" t="s">
        <v>276</v>
      </c>
      <c r="C3" s="30"/>
      <c r="D3" s="31" t="s">
        <v>414</v>
      </c>
      <c r="H3" s="30"/>
    </row>
    <row r="4" spans="1:16" s="25" customFormat="1" ht="18.5" x14ac:dyDescent="0.35">
      <c r="A4" s="23" t="s">
        <v>8</v>
      </c>
      <c r="B4" s="25" t="s">
        <v>415</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A.1</v>
      </c>
      <c r="C7" s="46" t="s">
        <v>40</v>
      </c>
      <c r="D7" s="5" t="s">
        <v>37</v>
      </c>
      <c r="E7" s="35" t="s">
        <v>115</v>
      </c>
      <c r="F7" s="5" t="s">
        <v>37</v>
      </c>
      <c r="G7" s="5" t="s">
        <v>37</v>
      </c>
      <c r="H7" s="37" t="s">
        <v>37</v>
      </c>
      <c r="I7" s="35" t="s">
        <v>10</v>
      </c>
      <c r="J7" s="5" t="s">
        <v>37</v>
      </c>
      <c r="K7" s="5" t="s">
        <v>37</v>
      </c>
      <c r="L7" s="5" t="s">
        <v>37</v>
      </c>
      <c r="M7" s="5" t="s">
        <v>37</v>
      </c>
      <c r="N7" s="5" t="s">
        <v>37</v>
      </c>
      <c r="O7" s="5" t="s">
        <v>335</v>
      </c>
      <c r="P7" s="5" t="s">
        <v>336</v>
      </c>
    </row>
    <row r="8" spans="1:16" x14ac:dyDescent="0.35">
      <c r="A8" s="5">
        <v>2</v>
      </c>
      <c r="B8" s="5" t="str">
        <f t="shared" ref="B8:B10" si="0">CONCATENATE($B$2, ".", A8)</f>
        <v>A.2</v>
      </c>
      <c r="C8" s="37" t="s">
        <v>38</v>
      </c>
      <c r="D8" s="35" t="s">
        <v>523</v>
      </c>
      <c r="E8" s="35" t="s">
        <v>116</v>
      </c>
      <c r="F8" s="5" t="s">
        <v>37</v>
      </c>
      <c r="G8" s="5" t="s">
        <v>37</v>
      </c>
      <c r="H8" s="37" t="s">
        <v>37</v>
      </c>
      <c r="I8" s="35" t="s">
        <v>10</v>
      </c>
      <c r="J8" s="5" t="s">
        <v>37</v>
      </c>
      <c r="K8" s="5" t="s">
        <v>37</v>
      </c>
      <c r="L8" s="5" t="s">
        <v>37</v>
      </c>
      <c r="M8" s="5" t="s">
        <v>37</v>
      </c>
      <c r="N8" s="5" t="s">
        <v>37</v>
      </c>
    </row>
    <row r="9" spans="1:16" x14ac:dyDescent="0.35">
      <c r="A9" s="5">
        <v>3</v>
      </c>
      <c r="B9" s="5" t="str">
        <f t="shared" si="0"/>
        <v>A.3</v>
      </c>
      <c r="C9" s="46" t="s">
        <v>40</v>
      </c>
      <c r="D9" s="40" t="s">
        <v>126</v>
      </c>
      <c r="E9" s="35" t="s">
        <v>34</v>
      </c>
      <c r="F9" s="5" t="s">
        <v>37</v>
      </c>
      <c r="G9" s="5" t="s">
        <v>37</v>
      </c>
      <c r="H9" s="37" t="s">
        <v>37</v>
      </c>
      <c r="I9" s="35" t="s">
        <v>10</v>
      </c>
      <c r="J9" s="5" t="s">
        <v>37</v>
      </c>
      <c r="K9" s="5" t="s">
        <v>37</v>
      </c>
      <c r="L9" s="5" t="s">
        <v>37</v>
      </c>
      <c r="M9" s="5" t="s">
        <v>37</v>
      </c>
      <c r="N9" s="5" t="s">
        <v>37</v>
      </c>
    </row>
    <row r="10" spans="1:16" ht="81" customHeight="1" x14ac:dyDescent="0.35">
      <c r="A10" s="5">
        <v>4</v>
      </c>
      <c r="B10" s="5" t="str">
        <f t="shared" si="0"/>
        <v>A.4</v>
      </c>
      <c r="C10" s="46" t="s">
        <v>38</v>
      </c>
      <c r="D10" s="43" t="s">
        <v>524</v>
      </c>
      <c r="E10" s="35" t="s">
        <v>105</v>
      </c>
      <c r="F10" s="5" t="s">
        <v>37</v>
      </c>
      <c r="G10" s="5" t="s">
        <v>37</v>
      </c>
      <c r="H10" s="37" t="s">
        <v>37</v>
      </c>
      <c r="I10" s="35" t="s">
        <v>10</v>
      </c>
      <c r="J10" s="5" t="s">
        <v>37</v>
      </c>
      <c r="K10" s="5" t="s">
        <v>37</v>
      </c>
      <c r="L10" s="5" t="s">
        <v>37</v>
      </c>
      <c r="M10" s="5" t="s">
        <v>37</v>
      </c>
      <c r="N10" s="5" t="s">
        <v>37</v>
      </c>
      <c r="O10" s="5" t="s">
        <v>416</v>
      </c>
      <c r="P10" s="5" t="s">
        <v>363</v>
      </c>
    </row>
    <row r="11" spans="1:16" x14ac:dyDescent="0.35">
      <c r="I11" s="35"/>
      <c r="L11" s="35"/>
      <c r="M11" s="35"/>
      <c r="N11" s="35"/>
      <c r="O11" s="35"/>
    </row>
    <row r="12" spans="1:16" x14ac:dyDescent="0.35">
      <c r="I12" s="35"/>
      <c r="L12" s="35"/>
      <c r="M12" s="35"/>
      <c r="N12" s="35"/>
      <c r="O12" s="35"/>
    </row>
  </sheetData>
  <autoFilter ref="A6:P9" xr:uid="{00000000-0009-0000-0000-000016000000}"/>
  <conditionalFormatting sqref="C7:C1048576">
    <cfRule type="cellIs" dxfId="132" priority="7" operator="equal">
      <formula>"WIP (see comments)"</formula>
    </cfRule>
    <cfRule type="cellIs" dxfId="131" priority="8" operator="equal">
      <formula>"Removed"</formula>
    </cfRule>
    <cfRule type="cellIs" dxfId="130" priority="9" operator="equal">
      <formula>"Updated"</formula>
    </cfRule>
    <cfRule type="cellIs" dxfId="129" priority="10" operator="equal">
      <formula>"New"</formula>
    </cfRule>
  </conditionalFormatting>
  <conditionalFormatting sqref="D9">
    <cfRule type="cellIs" dxfId="128" priority="6" operator="equal">
      <formula>"-"</formula>
    </cfRule>
  </conditionalFormatting>
  <conditionalFormatting sqref="A2:XFD6 E7:XFD7 A8:XFD9 A7:C7 A1:C1 E1:XFD1 A11:XFD1048576 A10:C10 E10:XFD10">
    <cfRule type="cellIs" dxfId="127" priority="5" operator="equal">
      <formula>"n/a"</formula>
    </cfRule>
  </conditionalFormatting>
  <conditionalFormatting sqref="D7">
    <cfRule type="cellIs" dxfId="126" priority="4" operator="equal">
      <formula>"-"</formula>
    </cfRule>
  </conditionalFormatting>
  <conditionalFormatting sqref="D7">
    <cfRule type="cellIs" dxfId="125" priority="3" operator="equal">
      <formula>"n/a"</formula>
    </cfRule>
  </conditionalFormatting>
  <conditionalFormatting sqref="D1">
    <cfRule type="cellIs" dxfId="124" priority="2" operator="equal">
      <formula>"n/a"</formula>
    </cfRule>
  </conditionalFormatting>
  <conditionalFormatting sqref="D10">
    <cfRule type="cellIs" dxfId="123" priority="1" operator="equal">
      <formula>"n/a"</formula>
    </cfRule>
  </conditionalFormatting>
  <dataValidations count="1">
    <dataValidation type="list" allowBlank="1" showInputMessage="1" showErrorMessage="1" sqref="E7:E9" xr:uid="{00000000-0002-0000-16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1000000}">
          <x14:formula1>
            <xm:f>'List Values'!$B$5:$B$14</xm:f>
          </x14:formula1>
          <xm:sqref>C7:C1048576</xm:sqref>
        </x14:dataValidation>
        <x14:dataValidation type="list" allowBlank="1" showInputMessage="1" showErrorMessage="1" xr:uid="{00000000-0002-0000-1600-000002000000}">
          <x14:formula1>
            <xm:f>'List Values'!$A$5:$A$30</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499984740745262"/>
  </sheetPr>
  <dimension ref="A1:P11"/>
  <sheetViews>
    <sheetView workbookViewId="0">
      <pane xSplit="4" ySplit="6" topLeftCell="E7" activePane="bottomRight" state="frozen"/>
      <selection pane="topRight" activeCell="E1" sqref="E1"/>
      <selection pane="bottomLeft" activeCell="A7" sqref="A7"/>
      <selection pane="bottomRight" activeCell="E16" sqref="E16"/>
    </sheetView>
  </sheetViews>
  <sheetFormatPr defaultColWidth="9.1796875" defaultRowHeight="14.5" x14ac:dyDescent="0.35"/>
  <cols>
    <col min="1" max="1" width="14.7265625" style="5" customWidth="1"/>
    <col min="2" max="2" width="12.54296875" style="5" customWidth="1"/>
    <col min="3" max="3" width="15.81640625"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118</v>
      </c>
      <c r="C1" s="27"/>
      <c r="D1" s="24" t="s">
        <v>429</v>
      </c>
      <c r="H1" s="30"/>
    </row>
    <row r="2" spans="1:16" s="25" customFormat="1" ht="18.5" x14ac:dyDescent="0.35">
      <c r="A2" s="23" t="s">
        <v>7</v>
      </c>
      <c r="B2" s="31" t="s">
        <v>135</v>
      </c>
      <c r="C2" s="30"/>
      <c r="D2" s="31"/>
      <c r="H2" s="30"/>
    </row>
    <row r="3" spans="1:16" s="25" customFormat="1" ht="18.5" x14ac:dyDescent="0.35">
      <c r="A3" s="23" t="s">
        <v>44</v>
      </c>
      <c r="B3" s="31" t="s">
        <v>277</v>
      </c>
      <c r="C3" s="30"/>
      <c r="D3" s="58"/>
      <c r="H3" s="30"/>
    </row>
    <row r="4" spans="1:16" s="25" customFormat="1" ht="18.5" x14ac:dyDescent="0.35">
      <c r="A4" s="23" t="s">
        <v>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B.1</v>
      </c>
      <c r="C7" s="46" t="s">
        <v>41</v>
      </c>
      <c r="D7" s="5" t="s">
        <v>37</v>
      </c>
      <c r="E7" s="35" t="s">
        <v>115</v>
      </c>
      <c r="F7" s="5" t="s">
        <v>37</v>
      </c>
      <c r="G7" s="5" t="s">
        <v>37</v>
      </c>
      <c r="H7" s="37" t="s">
        <v>37</v>
      </c>
      <c r="I7" s="35" t="s">
        <v>10</v>
      </c>
      <c r="J7" s="5" t="s">
        <v>37</v>
      </c>
      <c r="K7" s="5" t="s">
        <v>37</v>
      </c>
      <c r="L7" s="5" t="s">
        <v>37</v>
      </c>
      <c r="M7" s="5" t="s">
        <v>37</v>
      </c>
      <c r="N7" s="5" t="s">
        <v>37</v>
      </c>
      <c r="O7" s="5" t="s">
        <v>337</v>
      </c>
      <c r="P7" s="5" t="s">
        <v>336</v>
      </c>
    </row>
    <row r="8" spans="1:16" x14ac:dyDescent="0.35">
      <c r="A8" s="5">
        <v>2</v>
      </c>
      <c r="B8" s="5" t="str">
        <f t="shared" ref="B8:B9" si="0">CONCATENATE($B$2, ".", A8)</f>
        <v>B.2</v>
      </c>
      <c r="C8" s="82" t="s">
        <v>41</v>
      </c>
      <c r="D8" s="35" t="s">
        <v>127</v>
      </c>
      <c r="E8" s="35" t="s">
        <v>116</v>
      </c>
      <c r="F8" s="5" t="s">
        <v>37</v>
      </c>
      <c r="G8" s="5" t="s">
        <v>37</v>
      </c>
      <c r="H8" s="37" t="s">
        <v>37</v>
      </c>
      <c r="I8" s="35" t="s">
        <v>10</v>
      </c>
      <c r="J8" s="5" t="s">
        <v>37</v>
      </c>
      <c r="K8" s="5" t="s">
        <v>37</v>
      </c>
      <c r="L8" s="5" t="s">
        <v>37</v>
      </c>
      <c r="M8" s="5" t="s">
        <v>37</v>
      </c>
      <c r="N8" s="5" t="s">
        <v>37</v>
      </c>
    </row>
    <row r="9" spans="1:16" ht="71.25" customHeight="1" x14ac:dyDescent="0.35">
      <c r="A9" s="5">
        <v>3</v>
      </c>
      <c r="B9" s="5" t="str">
        <f t="shared" si="0"/>
        <v>B.3</v>
      </c>
      <c r="C9" s="82" t="s">
        <v>41</v>
      </c>
      <c r="D9" s="43" t="s">
        <v>417</v>
      </c>
      <c r="E9" s="35" t="s">
        <v>105</v>
      </c>
      <c r="F9" s="5" t="s">
        <v>37</v>
      </c>
      <c r="G9" s="5" t="s">
        <v>37</v>
      </c>
      <c r="H9" s="37" t="s">
        <v>37</v>
      </c>
      <c r="I9" s="35" t="s">
        <v>10</v>
      </c>
      <c r="J9" s="5" t="s">
        <v>37</v>
      </c>
      <c r="K9" s="5" t="s">
        <v>37</v>
      </c>
      <c r="L9" s="5" t="s">
        <v>37</v>
      </c>
      <c r="M9" s="5" t="s">
        <v>37</v>
      </c>
      <c r="N9" s="5" t="s">
        <v>37</v>
      </c>
      <c r="O9" s="5" t="s">
        <v>418</v>
      </c>
    </row>
    <row r="10" spans="1:16" x14ac:dyDescent="0.35">
      <c r="I10" s="35"/>
      <c r="L10" s="35"/>
      <c r="M10" s="35"/>
      <c r="N10" s="35"/>
      <c r="O10" s="35"/>
    </row>
    <row r="11" spans="1:16" x14ac:dyDescent="0.35">
      <c r="I11" s="35"/>
      <c r="L11" s="35"/>
      <c r="M11" s="35"/>
      <c r="N11" s="35"/>
      <c r="O11" s="35"/>
    </row>
  </sheetData>
  <autoFilter ref="A6:P9" xr:uid="{00000000-0009-0000-0000-000017000000}"/>
  <conditionalFormatting sqref="C7:C1048576">
    <cfRule type="cellIs" dxfId="122" priority="10" operator="equal">
      <formula>"WIP (see comments)"</formula>
    </cfRule>
    <cfRule type="cellIs" dxfId="121" priority="11" operator="equal">
      <formula>"Removed"</formula>
    </cfRule>
    <cfRule type="cellIs" dxfId="120" priority="12" operator="equal">
      <formula>"Updated"</formula>
    </cfRule>
    <cfRule type="cellIs" dxfId="119" priority="13" operator="equal">
      <formula>"New"</formula>
    </cfRule>
  </conditionalFormatting>
  <conditionalFormatting sqref="A12:XFD1048576 A11:C11 E11:XFD11 P9:XFD9 A10:XFD10 A2:XFD2 Q7:XFD7 E7:O7 A8:XFD8 A9:C9 A7:C7 A1:C1 E1:XFD1 E9:N9 A4:XFD6 A3:C3 E3:XFD3 C8:C9">
    <cfRule type="cellIs" dxfId="118" priority="8" operator="equal">
      <formula>"n/a"</formula>
    </cfRule>
  </conditionalFormatting>
  <conditionalFormatting sqref="O9">
    <cfRule type="cellIs" dxfId="117" priority="7" operator="equal">
      <formula>"n/a"</formula>
    </cfRule>
  </conditionalFormatting>
  <conditionalFormatting sqref="P7">
    <cfRule type="cellIs" dxfId="116" priority="6" operator="equal">
      <formula>"n/a"</formula>
    </cfRule>
  </conditionalFormatting>
  <conditionalFormatting sqref="D7">
    <cfRule type="cellIs" dxfId="115" priority="5" operator="equal">
      <formula>"-"</formula>
    </cfRule>
  </conditionalFormatting>
  <conditionalFormatting sqref="D7">
    <cfRule type="cellIs" dxfId="114" priority="4" operator="equal">
      <formula>"n/a"</formula>
    </cfRule>
  </conditionalFormatting>
  <conditionalFormatting sqref="D1">
    <cfRule type="cellIs" dxfId="113" priority="3" operator="equal">
      <formula>"n/a"</formula>
    </cfRule>
  </conditionalFormatting>
  <conditionalFormatting sqref="D9">
    <cfRule type="cellIs" dxfId="112" priority="2" operator="equal">
      <formula>"n/a"</formula>
    </cfRule>
  </conditionalFormatting>
  <conditionalFormatting sqref="D3">
    <cfRule type="cellIs" dxfId="111" priority="1" operator="equal">
      <formula>"n/a"</formula>
    </cfRule>
  </conditionalFormatting>
  <dataValidations count="1">
    <dataValidation type="list" allowBlank="1" showInputMessage="1" showErrorMessage="1" sqref="E7:E8" xr:uid="{00000000-0002-0000-17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1000000}">
          <x14:formula1>
            <xm:f>'List Values'!$A$5:$A$30</xm:f>
          </x14:formula1>
          <xm:sqref>E9:E1048576</xm:sqref>
        </x14:dataValidation>
        <x14:dataValidation type="list" allowBlank="1" showInputMessage="1" showErrorMessage="1" xr:uid="{00000000-0002-0000-1700-000002000000}">
          <x14:formula1>
            <xm:f>'List Values'!$B$5:$B$14</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499984740745262"/>
  </sheetPr>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119</v>
      </c>
      <c r="C1" s="27"/>
      <c r="D1" s="24" t="s">
        <v>537</v>
      </c>
      <c r="H1" s="30"/>
    </row>
    <row r="2" spans="1:16" s="25" customFormat="1" ht="18.5" x14ac:dyDescent="0.35">
      <c r="A2" s="23" t="s">
        <v>7</v>
      </c>
      <c r="B2" s="31" t="s">
        <v>136</v>
      </c>
      <c r="C2" s="30"/>
      <c r="D2" s="31"/>
      <c r="H2" s="30"/>
    </row>
    <row r="3" spans="1:16" s="25" customFormat="1" ht="18.5" x14ac:dyDescent="0.35">
      <c r="A3" s="23" t="s">
        <v>44</v>
      </c>
      <c r="B3" s="31" t="s">
        <v>280</v>
      </c>
      <c r="C3" s="30"/>
      <c r="D3" s="75"/>
      <c r="H3" s="30"/>
    </row>
    <row r="4" spans="1:16" s="25" customFormat="1" ht="18.5" x14ac:dyDescent="0.35">
      <c r="A4" s="23" t="s">
        <v>8</v>
      </c>
      <c r="B4" s="25" t="s">
        <v>223</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C.1</v>
      </c>
      <c r="C7" s="46" t="s">
        <v>41</v>
      </c>
      <c r="D7" s="5" t="s">
        <v>37</v>
      </c>
      <c r="E7" s="35" t="s">
        <v>115</v>
      </c>
      <c r="I7" s="35"/>
    </row>
    <row r="8" spans="1:16" x14ac:dyDescent="0.35">
      <c r="A8" s="5">
        <v>2</v>
      </c>
      <c r="B8" s="5" t="str">
        <f t="shared" ref="B8:B10" si="0">CONCATENATE($B$2, ".", A8)</f>
        <v>C.2</v>
      </c>
      <c r="C8" s="93" t="s">
        <v>41</v>
      </c>
      <c r="D8" s="35" t="s">
        <v>525</v>
      </c>
      <c r="E8" s="35" t="s">
        <v>116</v>
      </c>
      <c r="I8" s="35"/>
    </row>
    <row r="9" spans="1:16" ht="29" x14ac:dyDescent="0.35">
      <c r="A9" s="5">
        <v>3</v>
      </c>
      <c r="B9" s="5" t="str">
        <f t="shared" si="0"/>
        <v>C.3</v>
      </c>
      <c r="C9" s="93" t="s">
        <v>41</v>
      </c>
      <c r="D9" s="5" t="s">
        <v>278</v>
      </c>
      <c r="E9" s="35" t="s">
        <v>34</v>
      </c>
      <c r="I9" s="35"/>
    </row>
    <row r="10" spans="1:16" ht="54" customHeight="1" x14ac:dyDescent="0.35">
      <c r="A10" s="5">
        <v>4</v>
      </c>
      <c r="B10" s="5" t="str">
        <f t="shared" si="0"/>
        <v>C.4</v>
      </c>
      <c r="C10" s="93" t="s">
        <v>41</v>
      </c>
      <c r="D10" s="5" t="s">
        <v>279</v>
      </c>
      <c r="E10" s="35" t="s">
        <v>34</v>
      </c>
      <c r="I10" s="35"/>
    </row>
    <row r="11" spans="1:16" x14ac:dyDescent="0.35">
      <c r="I11" s="35"/>
      <c r="L11" s="35"/>
      <c r="M11" s="35"/>
      <c r="N11" s="35"/>
      <c r="O11" s="35"/>
    </row>
    <row r="12" spans="1:16" x14ac:dyDescent="0.35">
      <c r="I12" s="35"/>
      <c r="L12" s="35"/>
      <c r="M12" s="35"/>
      <c r="N12" s="35"/>
      <c r="O12" s="35"/>
    </row>
  </sheetData>
  <autoFilter ref="A6:P9" xr:uid="{00000000-0009-0000-0000-000018000000}"/>
  <conditionalFormatting sqref="C7:C1048576">
    <cfRule type="cellIs" dxfId="110" priority="6" operator="equal">
      <formula>"WIP (see comments)"</formula>
    </cfRule>
    <cfRule type="cellIs" dxfId="109" priority="7" operator="equal">
      <formula>"Removed"</formula>
    </cfRule>
    <cfRule type="cellIs" dxfId="108" priority="8" operator="equal">
      <formula>"Updated"</formula>
    </cfRule>
    <cfRule type="cellIs" dxfId="107" priority="9" operator="equal">
      <formula>"New"</formula>
    </cfRule>
  </conditionalFormatting>
  <conditionalFormatting sqref="D9 D7">
    <cfRule type="cellIs" dxfId="106" priority="5" operator="equal">
      <formula>"-"</formula>
    </cfRule>
  </conditionalFormatting>
  <conditionalFormatting sqref="A2:XFD2 Q7:XFD7 A7:O7 A1:C1 E1:XFD1 A4:XFD6 A3:C3 E3:XFD3 A8:XFD1048576">
    <cfRule type="cellIs" dxfId="105" priority="4" operator="equal">
      <formula>"n/a"</formula>
    </cfRule>
  </conditionalFormatting>
  <conditionalFormatting sqref="P7">
    <cfRule type="cellIs" dxfId="104" priority="3" operator="equal">
      <formula>"n/a"</formula>
    </cfRule>
  </conditionalFormatting>
  <conditionalFormatting sqref="D1">
    <cfRule type="cellIs" dxfId="103" priority="2" operator="equal">
      <formula>"n/a"</formula>
    </cfRule>
  </conditionalFormatting>
  <conditionalFormatting sqref="D3">
    <cfRule type="cellIs" dxfId="102" priority="1" operator="equal">
      <formula>"n/a"</formula>
    </cfRule>
  </conditionalFormatting>
  <dataValidations count="1">
    <dataValidation type="list" allowBlank="1" showInputMessage="1" showErrorMessage="1" sqref="E7:E9" xr:uid="{00000000-0002-0000-18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800-000001000000}">
          <x14:formula1>
            <xm:f>'List Values'!$B$5:$B$14</xm:f>
          </x14:formula1>
          <xm:sqref>C7:C1048576</xm:sqref>
        </x14:dataValidation>
        <x14:dataValidation type="list" allowBlank="1" showInputMessage="1" showErrorMessage="1" xr:uid="{00000000-0002-0000-1800-000002000000}">
          <x14:formula1>
            <xm:f>'List Values'!$A$5:$A$30</xm:f>
          </x14:formula1>
          <xm:sqref>E10:E1048576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1"/>
  <sheetViews>
    <sheetView zoomScaleNormal="100"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120</v>
      </c>
      <c r="C1" s="27"/>
      <c r="D1" s="24"/>
      <c r="H1" s="30"/>
    </row>
    <row r="2" spans="1:16" s="25" customFormat="1" ht="18.5" x14ac:dyDescent="0.35">
      <c r="A2" s="23" t="s">
        <v>7</v>
      </c>
      <c r="B2" s="31" t="s">
        <v>137</v>
      </c>
      <c r="C2" s="30"/>
      <c r="D2" s="31"/>
      <c r="H2" s="30"/>
    </row>
    <row r="3" spans="1:16" s="25" customFormat="1" ht="18.5" x14ac:dyDescent="0.35">
      <c r="A3" s="23" t="s">
        <v>44</v>
      </c>
      <c r="B3" s="31" t="s">
        <v>281</v>
      </c>
      <c r="C3" s="30"/>
      <c r="D3" s="31" t="s">
        <v>420</v>
      </c>
      <c r="H3" s="30"/>
    </row>
    <row r="4" spans="1:16" s="25" customFormat="1" ht="18.5" x14ac:dyDescent="0.35">
      <c r="A4" s="23" t="s">
        <v>8</v>
      </c>
      <c r="B4" s="25" t="s">
        <v>121</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D.1</v>
      </c>
      <c r="C7" s="46" t="s">
        <v>40</v>
      </c>
      <c r="D7" s="5" t="s">
        <v>37</v>
      </c>
      <c r="E7" s="35" t="s">
        <v>115</v>
      </c>
      <c r="F7" s="5" t="s">
        <v>37</v>
      </c>
      <c r="G7" s="5" t="s">
        <v>37</v>
      </c>
      <c r="H7" s="37" t="s">
        <v>37</v>
      </c>
      <c r="I7" s="35" t="s">
        <v>10</v>
      </c>
      <c r="J7" s="5" t="s">
        <v>37</v>
      </c>
      <c r="K7" s="5" t="s">
        <v>37</v>
      </c>
      <c r="L7" s="5" t="s">
        <v>37</v>
      </c>
      <c r="M7" s="5" t="s">
        <v>37</v>
      </c>
      <c r="N7" s="5" t="s">
        <v>37</v>
      </c>
      <c r="O7" s="5" t="s">
        <v>334</v>
      </c>
      <c r="P7" s="5" t="s">
        <v>336</v>
      </c>
    </row>
    <row r="8" spans="1:16" x14ac:dyDescent="0.35">
      <c r="A8" s="5">
        <v>2</v>
      </c>
      <c r="B8" s="5" t="str">
        <f t="shared" ref="B8:B9" si="0">CONCATENATE($B$2, ".", A8)</f>
        <v>D.2</v>
      </c>
      <c r="C8" s="74" t="s">
        <v>38</v>
      </c>
      <c r="D8" s="35" t="s">
        <v>526</v>
      </c>
      <c r="E8" s="35" t="s">
        <v>116</v>
      </c>
      <c r="F8" s="5" t="s">
        <v>37</v>
      </c>
      <c r="G8" s="5" t="s">
        <v>37</v>
      </c>
      <c r="H8" s="37" t="s">
        <v>37</v>
      </c>
      <c r="I8" s="35" t="s">
        <v>10</v>
      </c>
      <c r="J8" s="5" t="s">
        <v>37</v>
      </c>
      <c r="K8" s="5" t="s">
        <v>37</v>
      </c>
      <c r="L8" s="5" t="s">
        <v>37</v>
      </c>
      <c r="M8" s="5" t="s">
        <v>37</v>
      </c>
      <c r="N8" s="5" t="s">
        <v>37</v>
      </c>
    </row>
    <row r="9" spans="1:16" ht="43.5" x14ac:dyDescent="0.35">
      <c r="A9" s="5">
        <v>3</v>
      </c>
      <c r="B9" s="5" t="str">
        <f t="shared" si="0"/>
        <v>D.3</v>
      </c>
      <c r="C9" s="74" t="s">
        <v>38</v>
      </c>
      <c r="D9" s="40" t="s">
        <v>541</v>
      </c>
      <c r="E9" s="35" t="s">
        <v>105</v>
      </c>
      <c r="F9" s="5" t="s">
        <v>37</v>
      </c>
      <c r="G9" s="5" t="s">
        <v>37</v>
      </c>
      <c r="H9" s="37" t="s">
        <v>37</v>
      </c>
      <c r="I9" s="35" t="s">
        <v>10</v>
      </c>
      <c r="J9" s="5" t="s">
        <v>37</v>
      </c>
      <c r="K9" s="5" t="s">
        <v>37</v>
      </c>
      <c r="L9" s="5" t="s">
        <v>37</v>
      </c>
      <c r="M9" s="5" t="s">
        <v>37</v>
      </c>
      <c r="N9" s="5" t="s">
        <v>37</v>
      </c>
      <c r="O9" s="5" t="s">
        <v>419</v>
      </c>
    </row>
    <row r="10" spans="1:16" x14ac:dyDescent="0.35">
      <c r="I10" s="35"/>
      <c r="L10" s="35"/>
      <c r="M10" s="35"/>
      <c r="N10" s="35"/>
      <c r="O10" s="35"/>
    </row>
    <row r="11" spans="1:16" x14ac:dyDescent="0.35">
      <c r="I11" s="35"/>
      <c r="L11" s="35"/>
      <c r="M11" s="35"/>
      <c r="N11" s="35"/>
      <c r="O11" s="35"/>
    </row>
  </sheetData>
  <autoFilter ref="A6:P9" xr:uid="{00000000-0009-0000-0000-000019000000}"/>
  <conditionalFormatting sqref="C7:C1048576">
    <cfRule type="cellIs" dxfId="101" priority="6" operator="equal">
      <formula>"WIP (see comments)"</formula>
    </cfRule>
    <cfRule type="cellIs" dxfId="100" priority="7" operator="equal">
      <formula>"Removed"</formula>
    </cfRule>
    <cfRule type="cellIs" dxfId="99" priority="8" operator="equal">
      <formula>"Updated"</formula>
    </cfRule>
    <cfRule type="cellIs" dxfId="98" priority="9" operator="equal">
      <formula>"New"</formula>
    </cfRule>
  </conditionalFormatting>
  <conditionalFormatting sqref="D9 D7">
    <cfRule type="cellIs" dxfId="97" priority="5" operator="equal">
      <formula>"-"</formula>
    </cfRule>
  </conditionalFormatting>
  <conditionalFormatting sqref="A2:XFD2 Q7:XFD7 A7:O7 A1:C1 E1:XFD1 A8:XFD1048576 A4:XFD6 A3:C3 E3:XFD3">
    <cfRule type="cellIs" dxfId="96" priority="4" operator="equal">
      <formula>"n/a"</formula>
    </cfRule>
  </conditionalFormatting>
  <conditionalFormatting sqref="P7">
    <cfRule type="cellIs" dxfId="95" priority="3" operator="equal">
      <formula>"n/a"</formula>
    </cfRule>
  </conditionalFormatting>
  <conditionalFormatting sqref="D1">
    <cfRule type="cellIs" dxfId="94" priority="2" operator="equal">
      <formula>"n/a"</formula>
    </cfRule>
  </conditionalFormatting>
  <conditionalFormatting sqref="D3">
    <cfRule type="cellIs" dxfId="93" priority="1" operator="equal">
      <formula>"n/a"</formula>
    </cfRule>
  </conditionalFormatting>
  <dataValidations count="1">
    <dataValidation type="list" allowBlank="1" showInputMessage="1" showErrorMessage="1" sqref="E7:E9" xr:uid="{00000000-0002-0000-19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900-000001000000}">
          <x14:formula1>
            <xm:f>'List Values'!$A$5:$A$30</xm:f>
          </x14:formula1>
          <xm:sqref>E10:E1048576</xm:sqref>
        </x14:dataValidation>
        <x14:dataValidation type="list" allowBlank="1" showInputMessage="1" showErrorMessage="1" xr:uid="{00000000-0002-0000-1900-000002000000}">
          <x14:formula1>
            <xm:f>'List Values'!$B$5:$B$14</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1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122</v>
      </c>
      <c r="C1" s="27"/>
      <c r="D1" s="24"/>
      <c r="H1" s="30"/>
    </row>
    <row r="2" spans="1:16" s="25" customFormat="1" ht="18.5" x14ac:dyDescent="0.35">
      <c r="A2" s="23" t="s">
        <v>7</v>
      </c>
      <c r="B2" s="31" t="s">
        <v>138</v>
      </c>
      <c r="C2" s="30"/>
      <c r="D2" s="31"/>
      <c r="H2" s="30"/>
    </row>
    <row r="3" spans="1:16" s="25" customFormat="1" ht="18.5" x14ac:dyDescent="0.35">
      <c r="A3" s="23" t="s">
        <v>44</v>
      </c>
      <c r="B3" s="31" t="s">
        <v>282</v>
      </c>
      <c r="C3" s="30"/>
      <c r="D3" s="31" t="s">
        <v>421</v>
      </c>
      <c r="H3" s="30"/>
    </row>
    <row r="4" spans="1:16" s="25" customFormat="1" ht="18.5" x14ac:dyDescent="0.35">
      <c r="A4" s="23" t="s">
        <v>8</v>
      </c>
      <c r="B4" s="25" t="s">
        <v>123</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E.1</v>
      </c>
      <c r="C7" s="46" t="s">
        <v>40</v>
      </c>
      <c r="D7" s="5" t="s">
        <v>37</v>
      </c>
      <c r="E7" s="35" t="s">
        <v>115</v>
      </c>
      <c r="F7" s="5" t="s">
        <v>37</v>
      </c>
      <c r="G7" s="5" t="s">
        <v>37</v>
      </c>
      <c r="H7" s="37" t="s">
        <v>37</v>
      </c>
      <c r="I7" s="35" t="s">
        <v>10</v>
      </c>
      <c r="J7" s="5" t="s">
        <v>37</v>
      </c>
      <c r="K7" s="5" t="s">
        <v>37</v>
      </c>
      <c r="L7" s="5" t="s">
        <v>37</v>
      </c>
      <c r="M7" s="5" t="s">
        <v>37</v>
      </c>
      <c r="N7" s="5" t="s">
        <v>37</v>
      </c>
      <c r="O7" s="5" t="s">
        <v>338</v>
      </c>
      <c r="P7" s="5" t="s">
        <v>336</v>
      </c>
    </row>
    <row r="8" spans="1:16" x14ac:dyDescent="0.35">
      <c r="A8" s="5">
        <v>2</v>
      </c>
      <c r="B8" s="5" t="str">
        <f t="shared" ref="B8:B10" si="0">CONCATENATE($B$2, ".", A8)</f>
        <v>E.2</v>
      </c>
      <c r="C8" s="37" t="s">
        <v>38</v>
      </c>
      <c r="D8" s="35" t="s">
        <v>527</v>
      </c>
      <c r="E8" s="35" t="s">
        <v>116</v>
      </c>
      <c r="F8" s="5" t="s">
        <v>37</v>
      </c>
      <c r="G8" s="5" t="s">
        <v>37</v>
      </c>
      <c r="H8" s="37" t="s">
        <v>37</v>
      </c>
      <c r="I8" s="35" t="s">
        <v>10</v>
      </c>
      <c r="J8" s="5" t="s">
        <v>37</v>
      </c>
      <c r="K8" s="5" t="s">
        <v>37</v>
      </c>
      <c r="L8" s="5" t="s">
        <v>37</v>
      </c>
      <c r="M8" s="5" t="s">
        <v>37</v>
      </c>
      <c r="N8" s="5" t="s">
        <v>37</v>
      </c>
    </row>
    <row r="9" spans="1:16" ht="29" x14ac:dyDescent="0.35">
      <c r="A9" s="5">
        <v>3</v>
      </c>
      <c r="B9" s="5" t="str">
        <f t="shared" si="0"/>
        <v>E.3</v>
      </c>
      <c r="C9" s="46" t="s">
        <v>38</v>
      </c>
      <c r="D9" s="40" t="s">
        <v>283</v>
      </c>
      <c r="E9" s="35" t="s">
        <v>34</v>
      </c>
      <c r="F9" s="5" t="s">
        <v>37</v>
      </c>
      <c r="G9" s="5" t="s">
        <v>37</v>
      </c>
      <c r="H9" s="37" t="s">
        <v>37</v>
      </c>
      <c r="I9" s="35" t="s">
        <v>10</v>
      </c>
      <c r="J9" s="5" t="s">
        <v>37</v>
      </c>
      <c r="K9" s="5" t="s">
        <v>37</v>
      </c>
      <c r="L9" s="5" t="s">
        <v>37</v>
      </c>
      <c r="M9" s="5" t="s">
        <v>37</v>
      </c>
      <c r="N9" s="5" t="s">
        <v>37</v>
      </c>
    </row>
    <row r="10" spans="1:16" ht="47" customHeight="1" x14ac:dyDescent="0.35">
      <c r="A10" s="5">
        <v>4</v>
      </c>
      <c r="B10" s="5" t="str">
        <f t="shared" si="0"/>
        <v>E.4</v>
      </c>
      <c r="C10" s="46" t="s">
        <v>38</v>
      </c>
      <c r="D10" s="5" t="s">
        <v>284</v>
      </c>
      <c r="E10" s="35" t="s">
        <v>34</v>
      </c>
      <c r="F10" s="5" t="s">
        <v>37</v>
      </c>
      <c r="G10" s="5" t="s">
        <v>37</v>
      </c>
      <c r="H10" s="37" t="s">
        <v>37</v>
      </c>
      <c r="I10" s="35" t="s">
        <v>10</v>
      </c>
      <c r="J10" s="5" t="s">
        <v>37</v>
      </c>
      <c r="K10" s="5" t="s">
        <v>37</v>
      </c>
      <c r="L10" s="5" t="s">
        <v>37</v>
      </c>
      <c r="M10" s="5" t="s">
        <v>37</v>
      </c>
      <c r="N10" s="5" t="s">
        <v>37</v>
      </c>
    </row>
    <row r="11" spans="1:16" x14ac:dyDescent="0.35">
      <c r="I11" s="35"/>
      <c r="L11" s="35"/>
      <c r="M11" s="35"/>
      <c r="N11" s="35"/>
      <c r="O11" s="35"/>
    </row>
    <row r="12" spans="1:16" x14ac:dyDescent="0.35">
      <c r="I12" s="35"/>
      <c r="L12" s="35"/>
      <c r="M12" s="35"/>
      <c r="N12" s="35"/>
      <c r="O12" s="35"/>
    </row>
  </sheetData>
  <autoFilter ref="A6:P9" xr:uid="{00000000-0009-0000-0000-00001A000000}"/>
  <conditionalFormatting sqref="C7:C1048576">
    <cfRule type="cellIs" dxfId="92" priority="6" operator="equal">
      <formula>"WIP (see comments)"</formula>
    </cfRule>
    <cfRule type="cellIs" dxfId="91" priority="7" operator="equal">
      <formula>"Removed"</formula>
    </cfRule>
    <cfRule type="cellIs" dxfId="90" priority="8" operator="equal">
      <formula>"Updated"</formula>
    </cfRule>
    <cfRule type="cellIs" dxfId="89" priority="9" operator="equal">
      <formula>"New"</formula>
    </cfRule>
  </conditionalFormatting>
  <conditionalFormatting sqref="D9 D7">
    <cfRule type="cellIs" dxfId="88" priority="5" operator="equal">
      <formula>"-"</formula>
    </cfRule>
  </conditionalFormatting>
  <conditionalFormatting sqref="A2:XFD2 Q7:XFD7 A8:XFD1048576 A7:O7 A1:C1 E1:XFD1 A4:XFD6 A3:C3 E3:XFD3">
    <cfRule type="cellIs" dxfId="87" priority="4" operator="equal">
      <formula>"n/a"</formula>
    </cfRule>
  </conditionalFormatting>
  <conditionalFormatting sqref="P7">
    <cfRule type="cellIs" dxfId="86" priority="3" operator="equal">
      <formula>"n/a"</formula>
    </cfRule>
  </conditionalFormatting>
  <conditionalFormatting sqref="D1">
    <cfRule type="cellIs" dxfId="85" priority="2" operator="equal">
      <formula>"n/a"</formula>
    </cfRule>
  </conditionalFormatting>
  <conditionalFormatting sqref="D3">
    <cfRule type="cellIs" dxfId="84" priority="1" operator="equal">
      <formula>"n/a"</formula>
    </cfRule>
  </conditionalFormatting>
  <dataValidations count="1">
    <dataValidation type="list" allowBlank="1" showInputMessage="1" showErrorMessage="1" sqref="E7:E9" xr:uid="{00000000-0002-0000-1A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1000000}">
          <x14:formula1>
            <xm:f>'List Values'!$B$5:$B$14</xm:f>
          </x14:formula1>
          <xm:sqref>C7:C1048576</xm:sqref>
        </x14:dataValidation>
        <x14:dataValidation type="list" allowBlank="1" showInputMessage="1" showErrorMessage="1" xr:uid="{00000000-0002-0000-1A00-000002000000}">
          <x14:formula1>
            <xm:f>'List Values'!$A$5:$A$30</xm:f>
          </x14:formula1>
          <xm:sqref>E10:E1048576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124</v>
      </c>
      <c r="C1" s="27"/>
      <c r="D1" s="24" t="s">
        <v>438</v>
      </c>
      <c r="H1" s="30"/>
    </row>
    <row r="2" spans="1:16" s="25" customFormat="1" ht="18.5" x14ac:dyDescent="0.35">
      <c r="A2" s="23" t="s">
        <v>7</v>
      </c>
      <c r="B2" s="31" t="s">
        <v>139</v>
      </c>
      <c r="C2" s="30"/>
      <c r="D2" s="31"/>
      <c r="H2" s="30"/>
    </row>
    <row r="3" spans="1:16" s="25" customFormat="1" ht="18.5" x14ac:dyDescent="0.35">
      <c r="A3" s="23" t="s">
        <v>44</v>
      </c>
      <c r="B3" s="31" t="s">
        <v>286</v>
      </c>
      <c r="C3" s="30"/>
      <c r="D3" s="31" t="s">
        <v>422</v>
      </c>
      <c r="H3" s="30"/>
    </row>
    <row r="4" spans="1:16" s="25" customFormat="1" ht="18.5" x14ac:dyDescent="0.35">
      <c r="A4" s="23" t="s">
        <v>8</v>
      </c>
      <c r="B4" s="25" t="s">
        <v>125</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1" si="0">CONCATENATE($B$2, ".", A7)</f>
        <v>F.1</v>
      </c>
      <c r="C7" s="46" t="s">
        <v>38</v>
      </c>
      <c r="D7" s="6" t="s">
        <v>528</v>
      </c>
      <c r="E7" s="35" t="s">
        <v>116</v>
      </c>
      <c r="F7" s="5" t="s">
        <v>37</v>
      </c>
      <c r="G7" s="5" t="s">
        <v>37</v>
      </c>
      <c r="H7" s="46" t="s">
        <v>37</v>
      </c>
      <c r="I7" s="35" t="s">
        <v>10</v>
      </c>
      <c r="J7" s="5" t="s">
        <v>37</v>
      </c>
      <c r="K7" s="5" t="s">
        <v>37</v>
      </c>
      <c r="L7" s="5" t="s">
        <v>37</v>
      </c>
      <c r="M7" s="5" t="s">
        <v>37</v>
      </c>
      <c r="N7" s="5" t="s">
        <v>37</v>
      </c>
    </row>
    <row r="8" spans="1:16" ht="43.5" x14ac:dyDescent="0.35">
      <c r="A8" s="5">
        <v>2</v>
      </c>
      <c r="B8" s="5" t="str">
        <f t="shared" si="0"/>
        <v>F.2</v>
      </c>
      <c r="C8" s="46" t="s">
        <v>38</v>
      </c>
      <c r="D8" s="99" t="s">
        <v>529</v>
      </c>
      <c r="E8" s="35" t="s">
        <v>34</v>
      </c>
      <c r="F8" s="5" t="s">
        <v>37</v>
      </c>
      <c r="G8" s="5" t="s">
        <v>37</v>
      </c>
      <c r="H8" s="46" t="s">
        <v>37</v>
      </c>
      <c r="I8" s="35" t="s">
        <v>10</v>
      </c>
      <c r="J8" s="5" t="s">
        <v>37</v>
      </c>
      <c r="K8" s="5" t="s">
        <v>37</v>
      </c>
      <c r="L8" s="5" t="s">
        <v>37</v>
      </c>
      <c r="M8" s="5" t="s">
        <v>37</v>
      </c>
      <c r="N8" s="5" t="s">
        <v>37</v>
      </c>
      <c r="P8" s="5" t="s">
        <v>285</v>
      </c>
    </row>
    <row r="9" spans="1:16" ht="29" x14ac:dyDescent="0.35">
      <c r="A9" s="5">
        <v>3</v>
      </c>
      <c r="B9" s="5" t="str">
        <f t="shared" si="0"/>
        <v>F.3</v>
      </c>
      <c r="C9" s="93" t="s">
        <v>38</v>
      </c>
      <c r="D9" s="6" t="s">
        <v>530</v>
      </c>
      <c r="E9" s="35" t="s">
        <v>33</v>
      </c>
      <c r="F9" s="5" t="s">
        <v>37</v>
      </c>
      <c r="G9" s="5" t="s">
        <v>37</v>
      </c>
      <c r="H9" s="46" t="s">
        <v>37</v>
      </c>
      <c r="I9" s="35" t="s">
        <v>10</v>
      </c>
      <c r="J9" s="5" t="s">
        <v>37</v>
      </c>
      <c r="K9" s="5" t="s">
        <v>37</v>
      </c>
      <c r="L9" s="5" t="s">
        <v>37</v>
      </c>
      <c r="M9" s="5" t="s">
        <v>37</v>
      </c>
      <c r="N9" s="5" t="s">
        <v>37</v>
      </c>
      <c r="O9" s="6" t="s">
        <v>533</v>
      </c>
    </row>
    <row r="10" spans="1:16" x14ac:dyDescent="0.35">
      <c r="A10" s="5">
        <v>4</v>
      </c>
      <c r="B10" s="5" t="str">
        <f t="shared" si="0"/>
        <v>F.4</v>
      </c>
      <c r="C10" s="93" t="s">
        <v>38</v>
      </c>
      <c r="D10" s="6" t="s">
        <v>531</v>
      </c>
      <c r="E10" s="5" t="s">
        <v>43</v>
      </c>
      <c r="F10" s="5" t="s">
        <v>37</v>
      </c>
      <c r="G10" s="5" t="s">
        <v>37</v>
      </c>
      <c r="H10" s="46" t="s">
        <v>37</v>
      </c>
      <c r="I10" s="35" t="s">
        <v>10</v>
      </c>
      <c r="J10" s="5" t="s">
        <v>37</v>
      </c>
      <c r="K10" s="5" t="s">
        <v>37</v>
      </c>
      <c r="L10" s="5" t="s">
        <v>37</v>
      </c>
      <c r="M10" s="5" t="s">
        <v>37</v>
      </c>
      <c r="N10" s="5" t="s">
        <v>37</v>
      </c>
      <c r="O10" s="6" t="s">
        <v>201</v>
      </c>
    </row>
    <row r="11" spans="1:16" x14ac:dyDescent="0.35">
      <c r="A11" s="5">
        <v>5</v>
      </c>
      <c r="B11" s="5" t="str">
        <f t="shared" si="0"/>
        <v>F.5</v>
      </c>
      <c r="C11" s="48" t="s">
        <v>40</v>
      </c>
      <c r="D11" s="6" t="s">
        <v>155</v>
      </c>
      <c r="E11" s="6" t="s">
        <v>43</v>
      </c>
      <c r="F11" s="6" t="s">
        <v>37</v>
      </c>
      <c r="G11" s="6" t="s">
        <v>37</v>
      </c>
      <c r="H11" s="29" t="s">
        <v>37</v>
      </c>
      <c r="I11" s="6" t="s">
        <v>10</v>
      </c>
      <c r="J11" s="6" t="s">
        <v>37</v>
      </c>
      <c r="K11" s="6" t="s">
        <v>37</v>
      </c>
      <c r="L11" s="6" t="s">
        <v>37</v>
      </c>
      <c r="M11" s="6" t="s">
        <v>37</v>
      </c>
      <c r="N11" s="6" t="s">
        <v>37</v>
      </c>
      <c r="O11" s="6" t="s">
        <v>532</v>
      </c>
    </row>
  </sheetData>
  <autoFilter ref="A6:P6" xr:uid="{00000000-0009-0000-0000-00001B000000}"/>
  <conditionalFormatting sqref="C12:C1048576">
    <cfRule type="cellIs" dxfId="83" priority="29" operator="equal">
      <formula>"WIP (see comments)"</formula>
    </cfRule>
    <cfRule type="cellIs" dxfId="82" priority="30" operator="equal">
      <formula>"Removed"</formula>
    </cfRule>
    <cfRule type="cellIs" dxfId="81" priority="31" operator="equal">
      <formula>"Updated"</formula>
    </cfRule>
    <cfRule type="cellIs" dxfId="80" priority="32" operator="equal">
      <formula>"New"</formula>
    </cfRule>
  </conditionalFormatting>
  <conditionalFormatting sqref="A2:XFD2 A12:XFD1048576 A1:C1 E1:XFD1 A4:XFD6 A3:C3 E3:XFD3">
    <cfRule type="cellIs" dxfId="79" priority="27" operator="equal">
      <formula>"n/a"</formula>
    </cfRule>
  </conditionalFormatting>
  <conditionalFormatting sqref="A8:B9 E8:XFD8 E9:N9 P9:XFD9">
    <cfRule type="cellIs" dxfId="78" priority="25" operator="equal">
      <formula>"n/a"</formula>
    </cfRule>
  </conditionalFormatting>
  <conditionalFormatting sqref="C7:C11">
    <cfRule type="cellIs" dxfId="77" priority="21" operator="equal">
      <formula>"WIP (see comments)"</formula>
    </cfRule>
    <cfRule type="cellIs" dxfId="76" priority="22" operator="equal">
      <formula>"Removed"</formula>
    </cfRule>
    <cfRule type="cellIs" dxfId="75" priority="23" operator="equal">
      <formula>"Updated"</formula>
    </cfRule>
    <cfRule type="cellIs" dxfId="74" priority="24" operator="equal">
      <formula>"New"</formula>
    </cfRule>
  </conditionalFormatting>
  <conditionalFormatting sqref="A7:C7 E7:XFD7 C8:C11">
    <cfRule type="cellIs" dxfId="73" priority="20" operator="equal">
      <formula>"n/a"</formula>
    </cfRule>
  </conditionalFormatting>
  <conditionalFormatting sqref="A10:B10 E10:N10 P10:XFD10">
    <cfRule type="cellIs" dxfId="72" priority="15" operator="equal">
      <formula>"n/a"</formula>
    </cfRule>
  </conditionalFormatting>
  <conditionalFormatting sqref="A11:B11 P11:XFD11">
    <cfRule type="cellIs" dxfId="71" priority="10" operator="equal">
      <formula>"n/a"</formula>
    </cfRule>
  </conditionalFormatting>
  <conditionalFormatting sqref="D1">
    <cfRule type="cellIs" dxfId="70" priority="9" operator="equal">
      <formula>"n/a"</formula>
    </cfRule>
  </conditionalFormatting>
  <conditionalFormatting sqref="D3">
    <cfRule type="cellIs" dxfId="69" priority="8" operator="equal">
      <formula>"n/a"</formula>
    </cfRule>
  </conditionalFormatting>
  <conditionalFormatting sqref="D8:D9">
    <cfRule type="cellIs" dxfId="68" priority="7" operator="equal">
      <formula>"-"</formula>
    </cfRule>
  </conditionalFormatting>
  <conditionalFormatting sqref="D8:D9">
    <cfRule type="cellIs" dxfId="67" priority="6" operator="equal">
      <formula>"n/a"</formula>
    </cfRule>
  </conditionalFormatting>
  <conditionalFormatting sqref="D7">
    <cfRule type="cellIs" dxfId="66" priority="5" operator="equal">
      <formula>"n/a"</formula>
    </cfRule>
  </conditionalFormatting>
  <conditionalFormatting sqref="D10">
    <cfRule type="cellIs" dxfId="65" priority="4" operator="equal">
      <formula>"n/a"</formula>
    </cfRule>
  </conditionalFormatting>
  <conditionalFormatting sqref="D11:O11">
    <cfRule type="cellIs" dxfId="64" priority="3" operator="equal">
      <formula>"n/a"</formula>
    </cfRule>
  </conditionalFormatting>
  <conditionalFormatting sqref="O9">
    <cfRule type="cellIs" dxfId="63" priority="2" operator="equal">
      <formula>"n/a"</formula>
    </cfRule>
  </conditionalFormatting>
  <conditionalFormatting sqref="O10">
    <cfRule type="cellIs" dxfId="6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B00-000000000000}">
          <x14:formula1>
            <xm:f>'List Values'!$A$5:$A$30</xm:f>
          </x14:formula1>
          <xm:sqref>E7:E10 E12:E1048576</xm:sqref>
        </x14:dataValidation>
        <x14:dataValidation type="list" allowBlank="1" showInputMessage="1" showErrorMessage="1" xr:uid="{00000000-0002-0000-1B00-000001000000}">
          <x14:formula1>
            <xm:f>'List Values'!$B$5:$B$13</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8" customWidth="1"/>
    <col min="4" max="4" width="45.1796875" style="5" customWidth="1"/>
    <col min="5" max="5" width="28.7265625" style="5" customWidth="1"/>
    <col min="6" max="6" width="37" style="5" customWidth="1"/>
    <col min="7" max="7" width="29.26953125" style="5" customWidth="1"/>
    <col min="8" max="8" width="11.54296875" style="4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160</v>
      </c>
      <c r="C1" s="27"/>
      <c r="D1" s="24"/>
      <c r="H1" s="30"/>
    </row>
    <row r="2" spans="1:16" s="25" customFormat="1" ht="18.5" x14ac:dyDescent="0.35">
      <c r="A2" s="23" t="s">
        <v>7</v>
      </c>
      <c r="B2" s="31" t="s">
        <v>158</v>
      </c>
      <c r="C2" s="30"/>
      <c r="D2" s="31"/>
      <c r="H2" s="30"/>
    </row>
    <row r="3" spans="1:16" s="25" customFormat="1" ht="18.5" x14ac:dyDescent="0.35">
      <c r="A3" s="23" t="s">
        <v>44</v>
      </c>
      <c r="B3" s="31" t="s">
        <v>287</v>
      </c>
      <c r="C3" s="30"/>
      <c r="D3" s="31" t="s">
        <v>68</v>
      </c>
      <c r="H3" s="30"/>
    </row>
    <row r="4" spans="1:16" s="25" customFormat="1" ht="18.5" x14ac:dyDescent="0.35">
      <c r="A4" s="23" t="s">
        <v>8</v>
      </c>
      <c r="B4" s="25" t="s">
        <v>159</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0" si="0">CONCATENATE($B$2, ".", A7)</f>
        <v>G.1</v>
      </c>
      <c r="C7" s="48" t="s">
        <v>186</v>
      </c>
      <c r="D7" s="35" t="s">
        <v>161</v>
      </c>
      <c r="E7" s="35" t="s">
        <v>116</v>
      </c>
      <c r="F7" s="5" t="s">
        <v>37</v>
      </c>
      <c r="G7" s="5" t="s">
        <v>37</v>
      </c>
      <c r="H7" s="48" t="s">
        <v>37</v>
      </c>
      <c r="I7" s="35" t="s">
        <v>10</v>
      </c>
      <c r="J7" s="5" t="s">
        <v>37</v>
      </c>
      <c r="K7" s="5" t="s">
        <v>37</v>
      </c>
      <c r="L7" s="5" t="s">
        <v>37</v>
      </c>
      <c r="M7" s="5" t="s">
        <v>37</v>
      </c>
      <c r="N7" s="5" t="s">
        <v>37</v>
      </c>
    </row>
    <row r="8" spans="1:16" ht="29" x14ac:dyDescent="0.35">
      <c r="A8" s="5">
        <v>3</v>
      </c>
      <c r="B8" s="5" t="str">
        <f>CONCATENATE($B$2, ".", A8)</f>
        <v>G.3</v>
      </c>
      <c r="C8" s="68" t="s">
        <v>186</v>
      </c>
      <c r="D8" s="40" t="s">
        <v>165</v>
      </c>
      <c r="E8" s="35" t="s">
        <v>164</v>
      </c>
      <c r="F8" s="5" t="s">
        <v>37</v>
      </c>
      <c r="G8" s="5" t="s">
        <v>37</v>
      </c>
      <c r="H8" s="48" t="s">
        <v>37</v>
      </c>
      <c r="I8" s="35" t="s">
        <v>10</v>
      </c>
      <c r="J8" s="5" t="s">
        <v>37</v>
      </c>
      <c r="K8" s="5" t="s">
        <v>37</v>
      </c>
      <c r="L8" s="5" t="s">
        <v>37</v>
      </c>
      <c r="M8" s="5" t="s">
        <v>37</v>
      </c>
      <c r="N8" s="5" t="s">
        <v>37</v>
      </c>
      <c r="O8" s="5" t="s">
        <v>166</v>
      </c>
    </row>
    <row r="9" spans="1:16" ht="29" x14ac:dyDescent="0.35">
      <c r="A9" s="5">
        <v>2</v>
      </c>
      <c r="B9" s="5" t="str">
        <f t="shared" si="0"/>
        <v>G.2</v>
      </c>
      <c r="C9" s="68" t="s">
        <v>186</v>
      </c>
      <c r="D9" s="5" t="s">
        <v>162</v>
      </c>
      <c r="E9" s="35" t="s">
        <v>34</v>
      </c>
      <c r="F9" s="5" t="s">
        <v>37</v>
      </c>
      <c r="G9" s="5" t="s">
        <v>37</v>
      </c>
      <c r="H9" s="48" t="s">
        <v>37</v>
      </c>
      <c r="I9" s="35" t="s">
        <v>10</v>
      </c>
      <c r="J9" s="5" t="s">
        <v>37</v>
      </c>
      <c r="K9" s="5" t="s">
        <v>37</v>
      </c>
      <c r="L9" s="5" t="s">
        <v>37</v>
      </c>
      <c r="M9" s="5" t="s">
        <v>37</v>
      </c>
      <c r="N9" s="5" t="s">
        <v>37</v>
      </c>
    </row>
    <row r="10" spans="1:16" ht="43.5" x14ac:dyDescent="0.35">
      <c r="A10" s="5">
        <v>4</v>
      </c>
      <c r="B10" s="5" t="str">
        <f t="shared" si="0"/>
        <v>G.4</v>
      </c>
      <c r="C10" s="68" t="s">
        <v>186</v>
      </c>
      <c r="D10" s="5" t="s">
        <v>155</v>
      </c>
      <c r="E10" s="5" t="s">
        <v>43</v>
      </c>
      <c r="F10" s="5" t="s">
        <v>37</v>
      </c>
      <c r="G10" s="5" t="s">
        <v>37</v>
      </c>
      <c r="H10" s="48" t="s">
        <v>37</v>
      </c>
      <c r="I10" s="35" t="s">
        <v>10</v>
      </c>
      <c r="J10" s="5" t="s">
        <v>37</v>
      </c>
      <c r="K10" s="5" t="s">
        <v>37</v>
      </c>
      <c r="L10" s="5" t="s">
        <v>37</v>
      </c>
      <c r="M10" s="5" t="s">
        <v>37</v>
      </c>
      <c r="N10" s="5" t="s">
        <v>37</v>
      </c>
      <c r="O10" s="35" t="s">
        <v>163</v>
      </c>
    </row>
  </sheetData>
  <autoFilter ref="A6:P6" xr:uid="{00000000-0009-0000-0000-00001C000000}"/>
  <conditionalFormatting sqref="C11:C1048576">
    <cfRule type="cellIs" dxfId="61" priority="12" operator="equal">
      <formula>"WIP (see comments)"</formula>
    </cfRule>
    <cfRule type="cellIs" dxfId="60" priority="13" operator="equal">
      <formula>"Removed"</formula>
    </cfRule>
    <cfRule type="cellIs" dxfId="59" priority="14" operator="equal">
      <formula>"Updated"</formula>
    </cfRule>
    <cfRule type="cellIs" dxfId="58" priority="15" operator="equal">
      <formula>"New"</formula>
    </cfRule>
  </conditionalFormatting>
  <conditionalFormatting sqref="A2:XFD6 A11:XFD1048576 A8:B9 D8:XFD9 A1:C1 E1:XFD1">
    <cfRule type="cellIs" dxfId="57" priority="11" operator="equal">
      <formula>"n/a"</formula>
    </cfRule>
  </conditionalFormatting>
  <conditionalFormatting sqref="D8:D9">
    <cfRule type="cellIs" dxfId="56" priority="10" operator="equal">
      <formula>"-"</formula>
    </cfRule>
  </conditionalFormatting>
  <conditionalFormatting sqref="C7:C10">
    <cfRule type="cellIs" dxfId="55" priority="5" operator="equal">
      <formula>"WIP (see comments)"</formula>
    </cfRule>
    <cfRule type="cellIs" dxfId="54" priority="6" operator="equal">
      <formula>"Removed"</formula>
    </cfRule>
    <cfRule type="cellIs" dxfId="53" priority="7" operator="equal">
      <formula>"Updated"</formula>
    </cfRule>
    <cfRule type="cellIs" dxfId="52" priority="8" operator="equal">
      <formula>"New"</formula>
    </cfRule>
  </conditionalFormatting>
  <conditionalFormatting sqref="A7:XFD7 C8:C10">
    <cfRule type="cellIs" dxfId="51" priority="4" operator="equal">
      <formula>"n/a"</formula>
    </cfRule>
  </conditionalFormatting>
  <conditionalFormatting sqref="A10:B10 D10:XFD10">
    <cfRule type="cellIs" dxfId="50" priority="3" operator="equal">
      <formula>"n/a"</formula>
    </cfRule>
  </conditionalFormatting>
  <conditionalFormatting sqref="D1">
    <cfRule type="cellIs" dxfId="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0000000}">
          <x14:formula1>
            <xm:f>'List Values'!$A$5:$A$30</xm:f>
          </x14:formula1>
          <xm:sqref>E7:E1048576</xm:sqref>
        </x14:dataValidation>
        <x14:dataValidation type="list" allowBlank="1" showInputMessage="1" showErrorMessage="1" xr:uid="{00000000-0002-0000-1C00-000001000000}">
          <x14:formula1>
            <xm:f>'List Values'!$B$5:$B$13</xm:f>
          </x14:formula1>
          <xm:sqref>C7:C1048576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4" customWidth="1"/>
    <col min="4" max="4" width="45.1796875" style="5" customWidth="1"/>
    <col min="5" max="5" width="28.7265625" style="5" customWidth="1"/>
    <col min="6" max="6" width="37" style="5" customWidth="1"/>
    <col min="7" max="7" width="29.26953125" style="5" customWidth="1"/>
    <col min="8" max="8" width="11.54296875" style="6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167</v>
      </c>
      <c r="C1" s="27"/>
      <c r="D1" s="24"/>
      <c r="H1" s="30"/>
    </row>
    <row r="2" spans="1:16" s="25" customFormat="1" ht="18.5" x14ac:dyDescent="0.35">
      <c r="A2" s="23" t="s">
        <v>7</v>
      </c>
      <c r="B2" s="31" t="s">
        <v>169</v>
      </c>
      <c r="C2" s="30"/>
      <c r="D2" s="31"/>
      <c r="H2" s="30"/>
    </row>
    <row r="3" spans="1:16" s="25" customFormat="1" ht="18.5" x14ac:dyDescent="0.35">
      <c r="A3" s="23" t="s">
        <v>44</v>
      </c>
      <c r="B3" s="31" t="s">
        <v>289</v>
      </c>
      <c r="C3" s="30"/>
      <c r="D3" s="31" t="s">
        <v>68</v>
      </c>
      <c r="H3" s="30"/>
    </row>
    <row r="4" spans="1:16" s="25" customFormat="1" ht="18.5" x14ac:dyDescent="0.35">
      <c r="A4" s="23" t="s">
        <v>8</v>
      </c>
      <c r="B4" s="25" t="s">
        <v>168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ht="43.5" x14ac:dyDescent="0.35">
      <c r="A7" s="5">
        <v>1</v>
      </c>
      <c r="B7" s="5" t="str">
        <f t="shared" ref="B7" si="0">CONCATENATE($B$2, ".", A7)</f>
        <v>H.1</v>
      </c>
      <c r="C7" s="64" t="s">
        <v>40</v>
      </c>
      <c r="D7" s="35" t="s">
        <v>37</v>
      </c>
      <c r="E7" s="35" t="s">
        <v>115</v>
      </c>
      <c r="F7" s="5" t="s">
        <v>37</v>
      </c>
      <c r="G7" s="5" t="s">
        <v>37</v>
      </c>
      <c r="H7" s="64" t="s">
        <v>37</v>
      </c>
      <c r="I7" s="35" t="s">
        <v>10</v>
      </c>
      <c r="J7" s="5" t="s">
        <v>37</v>
      </c>
      <c r="K7" s="5" t="s">
        <v>37</v>
      </c>
      <c r="L7" s="5" t="s">
        <v>37</v>
      </c>
      <c r="M7" s="5" t="s">
        <v>37</v>
      </c>
      <c r="N7" s="5" t="s">
        <v>37</v>
      </c>
      <c r="O7" s="35" t="s">
        <v>423</v>
      </c>
    </row>
  </sheetData>
  <autoFilter ref="A6:P6" xr:uid="{00000000-0009-0000-0000-00001D000000}"/>
  <conditionalFormatting sqref="C8:C1048576">
    <cfRule type="cellIs" dxfId="48" priority="12" operator="equal">
      <formula>"WIP (see comments)"</formula>
    </cfRule>
    <cfRule type="cellIs" dxfId="47" priority="13" operator="equal">
      <formula>"Removed"</formula>
    </cfRule>
    <cfRule type="cellIs" dxfId="46" priority="14" operator="equal">
      <formula>"Updated"</formula>
    </cfRule>
    <cfRule type="cellIs" dxfId="45" priority="15" operator="equal">
      <formula>"New"</formula>
    </cfRule>
  </conditionalFormatting>
  <conditionalFormatting sqref="A2:XFD6 A8:XFD1048576 A1:C1 E1:XFD1">
    <cfRule type="cellIs" dxfId="44" priority="11" operator="equal">
      <formula>"n/a"</formula>
    </cfRule>
  </conditionalFormatting>
  <conditionalFormatting sqref="C7">
    <cfRule type="cellIs" dxfId="43" priority="6" operator="equal">
      <formula>"WIP (see comments)"</formula>
    </cfRule>
    <cfRule type="cellIs" dxfId="42" priority="7" operator="equal">
      <formula>"Removed"</formula>
    </cfRule>
    <cfRule type="cellIs" dxfId="41" priority="8" operator="equal">
      <formula>"Updated"</formula>
    </cfRule>
    <cfRule type="cellIs" dxfId="40" priority="9" operator="equal">
      <formula>"New"</formula>
    </cfRule>
  </conditionalFormatting>
  <conditionalFormatting sqref="A7:N7 P7:XFD7">
    <cfRule type="cellIs" dxfId="39" priority="5" operator="equal">
      <formula>"n/a"</formula>
    </cfRule>
  </conditionalFormatting>
  <conditionalFormatting sqref="D1">
    <cfRule type="cellIs" dxfId="38" priority="2" operator="equal">
      <formula>"n/a"</formula>
    </cfRule>
  </conditionalFormatting>
  <conditionalFormatting sqref="O7">
    <cfRule type="cellIs" dxfId="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'List Values'!$B$5:$B$13</xm:f>
          </x14:formula1>
          <xm:sqref>C7:C1048576</xm:sqref>
        </x14:dataValidation>
        <x14:dataValidation type="list" allowBlank="1" showInputMessage="1" showErrorMessage="1" xr:uid="{00000000-0002-0000-1D00-000001000000}">
          <x14:formula1>
            <xm:f>'List Values'!$A$5:$A$30</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5" customWidth="1"/>
    <col min="2" max="2" width="12.54296875" style="5" customWidth="1"/>
    <col min="3" max="3" width="19.26953125" style="68" customWidth="1"/>
    <col min="4" max="4" width="45.1796875" style="5" customWidth="1"/>
    <col min="5" max="5" width="28.7265625" style="5" customWidth="1"/>
    <col min="6" max="6" width="37" style="5" customWidth="1"/>
    <col min="7" max="7" width="29.26953125" style="5" customWidth="1"/>
    <col min="8" max="8" width="11.54296875" style="6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188</v>
      </c>
      <c r="C1" s="27"/>
      <c r="D1" s="24"/>
      <c r="H1" s="30"/>
    </row>
    <row r="2" spans="1:16" s="25" customFormat="1" ht="18.5" x14ac:dyDescent="0.35">
      <c r="A2" s="23" t="s">
        <v>7</v>
      </c>
      <c r="B2" s="31" t="s">
        <v>187</v>
      </c>
      <c r="C2" s="30"/>
      <c r="D2" s="31"/>
      <c r="H2" s="30"/>
    </row>
    <row r="3" spans="1:16" s="25" customFormat="1" ht="18.5" x14ac:dyDescent="0.35">
      <c r="A3" s="23" t="s">
        <v>44</v>
      </c>
      <c r="B3" s="31" t="s">
        <v>288</v>
      </c>
      <c r="C3" s="30"/>
      <c r="D3" s="58" t="s">
        <v>426</v>
      </c>
      <c r="H3" s="30"/>
    </row>
    <row r="4" spans="1:16" s="25" customFormat="1" ht="18.5" x14ac:dyDescent="0.35">
      <c r="A4" s="23" t="s">
        <v>8</v>
      </c>
      <c r="B4" s="25" t="s">
        <v>191</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0" si="0">CONCATENATE($B$2, ".", A7)</f>
        <v>I.1</v>
      </c>
      <c r="C7" s="68" t="s">
        <v>38</v>
      </c>
      <c r="D7" s="35" t="s">
        <v>425</v>
      </c>
      <c r="E7" s="35" t="s">
        <v>116</v>
      </c>
      <c r="F7" s="5" t="s">
        <v>37</v>
      </c>
      <c r="G7" s="5" t="s">
        <v>37</v>
      </c>
      <c r="H7" s="68" t="s">
        <v>37</v>
      </c>
      <c r="I7" s="35" t="s">
        <v>10</v>
      </c>
      <c r="J7" s="5" t="s">
        <v>37</v>
      </c>
      <c r="K7" s="5" t="s">
        <v>37</v>
      </c>
      <c r="L7" s="5" t="s">
        <v>37</v>
      </c>
      <c r="M7" s="5" t="s">
        <v>37</v>
      </c>
      <c r="N7" s="5" t="s">
        <v>37</v>
      </c>
    </row>
    <row r="8" spans="1:16" ht="92" customHeight="1" x14ac:dyDescent="0.35">
      <c r="A8" s="5">
        <v>2</v>
      </c>
      <c r="B8" s="5" t="str">
        <f t="shared" si="0"/>
        <v>I.2</v>
      </c>
      <c r="C8" s="69" t="s">
        <v>38</v>
      </c>
      <c r="D8" s="76" t="s">
        <v>534</v>
      </c>
      <c r="E8" s="35" t="s">
        <v>34</v>
      </c>
      <c r="F8" s="5" t="s">
        <v>37</v>
      </c>
      <c r="G8" s="5" t="s">
        <v>37</v>
      </c>
      <c r="H8" s="68" t="s">
        <v>37</v>
      </c>
      <c r="I8" s="35" t="s">
        <v>10</v>
      </c>
      <c r="J8" s="5" t="s">
        <v>37</v>
      </c>
      <c r="K8" s="5" t="s">
        <v>37</v>
      </c>
      <c r="L8" s="5" t="s">
        <v>37</v>
      </c>
      <c r="M8" s="5" t="s">
        <v>37</v>
      </c>
      <c r="N8" s="5" t="s">
        <v>37</v>
      </c>
      <c r="O8" s="5" t="s">
        <v>424</v>
      </c>
    </row>
    <row r="9" spans="1:16" x14ac:dyDescent="0.35">
      <c r="A9" s="5">
        <v>3</v>
      </c>
      <c r="B9" s="5" t="str">
        <f t="shared" si="0"/>
        <v>I.3</v>
      </c>
      <c r="C9" s="69" t="s">
        <v>186</v>
      </c>
      <c r="D9" s="40" t="s">
        <v>189</v>
      </c>
      <c r="E9" s="35" t="s">
        <v>36</v>
      </c>
      <c r="F9" s="5" t="s">
        <v>37</v>
      </c>
      <c r="G9" s="5" t="s">
        <v>37</v>
      </c>
      <c r="H9" s="68" t="s">
        <v>37</v>
      </c>
      <c r="I9" s="35" t="s">
        <v>10</v>
      </c>
      <c r="J9" s="5" t="s">
        <v>37</v>
      </c>
      <c r="K9" s="5" t="s">
        <v>37</v>
      </c>
      <c r="L9" s="5" t="s">
        <v>37</v>
      </c>
      <c r="M9" s="5" t="s">
        <v>37</v>
      </c>
      <c r="N9" s="5" t="s">
        <v>37</v>
      </c>
    </row>
    <row r="10" spans="1:16" ht="29" x14ac:dyDescent="0.35">
      <c r="A10" s="5">
        <v>4</v>
      </c>
      <c r="B10" s="5" t="str">
        <f t="shared" si="0"/>
        <v>I.4</v>
      </c>
      <c r="C10" s="69" t="s">
        <v>186</v>
      </c>
      <c r="D10" s="5" t="s">
        <v>190</v>
      </c>
      <c r="E10" s="35" t="s">
        <v>34</v>
      </c>
      <c r="F10" s="5" t="s">
        <v>37</v>
      </c>
      <c r="G10" s="5" t="s">
        <v>37</v>
      </c>
      <c r="H10" s="68" t="s">
        <v>37</v>
      </c>
      <c r="I10" s="35" t="s">
        <v>10</v>
      </c>
      <c r="J10" s="5" t="s">
        <v>37</v>
      </c>
      <c r="K10" s="5" t="s">
        <v>37</v>
      </c>
      <c r="L10" s="5" t="s">
        <v>37</v>
      </c>
      <c r="M10" s="5" t="s">
        <v>37</v>
      </c>
      <c r="N10" s="5" t="s">
        <v>37</v>
      </c>
      <c r="O10" s="35"/>
    </row>
  </sheetData>
  <autoFilter ref="A6:P6" xr:uid="{00000000-0009-0000-0000-00001E000000}"/>
  <conditionalFormatting sqref="C11:C1048576">
    <cfRule type="cellIs" dxfId="36" priority="17" operator="equal">
      <formula>"WIP (see comments)"</formula>
    </cfRule>
    <cfRule type="cellIs" dxfId="35" priority="18" operator="equal">
      <formula>"Removed"</formula>
    </cfRule>
    <cfRule type="cellIs" dxfId="34" priority="19" operator="equal">
      <formula>"Updated"</formula>
    </cfRule>
    <cfRule type="cellIs" dxfId="33" priority="20" operator="equal">
      <formula>"New"</formula>
    </cfRule>
  </conditionalFormatting>
  <conditionalFormatting sqref="A2:XFD2 A11:XFD1048576 A1:C1 E1:XFD1 A4:XFD6 A3:C3 E3:XFD3">
    <cfRule type="cellIs" dxfId="32" priority="16" operator="equal">
      <formula>"n/a"</formula>
    </cfRule>
  </conditionalFormatting>
  <conditionalFormatting sqref="D9">
    <cfRule type="cellIs" dxfId="31" priority="15" operator="equal">
      <formula>"-"</formula>
    </cfRule>
  </conditionalFormatting>
  <conditionalFormatting sqref="A8:B9 D9:XFD9 E8:N8 P8:XFD8">
    <cfRule type="cellIs" dxfId="30" priority="14" operator="equal">
      <formula>"n/a"</formula>
    </cfRule>
  </conditionalFormatting>
  <conditionalFormatting sqref="C7:C10">
    <cfRule type="cellIs" dxfId="29" priority="10" operator="equal">
      <formula>"WIP (see comments)"</formula>
    </cfRule>
    <cfRule type="cellIs" dxfId="28" priority="11" operator="equal">
      <formula>"Removed"</formula>
    </cfRule>
    <cfRule type="cellIs" dxfId="27" priority="12" operator="equal">
      <formula>"Updated"</formula>
    </cfRule>
    <cfRule type="cellIs" dxfId="26" priority="13" operator="equal">
      <formula>"New"</formula>
    </cfRule>
  </conditionalFormatting>
  <conditionalFormatting sqref="A7:XFD7 C8:C10">
    <cfRule type="cellIs" dxfId="25" priority="9" operator="equal">
      <formula>"n/a"</formula>
    </cfRule>
  </conditionalFormatting>
  <conditionalFormatting sqref="A10:B10 D10 F10:XFD10">
    <cfRule type="cellIs" dxfId="24" priority="8" operator="equal">
      <formula>"n/a"</formula>
    </cfRule>
  </conditionalFormatting>
  <conditionalFormatting sqref="E10">
    <cfRule type="cellIs" dxfId="23" priority="6" operator="equal">
      <formula>"n/a"</formula>
    </cfRule>
  </conditionalFormatting>
  <conditionalFormatting sqref="O8">
    <cfRule type="cellIs" dxfId="22" priority="5" operator="equal">
      <formula>"n/a"</formula>
    </cfRule>
  </conditionalFormatting>
  <conditionalFormatting sqref="D1">
    <cfRule type="cellIs" dxfId="21" priority="4" operator="equal">
      <formula>"n/a"</formula>
    </cfRule>
  </conditionalFormatting>
  <conditionalFormatting sqref="D8">
    <cfRule type="cellIs" dxfId="20" priority="3" operator="equal">
      <formula>"-"</formula>
    </cfRule>
  </conditionalFormatting>
  <conditionalFormatting sqref="D8">
    <cfRule type="cellIs" dxfId="19" priority="2" operator="equal">
      <formula>"n/a"</formula>
    </cfRule>
  </conditionalFormatting>
  <conditionalFormatting sqref="D3">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C7:C1048576</xm:sqref>
        </x14:dataValidation>
        <x14:dataValidation type="list" allowBlank="1" showInputMessage="1" showErrorMessage="1" xr:uid="{00000000-0002-0000-1E00-000001000000}">
          <x14:formula1>
            <xm:f>'List Values'!$A$5:$A$30</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1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9.26953125" style="79" customWidth="1"/>
    <col min="4" max="4" width="45.1796875" style="5" customWidth="1"/>
    <col min="5" max="5" width="28.7265625" style="5" customWidth="1"/>
    <col min="6" max="6" width="37" style="5" customWidth="1"/>
    <col min="7" max="7" width="29.26953125" style="5" customWidth="1"/>
    <col min="8" max="8" width="11.54296875" style="7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343</v>
      </c>
      <c r="C1" s="27"/>
      <c r="D1" s="24"/>
      <c r="H1" s="30"/>
    </row>
    <row r="2" spans="1:16" s="25" customFormat="1" ht="18.5" x14ac:dyDescent="0.35">
      <c r="A2" s="23" t="s">
        <v>7</v>
      </c>
      <c r="B2" s="31" t="s">
        <v>342</v>
      </c>
      <c r="C2" s="30"/>
      <c r="D2" s="31"/>
      <c r="H2" s="30"/>
    </row>
    <row r="3" spans="1:16" s="25" customFormat="1" ht="18.5" x14ac:dyDescent="0.35">
      <c r="A3" s="23" t="s">
        <v>44</v>
      </c>
      <c r="B3" s="31" t="s">
        <v>344</v>
      </c>
      <c r="C3" s="30"/>
      <c r="D3" s="31" t="s">
        <v>428</v>
      </c>
      <c r="H3" s="30"/>
    </row>
    <row r="4" spans="1:16" s="25" customFormat="1" ht="18.5" x14ac:dyDescent="0.35">
      <c r="A4" s="23" t="s">
        <v>8</v>
      </c>
      <c r="B4" s="25" t="s">
        <v>223</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1" si="0">CONCATENATE($B$2, ".", A7)</f>
        <v>J.1</v>
      </c>
      <c r="C7" s="79" t="s">
        <v>40</v>
      </c>
      <c r="D7" s="35" t="s">
        <v>339</v>
      </c>
      <c r="E7" s="35" t="s">
        <v>115</v>
      </c>
      <c r="F7" s="5" t="s">
        <v>37</v>
      </c>
      <c r="G7" s="5" t="s">
        <v>37</v>
      </c>
      <c r="H7" s="79" t="s">
        <v>37</v>
      </c>
      <c r="I7" s="35" t="s">
        <v>10</v>
      </c>
      <c r="J7" s="5" t="s">
        <v>37</v>
      </c>
      <c r="K7" s="5" t="s">
        <v>37</v>
      </c>
      <c r="L7" s="5" t="s">
        <v>37</v>
      </c>
      <c r="M7" s="5" t="s">
        <v>37</v>
      </c>
      <c r="N7" s="5" t="s">
        <v>37</v>
      </c>
      <c r="O7" s="5" t="s">
        <v>340</v>
      </c>
      <c r="P7" s="5" t="s">
        <v>341</v>
      </c>
    </row>
    <row r="8" spans="1:16" x14ac:dyDescent="0.35">
      <c r="A8" s="5">
        <v>2</v>
      </c>
      <c r="B8" s="5" t="str">
        <f t="shared" si="0"/>
        <v>J.2</v>
      </c>
      <c r="C8" s="79" t="s">
        <v>38</v>
      </c>
      <c r="D8" s="35" t="s">
        <v>427</v>
      </c>
      <c r="E8" s="35" t="s">
        <v>116</v>
      </c>
      <c r="F8" s="5" t="s">
        <v>37</v>
      </c>
      <c r="G8" s="5" t="s">
        <v>37</v>
      </c>
      <c r="H8" s="79" t="s">
        <v>37</v>
      </c>
      <c r="I8" s="35" t="s">
        <v>10</v>
      </c>
      <c r="J8" s="5" t="s">
        <v>37</v>
      </c>
      <c r="K8" s="5" t="s">
        <v>37</v>
      </c>
      <c r="L8" s="5" t="s">
        <v>37</v>
      </c>
      <c r="M8" s="5" t="s">
        <v>37</v>
      </c>
      <c r="N8" s="5" t="s">
        <v>37</v>
      </c>
      <c r="P8" s="5" t="s">
        <v>409</v>
      </c>
    </row>
    <row r="9" spans="1:16" ht="122.5" customHeight="1" x14ac:dyDescent="0.35">
      <c r="A9" s="5">
        <v>3</v>
      </c>
      <c r="B9" s="5" t="str">
        <f t="shared" si="0"/>
        <v>J.3</v>
      </c>
      <c r="C9" s="82" t="s">
        <v>38</v>
      </c>
      <c r="D9" s="76" t="s">
        <v>535</v>
      </c>
      <c r="E9" s="35" t="s">
        <v>34</v>
      </c>
      <c r="F9" s="5" t="s">
        <v>37</v>
      </c>
      <c r="G9" s="5" t="s">
        <v>37</v>
      </c>
      <c r="H9" s="79" t="s">
        <v>37</v>
      </c>
      <c r="I9" s="35" t="s">
        <v>10</v>
      </c>
      <c r="J9" s="5" t="s">
        <v>37</v>
      </c>
      <c r="K9" s="5" t="s">
        <v>37</v>
      </c>
      <c r="L9" s="5" t="s">
        <v>37</v>
      </c>
      <c r="M9" s="5" t="s">
        <v>37</v>
      </c>
      <c r="N9" s="5" t="s">
        <v>37</v>
      </c>
      <c r="O9" s="5" t="s">
        <v>424</v>
      </c>
      <c r="P9" s="5" t="s">
        <v>449</v>
      </c>
    </row>
    <row r="10" spans="1:16" x14ac:dyDescent="0.35">
      <c r="A10" s="5">
        <v>4</v>
      </c>
      <c r="B10" s="5" t="str">
        <f t="shared" si="0"/>
        <v>J.4</v>
      </c>
      <c r="C10" s="79" t="s">
        <v>40</v>
      </c>
      <c r="D10" s="40" t="s">
        <v>189</v>
      </c>
      <c r="E10" s="35" t="s">
        <v>36</v>
      </c>
      <c r="F10" s="5" t="s">
        <v>37</v>
      </c>
      <c r="G10" s="5" t="s">
        <v>37</v>
      </c>
      <c r="H10" s="79" t="s">
        <v>37</v>
      </c>
      <c r="I10" s="35" t="s">
        <v>10</v>
      </c>
      <c r="J10" s="5" t="s">
        <v>37</v>
      </c>
      <c r="K10" s="5" t="s">
        <v>37</v>
      </c>
      <c r="L10" s="5" t="s">
        <v>37</v>
      </c>
      <c r="M10" s="5" t="s">
        <v>37</v>
      </c>
      <c r="N10" s="5" t="s">
        <v>37</v>
      </c>
    </row>
    <row r="11" spans="1:16" ht="29" x14ac:dyDescent="0.35">
      <c r="A11" s="5">
        <v>5</v>
      </c>
      <c r="B11" s="5" t="str">
        <f t="shared" si="0"/>
        <v>J.5</v>
      </c>
      <c r="C11" s="79" t="s">
        <v>40</v>
      </c>
      <c r="D11" s="5" t="s">
        <v>190</v>
      </c>
      <c r="E11" s="35" t="s">
        <v>34</v>
      </c>
      <c r="F11" s="5" t="s">
        <v>37</v>
      </c>
      <c r="G11" s="5" t="s">
        <v>37</v>
      </c>
      <c r="H11" s="79" t="s">
        <v>37</v>
      </c>
      <c r="I11" s="35" t="s">
        <v>10</v>
      </c>
      <c r="J11" s="5" t="s">
        <v>37</v>
      </c>
      <c r="K11" s="5" t="s">
        <v>37</v>
      </c>
      <c r="L11" s="5" t="s">
        <v>37</v>
      </c>
      <c r="M11" s="5" t="s">
        <v>37</v>
      </c>
      <c r="N11" s="5" t="s">
        <v>37</v>
      </c>
      <c r="O11" s="35"/>
    </row>
  </sheetData>
  <autoFilter ref="A6:P6" xr:uid="{00000000-0009-0000-0000-00001F000000}"/>
  <conditionalFormatting sqref="C12:C1048576">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A2:XFD6 A12:XFD1048576 A1:C1 E1:XFD1">
    <cfRule type="cellIs" dxfId="13" priority="14" operator="equal">
      <formula>"n/a"</formula>
    </cfRule>
  </conditionalFormatting>
  <conditionalFormatting sqref="D10">
    <cfRule type="cellIs" dxfId="12" priority="13" operator="equal">
      <formula>"-"</formula>
    </cfRule>
  </conditionalFormatting>
  <conditionalFormatting sqref="A9:B10 D10:XFD10 E9:N9 P9:XFD9">
    <cfRule type="cellIs" dxfId="11" priority="12" operator="equal">
      <formula>"n/a"</formula>
    </cfRule>
  </conditionalFormatting>
  <conditionalFormatting sqref="C7:C11">
    <cfRule type="cellIs" dxfId="10" priority="8" operator="equal">
      <formula>"WIP (see comments)"</formula>
    </cfRule>
    <cfRule type="cellIs" dxfId="9" priority="9" operator="equal">
      <formula>"Removed"</formula>
    </cfRule>
    <cfRule type="cellIs" dxfId="8" priority="10" operator="equal">
      <formula>"Updated"</formula>
    </cfRule>
    <cfRule type="cellIs" dxfId="7" priority="11" operator="equal">
      <formula>"New"</formula>
    </cfRule>
  </conditionalFormatting>
  <conditionalFormatting sqref="A7:XFD8 C8:C11">
    <cfRule type="cellIs" dxfId="6" priority="7" operator="equal">
      <formula>"n/a"</formula>
    </cfRule>
  </conditionalFormatting>
  <conditionalFormatting sqref="A11:B11 D11 F11:XFD11">
    <cfRule type="cellIs" dxfId="5" priority="6" operator="equal">
      <formula>"n/a"</formula>
    </cfRule>
  </conditionalFormatting>
  <conditionalFormatting sqref="E11">
    <cfRule type="cellIs" dxfId="4" priority="5" operator="equal">
      <formula>"n/a"</formula>
    </cfRule>
  </conditionalFormatting>
  <conditionalFormatting sqref="O9">
    <cfRule type="cellIs" dxfId="3" priority="4" operator="equal">
      <formula>"n/a"</formula>
    </cfRule>
  </conditionalFormatting>
  <conditionalFormatting sqref="D1">
    <cfRule type="cellIs" dxfId="2" priority="3" operator="equal">
      <formula>"n/a"</formula>
    </cfRule>
  </conditionalFormatting>
  <conditionalFormatting sqref="D9">
    <cfRule type="cellIs" dxfId="1" priority="2" operator="equal">
      <formula>"-"</formula>
    </cfRule>
  </conditionalFormatting>
  <conditionalFormatting sqref="D9">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0000000}">
          <x14:formula1>
            <xm:f>'List Values'!$A$5:$A$30</xm:f>
          </x14:formula1>
          <xm:sqref>E7:E1048576</xm:sqref>
        </x14:dataValidation>
        <x14:dataValidation type="list" allowBlank="1" showInputMessage="1" showErrorMessage="1" xr:uid="{00000000-0002-0000-1F00-000001000000}">
          <x14:formula1>
            <xm:f>'List Values'!$B$5:$B$13</xm:f>
          </x14:formula1>
          <xm:sqref>C7:C1048576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873DF4-A2F2-46E7-AEB7-94876694B737}">
  <ds:schemaRefs>
    <ds:schemaRef ds:uri="http://www.w3.org/XML/1998/namespace"/>
    <ds:schemaRef ds:uri="http://purl.org/dc/elements/1.1/"/>
    <ds:schemaRef ds:uri="http://schemas.microsoft.com/office/2006/metadata/properties"/>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sharepoint/v4"/>
  </ds:schemaRefs>
</ds:datastoreItem>
</file>

<file path=customXml/itemProps2.xml><?xml version="1.0" encoding="utf-8"?>
<ds:datastoreItem xmlns:ds="http://schemas.openxmlformats.org/officeDocument/2006/customXml" ds:itemID="{C4A46770-59BB-4515-9E7E-32BFE232DB8D}"/>
</file>

<file path=customXml/itemProps3.xml><?xml version="1.0" encoding="utf-8"?>
<ds:datastoreItem xmlns:ds="http://schemas.openxmlformats.org/officeDocument/2006/customXml" ds:itemID="{6FBFEE26-D9EA-4C5A-92F5-F1DF9C7FFD9B}">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Revision Control</vt:lpstr>
      <vt:lpstr>List Values</vt:lpstr>
      <vt:lpstr>1. Entry Page</vt:lpstr>
      <vt:lpstr>2. Landing Page</vt:lpstr>
      <vt:lpstr>3. Existing Cust. Check</vt:lpstr>
      <vt:lpstr>DEPRECATED Okta login</vt:lpstr>
      <vt:lpstr>4. Contact Info</vt:lpstr>
      <vt:lpstr>4a. Mobile Verify</vt:lpstr>
      <vt:lpstr>5. Qualifying Questions</vt:lpstr>
      <vt:lpstr>6. IDScan</vt:lpstr>
      <vt:lpstr>7. Name &amp; Address</vt:lpstr>
      <vt:lpstr>DEPRECATED Address</vt:lpstr>
      <vt:lpstr>8. Birthday, SIN &amp; Occ.</vt:lpstr>
      <vt:lpstr>9. Security Question</vt:lpstr>
      <vt:lpstr>10. eConsent</vt:lpstr>
      <vt:lpstr>10a. Lending Declined</vt:lpstr>
      <vt:lpstr>11. Alternate IDV</vt:lpstr>
      <vt:lpstr>12. Flinks</vt:lpstr>
      <vt:lpstr>13. Manual IDV</vt:lpstr>
      <vt:lpstr>14. Lending Disclosure</vt:lpstr>
      <vt:lpstr>DEPRECATED Dynamic Disclosures</vt:lpstr>
      <vt:lpstr>DEPRECATED Account Options</vt:lpstr>
      <vt:lpstr>A. Generic Error</vt:lpstr>
      <vt:lpstr>DEPRECATED Manual Review</vt:lpstr>
      <vt:lpstr>DEPRECATED Decline</vt:lpstr>
      <vt:lpstr>D. Cancel</vt:lpstr>
      <vt:lpstr>E. Save</vt:lpstr>
      <vt:lpstr>F. Resume</vt:lpstr>
      <vt:lpstr>G. Time Out</vt:lpstr>
      <vt:lpstr>H. Progress</vt:lpstr>
      <vt:lpstr>I. Previously Submitted</vt:lpstr>
      <vt:lpstr>J. Submission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2021-07-20T20:34:40Z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