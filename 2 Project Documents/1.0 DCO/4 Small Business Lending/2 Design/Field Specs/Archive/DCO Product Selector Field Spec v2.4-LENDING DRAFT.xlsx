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filterPrivacy="1"/>
  <xr:revisionPtr revIDLastSave="0" documentId="13_ncr:1_{201F49CF-B680-40B4-A20A-8407BFE1AFEF}" xr6:coauthVersionLast="46" xr6:coauthVersionMax="46" xr10:uidLastSave="{00000000-0000-0000-0000-000000000000}"/>
  <bookViews>
    <workbookView xWindow="-110" yWindow="-110" windowWidth="19420" windowHeight="10420" tabRatio="830" activeTab="9" xr2:uid="{00000000-000D-0000-FFFF-FFFF00000000}"/>
  </bookViews>
  <sheets>
    <sheet name="Revision Control" sheetId="1" r:id="rId1"/>
    <sheet name="List Values" sheetId="3" r:id="rId2"/>
    <sheet name="DEPRECATED Welcome-Business" sheetId="62" state="hidden" r:id="rId3"/>
    <sheet name="OOS Question SB1" sheetId="53" state="hidden" r:id="rId4"/>
    <sheet name="OOS Question SB2" sheetId="59" state="hidden" r:id="rId5"/>
    <sheet name="2. Account Selection" sheetId="54" r:id="rId6"/>
    <sheet name="DEPRECATED Account Details" sheetId="58" state="hidden" r:id="rId7"/>
    <sheet name="OOS Question SB3" sheetId="60" state="hidden" r:id="rId8"/>
    <sheet name="OOS Question SB4" sheetId="61" state="hidden" r:id="rId9"/>
    <sheet name="3. Service Selection" sheetId="63" r:id="rId10"/>
    <sheet name="DEPRECATED Service Details" sheetId="64" state="hidden"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12" hidden="1">'1a. Welcome-Personal'!$A$6:$P$6</definedName>
    <definedName name="_xlnm._FilterDatabase" localSheetId="5" hidden="1">'2. Account Selection'!$A$6:$P$6</definedName>
    <definedName name="_xlnm._FilterDatabase" localSheetId="9" hidden="1">'3. Service Selection'!$A$6:$P$6</definedName>
    <definedName name="_xlnm._FilterDatabase" localSheetId="11" hidden="1">'4. Product Review'!$A$6:$P$6</definedName>
    <definedName name="_xlnm._FilterDatabase" localSheetId="6" hidden="1">'DEPRECATED Account Details'!$A$6:$P$6</definedName>
    <definedName name="_xlnm._FilterDatabase" localSheetId="10" hidden="1">'DEPRECATED Service Details'!$A$6:$P$6</definedName>
    <definedName name="_xlnm._FilterDatabase" localSheetId="2" hidden="1">'DEPRECATED Welcome-Business'!$A$6:$P$6</definedName>
    <definedName name="_xlnm._FilterDatabase" localSheetId="3" hidden="1">'OOS Question SB1'!$A$6:$P$6</definedName>
    <definedName name="_xlnm._FilterDatabase" localSheetId="4" hidden="1">'OOS Question SB2'!$A$6:$P$6</definedName>
    <definedName name="_xlnm._FilterDatabase" localSheetId="7" hidden="1">'OOS Question SB3'!$A$6:$P$6</definedName>
    <definedName name="_xlnm._FilterDatabase" localSheetId="8" hidden="1">'OOS Question SB4'!$A$6:$P$6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57" l="1"/>
  <c r="B13" i="63" l="1"/>
  <c r="B28" i="54" l="1"/>
  <c r="B31" i="57"/>
  <c r="B27" i="57"/>
  <c r="B19" i="57"/>
  <c r="B18" i="57"/>
  <c r="B17" i="57"/>
  <c r="B16" i="57"/>
  <c r="B15" i="57"/>
  <c r="B14" i="57"/>
  <c r="B23" i="63"/>
  <c r="B22" i="63"/>
  <c r="B21" i="63"/>
  <c r="B20" i="63"/>
  <c r="B15" i="63"/>
  <c r="B14" i="54" l="1"/>
  <c r="B16" i="63" l="1"/>
  <c r="B27" i="63"/>
  <c r="B26" i="63"/>
  <c r="B20" i="54" l="1"/>
  <c r="B19" i="54"/>
  <c r="B18" i="54"/>
  <c r="B17" i="54"/>
  <c r="B8" i="57" l="1"/>
  <c r="B7" i="57"/>
  <c r="B8" i="63"/>
  <c r="B7" i="63"/>
  <c r="B8" i="54"/>
  <c r="B7" i="54"/>
  <c r="B8" i="62"/>
  <c r="B15" i="62" l="1"/>
  <c r="B14" i="62"/>
  <c r="B29" i="63" l="1"/>
  <c r="B28" i="63"/>
  <c r="B33" i="57" l="1"/>
  <c r="B26" i="57"/>
  <c r="B22" i="57" l="1"/>
  <c r="B36" i="57"/>
  <c r="B12" i="63" l="1"/>
  <c r="B11" i="63"/>
  <c r="B15" i="58"/>
  <c r="B16" i="58" l="1"/>
  <c r="B26" i="54" l="1"/>
  <c r="B27" i="54"/>
  <c r="B25" i="54"/>
  <c r="B10" i="62" l="1"/>
  <c r="B13" i="62"/>
  <c r="B24" i="54" l="1"/>
  <c r="B32" i="57" l="1"/>
  <c r="B30" i="57"/>
  <c r="B29" i="57"/>
  <c r="B13" i="64"/>
  <c r="B12" i="64"/>
  <c r="B11" i="64"/>
  <c r="B10" i="64"/>
  <c r="B9" i="64"/>
  <c r="B8" i="64"/>
  <c r="B7" i="64"/>
  <c r="B24" i="63"/>
  <c r="B19" i="63"/>
  <c r="B18" i="63"/>
  <c r="B9" i="63"/>
  <c r="B12" i="62" l="1"/>
  <c r="B11" i="62"/>
  <c r="B9"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2" i="57" l="1"/>
  <c r="B13" i="57"/>
  <c r="B20" i="57"/>
  <c r="B21" i="57"/>
  <c r="B11" i="54"/>
  <c r="B10" i="54"/>
  <c r="B9" i="54"/>
  <c r="B17" i="58"/>
  <c r="B14" i="58"/>
  <c r="B11" i="58"/>
  <c r="B10" i="58"/>
  <c r="B8" i="58"/>
  <c r="B7" i="58"/>
  <c r="B21" i="54"/>
  <c r="B13" i="54"/>
  <c r="B22" i="54"/>
  <c r="B15" i="54"/>
  <c r="B35" i="57"/>
  <c r="B25" i="57"/>
  <c r="B24" i="57"/>
  <c r="B8" i="55"/>
  <c r="B7" i="55"/>
  <c r="B16"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tc={BB964707-2791-4B57-9F34-FF05A17E4320}</author>
  </authors>
  <commentList>
    <comment ref="D13" authorId="0" shapeId="0" xr:uid="{BB964707-2791-4B57-9F34-FF05A17E4320}">
      <text>
        <t>[Threaded comment]
Your version of Excel allows you to read this threaded comment; however, any edits to it will get removed if the file is opened in a newer version of Excel. Learn more: https://go.microsoft.com/fwlink/?linkid=870924
Comment:
    Line of Credit</t>
      </text>
    </comment>
  </commentList>
</comments>
</file>

<file path=xl/sharedStrings.xml><?xml version="1.0" encoding="utf-8"?>
<sst xmlns="http://schemas.openxmlformats.org/spreadsheetml/2006/main" count="2858" uniqueCount="335">
  <si>
    <t>Motive Digital Client Onboarding (DCO)</t>
  </si>
  <si>
    <t>Steve Kelcher</t>
  </si>
  <si>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</si>
  <si>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</si>
  <si>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</si>
  <si>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</si>
  <si>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</si>
  <si>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</si>
  <si>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</si>
  <si>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</si>
  <si>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</si>
  <si>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</si>
  <si>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</si>
  <si>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</si>
  <si>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</si>
  <si>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</si>
  <si>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</si>
  <si>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</si>
  <si>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</si>
  <si>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</si>
  <si>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</si>
  <si>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</si>
  <si>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</si>
  <si>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</si>
  <si>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</si>
  <si>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</si>
  <si>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</si>
  <si>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</si>
  <si>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</si>
  <si>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</si>
  <si>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</si>
  <si>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</si>
  <si>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</si>
  <si>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</si>
  <si>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</si>
  <si>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</si>
  <si>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</si>
  <si>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</si>
  <si>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</si>
  <si>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</si>
  <si>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</si>
  <si>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</si>
  <si>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</si>
  <si>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</si>
  <si>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</si>
  <si>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</si>
  <si>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</si>
  <si>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</si>
  <si>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</si>
  <si>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</si>
  <si>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</si>
  <si>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</si>
  <si>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</si>
  <si>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</si>
  <si>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Always</t>
  </si>
  <si>
    <t>n/a</t>
  </si>
  <si>
    <t>Next</t>
  </si>
  <si>
    <t>Back</t>
  </si>
  <si>
    <t>Flinks Widget</t>
  </si>
  <si>
    <t>Dynamic Text</t>
  </si>
  <si>
    <t>Funding Form Field Specification - List Values</t>
  </si>
  <si>
    <t>Reviewed By</t>
  </si>
  <si>
    <t>Product Selector Field Specification - Revision Control Form</t>
  </si>
  <si>
    <t>1.0</t>
  </si>
  <si>
    <t>Initial design created</t>
  </si>
  <si>
    <t>Welcome to CWB Personal Accounts</t>
  </si>
  <si>
    <t>Welcome Page</t>
  </si>
  <si>
    <t>Only for personal banking applicants (not for small business)</t>
  </si>
  <si>
    <t>We're committed to finding the right account for you</t>
  </si>
  <si>
    <t>Let's start with your name.  How would you like us to refer to you?</t>
  </si>
  <si>
    <t>Your first name (optional)</t>
  </si>
  <si>
    <t>Alphanumeric (plus special chars)</t>
  </si>
  <si>
    <t>[Blank value]</t>
  </si>
  <si>
    <t>No</t>
  </si>
  <si>
    <t>Permit blank values, all alphanumeric characters, plus the following:
‘ ( ) + , - . / : ? &amp;</t>
  </si>
  <si>
    <t>Please provide a valid first name</t>
  </si>
  <si>
    <t>Help me choose</t>
  </si>
  <si>
    <t>Let me choose on my own</t>
  </si>
  <si>
    <r>
      <t xml:space="preserve">On click…
Navigate to </t>
    </r>
    <r>
      <rPr>
        <b/>
        <sz val="11"/>
        <color theme="1"/>
        <rFont val="Calibri"/>
        <family val="2"/>
        <scheme val="minor"/>
      </rPr>
      <t>Question P1</t>
    </r>
    <r>
      <rPr>
        <sz val="11"/>
        <color theme="1"/>
        <rFont val="Calibri"/>
        <family val="2"/>
        <scheme val="minor"/>
      </rPr>
      <t xml:space="preserve"> page</t>
    </r>
  </si>
  <si>
    <r>
      <t xml:space="preserve">On click...
Navigate to </t>
    </r>
    <r>
      <rPr>
        <b/>
        <sz val="11"/>
        <color theme="1"/>
        <rFont val="Calibri"/>
        <family val="2"/>
        <scheme val="minor"/>
      </rPr>
      <t>Account Selection</t>
    </r>
    <r>
      <rPr>
        <sz val="11"/>
        <color theme="1"/>
        <rFont val="Calibri"/>
        <family val="2"/>
        <scheme val="minor"/>
      </rPr>
      <t xml:space="preserve"> page</t>
    </r>
  </si>
  <si>
    <t>Question P1 (Personal)</t>
  </si>
  <si>
    <t>Only for personal banking applicants who have opted for guided product selection</t>
  </si>
  <si>
    <t>Q-P1</t>
  </si>
  <si>
    <t>Helping you choose</t>
  </si>
  <si>
    <t>Kelvin to provide image asset for this field</t>
  </si>
  <si>
    <t>What do you want to do with your money?</t>
  </si>
  <si>
    <t>Radio button</t>
  </si>
  <si>
    <t>Radio button tile</t>
  </si>
  <si>
    <t>[Icon Image]
I want to save</t>
  </si>
  <si>
    <t>a) Selected
b) Unselected</t>
  </si>
  <si>
    <t>b) Unselected</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</si>
  <si>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</si>
  <si>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</si>
  <si>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</si>
  <si>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</si>
  <si>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Display image "[TBD]"</t>
  </si>
  <si>
    <t>Question P2 (Personal)</t>
  </si>
  <si>
    <t>Q-P2</t>
  </si>
  <si>
    <t>New page pending approval</t>
  </si>
  <si>
    <t>[Image asset - progress indicator]</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</si>
  <si>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</si>
  <si>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</si>
  <si>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</si>
  <si>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</si>
  <si>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</si>
  <si>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</si>
  <si>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</si>
  <si>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</si>
  <si>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</si>
  <si>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</si>
  <si>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</si>
  <si>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</si>
  <si>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t>Question P4 (Personal)</t>
  </si>
  <si>
    <t>Q-P4</t>
  </si>
  <si>
    <t>[Icon Image]
Less than $1,000</t>
  </si>
  <si>
    <t>[Icon Image]
$3,000 or more</t>
  </si>
  <si>
    <t>[Icon Image]
Between $1,000 and $2,999</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</si>
  <si>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</si>
  <si>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</si>
  <si>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</si>
  <si>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</si>
  <si>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</si>
  <si>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</si>
  <si>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</si>
  <si>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</si>
  <si>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</si>
  <si>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</si>
  <si>
    <t>Radio button tile group for multiple choice answers (one clickable tile per answer, mutually exclusive selection)</t>
  </si>
  <si>
    <t>Question SB1 (Small Bus.)</t>
  </si>
  <si>
    <t>Q-SB1</t>
  </si>
  <si>
    <t>[Question text TBD]</t>
  </si>
  <si>
    <t>[Icon Image]
[Answer TBD]</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</si>
  <si>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</si>
  <si>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</si>
  <si>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</si>
  <si>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t>Account Selection</t>
  </si>
  <si>
    <t>Overlay P3a (under age)</t>
  </si>
  <si>
    <t>P3a</t>
  </si>
  <si>
    <t>New modal overlay pending approval</t>
  </si>
  <si>
    <t>Name</t>
  </si>
  <si>
    <t>Okay</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</si>
  <si>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</si>
  <si>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</si>
  <si>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</si>
  <si>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</si>
  <si>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</si>
  <si>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&lt;&lt;Product_Catalogue.Product_Image&gt;&gt;</t>
  </si>
  <si>
    <t>&lt;&lt;Product_Catalogue.Product_Name&gt;&gt;</t>
  </si>
  <si>
    <t>&lt;&lt;Product_Catalogue.Tag_Line&gt;&gt;</t>
  </si>
  <si>
    <t>Explore our accounts</t>
  </si>
  <si>
    <t>[Image - Chequing]</t>
  </si>
  <si>
    <t>[Image - Savings]</t>
  </si>
  <si>
    <t>[Product attribute 1 - TBD]</t>
  </si>
  <si>
    <t>[Product attribute 2 - TBD]</t>
  </si>
  <si>
    <t>[Product attribute N - TBD]</t>
  </si>
  <si>
    <t>Remove</t>
  </si>
  <si>
    <t>Total monthly fixed fees: $&lt;&lt;fee total&gt;&gt;</t>
  </si>
  <si>
    <t>&lt;&lt;fee total&gt;&gt; should be calculated as the sum of all monthly fees (&lt;&lt;Product_Catalogue.Monthly_Fee&gt;&gt;) of the selected product instances</t>
  </si>
  <si>
    <t>Account Details</t>
  </si>
  <si>
    <t>Close</t>
  </si>
  <si>
    <t>On click…
Close the overlay</t>
  </si>
  <si>
    <t>* Additional transaction fees may apply</t>
  </si>
  <si>
    <t>What is the lowest balance you can comfortably keep in your account to avoid fees?</t>
  </si>
  <si>
    <t>2.0</t>
  </si>
  <si>
    <t>Business banking transactions</t>
  </si>
  <si>
    <t>Who do you need to pay?</t>
  </si>
  <si>
    <t>Q-SB2</t>
  </si>
  <si>
    <t>Q-SB3</t>
  </si>
  <si>
    <t>How do you want to get paid?</t>
  </si>
  <si>
    <t>Q-SB4</t>
  </si>
  <si>
    <t>1a</t>
  </si>
  <si>
    <t>3a</t>
  </si>
  <si>
    <t>Service Details (cash management products/services)</t>
  </si>
  <si>
    <t>Only if additional product/service selected</t>
  </si>
  <si>
    <t>Only for business banking applicants</t>
  </si>
  <si>
    <t>CWBSB-200</t>
  </si>
  <si>
    <t>2a</t>
  </si>
  <si>
    <t>CWBSB-204</t>
  </si>
  <si>
    <t>CWBSB-511</t>
  </si>
  <si>
    <t>CWBSB-201</t>
  </si>
  <si>
    <t>Product Review (Summary)</t>
  </si>
  <si>
    <t>CWBSB-199</t>
  </si>
  <si>
    <t>We're committed to finding the right banking solutions for your business</t>
  </si>
  <si>
    <t>How would you like to choose your solutions today?</t>
  </si>
  <si>
    <t>Text and image</t>
  </si>
  <si>
    <t>Refer to CWB design system for image asset</t>
  </si>
  <si>
    <t>Render button with 'help me choose' image
On click…
Navigate to Question SB1 page (guided questionnaire)</t>
  </si>
  <si>
    <t>Render button with 'let me choose on my own' image
On click...
Navigate to Account Selection page CWBSB-200 (self-selection)</t>
  </si>
  <si>
    <t>We can assist with some recommendations - just select "Help me choose". If you prefer to browse our solutions yourself, select "Let me choose on my own".</t>
  </si>
  <si>
    <t>Welcome Page (Business)</t>
  </si>
  <si>
    <t>Ian Hicks</t>
  </si>
  <si>
    <t>Digital Team, incl. UX</t>
  </si>
  <si>
    <t>Conditional-omit if null value for Product Catalogue attribute "Monthly Free Transactions"</t>
  </si>
  <si>
    <t>Monthly fee $&lt;&lt;Product_Catalogue.Monthly_Fee&gt;&gt;</t>
  </si>
  <si>
    <t>&lt;&lt;Product_Catalogue.Configurable_Feature_1&gt;&gt;</t>
  </si>
  <si>
    <t>&lt;&lt;Product_Catalogue.Configurable_Feature_2&gt;&gt;</t>
  </si>
  <si>
    <t>Conditional-omit if null value for Product Catalogue attribute "Configurable feature 1"</t>
  </si>
  <si>
    <t>Conditional-omit if null value for Product Catalogue attribute "Configurable feature 2"</t>
  </si>
  <si>
    <t>Render as bullet point (see wireframe for UI treatment).
Omit if null value for Product Catalogue attribute "Configurable feature 2"</t>
  </si>
  <si>
    <t xml:space="preserve">&lt;&lt;Product_Catalogue.Monthly_Free_Tranactions&gt;&gt; monthly free transactions </t>
  </si>
  <si>
    <t>&lt;&lt;count&gt;&gt;</t>
  </si>
  <si>
    <t>account(s) added</t>
  </si>
  <si>
    <t>Validate that at least 1 account has been selected</t>
  </si>
  <si>
    <t>Whole numbers</t>
  </si>
  <si>
    <t>Insert Product Name attribute from Product Catalogue</t>
  </si>
  <si>
    <t>Insert Tag Line attribute from Product Catalogue</t>
  </si>
  <si>
    <t>Insert Description attribute from Product Catalogue</t>
  </si>
  <si>
    <t>Omit if null value for Product Catalogue attribute "Monthly Free Transactions"</t>
  </si>
  <si>
    <t>Insert "0" if null value for Product Catalogue attribute "Monthly Fee"</t>
  </si>
  <si>
    <t>Omit if null value for Product Catalogue attribute "Configurable feature 1"</t>
  </si>
  <si>
    <t>Conditional-omit if Product Catalogue attribute "Interest Rate Tiered?" = FALSE</t>
  </si>
  <si>
    <t>Insert highest value from Product Catalogue "Interest Rate Tier" attributes (i.e. if 2 rate tiers, use Tier 2 Max, if 3 rate tiers use Tier 3 Max etc.)</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</si>
  <si>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</si>
  <si>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&lt;&lt;Product_Catalogue.Description&gt;&gt;</t>
  </si>
  <si>
    <t>DEPRECATED</t>
  </si>
  <si>
    <t>Chequing &amp; Savings Product Catalogue XML CWBSB-432</t>
  </si>
  <si>
    <t>Cash Management Products/Services XML CWBSB-433</t>
  </si>
  <si>
    <t>CWB Small Business Digital Client Onboarding (DCO)</t>
  </si>
  <si>
    <t>Numerical values 1 through 3</t>
  </si>
  <si>
    <t>(no caption)</t>
  </si>
  <si>
    <t>Small business pages for SB DCO Sprint 8:
- 1. Welcome-Business (CWBSB-201)
- 2. Account Selection (CWBSB-200)
Accounts Product Specification (CWBSB-432)
Account Product Field Matrix (attached to Epic CWBSB-87)</t>
  </si>
  <si>
    <t>Display modal message only if 'Remove' link is clicked</t>
  </si>
  <si>
    <t>IF selection = 'No, do not remove', close modal (no further action)
ELSE IF selection = 'Yes, remove this product/service', remove the selection; remove the corresponding tile from the page, close the modal and reload the page</t>
  </si>
  <si>
    <t>2.1</t>
  </si>
  <si>
    <t>Added 4. Product Review page (CWBSB-199) for inclusion in Sprint 8.</t>
  </si>
  <si>
    <t>2.2</t>
  </si>
  <si>
    <t>DEPRECATED - Learn More will link to Sitecore web pages</t>
  </si>
  <si>
    <t>Refer to CWB design system for image assets</t>
  </si>
  <si>
    <t>All solutions</t>
  </si>
  <si>
    <t>Select the type of solutions you are interested in.</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</si>
  <si>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</si>
  <si>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 xml:space="preserve">On click, navigate to </t>
  </si>
  <si>
    <t xml:space="preserve">On click, </t>
  </si>
  <si>
    <t>Our business accounts</t>
  </si>
  <si>
    <t>Wording review - updated</t>
  </si>
  <si>
    <t>What you've selected</t>
  </si>
  <si>
    <t>OOS for R1</t>
  </si>
  <si>
    <t>View features</t>
  </si>
  <si>
    <t>Quantity:</t>
  </si>
  <si>
    <t>Product card re-styling CWBSB-658</t>
  </si>
  <si>
    <t>Quantity counter (- / +)</t>
  </si>
  <si>
    <t>See business rules</t>
  </si>
  <si>
    <t>Render as bullet point (see CWB design kit for UI treatment).
Insert "0" if null value for Product Catalogue attribute "Monthly Fee"</t>
  </si>
  <si>
    <t>Render as bullet point (see CWB design kit for UI treatment).
Omit if null value for Product Catalogue attribute "Configurable feature 1"</t>
  </si>
  <si>
    <t>Render as bullet point (see CWB design kit for UI treatment).
Omit if null value for Product Catalogue attribute "Configurable feature 2"</t>
  </si>
  <si>
    <t>On click, hyperlink to URL in Product Catalogue attribute "Product Link" (open in new tab/window)</t>
  </si>
  <si>
    <t>On click...
Filter the account cards below to show only chequing accounts.</t>
  </si>
  <si>
    <t>On click...
Filter the account cards below to show only savings accounts.</t>
  </si>
  <si>
    <t>Selected</t>
  </si>
  <si>
    <t>Selected
Unselected</t>
  </si>
  <si>
    <t>Unselected</t>
  </si>
  <si>
    <t>Render as bullet point (see CWB design kit for UI treatment).
Omit if null or zero (0) value for Product Catalogue attribute "Monthly Free Transactions"</t>
  </si>
  <si>
    <t>Conditional - see business rules</t>
  </si>
  <si>
    <t>Product cards: show one card composed of the following fields, for each account in the selected category (Chequing or Savings)</t>
  </si>
  <si>
    <t>End product cards section</t>
  </si>
  <si>
    <t>Please select at least one account.</t>
  </si>
  <si>
    <t>Increment counter (sum) according to number of accounts selected from product cards above (including any pre-selected accounts on page entry).</t>
  </si>
  <si>
    <t>Card set for filtered products: show one card composed of the following fields, for each product in the category</t>
  </si>
  <si>
    <t>End card set</t>
  </si>
  <si>
    <t>product(s) added</t>
  </si>
  <si>
    <t>Repeatable cash management solutions section: repeat for each solution category displayed (controlled by filter 3.3)</t>
  </si>
  <si>
    <t>[image - &lt;&lt;solution category&gt;&gt;]</t>
  </si>
  <si>
    <t>&lt;&lt;Product_Catalogue.Solution_Category&gt;&gt;</t>
  </si>
  <si>
    <t>Centre text and hyperlinks ('No, stay here' and 'Yes, go back') in modal.
IF user selects 'No, stay here' close modal and remain on page
ELSE IF user selects 'Yes, go back', remove complementary products/services from product count, close modal and navigate to Account Selection (CWBSB-200)</t>
  </si>
  <si>
    <t>This drop-down is used to filter products/solutions by category.
On page load, default "All solutions" and reveal all sections below.
On selection of filter values, show only the solutions in the category selected.</t>
  </si>
  <si>
    <r>
      <rPr>
        <strike/>
        <sz val="14"/>
        <color theme="1"/>
        <rFont val="Calibri"/>
        <family val="2"/>
        <scheme val="minor"/>
      </rPr>
      <t>CWBSB-202</t>
    </r>
    <r>
      <rPr>
        <sz val="14"/>
        <color theme="1"/>
        <rFont val="Calibri"/>
        <family val="2"/>
        <scheme val="minor"/>
      </rPr>
      <t xml:space="preserve"> CWBSB-592</t>
    </r>
  </si>
  <si>
    <t>Initial spec for 3. Service Selection (complementary products) (CWBSB-202).
Deprecated account details/service details (redirecting to CWB website).</t>
  </si>
  <si>
    <t>Image support is required but images will not be loaded for R1.</t>
  </si>
  <si>
    <t>This is a round check mark element in top left of product cards - see CWB design kit for visual style and selected/unselected card states.
Load all products/solutions (in unselected state) according to filter control (3.3).</t>
  </si>
  <si>
    <t>Show me:</t>
  </si>
  <si>
    <t>DEPRECATED as guided journey OOS for R1 CWBSB-659</t>
  </si>
  <si>
    <t>2.3</t>
  </si>
  <si>
    <t>On click...
Navigate back to Service Selection (CWBSB-592)</t>
  </si>
  <si>
    <t>Card set for other selected complementary products/services</t>
  </si>
  <si>
    <t>Updated 2. Account Selection, 3. Service Selection (complementary products) and 4. Product Review to reflect updated UX design for product cards (CWBSB-658).
Deprecated welcome page and guided question pages as OOS for R1 (CWBSB-659)</t>
  </si>
  <si>
    <t>Step name (above progress bar)</t>
  </si>
  <si>
    <t>2.4</t>
  </si>
  <si>
    <t>Confirmed in product card re-styling story CWBSB-658 that modal is not needed: selections are not lost on "back" (Lucy Liu 3/23)</t>
  </si>
  <si>
    <t>On click, navigate to Account Selection page (CWBSB-200)
Note: selections will be retained.</t>
  </si>
  <si>
    <r>
      <t xml:space="preserve">Are you sure you want to remove this business solution?
</t>
    </r>
    <r>
      <rPr>
        <u/>
        <sz val="11"/>
        <color theme="1"/>
        <rFont val="Calibri"/>
        <family val="2"/>
        <scheme val="minor"/>
      </rPr>
      <t>No, do not remove</t>
    </r>
    <r>
      <rPr>
        <sz val="11"/>
        <color theme="1"/>
        <rFont val="Calibri"/>
        <family val="2"/>
        <scheme val="minor"/>
      </rPr>
      <t xml:space="preserve">   </t>
    </r>
    <r>
      <rPr>
        <u/>
        <sz val="11"/>
        <color theme="1"/>
        <rFont val="Calibri"/>
        <family val="2"/>
        <scheme val="minor"/>
      </rPr>
      <t>Yes, remove this business solution</t>
    </r>
  </si>
  <si>
    <t>Updated - wording review.</t>
  </si>
  <si>
    <t>Omit if no URL  &lt;&lt;product link&gt;&gt; attribute in product specification
ELSE, on click...
Open (in new tab/window) URL link in &lt;&lt;product link&gt;&gt; attribute for corresponding product.</t>
  </si>
  <si>
    <t>Reveal on page load for pre-selected accounts only;
ELSE reveal when card is selected using check control (2.7)</t>
  </si>
  <si>
    <t>Corrected behaviour for this control (bug CWBSB-749)</t>
  </si>
  <si>
    <t>Added for use with lending product.</t>
  </si>
  <si>
    <t>&lt;&lt;Product_Catalogue.Configurable_Feature_3&gt;&gt;</t>
  </si>
  <si>
    <t>&lt;&lt;Product_Catalogue.Configurable_Feature_4&gt;&gt;</t>
  </si>
  <si>
    <t>Render as bullet point (see CWB design kit for UI treatment).
Omit if null value for Product Catalogue attribute "Configurable feature 3"</t>
  </si>
  <si>
    <t>Render as bullet point (see CWB design kit for UI treatment).
Omit if null value for Product Catalogue attribute "Configurable feature 4"</t>
  </si>
  <si>
    <t>&lt;&lt;Product_Catalogue.Card_Banner&gt;&gt;</t>
  </si>
  <si>
    <t>This is a text banner element, with text applicable for the specific product - see CWB design kit for visual style. 
Omit if null value for Product Catalogue attribute "card banner".</t>
  </si>
  <si>
    <t>Product card set for selected account(s) AND lending product, if applicable. Show one card composed of the following fields, for each account and lending product (if applicable) selected</t>
  </si>
  <si>
    <t>Quantity: &lt;&lt;number&gt;&gt;</t>
  </si>
  <si>
    <r>
      <t xml:space="preserve">Are you sure you want to remove this product?
</t>
    </r>
    <r>
      <rPr>
        <u/>
        <sz val="11"/>
        <color theme="1"/>
        <rFont val="Calibri"/>
        <family val="2"/>
        <scheme val="minor"/>
      </rPr>
      <t>No, do not remove</t>
    </r>
    <r>
      <rPr>
        <sz val="11"/>
        <color theme="1"/>
        <rFont val="Calibri"/>
        <family val="2"/>
        <scheme val="minor"/>
      </rPr>
      <t xml:space="preserve">   </t>
    </r>
    <r>
      <rPr>
        <u/>
        <sz val="11"/>
        <color theme="1"/>
        <rFont val="Calibri"/>
        <family val="2"/>
        <scheme val="minor"/>
      </rPr>
      <t>Yes, remove this product</t>
    </r>
  </si>
  <si>
    <t>End product card set</t>
  </si>
  <si>
    <t>Added text for complementary services section in lower part of page.</t>
  </si>
  <si>
    <t>Chequing/savings products only: not applicable for lending product.
Render as bullet point (see CWB design kit for UI treatment).
Omit if null or zero (0) value for Product Catalogue attribute "Monthly Free Transactions"</t>
  </si>
  <si>
    <t>Chequing/savings products only: not applicable for lending product.
Render as bullet point (see CWB design kit for UI treatment).
Insert "0" if null value for Product Catalogue attribute "Monthly Fee"</t>
  </si>
  <si>
    <t xml:space="preserve">IF NO lending product selected
- must be at least one chequing OR savings account product selected to continue.
ELSE IF lending product selected
- must be at least one chequing account product selected to continue.
</t>
  </si>
  <si>
    <t>On click…
IF validation as described passes, navigate to Business eConsent (CWBSB-19)
ELSE IF validation fails, display appropriate validation message and remain on page.</t>
  </si>
  <si>
    <t>IF selection = 'No, do not remove', close modal (no further action)
ELSE IF selection = 'Yes, remove this product', remove the product and corresponding tile from the page, close the modal and reload the page</t>
  </si>
  <si>
    <t>Updated validation to support lending requirements.</t>
  </si>
  <si>
    <t>Quantity: 1</t>
  </si>
  <si>
    <t>Account (chequing/savings):
Insert number of product instances previously selected in &lt;&lt;number&gt;&gt; field.
Lending product:
Value will always be 1.</t>
  </si>
  <si>
    <t>Account (chequing/savings) products:
Quantity will be based on selection in Account Selection page (CWBSB-200).
Lending product:
Quantity will always be 1.
Quantity is static/non-editable in this page.</t>
  </si>
  <si>
    <t>Updated logic to support lending requirements.</t>
  </si>
  <si>
    <t>Quantity for each complementary product/service will always be 1. This element is static/non-editable.</t>
  </si>
  <si>
    <t>Added to deal with technical limitation (related to Codat) which means email/phone cannot be changed past this point, therefore form/transaction would need to be cancelled/re-started.</t>
  </si>
  <si>
    <r>
      <t xml:space="preserve">Are you sure? If you go back, you will need to re-start your application and you will lose any account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</si>
  <si>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Updated - see modal confirmation below.</t>
  </si>
  <si>
    <t>On click, validate that at least one account has been selected.
IF &gt;=1 account has been selected, navigate to Service (complementary products) Selection CWBSB-202
ELSE IF no account(s) selected, remain on page and display validation message.</t>
  </si>
  <si>
    <t>Increment for each additional product/solution selected from product cards in this page.</t>
  </si>
  <si>
    <t>Service Selection - lending and cash management (complementary) products/services</t>
  </si>
  <si>
    <t>A chequing account is required to apply for a Line of Credit. Please go back and select a chequing account.</t>
  </si>
  <si>
    <t>IF NO lending product selected:
You must select at least one chequing or savings account.
ELSE IF lending product selected:
A chequing account is required to apply for a Line of Credit. Please go back and select a chequing account.</t>
  </si>
  <si>
    <t>IF lending (Line of Credit) product selected:
validate that at least one chequing account product selected to continue.</t>
  </si>
  <si>
    <t>On click…
IF validation as described passes, navigate to Product Review (CWBSB-199)
ELSE IF validation fails, display validation message and remain on page.</t>
  </si>
  <si>
    <t>Solutions</t>
  </si>
  <si>
    <t>Account selection</t>
  </si>
  <si>
    <t xml:space="preserve">If approved, your line of credit will be available right away. </t>
  </si>
  <si>
    <t>You indicated your interest in these solutions</t>
  </si>
  <si>
    <t>Our support team will contact you to discuss your needs and get you set up.</t>
  </si>
  <si>
    <t>Display this text ONLY for solution category "Financing"</t>
  </si>
  <si>
    <t>Added - team review 5/7</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</si>
  <si>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account products in the category unselected.
ELSE load all available account products in the category unselected.</t>
  </si>
  <si>
    <t>Centre text and hyperlinks ('No, stay here' and 'Yes, go back') in modal (see CWB design kit for styles).
IF user selects 'No, stay here' close modal and remain on page;
ELSE IF user selects 'Yes, go back' set form status to cancelled/withdrawn
AND start a new form (transaction) at Qualification page (CWBSB-12).</t>
  </si>
  <si>
    <t>Logic update for 'Back' modal CWBSB-934</t>
  </si>
  <si>
    <t>All solutions
Financing
Credit cards
Payment solutions
Receivable solutions</t>
  </si>
  <si>
    <t>Other than "All solutions", enumerated values are defined in Product Specification (Product Type attribute).
Updated order - team review 5/10.</t>
  </si>
  <si>
    <t>On click...
Display modal confirmation message 4.23</t>
  </si>
  <si>
    <t>On click...
Display modal confirmation message 4.14</t>
  </si>
  <si>
    <t>Text/verbiage updates CWBSB-938 (all product selection pages)</t>
  </si>
  <si>
    <t>Incorporating text/verbiage updates (Connie Smart).
Removed modal confirmation on 'Back' for 3. Service Selection (not required per Temenos dev CWBSB-658); updated 'Back' behaviour accordingly.
Updated +/- behaviour in 2. Account Selection per Sprint 10 demo (bug CWBSB-749)
3. Service Selection - product cards, validations modified to account for lending product attribution.
4. Product Review - layout, content and navigation logic modified to account for lending product.
2. Account Selection - updated 'Back' logic (added modal) to deal with technical limitation related to Codat.
Added story # for 'back' behaviour and final verbiage updates.
See green highlights for lending related updates.</t>
  </si>
  <si>
    <r>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by the user, using the check control (2.6).</t>
    </r>
    <r>
      <rPr>
        <b/>
        <sz val="11"/>
        <color theme="1"/>
        <rFont val="Calibri"/>
        <family val="2"/>
        <scheme val="minor"/>
      </rPr>
      <t/>
    </r>
  </si>
  <si>
    <t>On click, display modal confirmation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</si>
</sst>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
      <strike/>
      <sz val="14"/>
      <color theme="1"/>
      <name val="Calibri"/>
      <family val="2"/>
      <scheme val="minor"/>
    </font>
    <font>
      <strike/>
      <sz val="11"/>
      <color theme="1"/>
      <name val="Calibri"/>
      <family val="2"/>
      <scheme val="minor"/>
    </font>
    <font>
      <sz val="9"/>
      <color indexed="81"/>
      <name val="Tahoma"/>
      <charset val="1"/>
    </font>
  </fonts>
  <fills count="9">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FF00"/>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53">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0" fillId="0" borderId="0" xfId="0" applyFill="1" applyAlignment="1">
      <alignment vertical="center" wrapText="1"/>
    </xf>
    <xf numFmtId="0" fontId="7" fillId="5" borderId="0" xfId="0" applyFont="1" applyFill="1" applyAlignment="1">
      <alignment vertical="center" wrapText="1"/>
    </xf>
    <xf numFmtId="0" fontId="0" fillId="0" borderId="0" xfId="0" applyFont="1" applyAlignment="1">
      <alignment vertical="center" wrapText="1"/>
    </xf>
    <xf numFmtId="0" fontId="0" fillId="0" borderId="0" xfId="0" applyFont="1" applyFill="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 fillId="3" borderId="11" xfId="0" applyFont="1" applyFill="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xf>
    <xf numFmtId="0" fontId="4" fillId="0" borderId="0" xfId="0" applyFont="1" applyAlignment="1">
      <alignment vertical="center" wrapText="1"/>
    </xf>
    <xf numFmtId="0" fontId="0" fillId="6" borderId="0" xfId="0" applyFont="1" applyFill="1" applyAlignment="1">
      <alignment vertical="center" wrapText="1"/>
    </xf>
    <xf numFmtId="0" fontId="6"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Fill="1" applyAlignment="1">
      <alignment horizontal="center" vertical="center" wrapText="1"/>
    </xf>
    <xf numFmtId="0" fontId="5" fillId="0" borderId="0" xfId="0" applyFont="1" applyAlignment="1">
      <alignment horizontal="left" vertical="center"/>
    </xf>
    <xf numFmtId="0" fontId="7" fillId="5" borderId="0" xfId="0" applyFont="1" applyFill="1" applyAlignment="1">
      <alignment vertical="center"/>
    </xf>
    <xf numFmtId="0" fontId="11" fillId="0" borderId="0" xfId="0" applyFont="1" applyAlignment="1">
      <alignment vertical="center" wrapText="1"/>
    </xf>
    <xf numFmtId="0" fontId="7" fillId="0" borderId="0" xfId="0" applyFont="1" applyFill="1" applyAlignment="1">
      <alignment vertical="center" wrapText="1"/>
    </xf>
    <xf numFmtId="0" fontId="0" fillId="7" borderId="0" xfId="0" applyFont="1" applyFill="1" applyAlignment="1">
      <alignment vertical="center" wrapText="1"/>
    </xf>
    <xf numFmtId="0" fontId="7" fillId="5" borderId="0" xfId="0" applyFont="1" applyFill="1" applyAlignment="1">
      <alignment horizontal="left" vertical="center" wrapText="1"/>
    </xf>
    <xf numFmtId="0" fontId="0" fillId="8" borderId="0" xfId="0" applyFont="1" applyFill="1" applyAlignment="1">
      <alignment vertical="center" wrapText="1"/>
    </xf>
  </cellXfs>
  <cellStyles count="1">
    <cellStyle name="Normal" xfId="0" builtinId="0"/>
  </cellStyles>
  <dxfs count="402">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3" dT="2021-05-11T16:32:02.12" personId="{00000000-0000-0000-0000-000000000000}" id="{BB964707-2791-4B57-9F34-FF05A17E4320}">
    <text>Line of Credit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zoomScaleNormal="100" workbookViewId="0">
      <pane ySplit="5" topLeftCell="A9" activePane="bottomLeft" state="frozen"/>
      <selection pane="bottomLeft" activeCell="A11" sqref="A11"/>
    </sheetView>
  </sheetViews>
  <sheetFormatPr defaultRowHeight="14.5" x14ac:dyDescent="0.35"/>
  <cols>
    <col min="1" max="1" width="19.81640625" customWidth="1"/>
    <col min="2" max="2" width="18.7265625" bestFit="1" customWidth="1"/>
    <col min="3" max="3" width="52.26953125" customWidth="1"/>
    <col min="4" max="6" width="21.54296875" customWidth="1"/>
    <col min="7" max="7" width="20.1796875" customWidth="1"/>
  </cols>
  <sheetData>
    <row r="1" spans="1:16" s="1" customFormat="1" ht="18.5" x14ac:dyDescent="0.35">
      <c r="A1" s="1" t="s">
        <v>217</v>
      </c>
      <c r="B1" s="2"/>
      <c r="C1" s="2"/>
      <c r="D1" s="2"/>
      <c r="E1" s="2"/>
      <c r="F1" s="2"/>
      <c r="G1" s="3"/>
      <c r="H1" s="2"/>
      <c r="I1" s="3"/>
      <c r="J1" s="3"/>
      <c r="K1" s="3"/>
      <c r="L1" s="2"/>
      <c r="M1" s="2"/>
      <c r="N1" s="2"/>
      <c r="O1" s="2"/>
      <c r="P1" s="2"/>
    </row>
    <row r="2" spans="1:16" s="1" customFormat="1" ht="18.5" x14ac:dyDescent="0.35">
      <c r="A2" s="1" t="s">
        <v>62</v>
      </c>
      <c r="B2" s="2"/>
      <c r="C2" s="2"/>
      <c r="D2" s="2"/>
      <c r="E2" s="2"/>
      <c r="F2" s="2"/>
      <c r="G2" s="3"/>
      <c r="H2" s="2"/>
      <c r="I2" s="3"/>
      <c r="J2" s="3"/>
      <c r="K2" s="3"/>
      <c r="L2" s="2"/>
      <c r="M2" s="2"/>
      <c r="N2" s="2"/>
      <c r="O2" s="2"/>
      <c r="P2" s="2"/>
    </row>
    <row r="3" spans="1:16" s="4" customFormat="1" x14ac:dyDescent="0.35">
      <c r="C3" s="5"/>
    </row>
    <row r="4" spans="1:16" ht="15" thickBot="1" x14ac:dyDescent="0.4"/>
    <row r="5" spans="1:16" s="10" customFormat="1" ht="15" thickBot="1" x14ac:dyDescent="0.4">
      <c r="A5" s="6" t="s">
        <v>2</v>
      </c>
      <c r="B5" s="7" t="s">
        <v>3</v>
      </c>
      <c r="C5" s="8" t="s">
        <v>4</v>
      </c>
      <c r="D5" s="7" t="s">
        <v>5</v>
      </c>
      <c r="E5" s="38" t="s">
        <v>61</v>
      </c>
      <c r="F5" s="9" t="s">
        <v>6</v>
      </c>
    </row>
    <row r="6" spans="1:16" s="4" customFormat="1" x14ac:dyDescent="0.35">
      <c r="A6" s="11" t="s">
        <v>63</v>
      </c>
      <c r="B6" s="12">
        <v>44054</v>
      </c>
      <c r="C6" s="13" t="s">
        <v>64</v>
      </c>
      <c r="D6" s="19" t="s">
        <v>1</v>
      </c>
      <c r="E6" s="39"/>
      <c r="F6" s="30"/>
    </row>
    <row r="7" spans="1:16" s="4" customFormat="1" ht="65" x14ac:dyDescent="0.35">
      <c r="A7" s="11" t="s">
        <v>163</v>
      </c>
      <c r="B7" s="12">
        <v>44244</v>
      </c>
      <c r="C7" s="13" t="s">
        <v>220</v>
      </c>
      <c r="D7" s="19" t="s">
        <v>190</v>
      </c>
      <c r="E7" s="39" t="s">
        <v>191</v>
      </c>
      <c r="F7" s="30"/>
    </row>
    <row r="8" spans="1:16" s="4" customFormat="1" ht="26" x14ac:dyDescent="0.35">
      <c r="A8" s="11" t="s">
        <v>223</v>
      </c>
      <c r="B8" s="12">
        <v>44245</v>
      </c>
      <c r="C8" s="13" t="s">
        <v>224</v>
      </c>
      <c r="D8" s="19" t="s">
        <v>190</v>
      </c>
      <c r="E8" s="39" t="s">
        <v>191</v>
      </c>
      <c r="F8" s="30"/>
    </row>
    <row r="9" spans="1:16" s="4" customFormat="1" ht="52" x14ac:dyDescent="0.35">
      <c r="A9" s="11" t="s">
        <v>225</v>
      </c>
      <c r="B9" s="12">
        <v>44253</v>
      </c>
      <c r="C9" s="13" t="s">
        <v>266</v>
      </c>
      <c r="D9" s="19" t="s">
        <v>190</v>
      </c>
      <c r="E9" s="39" t="s">
        <v>191</v>
      </c>
      <c r="F9" s="30"/>
    </row>
    <row r="10" spans="1:16" s="4" customFormat="1" ht="65" x14ac:dyDescent="0.35">
      <c r="A10" s="11" t="s">
        <v>271</v>
      </c>
      <c r="B10" s="12">
        <v>44277</v>
      </c>
      <c r="C10" s="13" t="s">
        <v>274</v>
      </c>
      <c r="D10" s="19" t="s">
        <v>190</v>
      </c>
      <c r="E10" s="39" t="s">
        <v>191</v>
      </c>
      <c r="F10" s="30"/>
    </row>
    <row r="11" spans="1:16" s="4" customFormat="1" ht="182" x14ac:dyDescent="0.35">
      <c r="A11" s="11" t="s">
        <v>276</v>
      </c>
      <c r="B11" s="12">
        <v>44326</v>
      </c>
      <c r="C11" s="13" t="s">
        <v>332</v>
      </c>
      <c r="D11" s="19" t="s">
        <v>190</v>
      </c>
      <c r="E11" s="39" t="s">
        <v>191</v>
      </c>
      <c r="F11" s="30"/>
    </row>
    <row r="12" spans="1:16" s="4" customFormat="1" ht="15" thickBot="1" x14ac:dyDescent="0.4">
      <c r="A12" s="14"/>
      <c r="B12" s="15"/>
      <c r="C12" s="16"/>
      <c r="D12" s="18"/>
      <c r="E12" s="40"/>
      <c r="F12" s="17"/>
    </row>
  </sheetData>
  <conditionalFormatting sqref="I1:J2">
    <cfRule type="cellIs" dxfId="401" priority="10" operator="equal">
      <formula>"Not Applicable"</formula>
    </cfRule>
    <cfRule type="cellIs" dxfId="400" priority="11" operator="equal">
      <formula>"4 - Future Initiative (out of scope)"</formula>
    </cfRule>
    <cfRule type="cellIs" dxfId="399" priority="12" operator="equal">
      <formula>"3 - Desirable (Nice To Have)"</formula>
    </cfRule>
    <cfRule type="cellIs" dxfId="398" priority="13" operator="equal">
      <formula>"2 - Recommended (Best Practice)"</formula>
    </cfRule>
    <cfRule type="cellIs" dxfId="397" priority="14" operator="equal">
      <formula>"1 - Mandatory (Must Have)"</formula>
    </cfRule>
  </conditionalFormatting>
  <conditionalFormatting sqref="G1:G2">
    <cfRule type="cellIs" dxfId="396" priority="8" operator="equal">
      <formula>"Non-functional"</formula>
    </cfRule>
    <cfRule type="cellIs" dxfId="395"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workbookViewId="0">
      <selection activeCell="A30" sqref="A30"/>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60</v>
      </c>
      <c r="B2" s="2"/>
      <c r="C2" s="2"/>
      <c r="D2" s="2"/>
      <c r="E2" s="2"/>
      <c r="F2" s="3"/>
      <c r="G2" s="2"/>
      <c r="H2" s="3"/>
      <c r="I2" s="3"/>
      <c r="J2" s="3"/>
      <c r="K2" s="2"/>
      <c r="L2" s="2"/>
      <c r="M2" s="2"/>
      <c r="N2" s="2"/>
      <c r="O2" s="2"/>
    </row>
    <row r="4" spans="1:15" s="20" customFormat="1" x14ac:dyDescent="0.35">
      <c r="A4" s="20" t="s">
        <v>26</v>
      </c>
      <c r="B4" s="20" t="s">
        <v>36</v>
      </c>
    </row>
    <row r="5" spans="1:15" x14ac:dyDescent="0.35">
      <c r="A5" t="s">
        <v>40</v>
      </c>
      <c r="B5" t="s">
        <v>39</v>
      </c>
    </row>
    <row r="6" spans="1:15" x14ac:dyDescent="0.35">
      <c r="A6" t="s">
        <v>28</v>
      </c>
      <c r="B6" t="s">
        <v>37</v>
      </c>
    </row>
    <row r="7" spans="1:15" x14ac:dyDescent="0.35">
      <c r="A7" t="s">
        <v>44</v>
      </c>
      <c r="B7" t="s">
        <v>38</v>
      </c>
    </row>
    <row r="8" spans="1:15" x14ac:dyDescent="0.35">
      <c r="A8" t="s">
        <v>53</v>
      </c>
      <c r="B8" t="s">
        <v>35</v>
      </c>
    </row>
    <row r="9" spans="1:15" x14ac:dyDescent="0.35">
      <c r="A9" t="s">
        <v>46</v>
      </c>
      <c r="B9" t="s">
        <v>42</v>
      </c>
    </row>
    <row r="10" spans="1:15" x14ac:dyDescent="0.35">
      <c r="A10" t="s">
        <v>33</v>
      </c>
    </row>
    <row r="11" spans="1:15" x14ac:dyDescent="0.35">
      <c r="A11" t="s">
        <v>59</v>
      </c>
    </row>
    <row r="12" spans="1:15" x14ac:dyDescent="0.35">
      <c r="A12" t="s">
        <v>58</v>
      </c>
    </row>
    <row r="13" spans="1:15" x14ac:dyDescent="0.35">
      <c r="A13" t="s">
        <v>52</v>
      </c>
    </row>
    <row r="14" spans="1:15" x14ac:dyDescent="0.35">
      <c r="A14" t="s">
        <v>50</v>
      </c>
    </row>
    <row r="15" spans="1:15" x14ac:dyDescent="0.35">
      <c r="A15" t="s">
        <v>48</v>
      </c>
    </row>
    <row r="16" spans="1:15" x14ac:dyDescent="0.35">
      <c r="A16" t="s">
        <v>43</v>
      </c>
    </row>
    <row r="17" spans="1:1" x14ac:dyDescent="0.35">
      <c r="A17" t="s">
        <v>240</v>
      </c>
    </row>
    <row r="18" spans="1:1" x14ac:dyDescent="0.35">
      <c r="A18" t="s">
        <v>86</v>
      </c>
    </row>
    <row r="19" spans="1:1" x14ac:dyDescent="0.35">
      <c r="A19" t="s">
        <v>87</v>
      </c>
    </row>
    <row r="20" spans="1:1" x14ac:dyDescent="0.35">
      <c r="A20" t="s">
        <v>30</v>
      </c>
    </row>
    <row r="21" spans="1:1" x14ac:dyDescent="0.35">
      <c r="A21" t="s">
        <v>29</v>
      </c>
    </row>
    <row r="22" spans="1:1" x14ac:dyDescent="0.35">
      <c r="A22" t="s">
        <v>49</v>
      </c>
    </row>
    <row r="23" spans="1:1" x14ac:dyDescent="0.35">
      <c r="A23" t="s">
        <v>27</v>
      </c>
    </row>
    <row r="24" spans="1:1" x14ac:dyDescent="0.35">
      <c r="A24" t="s">
        <v>47</v>
      </c>
    </row>
    <row r="25" spans="1:1" x14ac:dyDescent="0.35">
      <c r="A25" t="s">
        <v>32</v>
      </c>
    </row>
    <row r="26" spans="1:1" x14ac:dyDescent="0.35">
      <c r="A26" t="s">
        <v>34</v>
      </c>
    </row>
    <row r="27" spans="1:1" x14ac:dyDescent="0.35">
      <c r="A27" t="s">
        <v>275</v>
      </c>
    </row>
    <row r="28" spans="1:1" x14ac:dyDescent="0.35">
      <c r="A28" t="s">
        <v>31</v>
      </c>
    </row>
    <row r="29" spans="1:1" x14ac:dyDescent="0.35">
      <c r="A29" t="s">
        <v>45</v>
      </c>
    </row>
    <row r="30" spans="1:1" x14ac:dyDescent="0.35">
      <c r="A30" t="s">
        <v>51</v>
      </c>
    </row>
  </sheetData>
  <sortState xmlns:xlrd2="http://schemas.microsoft.com/office/spreadsheetml/2017/richdata2" ref="A5:A15">
    <sortCondition ref="A16"/>
  </sortState>
  <conditionalFormatting sqref="H1:I2">
    <cfRule type="cellIs" dxfId="394" priority="3" operator="equal">
      <formula>"Not Applicable"</formula>
    </cfRule>
    <cfRule type="cellIs" dxfId="393" priority="4" operator="equal">
      <formula>"4 - Future Initiative (out of scope)"</formula>
    </cfRule>
    <cfRule type="cellIs" dxfId="392" priority="5" operator="equal">
      <formula>"3 - Desirable (Nice To Have)"</formula>
    </cfRule>
    <cfRule type="cellIs" dxfId="391" priority="6" operator="equal">
      <formula>"2 - Recommended (Best Practice)"</formula>
    </cfRule>
    <cfRule type="cellIs" dxfId="390" priority="7" operator="equal">
      <formula>"1 - Mandatory (Must Have)"</formula>
    </cfRule>
  </conditionalFormatting>
  <conditionalFormatting sqref="F1:F2">
    <cfRule type="cellIs" dxfId="389" priority="1" operator="equal">
      <formula>"Non-functional"</formula>
    </cfRule>
    <cfRule type="cellIs" dxfId="38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189</v>
      </c>
      <c r="C1" s="25"/>
      <c r="D1" s="22" t="s">
        <v>270</v>
      </c>
      <c r="F1" s="41"/>
      <c r="H1" s="27"/>
    </row>
    <row r="2" spans="1:16" s="23" customFormat="1" ht="18.5" x14ac:dyDescent="0.35">
      <c r="A2" s="21" t="s">
        <v>8</v>
      </c>
      <c r="B2" s="28">
        <v>1</v>
      </c>
      <c r="C2" s="27"/>
      <c r="D2" s="28"/>
      <c r="F2" s="41"/>
      <c r="H2" s="27"/>
    </row>
    <row r="3" spans="1:16" s="23" customFormat="1" ht="18.5" x14ac:dyDescent="0.35">
      <c r="A3" s="21" t="s">
        <v>41</v>
      </c>
      <c r="B3" s="28" t="s">
        <v>179</v>
      </c>
      <c r="C3" s="27"/>
      <c r="D3" s="28"/>
      <c r="F3" s="41"/>
      <c r="H3" s="27"/>
    </row>
    <row r="4" spans="1:16" s="23" customFormat="1" ht="18.5" x14ac:dyDescent="0.35">
      <c r="A4" s="21" t="s">
        <v>9</v>
      </c>
      <c r="B4" s="23" t="s">
        <v>174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5" si="0">CONCATENATE($B$2, ".", A7)</f>
        <v>1.1</v>
      </c>
      <c r="C7" s="37" t="s">
        <v>38</v>
      </c>
      <c r="D7" s="33" t="s">
        <v>233</v>
      </c>
      <c r="E7" s="34" t="s">
        <v>49</v>
      </c>
      <c r="F7" s="33" t="s">
        <v>55</v>
      </c>
      <c r="G7" s="33" t="s">
        <v>55</v>
      </c>
      <c r="H7" s="37" t="s">
        <v>55</v>
      </c>
      <c r="I7" s="34" t="s">
        <v>54</v>
      </c>
      <c r="J7" s="33" t="s">
        <v>55</v>
      </c>
      <c r="K7" s="33" t="s">
        <v>55</v>
      </c>
      <c r="L7" s="33" t="s">
        <v>55</v>
      </c>
      <c r="M7" s="33" t="s">
        <v>55</v>
      </c>
      <c r="N7" s="33" t="s">
        <v>55</v>
      </c>
      <c r="O7" s="33" t="s">
        <v>55</v>
      </c>
      <c r="P7" s="33" t="s">
        <v>234</v>
      </c>
    </row>
    <row r="8" spans="1:16" x14ac:dyDescent="0.35">
      <c r="A8" s="33">
        <v>2</v>
      </c>
      <c r="B8" s="33" t="str">
        <f t="shared" si="0"/>
        <v>1.2</v>
      </c>
      <c r="C8" s="37" t="s">
        <v>38</v>
      </c>
      <c r="D8" s="33" t="s">
        <v>55</v>
      </c>
      <c r="E8" s="34" t="s">
        <v>43</v>
      </c>
      <c r="F8" s="33" t="s">
        <v>55</v>
      </c>
      <c r="G8" s="33" t="s">
        <v>55</v>
      </c>
      <c r="H8" s="37" t="s">
        <v>55</v>
      </c>
      <c r="I8" s="34" t="s">
        <v>54</v>
      </c>
      <c r="J8" s="33" t="s">
        <v>55</v>
      </c>
      <c r="K8" s="33" t="s">
        <v>55</v>
      </c>
      <c r="L8" s="33" t="s">
        <v>55</v>
      </c>
      <c r="M8" s="33" t="s">
        <v>55</v>
      </c>
      <c r="N8" s="33" t="s">
        <v>55</v>
      </c>
      <c r="O8" s="33" t="s">
        <v>55</v>
      </c>
    </row>
    <row r="9" spans="1:16" ht="29" x14ac:dyDescent="0.35">
      <c r="A9" s="33">
        <v>3</v>
      </c>
      <c r="B9" s="33" t="str">
        <f t="shared" si="0"/>
        <v>1.3</v>
      </c>
      <c r="C9" s="37" t="s">
        <v>38</v>
      </c>
      <c r="D9" s="34" t="s">
        <v>182</v>
      </c>
      <c r="E9" s="34" t="s">
        <v>27</v>
      </c>
      <c r="F9" s="33" t="s">
        <v>55</v>
      </c>
      <c r="G9" s="33" t="s">
        <v>55</v>
      </c>
      <c r="H9" s="37" t="s">
        <v>55</v>
      </c>
      <c r="I9" s="34" t="s">
        <v>54</v>
      </c>
      <c r="J9" s="33" t="s">
        <v>55</v>
      </c>
      <c r="K9" s="33" t="s">
        <v>55</v>
      </c>
      <c r="L9" s="33" t="s">
        <v>55</v>
      </c>
      <c r="M9" s="33" t="s">
        <v>55</v>
      </c>
      <c r="N9" s="33" t="s">
        <v>55</v>
      </c>
      <c r="O9" s="33" t="s">
        <v>55</v>
      </c>
    </row>
    <row r="10" spans="1:16" ht="58" x14ac:dyDescent="0.35">
      <c r="A10" s="33">
        <v>4</v>
      </c>
      <c r="B10" s="33" t="str">
        <f t="shared" si="0"/>
        <v>1.4</v>
      </c>
      <c r="C10" s="37" t="s">
        <v>38</v>
      </c>
      <c r="D10" s="34" t="s">
        <v>188</v>
      </c>
      <c r="E10" s="34" t="s">
        <v>32</v>
      </c>
      <c r="F10" s="33" t="s">
        <v>55</v>
      </c>
      <c r="G10" s="33" t="s">
        <v>55</v>
      </c>
      <c r="H10" s="37" t="s">
        <v>55</v>
      </c>
      <c r="I10" s="34" t="s">
        <v>54</v>
      </c>
      <c r="J10" s="33" t="s">
        <v>55</v>
      </c>
      <c r="K10" s="33" t="s">
        <v>55</v>
      </c>
      <c r="L10" s="33" t="s">
        <v>55</v>
      </c>
      <c r="M10" s="33" t="s">
        <v>55</v>
      </c>
      <c r="N10" s="33" t="s">
        <v>55</v>
      </c>
      <c r="O10" s="33" t="s">
        <v>55</v>
      </c>
    </row>
    <row r="11" spans="1:16" x14ac:dyDescent="0.35">
      <c r="A11" s="33">
        <v>5</v>
      </c>
      <c r="B11" s="33" t="str">
        <f t="shared" si="0"/>
        <v>1.5</v>
      </c>
      <c r="C11" s="37" t="s">
        <v>38</v>
      </c>
      <c r="D11" s="34" t="s">
        <v>183</v>
      </c>
      <c r="E11" s="34" t="s">
        <v>27</v>
      </c>
      <c r="F11" s="33" t="s">
        <v>55</v>
      </c>
      <c r="G11" s="33" t="s">
        <v>55</v>
      </c>
      <c r="H11" s="37" t="s">
        <v>55</v>
      </c>
      <c r="I11" s="34" t="s">
        <v>54</v>
      </c>
      <c r="J11" s="33" t="s">
        <v>55</v>
      </c>
      <c r="K11" s="33" t="s">
        <v>55</v>
      </c>
      <c r="L11" s="33" t="s">
        <v>55</v>
      </c>
      <c r="M11" s="33" t="s">
        <v>55</v>
      </c>
      <c r="N11" s="33" t="s">
        <v>55</v>
      </c>
      <c r="O11" s="33" t="s">
        <v>55</v>
      </c>
    </row>
    <row r="12" spans="1:16" ht="43.5" x14ac:dyDescent="0.35">
      <c r="A12" s="33">
        <v>6</v>
      </c>
      <c r="B12" s="33" t="str">
        <f t="shared" si="0"/>
        <v>1.6</v>
      </c>
      <c r="C12" s="37" t="s">
        <v>38</v>
      </c>
      <c r="D12" s="34" t="s">
        <v>76</v>
      </c>
      <c r="E12" s="33" t="s">
        <v>40</v>
      </c>
      <c r="F12" s="33" t="s">
        <v>184</v>
      </c>
      <c r="G12" s="33" t="s">
        <v>55</v>
      </c>
      <c r="H12" s="37" t="s">
        <v>55</v>
      </c>
      <c r="I12" s="34" t="s">
        <v>54</v>
      </c>
      <c r="J12" s="33" t="s">
        <v>55</v>
      </c>
      <c r="K12" s="33" t="s">
        <v>55</v>
      </c>
      <c r="L12" s="33" t="s">
        <v>55</v>
      </c>
      <c r="M12" s="33" t="s">
        <v>55</v>
      </c>
      <c r="N12" s="33" t="s">
        <v>55</v>
      </c>
      <c r="O12" s="31" t="s">
        <v>186</v>
      </c>
      <c r="P12" s="33" t="s">
        <v>185</v>
      </c>
    </row>
    <row r="13" spans="1:16" ht="58" x14ac:dyDescent="0.35">
      <c r="A13" s="33">
        <v>7</v>
      </c>
      <c r="B13" s="33" t="str">
        <f t="shared" si="0"/>
        <v>1.7</v>
      </c>
      <c r="C13" s="37" t="s">
        <v>38</v>
      </c>
      <c r="D13" s="33" t="s">
        <v>77</v>
      </c>
      <c r="E13" s="33" t="s">
        <v>40</v>
      </c>
      <c r="F13" s="33" t="s">
        <v>184</v>
      </c>
      <c r="G13" s="33" t="s">
        <v>55</v>
      </c>
      <c r="H13" s="37" t="s">
        <v>55</v>
      </c>
      <c r="I13" s="34" t="s">
        <v>54</v>
      </c>
      <c r="J13" s="33" t="s">
        <v>55</v>
      </c>
      <c r="K13" s="33" t="s">
        <v>55</v>
      </c>
      <c r="L13" s="33" t="s">
        <v>55</v>
      </c>
      <c r="M13" s="33" t="s">
        <v>55</v>
      </c>
      <c r="N13" s="33" t="s">
        <v>55</v>
      </c>
      <c r="O13" s="33" t="s">
        <v>187</v>
      </c>
      <c r="P13" s="33" t="s">
        <v>185</v>
      </c>
    </row>
    <row r="14" spans="1:16" x14ac:dyDescent="0.35">
      <c r="A14" s="33">
        <v>8</v>
      </c>
      <c r="B14" s="33" t="str">
        <f t="shared" si="0"/>
        <v>1.8</v>
      </c>
      <c r="C14" s="37" t="s">
        <v>38</v>
      </c>
      <c r="D14" s="34" t="s">
        <v>56</v>
      </c>
      <c r="E14" s="34" t="s">
        <v>40</v>
      </c>
      <c r="F14" s="33" t="s">
        <v>55</v>
      </c>
      <c r="G14" s="33" t="s">
        <v>55</v>
      </c>
      <c r="H14" s="37" t="s">
        <v>55</v>
      </c>
      <c r="I14" s="34" t="s">
        <v>54</v>
      </c>
      <c r="J14" s="33" t="s">
        <v>55</v>
      </c>
      <c r="K14" s="33" t="s">
        <v>55</v>
      </c>
      <c r="L14" s="33" t="s">
        <v>55</v>
      </c>
      <c r="M14" s="34" t="s">
        <v>55</v>
      </c>
      <c r="N14" s="33" t="s">
        <v>55</v>
      </c>
      <c r="O14" s="33" t="s">
        <v>231</v>
      </c>
    </row>
    <row r="15" spans="1:16" x14ac:dyDescent="0.35">
      <c r="A15" s="33">
        <v>9</v>
      </c>
      <c r="B15" s="33" t="str">
        <f t="shared" si="0"/>
        <v>1.9</v>
      </c>
      <c r="C15" s="37" t="s">
        <v>38</v>
      </c>
      <c r="D15" s="34" t="s">
        <v>57</v>
      </c>
      <c r="E15" s="34" t="s">
        <v>40</v>
      </c>
      <c r="F15" s="33" t="s">
        <v>55</v>
      </c>
      <c r="G15" s="33" t="s">
        <v>55</v>
      </c>
      <c r="H15" s="37" t="s">
        <v>55</v>
      </c>
      <c r="I15" s="34" t="s">
        <v>54</v>
      </c>
      <c r="J15" s="33" t="s">
        <v>55</v>
      </c>
      <c r="K15" s="33" t="s">
        <v>55</v>
      </c>
      <c r="L15" s="33" t="s">
        <v>55</v>
      </c>
      <c r="M15" s="34" t="s">
        <v>55</v>
      </c>
      <c r="N15" s="33" t="s">
        <v>55</v>
      </c>
      <c r="O15" s="33" t="s">
        <v>232</v>
      </c>
    </row>
  </sheetData>
  <autoFilter ref="A6:P6" xr:uid="{00000000-0009-0000-0000-000002000000}"/>
  <conditionalFormatting sqref="C7:C1048576">
    <cfRule type="cellIs" dxfId="387" priority="19" operator="equal">
      <formula>"WIP (see comments)"</formula>
    </cfRule>
    <cfRule type="cellIs" dxfId="386" priority="20" operator="equal">
      <formula>"Removed"</formula>
    </cfRule>
    <cfRule type="cellIs" dxfId="385" priority="21" operator="equal">
      <formula>"Updated"</formula>
    </cfRule>
    <cfRule type="cellIs" dxfId="384" priority="22" operator="equal">
      <formula>"New"</formula>
    </cfRule>
  </conditionalFormatting>
  <conditionalFormatting sqref="D7:D11">
    <cfRule type="cellIs" dxfId="383" priority="18" operator="equal">
      <formula>"-"</formula>
    </cfRule>
  </conditionalFormatting>
  <conditionalFormatting sqref="P12:XFD12 A7:XFD7 A8:B12 D8:XFD11 D12:N12 C8:C15">
    <cfRule type="cellIs" dxfId="382" priority="17" operator="equal">
      <formula>"n/a"</formula>
    </cfRule>
  </conditionalFormatting>
  <conditionalFormatting sqref="O12">
    <cfRule type="cellIs" dxfId="381" priority="16" operator="equal">
      <formula>"n/a"</formula>
    </cfRule>
  </conditionalFormatting>
  <conditionalFormatting sqref="B13 E13:N13">
    <cfRule type="cellIs" dxfId="380" priority="10" operator="equal">
      <formula>"n/a"</formula>
    </cfRule>
  </conditionalFormatting>
  <conditionalFormatting sqref="J14:K15">
    <cfRule type="cellIs" dxfId="379" priority="1" operator="equal">
      <formula>"n/a"</formula>
    </cfRule>
  </conditionalFormatting>
  <conditionalFormatting sqref="D14:D15">
    <cfRule type="cellIs" dxfId="378" priority="5" operator="equal">
      <formula>"-"</formula>
    </cfRule>
  </conditionalFormatting>
  <conditionalFormatting sqref="D14:E15 G14:G15 L14:N15 I14:I15">
    <cfRule type="cellIs" dxfId="377" priority="4" operator="equal">
      <formula>"n/a"</formula>
    </cfRule>
  </conditionalFormatting>
  <conditionalFormatting sqref="H14:H15">
    <cfRule type="cellIs" dxfId="376" priority="3" operator="equal">
      <formula>"n/a"</formula>
    </cfRule>
  </conditionalFormatting>
  <conditionalFormatting sqref="F14:F15">
    <cfRule type="cellIs" dxfId="375" priority="2" operator="equal">
      <formula>"n/a"</formula>
    </cfRule>
  </conditionalFormatting>
  <dataValidations count="1">
    <dataValidation type="list" allowBlank="1" showInputMessage="1" showErrorMessage="1" sqref="E16:E1048576" xr:uid="{00000000-0002-0000-0200-000000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'List Values'!$B$5:$B$9</xm:f>
          </x14:formula1>
          <xm:sqref>C7:C1048576</xm:sqref>
        </x14:dataValidation>
        <x14:dataValidation type="list" allowBlank="1" showInputMessage="1" showErrorMessage="1" xr:uid="{00000000-0002-0000-0200-000002000000}">
          <x14:formula1>
            <xm:f>'List Values'!$A$5:$A$32</xm:f>
          </x14:formula1>
          <xm:sqref>E7:E13</xm:sqref>
        </x14:dataValidation>
        <x14:dataValidation type="list" allowBlank="1" showInputMessage="1" showErrorMessage="1" xr:uid="{00000000-0002-0000-0200-000003000000}">
          <x14:formula1>
            <xm:f>'List Values'!$A$5:$A$33</xm:f>
          </x14:formula1>
          <xm:sqref>E14:E15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236</v>
      </c>
      <c r="F1" s="41"/>
      <c r="H1" s="27"/>
    </row>
    <row r="2" spans="1:16" s="23" customFormat="1" ht="18.5" x14ac:dyDescent="0.35">
      <c r="A2" s="21" t="s">
        <v>8</v>
      </c>
      <c r="B2" s="28" t="s">
        <v>129</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Q-SB1.1</v>
      </c>
      <c r="C7" s="37" t="s">
        <v>38</v>
      </c>
      <c r="D7" s="33" t="s">
        <v>83</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Q-SB1.2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Q-SB1.3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Q-SB1.4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Q-SB1.5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Q-SB1.6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6</v>
      </c>
      <c r="B15" s="33" t="str">
        <f t="shared" si="0"/>
        <v>Q-SB1.6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Q-SB1.7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Q-SB1.8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03000000}"/>
  <mergeCells count="2">
    <mergeCell ref="A10:E10"/>
    <mergeCell ref="A14:E14"/>
  </mergeCells>
  <conditionalFormatting sqref="C7:C9 C11:C13 C15:C1048576">
    <cfRule type="cellIs" dxfId="374" priority="15" operator="equal">
      <formula>"WIP (see comments)"</formula>
    </cfRule>
    <cfRule type="cellIs" dxfId="373" priority="16" operator="equal">
      <formula>"Removed"</formula>
    </cfRule>
    <cfRule type="cellIs" dxfId="372" priority="17" operator="equal">
      <formula>"Updated"</formula>
    </cfRule>
    <cfRule type="cellIs" dxfId="371" priority="18" operator="equal">
      <formula>"New"</formula>
    </cfRule>
  </conditionalFormatting>
  <conditionalFormatting sqref="D7:D9 D11:D13">
    <cfRule type="cellIs" dxfId="370" priority="14" operator="equal">
      <formula>"-"</formula>
    </cfRule>
  </conditionalFormatting>
  <conditionalFormatting sqref="P15:XFD15 A11:L11 A15:N15 N11:XFD11 E16:N17 A13:B13 N13:XFD13 K12:L13 E13:J13 A7:XFD9 C12:D13 B16:C17">
    <cfRule type="cellIs" dxfId="369" priority="13" operator="equal">
      <formula>"n/a"</formula>
    </cfRule>
  </conditionalFormatting>
  <conditionalFormatting sqref="O15">
    <cfRule type="cellIs" dxfId="368" priority="12" operator="equal">
      <formula>"n/a"</formula>
    </cfRule>
  </conditionalFormatting>
  <conditionalFormatting sqref="M11 M13">
    <cfRule type="cellIs" dxfId="367" priority="11" operator="equal">
      <formula>"n/a"</formula>
    </cfRule>
  </conditionalFormatting>
  <conditionalFormatting sqref="F10:XFD10">
    <cfRule type="cellIs" dxfId="366" priority="10" operator="equal">
      <formula>"n/a"</formula>
    </cfRule>
  </conditionalFormatting>
  <conditionalFormatting sqref="F14:XFD14 A14">
    <cfRule type="cellIs" dxfId="365" priority="9" operator="equal">
      <formula>"n/a"</formula>
    </cfRule>
  </conditionalFormatting>
  <conditionalFormatting sqref="A12:B12 N12:XFD12 E12:J12">
    <cfRule type="cellIs" dxfId="364" priority="3" operator="equal">
      <formula>"n/a"</formula>
    </cfRule>
  </conditionalFormatting>
  <conditionalFormatting sqref="M12">
    <cfRule type="cellIs" dxfId="363" priority="2" operator="equal">
      <formula>"n/a"</formula>
    </cfRule>
  </conditionalFormatting>
  <conditionalFormatting sqref="A10">
    <cfRule type="cellIs" dxfId="3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 Values'!$B$5:$B$9</xm:f>
          </x14:formula1>
          <xm:sqref>C7:C9 C11:C13 C15:C1048576</xm:sqref>
        </x14:dataValidation>
        <x14:dataValidation type="list" allowBlank="1" showInputMessage="1" showErrorMessage="1" xr:uid="{00000000-0002-0000-0300-000001000000}">
          <x14:formula1>
            <xm:f>'List Values'!$A$5:$A$33</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A17" sqref="A17"/>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236</v>
      </c>
      <c r="F1" s="41"/>
      <c r="H1" s="27"/>
    </row>
    <row r="2" spans="1:16" s="23" customFormat="1" ht="18.5" x14ac:dyDescent="0.35">
      <c r="A2" s="21" t="s">
        <v>8</v>
      </c>
      <c r="B2" s="28" t="s">
        <v>166</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Q-SB2.1</v>
      </c>
      <c r="C7" s="37" t="s">
        <v>38</v>
      </c>
      <c r="D7" s="33" t="s">
        <v>164</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Q-SB2.2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Q-SB2.3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Q-SB2.4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Q-SB2.5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Q-SB2.6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6</v>
      </c>
      <c r="B15" s="33" t="str">
        <f t="shared" si="0"/>
        <v>Q-SB2.6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Q-SB2.7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Q-SB2.8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04000000}"/>
  <mergeCells count="2">
    <mergeCell ref="A10:E10"/>
    <mergeCell ref="A14:E14"/>
  </mergeCells>
  <conditionalFormatting sqref="C7:C9 C11:C13 C15:C1048576">
    <cfRule type="cellIs" dxfId="361" priority="14" operator="equal">
      <formula>"WIP (see comments)"</formula>
    </cfRule>
    <cfRule type="cellIs" dxfId="360" priority="15" operator="equal">
      <formula>"Removed"</formula>
    </cfRule>
    <cfRule type="cellIs" dxfId="359" priority="16" operator="equal">
      <formula>"Updated"</formula>
    </cfRule>
    <cfRule type="cellIs" dxfId="358" priority="17" operator="equal">
      <formula>"New"</formula>
    </cfRule>
  </conditionalFormatting>
  <conditionalFormatting sqref="D7:D9 D11:D13">
    <cfRule type="cellIs" dxfId="357" priority="13" operator="equal">
      <formula>"-"</formula>
    </cfRule>
  </conditionalFormatting>
  <conditionalFormatting sqref="P15:XFD15 A11:L11 A15:N15 N11:XFD11 E16:N17 A13:B13 N13:XFD13 K12:L13 E13:J13 A7:XFD9 C12:D13 B16:C17">
    <cfRule type="cellIs" dxfId="356" priority="12" operator="equal">
      <formula>"n/a"</formula>
    </cfRule>
  </conditionalFormatting>
  <conditionalFormatting sqref="O15">
    <cfRule type="cellIs" dxfId="355" priority="11" operator="equal">
      <formula>"n/a"</formula>
    </cfRule>
  </conditionalFormatting>
  <conditionalFormatting sqref="M11 M13">
    <cfRule type="cellIs" dxfId="354" priority="10" operator="equal">
      <formula>"n/a"</formula>
    </cfRule>
  </conditionalFormatting>
  <conditionalFormatting sqref="F10:XFD10">
    <cfRule type="cellIs" dxfId="353" priority="9" operator="equal">
      <formula>"n/a"</formula>
    </cfRule>
  </conditionalFormatting>
  <conditionalFormatting sqref="F14:XFD14 A14">
    <cfRule type="cellIs" dxfId="352" priority="8" operator="equal">
      <formula>"n/a"</formula>
    </cfRule>
  </conditionalFormatting>
  <conditionalFormatting sqref="A12:B12 N12:XFD12 E12:J12">
    <cfRule type="cellIs" dxfId="351" priority="3" operator="equal">
      <formula>"n/a"</formula>
    </cfRule>
  </conditionalFormatting>
  <conditionalFormatting sqref="M12">
    <cfRule type="cellIs" dxfId="350" priority="2" operator="equal">
      <formula>"n/a"</formula>
    </cfRule>
  </conditionalFormatting>
  <conditionalFormatting sqref="A10">
    <cfRule type="cellIs" dxfId="3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'List Values'!$B$5:$B$9</xm:f>
          </x14:formula1>
          <xm:sqref>C7:C9 C11:C13 C15:C1048576</xm:sqref>
        </x14:dataValidation>
        <x14:dataValidation type="list" allowBlank="1" showInputMessage="1" showErrorMessage="1" xr:uid="{00000000-0002-0000-0400-000001000000}">
          <x14:formula1>
            <xm:f>'List Values'!$A$5:$A$33</xm:f>
          </x14:formula1>
          <xm:sqref>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8"/>
  <sheetViews>
    <sheetView zoomScaleNormal="100" workbookViewId="0">
      <pane xSplit="4" ySplit="6" topLeftCell="N7" activePane="bottomRight" state="frozen"/>
      <selection pane="topRight" activeCell="E1" sqref="E1"/>
      <selection pane="bottomLeft" activeCell="A7" sqref="A7"/>
      <selection pane="bottomRight" activeCell="D11" sqref="D11"/>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hidden="1" customHeight="1" x14ac:dyDescent="0.35">
      <c r="A1" s="21" t="s">
        <v>7</v>
      </c>
      <c r="B1" s="29" t="s">
        <v>135</v>
      </c>
      <c r="C1" s="25"/>
      <c r="D1" s="22"/>
      <c r="F1" s="41"/>
      <c r="H1" s="27"/>
    </row>
    <row r="2" spans="1:16" s="23" customFormat="1" ht="18.5" x14ac:dyDescent="0.35">
      <c r="A2" s="21" t="s">
        <v>8</v>
      </c>
      <c r="B2" s="28">
        <v>2</v>
      </c>
      <c r="C2" s="27"/>
      <c r="D2" s="28" t="s">
        <v>215</v>
      </c>
      <c r="F2" s="41"/>
      <c r="H2" s="27"/>
    </row>
    <row r="3" spans="1:16" s="23" customFormat="1" ht="18.5" x14ac:dyDescent="0.35">
      <c r="A3" s="21" t="s">
        <v>41</v>
      </c>
      <c r="B3" s="28" t="s">
        <v>175</v>
      </c>
      <c r="C3" s="27"/>
      <c r="D3" s="28" t="s">
        <v>331</v>
      </c>
      <c r="F3" s="41"/>
      <c r="H3" s="27"/>
    </row>
    <row r="4" spans="1:16" s="23" customFormat="1" ht="18.5" x14ac:dyDescent="0.35">
      <c r="A4" s="21" t="s">
        <v>9</v>
      </c>
      <c r="B4" s="23" t="s">
        <v>54</v>
      </c>
      <c r="C4" s="27"/>
      <c r="D4" s="23" t="s">
        <v>239</v>
      </c>
      <c r="F4" s="41"/>
      <c r="H4" s="27"/>
    </row>
    <row r="5" spans="1:16" s="35" customFormat="1" ht="18.5" x14ac:dyDescent="0.35">
      <c r="C5" s="36"/>
      <c r="D5" s="23" t="s">
        <v>326</v>
      </c>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8" si="0">CONCATENATE($B$2, ".", A7)</f>
        <v>2.1</v>
      </c>
      <c r="C7" s="37" t="s">
        <v>35</v>
      </c>
      <c r="D7" s="33" t="s">
        <v>318</v>
      </c>
      <c r="E7" s="34" t="s">
        <v>275</v>
      </c>
      <c r="F7" s="33" t="s">
        <v>55</v>
      </c>
      <c r="G7" s="33" t="s">
        <v>55</v>
      </c>
      <c r="H7" s="37" t="s">
        <v>55</v>
      </c>
      <c r="I7" s="34" t="s">
        <v>54</v>
      </c>
      <c r="J7" s="33" t="s">
        <v>55</v>
      </c>
      <c r="K7" s="33" t="s">
        <v>55</v>
      </c>
      <c r="L7" s="33" t="s">
        <v>55</v>
      </c>
      <c r="M7" s="33" t="s">
        <v>55</v>
      </c>
      <c r="N7" s="33" t="s">
        <v>55</v>
      </c>
      <c r="O7" s="33" t="s">
        <v>55</v>
      </c>
      <c r="P7" s="33" t="s">
        <v>234</v>
      </c>
    </row>
    <row r="8" spans="1:16" x14ac:dyDescent="0.35">
      <c r="A8" s="33">
        <v>2</v>
      </c>
      <c r="B8" s="33" t="str">
        <f t="shared" si="0"/>
        <v>2.2</v>
      </c>
      <c r="C8" s="37" t="s">
        <v>37</v>
      </c>
      <c r="D8" s="33" t="s">
        <v>55</v>
      </c>
      <c r="E8" s="34" t="s">
        <v>43</v>
      </c>
      <c r="F8" s="33" t="s">
        <v>55</v>
      </c>
      <c r="G8" s="33" t="s">
        <v>55</v>
      </c>
      <c r="H8" s="37" t="s">
        <v>55</v>
      </c>
      <c r="I8" s="34" t="s">
        <v>54</v>
      </c>
      <c r="J8" s="33" t="s">
        <v>55</v>
      </c>
      <c r="K8" s="33" t="s">
        <v>55</v>
      </c>
      <c r="L8" s="33" t="s">
        <v>55</v>
      </c>
      <c r="M8" s="33" t="s">
        <v>55</v>
      </c>
      <c r="N8" s="33" t="s">
        <v>55</v>
      </c>
      <c r="O8" s="33" t="s">
        <v>55</v>
      </c>
    </row>
    <row r="9" spans="1:16" x14ac:dyDescent="0.35">
      <c r="A9" s="33">
        <v>3</v>
      </c>
      <c r="B9" s="33" t="str">
        <f>CONCATENATE($B$2, ".", A9)</f>
        <v>2.3</v>
      </c>
      <c r="C9" s="37" t="s">
        <v>37</v>
      </c>
      <c r="D9" s="34" t="s">
        <v>149</v>
      </c>
      <c r="E9" s="34" t="s">
        <v>49</v>
      </c>
      <c r="F9" s="33" t="s">
        <v>55</v>
      </c>
      <c r="G9" s="33" t="s">
        <v>55</v>
      </c>
      <c r="H9" s="37" t="s">
        <v>55</v>
      </c>
      <c r="I9" s="34" t="s">
        <v>54</v>
      </c>
      <c r="J9" s="33" t="s">
        <v>55</v>
      </c>
      <c r="K9" s="33" t="s">
        <v>55</v>
      </c>
      <c r="L9" s="33" t="s">
        <v>55</v>
      </c>
      <c r="M9" s="34" t="s">
        <v>55</v>
      </c>
      <c r="N9" s="33" t="s">
        <v>55</v>
      </c>
    </row>
    <row r="10" spans="1:16" ht="43.5" x14ac:dyDescent="0.35">
      <c r="A10" s="33">
        <v>4</v>
      </c>
      <c r="B10" s="33" t="str">
        <f>CONCATENATE($B$2, ".", A10)</f>
        <v>2.4</v>
      </c>
      <c r="C10" s="37" t="s">
        <v>37</v>
      </c>
      <c r="D10" s="34" t="s">
        <v>150</v>
      </c>
      <c r="E10" s="34" t="s">
        <v>87</v>
      </c>
      <c r="F10" s="33" t="s">
        <v>249</v>
      </c>
      <c r="G10" s="33" t="s">
        <v>55</v>
      </c>
      <c r="H10" s="37" t="s">
        <v>55</v>
      </c>
      <c r="I10" s="34" t="s">
        <v>54</v>
      </c>
      <c r="J10" s="33" t="s">
        <v>248</v>
      </c>
      <c r="K10" s="33" t="s">
        <v>55</v>
      </c>
      <c r="L10" s="33" t="s">
        <v>55</v>
      </c>
      <c r="M10" s="34" t="s">
        <v>55</v>
      </c>
      <c r="N10" s="33" t="s">
        <v>55</v>
      </c>
      <c r="O10" s="33" t="s">
        <v>246</v>
      </c>
    </row>
    <row r="11" spans="1:16" ht="43.5" x14ac:dyDescent="0.35">
      <c r="A11" s="33">
        <v>5</v>
      </c>
      <c r="B11" s="33" t="str">
        <f>CONCATENATE($B$2, ".", A11)</f>
        <v>2.5</v>
      </c>
      <c r="C11" s="37" t="s">
        <v>37</v>
      </c>
      <c r="D11" s="34" t="s">
        <v>151</v>
      </c>
      <c r="E11" s="34" t="s">
        <v>87</v>
      </c>
      <c r="F11" s="33" t="s">
        <v>249</v>
      </c>
      <c r="G11" s="33" t="s">
        <v>55</v>
      </c>
      <c r="H11" s="37" t="s">
        <v>55</v>
      </c>
      <c r="I11" s="34" t="s">
        <v>54</v>
      </c>
      <c r="J11" s="33" t="s">
        <v>250</v>
      </c>
      <c r="K11" s="33" t="s">
        <v>55</v>
      </c>
      <c r="L11" s="33" t="s">
        <v>55</v>
      </c>
      <c r="M11" s="34" t="s">
        <v>55</v>
      </c>
      <c r="N11" s="33" t="s">
        <v>55</v>
      </c>
      <c r="O11" s="33" t="s">
        <v>247</v>
      </c>
    </row>
    <row r="12" spans="1:16" s="32" customFormat="1" ht="15" customHeight="1" x14ac:dyDescent="0.35">
      <c r="A12" s="47" t="s">
        <v>253</v>
      </c>
      <c r="B12" s="47"/>
      <c r="C12" s="47"/>
      <c r="D12" s="47"/>
      <c r="E12" s="47"/>
      <c r="F12" s="47"/>
    </row>
    <row r="13" spans="1:16" ht="159.5" x14ac:dyDescent="0.35">
      <c r="A13" s="33">
        <v>6</v>
      </c>
      <c r="B13" s="33" t="str">
        <f>CONCATENATE($B$2, ".", A13)</f>
        <v>2.6</v>
      </c>
      <c r="C13" s="37" t="s">
        <v>37</v>
      </c>
      <c r="D13" s="34" t="s">
        <v>219</v>
      </c>
      <c r="E13" s="34" t="s">
        <v>28</v>
      </c>
      <c r="F13" s="33" t="s">
        <v>55</v>
      </c>
      <c r="G13" s="33" t="s">
        <v>55</v>
      </c>
      <c r="H13" s="37" t="s">
        <v>55</v>
      </c>
      <c r="I13" s="34" t="s">
        <v>54</v>
      </c>
      <c r="J13" s="33" t="s">
        <v>241</v>
      </c>
      <c r="K13" s="33" t="s">
        <v>55</v>
      </c>
      <c r="L13" s="33" t="s">
        <v>55</v>
      </c>
      <c r="M13" s="34" t="s">
        <v>55</v>
      </c>
      <c r="N13" s="33" t="s">
        <v>55</v>
      </c>
      <c r="O13" s="33" t="s">
        <v>324</v>
      </c>
    </row>
    <row r="14" spans="1:16" ht="29" x14ac:dyDescent="0.35">
      <c r="A14" s="33">
        <v>7</v>
      </c>
      <c r="B14" s="33" t="str">
        <f>CONCATENATE($B$2, ".", A14)</f>
        <v>2.7</v>
      </c>
      <c r="C14" s="37" t="s">
        <v>38</v>
      </c>
      <c r="D14" s="34" t="s">
        <v>146</v>
      </c>
      <c r="E14" s="34" t="s">
        <v>48</v>
      </c>
      <c r="F14" s="33" t="s">
        <v>55</v>
      </c>
      <c r="G14" s="33" t="s">
        <v>55</v>
      </c>
      <c r="H14" s="37" t="s">
        <v>55</v>
      </c>
      <c r="I14" s="34" t="s">
        <v>54</v>
      </c>
      <c r="J14" s="33" t="s">
        <v>55</v>
      </c>
      <c r="K14" s="33" t="s">
        <v>55</v>
      </c>
      <c r="L14" s="33" t="s">
        <v>55</v>
      </c>
      <c r="M14" s="34" t="s">
        <v>55</v>
      </c>
      <c r="N14" s="33" t="s">
        <v>55</v>
      </c>
      <c r="P14" s="33" t="s">
        <v>267</v>
      </c>
    </row>
    <row r="15" spans="1:16" x14ac:dyDescent="0.35">
      <c r="A15" s="33">
        <v>8</v>
      </c>
      <c r="B15" s="33" t="str">
        <f>CONCATENATE($B$2, ".", A15)</f>
        <v>2.8</v>
      </c>
      <c r="C15" s="37" t="s">
        <v>37</v>
      </c>
      <c r="D15" s="34" t="s">
        <v>147</v>
      </c>
      <c r="E15" s="34" t="s">
        <v>27</v>
      </c>
      <c r="F15" s="33" t="s">
        <v>55</v>
      </c>
      <c r="G15" s="33" t="s">
        <v>55</v>
      </c>
      <c r="H15" s="37" t="s">
        <v>55</v>
      </c>
      <c r="I15" s="34" t="s">
        <v>54</v>
      </c>
      <c r="J15" s="33" t="s">
        <v>55</v>
      </c>
      <c r="K15" s="33" t="s">
        <v>55</v>
      </c>
      <c r="L15" s="33" t="s">
        <v>55</v>
      </c>
      <c r="M15" s="34" t="s">
        <v>55</v>
      </c>
      <c r="N15" s="33" t="s">
        <v>55</v>
      </c>
    </row>
    <row r="16" spans="1:16" x14ac:dyDescent="0.35">
      <c r="A16" s="33">
        <v>9</v>
      </c>
      <c r="B16" s="33" t="str">
        <f t="shared" ref="B16:B22" si="1">CONCATENATE($B$2, ".", A16)</f>
        <v>2.9</v>
      </c>
      <c r="C16" s="37" t="s">
        <v>37</v>
      </c>
      <c r="D16" s="34" t="s">
        <v>148</v>
      </c>
      <c r="E16" s="34" t="s">
        <v>59</v>
      </c>
      <c r="F16" s="33" t="s">
        <v>55</v>
      </c>
      <c r="G16" s="33" t="s">
        <v>55</v>
      </c>
      <c r="H16" s="37" t="s">
        <v>55</v>
      </c>
      <c r="I16" s="34" t="s">
        <v>54</v>
      </c>
      <c r="J16" s="33" t="s">
        <v>55</v>
      </c>
      <c r="K16" s="33" t="s">
        <v>55</v>
      </c>
      <c r="L16" s="33" t="s">
        <v>55</v>
      </c>
      <c r="M16" s="34" t="s">
        <v>55</v>
      </c>
      <c r="N16" s="33" t="s">
        <v>55</v>
      </c>
    </row>
    <row r="17" spans="1:28" ht="58" x14ac:dyDescent="0.35">
      <c r="A17" s="33">
        <v>10</v>
      </c>
      <c r="B17" s="33" t="str">
        <f t="shared" si="1"/>
        <v>2.10</v>
      </c>
      <c r="C17" s="37" t="s">
        <v>35</v>
      </c>
      <c r="D17" s="34" t="s">
        <v>199</v>
      </c>
      <c r="E17" s="34" t="s">
        <v>59</v>
      </c>
      <c r="F17" s="33" t="s">
        <v>55</v>
      </c>
      <c r="G17" s="33" t="s">
        <v>55</v>
      </c>
      <c r="H17" s="37" t="s">
        <v>55</v>
      </c>
      <c r="I17" s="34" t="s">
        <v>252</v>
      </c>
      <c r="J17" s="33" t="s">
        <v>55</v>
      </c>
      <c r="K17" s="33" t="s">
        <v>55</v>
      </c>
      <c r="L17" s="33" t="s">
        <v>55</v>
      </c>
      <c r="M17" s="34" t="s">
        <v>55</v>
      </c>
      <c r="N17" s="33" t="s">
        <v>55</v>
      </c>
      <c r="O17" s="33" t="s">
        <v>251</v>
      </c>
      <c r="P17" s="33" t="s">
        <v>234</v>
      </c>
    </row>
    <row r="18" spans="1:28" ht="58" x14ac:dyDescent="0.35">
      <c r="A18" s="33">
        <v>11</v>
      </c>
      <c r="B18" s="33" t="str">
        <f>CONCATENATE($B$2, ".", A18)</f>
        <v>2.11</v>
      </c>
      <c r="C18" s="37" t="s">
        <v>37</v>
      </c>
      <c r="D18" s="34" t="s">
        <v>193</v>
      </c>
      <c r="E18" s="34" t="s">
        <v>59</v>
      </c>
      <c r="F18" s="33" t="s">
        <v>55</v>
      </c>
      <c r="G18" s="33" t="s">
        <v>55</v>
      </c>
      <c r="H18" s="37" t="s">
        <v>55</v>
      </c>
      <c r="I18" s="34" t="s">
        <v>54</v>
      </c>
      <c r="J18" s="33" t="s">
        <v>55</v>
      </c>
      <c r="K18" s="33" t="s">
        <v>55</v>
      </c>
      <c r="L18" s="33" t="s">
        <v>55</v>
      </c>
      <c r="M18" s="34" t="s">
        <v>55</v>
      </c>
      <c r="N18" s="33" t="s">
        <v>55</v>
      </c>
      <c r="O18" s="33" t="s">
        <v>242</v>
      </c>
    </row>
    <row r="19" spans="1:28" ht="58" x14ac:dyDescent="0.35">
      <c r="A19" s="33">
        <v>12</v>
      </c>
      <c r="B19" s="33" t="str">
        <f t="shared" ref="B19:B20" si="2">CONCATENATE($B$2, ".", A19)</f>
        <v>2.12</v>
      </c>
      <c r="C19" s="37" t="s">
        <v>37</v>
      </c>
      <c r="D19" s="34" t="s">
        <v>194</v>
      </c>
      <c r="E19" s="34" t="s">
        <v>59</v>
      </c>
      <c r="F19" s="33" t="s">
        <v>55</v>
      </c>
      <c r="G19" s="33" t="s">
        <v>55</v>
      </c>
      <c r="H19" s="37" t="s">
        <v>55</v>
      </c>
      <c r="I19" s="34" t="s">
        <v>252</v>
      </c>
      <c r="J19" s="33" t="s">
        <v>55</v>
      </c>
      <c r="K19" s="33" t="s">
        <v>55</v>
      </c>
      <c r="L19" s="33" t="s">
        <v>55</v>
      </c>
      <c r="M19" s="34" t="s">
        <v>55</v>
      </c>
      <c r="N19" s="33" t="s">
        <v>55</v>
      </c>
      <c r="O19" s="33" t="s">
        <v>243</v>
      </c>
    </row>
    <row r="20" spans="1:28" ht="58" x14ac:dyDescent="0.35">
      <c r="A20" s="33">
        <v>13</v>
      </c>
      <c r="B20" s="33" t="str">
        <f t="shared" si="2"/>
        <v>2.13</v>
      </c>
      <c r="C20" s="37" t="s">
        <v>37</v>
      </c>
      <c r="D20" s="34" t="s">
        <v>195</v>
      </c>
      <c r="E20" s="34" t="s">
        <v>59</v>
      </c>
      <c r="F20" s="33" t="s">
        <v>55</v>
      </c>
      <c r="G20" s="33" t="s">
        <v>55</v>
      </c>
      <c r="H20" s="37" t="s">
        <v>55</v>
      </c>
      <c r="I20" s="34" t="s">
        <v>252</v>
      </c>
      <c r="J20" s="33" t="s">
        <v>55</v>
      </c>
      <c r="K20" s="33" t="s">
        <v>55</v>
      </c>
      <c r="L20" s="33" t="s">
        <v>55</v>
      </c>
      <c r="M20" s="34" t="s">
        <v>55</v>
      </c>
      <c r="N20" s="33" t="s">
        <v>55</v>
      </c>
      <c r="O20" s="33" t="s">
        <v>244</v>
      </c>
    </row>
    <row r="21" spans="1:28" ht="29" x14ac:dyDescent="0.35">
      <c r="A21" s="33">
        <v>14</v>
      </c>
      <c r="B21" s="33" t="str">
        <f>CONCATENATE($B$2, ".", A21)</f>
        <v>2.14</v>
      </c>
      <c r="C21" s="37" t="s">
        <v>37</v>
      </c>
      <c r="D21" s="34" t="s">
        <v>237</v>
      </c>
      <c r="E21" s="34" t="s">
        <v>47</v>
      </c>
      <c r="F21" s="33" t="s">
        <v>55</v>
      </c>
      <c r="G21" s="33" t="s">
        <v>55</v>
      </c>
      <c r="H21" s="37" t="s">
        <v>55</v>
      </c>
      <c r="I21" s="34" t="s">
        <v>54</v>
      </c>
      <c r="J21" s="33" t="s">
        <v>55</v>
      </c>
      <c r="K21" s="33" t="s">
        <v>55</v>
      </c>
      <c r="L21" s="33" t="s">
        <v>55</v>
      </c>
      <c r="M21" s="34" t="s">
        <v>55</v>
      </c>
      <c r="N21" s="33" t="s">
        <v>55</v>
      </c>
      <c r="O21" s="33" t="s">
        <v>245</v>
      </c>
    </row>
    <row r="22" spans="1:28" s="32" customFormat="1" ht="141.5" customHeight="1" x14ac:dyDescent="0.35">
      <c r="A22" s="33">
        <v>15</v>
      </c>
      <c r="B22" s="33" t="str">
        <f t="shared" si="1"/>
        <v>2.15</v>
      </c>
      <c r="C22" s="37" t="s">
        <v>37</v>
      </c>
      <c r="D22" s="34" t="s">
        <v>238</v>
      </c>
      <c r="E22" s="34" t="s">
        <v>240</v>
      </c>
      <c r="F22" s="33" t="s">
        <v>218</v>
      </c>
      <c r="G22" s="33" t="s">
        <v>55</v>
      </c>
      <c r="H22" s="37">
        <v>1</v>
      </c>
      <c r="I22" s="34" t="s">
        <v>282</v>
      </c>
      <c r="J22" s="44" t="s">
        <v>241</v>
      </c>
      <c r="K22" s="33" t="s">
        <v>55</v>
      </c>
      <c r="L22" s="33" t="s">
        <v>55</v>
      </c>
      <c r="M22" s="34" t="s">
        <v>55</v>
      </c>
      <c r="N22" s="33" t="s">
        <v>55</v>
      </c>
      <c r="O22" s="33" t="s">
        <v>333</v>
      </c>
      <c r="P22" s="33" t="s">
        <v>283</v>
      </c>
      <c r="Q22" s="49"/>
      <c r="R22" s="49"/>
      <c r="S22" s="49"/>
      <c r="T22" s="49"/>
      <c r="U22" s="49"/>
      <c r="V22" s="49"/>
      <c r="W22" s="49"/>
      <c r="X22" s="49"/>
      <c r="Y22" s="49"/>
      <c r="Z22" s="49"/>
      <c r="AA22" s="49"/>
      <c r="AB22" s="49"/>
    </row>
    <row r="23" spans="1:28" x14ac:dyDescent="0.35">
      <c r="A23" s="47" t="s">
        <v>254</v>
      </c>
      <c r="B23" s="47"/>
      <c r="C23" s="47"/>
      <c r="D23" s="47"/>
      <c r="E23" s="47"/>
      <c r="F23" s="47"/>
      <c r="G23" s="32"/>
      <c r="H23" s="32"/>
      <c r="I23" s="32"/>
      <c r="J23" s="32"/>
      <c r="K23" s="32"/>
      <c r="L23" s="32"/>
      <c r="M23" s="32"/>
      <c r="N23" s="32"/>
      <c r="O23" s="32"/>
      <c r="P23" s="32"/>
    </row>
    <row r="24" spans="1:28" ht="43.5" x14ac:dyDescent="0.35">
      <c r="A24" s="33">
        <v>16</v>
      </c>
      <c r="B24" s="33" t="str">
        <f>CONCATENATE($B$2, ".", A24)</f>
        <v>2.16</v>
      </c>
      <c r="C24" s="37" t="s">
        <v>37</v>
      </c>
      <c r="D24" s="34" t="s">
        <v>200</v>
      </c>
      <c r="E24" s="34" t="s">
        <v>40</v>
      </c>
      <c r="F24" s="33" t="s">
        <v>203</v>
      </c>
      <c r="G24" s="33" t="s">
        <v>55</v>
      </c>
      <c r="H24" s="37" t="s">
        <v>55</v>
      </c>
      <c r="I24" s="34" t="s">
        <v>54</v>
      </c>
      <c r="J24" s="44" t="s">
        <v>241</v>
      </c>
      <c r="K24" s="33" t="s">
        <v>55</v>
      </c>
      <c r="L24" s="33" t="s">
        <v>55</v>
      </c>
      <c r="M24" s="34" t="s">
        <v>55</v>
      </c>
      <c r="N24" s="33" t="s">
        <v>55</v>
      </c>
      <c r="O24" s="33" t="s">
        <v>256</v>
      </c>
    </row>
    <row r="25" spans="1:28" x14ac:dyDescent="0.35">
      <c r="A25" s="33">
        <v>17</v>
      </c>
      <c r="B25" s="33" t="str">
        <f>CONCATENATE($B$2, ".", A25)</f>
        <v>2.17</v>
      </c>
      <c r="C25" s="37" t="s">
        <v>37</v>
      </c>
      <c r="D25" s="34" t="s">
        <v>201</v>
      </c>
      <c r="E25" s="34" t="s">
        <v>40</v>
      </c>
      <c r="F25" s="33" t="s">
        <v>55</v>
      </c>
      <c r="G25" s="33" t="s">
        <v>55</v>
      </c>
      <c r="H25" s="37" t="s">
        <v>55</v>
      </c>
      <c r="I25" s="34" t="s">
        <v>54</v>
      </c>
      <c r="J25" s="33" t="s">
        <v>55</v>
      </c>
      <c r="K25" s="33" t="s">
        <v>55</v>
      </c>
      <c r="L25" s="33" t="s">
        <v>55</v>
      </c>
      <c r="M25" s="34" t="s">
        <v>55</v>
      </c>
      <c r="N25" s="33" t="s">
        <v>55</v>
      </c>
    </row>
    <row r="26" spans="1:28" ht="87" x14ac:dyDescent="0.35">
      <c r="A26" s="33">
        <v>18</v>
      </c>
      <c r="B26" s="33" t="str">
        <f>CONCATENATE($B$2, ".", A26)</f>
        <v>2.18</v>
      </c>
      <c r="C26" s="37" t="s">
        <v>37</v>
      </c>
      <c r="D26" s="34" t="s">
        <v>56</v>
      </c>
      <c r="E26" s="34" t="s">
        <v>40</v>
      </c>
      <c r="F26" s="33" t="s">
        <v>55</v>
      </c>
      <c r="G26" s="33" t="s">
        <v>55</v>
      </c>
      <c r="H26" s="37" t="s">
        <v>55</v>
      </c>
      <c r="I26" s="34" t="s">
        <v>54</v>
      </c>
      <c r="J26" s="33" t="s">
        <v>55</v>
      </c>
      <c r="K26" s="33" t="s">
        <v>55</v>
      </c>
      <c r="L26" s="33" t="s">
        <v>55</v>
      </c>
      <c r="M26" s="34" t="s">
        <v>202</v>
      </c>
      <c r="N26" s="33" t="s">
        <v>255</v>
      </c>
      <c r="O26" s="33" t="s">
        <v>310</v>
      </c>
    </row>
    <row r="27" spans="1:28" x14ac:dyDescent="0.35">
      <c r="A27" s="33">
        <v>19</v>
      </c>
      <c r="B27" s="33" t="str">
        <f>CONCATENATE($B$2, ".", A27)</f>
        <v>2.19</v>
      </c>
      <c r="C27" s="37" t="s">
        <v>35</v>
      </c>
      <c r="D27" s="34" t="s">
        <v>57</v>
      </c>
      <c r="E27" s="34" t="s">
        <v>40</v>
      </c>
      <c r="F27" s="33" t="s">
        <v>55</v>
      </c>
      <c r="G27" s="33" t="s">
        <v>55</v>
      </c>
      <c r="H27" s="37" t="s">
        <v>55</v>
      </c>
      <c r="I27" s="34" t="s">
        <v>54</v>
      </c>
      <c r="J27" s="33" t="s">
        <v>55</v>
      </c>
      <c r="K27" s="33" t="s">
        <v>55</v>
      </c>
      <c r="L27" s="33" t="s">
        <v>55</v>
      </c>
      <c r="M27" s="34" t="s">
        <v>55</v>
      </c>
      <c r="N27" s="33" t="s">
        <v>55</v>
      </c>
      <c r="O27" s="33" t="s">
        <v>334</v>
      </c>
      <c r="P27" s="33" t="s">
        <v>309</v>
      </c>
    </row>
    <row r="28" spans="1:28" ht="116" x14ac:dyDescent="0.35">
      <c r="A28" s="33">
        <v>20</v>
      </c>
      <c r="B28" s="33" t="str">
        <f>CONCATENATE($B$2, ".", A28)</f>
        <v>2.20</v>
      </c>
      <c r="C28" s="37" t="s">
        <v>39</v>
      </c>
      <c r="D28" s="45" t="s">
        <v>308</v>
      </c>
      <c r="E28" s="34" t="s">
        <v>53</v>
      </c>
      <c r="F28" s="33" t="s">
        <v>55</v>
      </c>
      <c r="G28" s="33" t="s">
        <v>55</v>
      </c>
      <c r="H28" s="37" t="s">
        <v>55</v>
      </c>
      <c r="I28" s="44" t="s">
        <v>252</v>
      </c>
      <c r="J28" s="33" t="s">
        <v>55</v>
      </c>
      <c r="K28" s="33" t="s">
        <v>55</v>
      </c>
      <c r="L28" s="33" t="s">
        <v>55</v>
      </c>
      <c r="M28" s="34" t="s">
        <v>55</v>
      </c>
      <c r="N28" s="33" t="s">
        <v>55</v>
      </c>
      <c r="O28" s="33" t="s">
        <v>325</v>
      </c>
      <c r="P28" s="33" t="s">
        <v>307</v>
      </c>
    </row>
  </sheetData>
  <autoFilter ref="A6:P6" xr:uid="{00000000-0009-0000-0000-000005000000}"/>
  <conditionalFormatting sqref="C29:C1048576 C16 C13">
    <cfRule type="cellIs" dxfId="348" priority="127" operator="equal">
      <formula>"WIP (see comments)"</formula>
    </cfRule>
    <cfRule type="cellIs" dxfId="347" priority="128" operator="equal">
      <formula>"Removed"</formula>
    </cfRule>
    <cfRule type="cellIs" dxfId="346" priority="129" operator="equal">
      <formula>"Updated"</formula>
    </cfRule>
    <cfRule type="cellIs" dxfId="345" priority="130" operator="equal">
      <formula>"New"</formula>
    </cfRule>
  </conditionalFormatting>
  <conditionalFormatting sqref="D16 D21:D22 D13">
    <cfRule type="cellIs" dxfId="344" priority="126" operator="equal">
      <formula>"-"</formula>
    </cfRule>
  </conditionalFormatting>
  <conditionalFormatting sqref="A16:N16 Q7:XFD8 I21 A13:E13 A21:B22 G13 G21 L13:N13 D21:E21 L21:N22 G23:P23 P15:XFD22 Q14:XFD14 D22:J22 I13 P13:XFD13">
    <cfRule type="cellIs" dxfId="343" priority="125" operator="equal">
      <formula>"n/a"</formula>
    </cfRule>
  </conditionalFormatting>
  <conditionalFormatting sqref="H21">
    <cfRule type="cellIs" dxfId="342" priority="112" operator="equal">
      <formula>"n/a"</formula>
    </cfRule>
  </conditionalFormatting>
  <conditionalFormatting sqref="C15">
    <cfRule type="cellIs" dxfId="341" priority="115" operator="equal">
      <formula>"WIP (see comments)"</formula>
    </cfRule>
    <cfRule type="cellIs" dxfId="340" priority="116" operator="equal">
      <formula>"Removed"</formula>
    </cfRule>
    <cfRule type="cellIs" dxfId="339" priority="117" operator="equal">
      <formula>"Updated"</formula>
    </cfRule>
    <cfRule type="cellIs" dxfId="338" priority="118" operator="equal">
      <formula>"New"</formula>
    </cfRule>
  </conditionalFormatting>
  <conditionalFormatting sqref="D15">
    <cfRule type="cellIs" dxfId="337" priority="114" operator="equal">
      <formula>"-"</formula>
    </cfRule>
  </conditionalFormatting>
  <conditionalFormatting sqref="A15:N15">
    <cfRule type="cellIs" dxfId="336" priority="113" operator="equal">
      <formula>"n/a"</formula>
    </cfRule>
  </conditionalFormatting>
  <conditionalFormatting sqref="F13">
    <cfRule type="cellIs" dxfId="335" priority="109" operator="equal">
      <formula>"n/a"</formula>
    </cfRule>
  </conditionalFormatting>
  <conditionalFormatting sqref="H13">
    <cfRule type="cellIs" dxfId="334" priority="111" operator="equal">
      <formula>"n/a"</formula>
    </cfRule>
  </conditionalFormatting>
  <conditionalFormatting sqref="F21">
    <cfRule type="cellIs" dxfId="333" priority="110" operator="equal">
      <formula>"n/a"</formula>
    </cfRule>
  </conditionalFormatting>
  <conditionalFormatting sqref="J21:K21 K22">
    <cfRule type="cellIs" dxfId="332" priority="108" operator="equal">
      <formula>"n/a"</formula>
    </cfRule>
  </conditionalFormatting>
  <conditionalFormatting sqref="J13:K13">
    <cfRule type="cellIs" dxfId="331" priority="107" operator="equal">
      <formula>"n/a"</formula>
    </cfRule>
  </conditionalFormatting>
  <conditionalFormatting sqref="C9:C11">
    <cfRule type="cellIs" dxfId="330" priority="63" operator="equal">
      <formula>"WIP (see comments)"</formula>
    </cfRule>
    <cfRule type="cellIs" dxfId="329" priority="64" operator="equal">
      <formula>"Removed"</formula>
    </cfRule>
    <cfRule type="cellIs" dxfId="328" priority="65" operator="equal">
      <formula>"Updated"</formula>
    </cfRule>
    <cfRule type="cellIs" dxfId="327" priority="66" operator="equal">
      <formula>"New"</formula>
    </cfRule>
  </conditionalFormatting>
  <conditionalFormatting sqref="D9:D11">
    <cfRule type="cellIs" dxfId="326" priority="62" operator="equal">
      <formula>"-"</formula>
    </cfRule>
  </conditionalFormatting>
  <conditionalFormatting sqref="P9:XFD11 A9:N11">
    <cfRule type="cellIs" dxfId="325" priority="61" operator="equal">
      <formula>"n/a"</formula>
    </cfRule>
  </conditionalFormatting>
  <conditionalFormatting sqref="G12:XFD12 A12">
    <cfRule type="cellIs" dxfId="324" priority="45" operator="equal">
      <formula>"n/a"</formula>
    </cfRule>
  </conditionalFormatting>
  <conditionalFormatting sqref="A23">
    <cfRule type="cellIs" dxfId="323" priority="44" operator="equal">
      <formula>"n/a"</formula>
    </cfRule>
  </conditionalFormatting>
  <conditionalFormatting sqref="C24:C28">
    <cfRule type="cellIs" dxfId="322" priority="40" operator="equal">
      <formula>"WIP (see comments)"</formula>
    </cfRule>
    <cfRule type="cellIs" dxfId="321" priority="41" operator="equal">
      <formula>"Removed"</formula>
    </cfRule>
    <cfRule type="cellIs" dxfId="320" priority="42" operator="equal">
      <formula>"Updated"</formula>
    </cfRule>
    <cfRule type="cellIs" dxfId="319" priority="43" operator="equal">
      <formula>"New"</formula>
    </cfRule>
  </conditionalFormatting>
  <conditionalFormatting sqref="D24:D28">
    <cfRule type="cellIs" dxfId="318" priority="39" operator="equal">
      <formula>"-"</formula>
    </cfRule>
  </conditionalFormatting>
  <conditionalFormatting sqref="A24:E28 G24:G28 L24:N28 I24:I27">
    <cfRule type="cellIs" dxfId="317" priority="38" operator="equal">
      <formula>"n/a"</formula>
    </cfRule>
  </conditionalFormatting>
  <conditionalFormatting sqref="H24:H28 I28">
    <cfRule type="cellIs" dxfId="316" priority="37" operator="equal">
      <formula>"n/a"</formula>
    </cfRule>
  </conditionalFormatting>
  <conditionalFormatting sqref="F24:F28">
    <cfRule type="cellIs" dxfId="315" priority="36" operator="equal">
      <formula>"n/a"</formula>
    </cfRule>
  </conditionalFormatting>
  <conditionalFormatting sqref="J24:K28">
    <cfRule type="cellIs" dxfId="314" priority="35" operator="equal">
      <formula>"n/a"</formula>
    </cfRule>
  </conditionalFormatting>
  <conditionalFormatting sqref="C7:C8">
    <cfRule type="cellIs" dxfId="313" priority="20" operator="equal">
      <formula>"WIP (see comments)"</formula>
    </cfRule>
    <cfRule type="cellIs" dxfId="312" priority="21" operator="equal">
      <formula>"Removed"</formula>
    </cfRule>
    <cfRule type="cellIs" dxfId="311" priority="22" operator="equal">
      <formula>"Updated"</formula>
    </cfRule>
    <cfRule type="cellIs" dxfId="310" priority="23" operator="equal">
      <formula>"New"</formula>
    </cfRule>
  </conditionalFormatting>
  <conditionalFormatting sqref="D7:D8">
    <cfRule type="cellIs" dxfId="309" priority="19" operator="equal">
      <formula>"-"</formula>
    </cfRule>
  </conditionalFormatting>
  <conditionalFormatting sqref="A7:P8">
    <cfRule type="cellIs" dxfId="308" priority="18" operator="equal">
      <formula>"n/a"</formula>
    </cfRule>
  </conditionalFormatting>
  <conditionalFormatting sqref="A17:A20">
    <cfRule type="cellIs" dxfId="307" priority="17" operator="equal">
      <formula>"n/a"</formula>
    </cfRule>
  </conditionalFormatting>
  <conditionalFormatting sqref="C17:C22">
    <cfRule type="cellIs" dxfId="306" priority="13" operator="equal">
      <formula>"WIP (see comments)"</formula>
    </cfRule>
    <cfRule type="cellIs" dxfId="305" priority="14" operator="equal">
      <formula>"Removed"</formula>
    </cfRule>
    <cfRule type="cellIs" dxfId="304" priority="15" operator="equal">
      <formula>"Updated"</formula>
    </cfRule>
    <cfRule type="cellIs" dxfId="303" priority="16" operator="equal">
      <formula>"New"</formula>
    </cfRule>
  </conditionalFormatting>
  <conditionalFormatting sqref="D17:D20">
    <cfRule type="cellIs" dxfId="302" priority="12" operator="equal">
      <formula>"-"</formula>
    </cfRule>
  </conditionalFormatting>
  <conditionalFormatting sqref="A17:N17 A18:B20 D18:N20 C18:C22">
    <cfRule type="cellIs" dxfId="301" priority="11" operator="equal">
      <formula>"n/a"</formula>
    </cfRule>
  </conditionalFormatting>
  <conditionalFormatting sqref="A17:A20">
    <cfRule type="cellIs" dxfId="300" priority="10" operator="equal">
      <formula>"n/a"</formula>
    </cfRule>
  </conditionalFormatting>
  <conditionalFormatting sqref="P14">
    <cfRule type="cellIs" dxfId="299" priority="7" operator="equal">
      <formula>"n/a"</formula>
    </cfRule>
  </conditionalFormatting>
  <conditionalFormatting sqref="C14">
    <cfRule type="cellIs" dxfId="298" priority="3" operator="equal">
      <formula>"WIP (see comments)"</formula>
    </cfRule>
    <cfRule type="cellIs" dxfId="297" priority="4" operator="equal">
      <formula>"Removed"</formula>
    </cfRule>
    <cfRule type="cellIs" dxfId="296" priority="5" operator="equal">
      <formula>"Updated"</formula>
    </cfRule>
    <cfRule type="cellIs" dxfId="295" priority="6" operator="equal">
      <formula>"New"</formula>
    </cfRule>
  </conditionalFormatting>
  <conditionalFormatting sqref="D14">
    <cfRule type="cellIs" dxfId="294" priority="2" operator="equal">
      <formula>"-"</formula>
    </cfRule>
  </conditionalFormatting>
  <conditionalFormatting sqref="A14:N14">
    <cfRule type="cellIs" dxfId="293" priority="1" operator="equal">
      <formula>"n/a"</formula>
    </cfRule>
  </conditionalFormatting>
  <dataValidations count="1">
    <dataValidation type="list" allowBlank="1" showInputMessage="1" showErrorMessage="1" sqref="E29:E1048576" xr:uid="{00000000-0002-0000-0500-000000000000}">
      <formula1>$A$5:$A$22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'List Values'!$B$5:$B$9</xm:f>
          </x14:formula1>
          <xm:sqref>C24:C1048576 C7:C11 C13:C22</xm:sqref>
        </x14:dataValidation>
        <x14:dataValidation type="list" allowBlank="1" showInputMessage="1" showErrorMessage="1" xr:uid="{00000000-0002-0000-0500-000002000000}">
          <x14:formula1>
            <xm:f>'List Values'!$A$5:$A$30</xm:f>
          </x14:formula1>
          <xm:sqref>E7:E28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P17"/>
  <sheetViews>
    <sheetView workbookViewId="0">
      <pane xSplit="4" ySplit="6" topLeftCell="J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158</v>
      </c>
      <c r="C1" s="25"/>
      <c r="D1" s="22" t="s">
        <v>214</v>
      </c>
      <c r="F1" s="41"/>
      <c r="H1" s="27"/>
    </row>
    <row r="2" spans="1:16" s="23" customFormat="1" ht="18.5" x14ac:dyDescent="0.35">
      <c r="A2" s="21" t="s">
        <v>8</v>
      </c>
      <c r="B2" s="28" t="s">
        <v>176</v>
      </c>
      <c r="C2" s="27"/>
      <c r="D2" s="28"/>
      <c r="F2" s="41"/>
      <c r="H2" s="27"/>
    </row>
    <row r="3" spans="1:16" s="23" customFormat="1" ht="18.5" x14ac:dyDescent="0.35">
      <c r="A3" s="21" t="s">
        <v>41</v>
      </c>
      <c r="B3" s="28" t="s">
        <v>177</v>
      </c>
      <c r="C3" s="27"/>
      <c r="D3" s="28"/>
      <c r="F3" s="41"/>
      <c r="H3" s="27"/>
    </row>
    <row r="4" spans="1:16" s="23" customFormat="1" ht="18.5" x14ac:dyDescent="0.35">
      <c r="A4" s="21" t="s">
        <v>9</v>
      </c>
      <c r="B4" s="28" t="s">
        <v>226</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B7" s="33" t="str">
        <f t="shared" ref="B7:B17" si="0">CONCATENATE($B$2, ".", A7)</f>
        <v>2a.</v>
      </c>
      <c r="C7" s="37" t="s">
        <v>38</v>
      </c>
      <c r="D7" s="34" t="s">
        <v>147</v>
      </c>
      <c r="E7" s="34" t="s">
        <v>49</v>
      </c>
      <c r="F7" s="33" t="s">
        <v>55</v>
      </c>
      <c r="G7" s="33" t="s">
        <v>55</v>
      </c>
      <c r="H7" s="37" t="s">
        <v>55</v>
      </c>
      <c r="I7" s="34" t="s">
        <v>54</v>
      </c>
      <c r="J7" s="33" t="s">
        <v>55</v>
      </c>
      <c r="K7" s="33" t="s">
        <v>55</v>
      </c>
      <c r="L7" s="33" t="s">
        <v>55</v>
      </c>
      <c r="M7" s="34" t="s">
        <v>55</v>
      </c>
      <c r="N7" s="33" t="s">
        <v>55</v>
      </c>
      <c r="O7" s="33" t="s">
        <v>204</v>
      </c>
    </row>
    <row r="8" spans="1:16" x14ac:dyDescent="0.35">
      <c r="B8" s="33" t="str">
        <f t="shared" si="0"/>
        <v>2a.</v>
      </c>
      <c r="C8" s="37" t="s">
        <v>38</v>
      </c>
      <c r="D8" s="34" t="s">
        <v>148</v>
      </c>
      <c r="E8" s="34" t="s">
        <v>27</v>
      </c>
      <c r="F8" s="33" t="s">
        <v>55</v>
      </c>
      <c r="G8" s="33" t="s">
        <v>55</v>
      </c>
      <c r="H8" s="37" t="s">
        <v>55</v>
      </c>
      <c r="I8" s="34" t="s">
        <v>54</v>
      </c>
      <c r="J8" s="33" t="s">
        <v>55</v>
      </c>
      <c r="K8" s="33" t="s">
        <v>55</v>
      </c>
      <c r="L8" s="33" t="s">
        <v>55</v>
      </c>
      <c r="M8" s="34" t="s">
        <v>55</v>
      </c>
      <c r="N8" s="33" t="s">
        <v>55</v>
      </c>
      <c r="O8" s="33" t="s">
        <v>205</v>
      </c>
    </row>
    <row r="9" spans="1:16" ht="43.5" x14ac:dyDescent="0.35">
      <c r="C9" s="37" t="s">
        <v>38</v>
      </c>
      <c r="D9" s="34" t="s">
        <v>212</v>
      </c>
      <c r="E9" s="34" t="s">
        <v>34</v>
      </c>
      <c r="F9" s="33" t="s">
        <v>55</v>
      </c>
      <c r="G9" s="33" t="s">
        <v>55</v>
      </c>
      <c r="H9" s="37" t="s">
        <v>55</v>
      </c>
      <c r="I9" s="34" t="s">
        <v>210</v>
      </c>
      <c r="J9" s="33" t="s">
        <v>55</v>
      </c>
      <c r="K9" s="33" t="s">
        <v>55</v>
      </c>
      <c r="L9" s="33" t="s">
        <v>55</v>
      </c>
      <c r="M9" s="34" t="s">
        <v>55</v>
      </c>
      <c r="N9" s="33" t="s">
        <v>55</v>
      </c>
      <c r="O9" s="33" t="s">
        <v>211</v>
      </c>
    </row>
    <row r="10" spans="1:16" ht="43.5" x14ac:dyDescent="0.35">
      <c r="B10" s="33" t="str">
        <f t="shared" si="0"/>
        <v>2a.</v>
      </c>
      <c r="C10" s="37" t="s">
        <v>38</v>
      </c>
      <c r="D10" s="34" t="s">
        <v>199</v>
      </c>
      <c r="E10" s="34" t="s">
        <v>34</v>
      </c>
      <c r="F10" s="33" t="s">
        <v>55</v>
      </c>
      <c r="G10" s="33" t="s">
        <v>55</v>
      </c>
      <c r="H10" s="37" t="s">
        <v>55</v>
      </c>
      <c r="I10" s="34" t="s">
        <v>192</v>
      </c>
      <c r="J10" s="33" t="s">
        <v>55</v>
      </c>
      <c r="K10" s="33" t="s">
        <v>55</v>
      </c>
      <c r="L10" s="33" t="s">
        <v>55</v>
      </c>
      <c r="M10" s="34" t="s">
        <v>55</v>
      </c>
      <c r="N10" s="33" t="s">
        <v>55</v>
      </c>
      <c r="O10" s="33" t="s">
        <v>207</v>
      </c>
    </row>
    <row r="11" spans="1:16" ht="29" x14ac:dyDescent="0.35">
      <c r="B11" s="33" t="str">
        <f t="shared" si="0"/>
        <v>2a.</v>
      </c>
      <c r="C11" s="37" t="s">
        <v>38</v>
      </c>
      <c r="D11" s="34" t="s">
        <v>193</v>
      </c>
      <c r="E11" s="34" t="s">
        <v>34</v>
      </c>
      <c r="F11" s="33" t="s">
        <v>55</v>
      </c>
      <c r="G11" s="33" t="s">
        <v>55</v>
      </c>
      <c r="H11" s="37" t="s">
        <v>55</v>
      </c>
      <c r="I11" s="34" t="s">
        <v>54</v>
      </c>
      <c r="J11" s="33" t="s">
        <v>55</v>
      </c>
      <c r="K11" s="33" t="s">
        <v>55</v>
      </c>
      <c r="L11" s="33" t="s">
        <v>55</v>
      </c>
      <c r="M11" s="34" t="s">
        <v>55</v>
      </c>
      <c r="N11" s="33" t="s">
        <v>55</v>
      </c>
      <c r="O11" s="33" t="s">
        <v>208</v>
      </c>
    </row>
    <row r="12" spans="1:16" x14ac:dyDescent="0.35">
      <c r="C12" s="37" t="s">
        <v>38</v>
      </c>
      <c r="D12" s="34"/>
      <c r="E12" s="34"/>
      <c r="I12" s="34"/>
      <c r="M12" s="34"/>
    </row>
    <row r="13" spans="1:16" x14ac:dyDescent="0.35">
      <c r="C13" s="37" t="s">
        <v>38</v>
      </c>
      <c r="D13" s="34"/>
      <c r="E13" s="34"/>
      <c r="I13" s="34"/>
      <c r="M13" s="34"/>
    </row>
    <row r="14" spans="1:16" ht="43.5" x14ac:dyDescent="0.35">
      <c r="B14" s="33" t="str">
        <f t="shared" si="0"/>
        <v>2a.</v>
      </c>
      <c r="C14" s="37" t="s">
        <v>38</v>
      </c>
      <c r="D14" s="34" t="s">
        <v>194</v>
      </c>
      <c r="E14" s="34" t="s">
        <v>59</v>
      </c>
      <c r="F14" s="33" t="s">
        <v>55</v>
      </c>
      <c r="G14" s="33" t="s">
        <v>55</v>
      </c>
      <c r="H14" s="37" t="s">
        <v>55</v>
      </c>
      <c r="I14" s="34" t="s">
        <v>196</v>
      </c>
      <c r="J14" s="33" t="s">
        <v>55</v>
      </c>
      <c r="K14" s="33" t="s">
        <v>55</v>
      </c>
      <c r="L14" s="33" t="s">
        <v>55</v>
      </c>
      <c r="M14" s="34" t="s">
        <v>55</v>
      </c>
      <c r="N14" s="33" t="s">
        <v>55</v>
      </c>
      <c r="O14" s="33" t="s">
        <v>209</v>
      </c>
    </row>
    <row r="15" spans="1:16" ht="43.5" x14ac:dyDescent="0.35">
      <c r="B15" s="33" t="str">
        <f t="shared" si="0"/>
        <v>2a.</v>
      </c>
      <c r="C15" s="37" t="s">
        <v>38</v>
      </c>
      <c r="D15" s="34" t="s">
        <v>195</v>
      </c>
      <c r="E15" s="34" t="s">
        <v>59</v>
      </c>
      <c r="F15" s="33" t="s">
        <v>55</v>
      </c>
      <c r="G15" s="33" t="s">
        <v>55</v>
      </c>
      <c r="H15" s="37" t="s">
        <v>55</v>
      </c>
      <c r="I15" s="34" t="s">
        <v>197</v>
      </c>
      <c r="J15" s="33" t="s">
        <v>55</v>
      </c>
      <c r="K15" s="33" t="s">
        <v>55</v>
      </c>
      <c r="L15" s="33" t="s">
        <v>55</v>
      </c>
      <c r="M15" s="34" t="s">
        <v>55</v>
      </c>
      <c r="N15" s="33" t="s">
        <v>55</v>
      </c>
      <c r="O15" s="33" t="s">
        <v>198</v>
      </c>
    </row>
    <row r="16" spans="1:16" x14ac:dyDescent="0.35">
      <c r="B16" s="33" t="str">
        <f>CONCATENATE($B$2, ".", A16)</f>
        <v>2a.</v>
      </c>
      <c r="C16" s="37" t="s">
        <v>38</v>
      </c>
      <c r="D16" s="34" t="s">
        <v>213</v>
      </c>
      <c r="E16" s="34" t="s">
        <v>59</v>
      </c>
      <c r="F16" s="33" t="s">
        <v>55</v>
      </c>
      <c r="G16" s="33" t="s">
        <v>55</v>
      </c>
      <c r="H16" s="37" t="s">
        <v>55</v>
      </c>
      <c r="I16" s="34" t="s">
        <v>54</v>
      </c>
      <c r="J16" s="33" t="s">
        <v>55</v>
      </c>
      <c r="K16" s="33" t="s">
        <v>55</v>
      </c>
      <c r="L16" s="33" t="s">
        <v>55</v>
      </c>
      <c r="M16" s="34" t="s">
        <v>55</v>
      </c>
      <c r="N16" s="33" t="s">
        <v>55</v>
      </c>
      <c r="O16" s="33" t="s">
        <v>206</v>
      </c>
    </row>
    <row r="17" spans="2:15" ht="29" x14ac:dyDescent="0.35">
      <c r="B17" s="33" t="str">
        <f t="shared" si="0"/>
        <v>2a.</v>
      </c>
      <c r="C17" s="37" t="s">
        <v>38</v>
      </c>
      <c r="D17" s="34" t="s">
        <v>159</v>
      </c>
      <c r="E17" s="34" t="s">
        <v>40</v>
      </c>
      <c r="F17" s="33" t="s">
        <v>55</v>
      </c>
      <c r="G17" s="33" t="s">
        <v>55</v>
      </c>
      <c r="H17" s="37" t="s">
        <v>55</v>
      </c>
      <c r="I17" s="34" t="s">
        <v>54</v>
      </c>
      <c r="J17" s="33" t="s">
        <v>55</v>
      </c>
      <c r="K17" s="33" t="s">
        <v>55</v>
      </c>
      <c r="L17" s="33" t="s">
        <v>55</v>
      </c>
      <c r="M17" s="33" t="s">
        <v>55</v>
      </c>
      <c r="N17" s="33" t="s">
        <v>55</v>
      </c>
      <c r="O17" s="31" t="s">
        <v>160</v>
      </c>
    </row>
  </sheetData>
  <autoFilter ref="A6:P6" xr:uid="{00000000-0009-0000-0000-000006000000}"/>
  <conditionalFormatting sqref="C18:C1048576">
    <cfRule type="cellIs" dxfId="292" priority="25" operator="equal">
      <formula>"WIP (see comments)"</formula>
    </cfRule>
    <cfRule type="cellIs" dxfId="291" priority="26" operator="equal">
      <formula>"Removed"</formula>
    </cfRule>
    <cfRule type="cellIs" dxfId="290" priority="27" operator="equal">
      <formula>"Updated"</formula>
    </cfRule>
    <cfRule type="cellIs" dxfId="289" priority="28" operator="equal">
      <formula>"New"</formula>
    </cfRule>
  </conditionalFormatting>
  <conditionalFormatting sqref="D8:D9 D16">
    <cfRule type="cellIs" dxfId="288" priority="24" operator="equal">
      <formula>"-"</formula>
    </cfRule>
  </conditionalFormatting>
  <conditionalFormatting sqref="I7:I8 J8:N9 P8:XFD17 A8:B17 D8:H9 D16:N17">
    <cfRule type="cellIs" dxfId="287" priority="23" operator="equal">
      <formula>"n/a"</formula>
    </cfRule>
  </conditionalFormatting>
  <conditionalFormatting sqref="O17">
    <cfRule type="cellIs" dxfId="286" priority="22" operator="equal">
      <formula>"n/a"</formula>
    </cfRule>
  </conditionalFormatting>
  <conditionalFormatting sqref="C7:C17">
    <cfRule type="cellIs" dxfId="285" priority="14" operator="equal">
      <formula>"WIP (see comments)"</formula>
    </cfRule>
    <cfRule type="cellIs" dxfId="284" priority="15" operator="equal">
      <formula>"Removed"</formula>
    </cfRule>
    <cfRule type="cellIs" dxfId="283" priority="16" operator="equal">
      <formula>"Updated"</formula>
    </cfRule>
    <cfRule type="cellIs" dxfId="282" priority="17" operator="equal">
      <formula>"New"</formula>
    </cfRule>
  </conditionalFormatting>
  <conditionalFormatting sqref="D7">
    <cfRule type="cellIs" dxfId="281" priority="13" operator="equal">
      <formula>"-"</formula>
    </cfRule>
  </conditionalFormatting>
  <conditionalFormatting sqref="A7:H7 P7:XFD7 J7:N7 C8:C17">
    <cfRule type="cellIs" dxfId="280" priority="12" operator="equal">
      <formula>"n/a"</formula>
    </cfRule>
  </conditionalFormatting>
  <conditionalFormatting sqref="D10:D15">
    <cfRule type="cellIs" dxfId="279" priority="3" operator="equal">
      <formula>"-"</formula>
    </cfRule>
  </conditionalFormatting>
  <conditionalFormatting sqref="D10:N15">
    <cfRule type="cellIs" dxfId="278" priority="2" operator="equal">
      <formula>"n/a"</formula>
    </cfRule>
  </conditionalFormatting>
  <conditionalFormatting sqref="I9">
    <cfRule type="cellIs" dxfId="27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Values'!$B$5:$B$9</xm:f>
          </x14:formula1>
          <xm:sqref>C7:C1048576</xm:sqref>
        </x14:dataValidation>
        <x14:dataValidation type="list" allowBlank="1" showInputMessage="1" showErrorMessage="1" xr:uid="{00000000-0002-0000-0600-000001000000}">
          <x14:formula1>
            <xm:f>'List Values'!$A$5:$A$33</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P17"/>
  <sheetViews>
    <sheetView workbookViewId="0">
      <pane ySplit="6" topLeftCell="A7" activePane="bottomLeft" state="frozen"/>
      <selection pane="bottomLeft" activeCell="A17" sqref="A17"/>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236</v>
      </c>
      <c r="F1" s="41"/>
      <c r="H1" s="27"/>
    </row>
    <row r="2" spans="1:16" s="23" customFormat="1" ht="18.5" x14ac:dyDescent="0.35">
      <c r="A2" s="21" t="s">
        <v>8</v>
      </c>
      <c r="B2" s="28" t="s">
        <v>167</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Q-SB3.1</v>
      </c>
      <c r="C7" s="37" t="s">
        <v>38</v>
      </c>
      <c r="D7" s="33" t="s">
        <v>165</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Q-SB3.2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Q-SB3.3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Q-SB3.4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Q-SB3.5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Q-SB3.6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6</v>
      </c>
      <c r="B15" s="33" t="str">
        <f t="shared" si="0"/>
        <v>Q-SB3.6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Q-SB3.7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Q-SB3.8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07000000}"/>
  <mergeCells count="2">
    <mergeCell ref="A10:E10"/>
    <mergeCell ref="A14:E14"/>
  </mergeCells>
  <conditionalFormatting sqref="C7:C9 C11:C13 C15:C1048576">
    <cfRule type="cellIs" dxfId="276" priority="14" operator="equal">
      <formula>"WIP (see comments)"</formula>
    </cfRule>
    <cfRule type="cellIs" dxfId="275" priority="15" operator="equal">
      <formula>"Removed"</formula>
    </cfRule>
    <cfRule type="cellIs" dxfId="274" priority="16" operator="equal">
      <formula>"Updated"</formula>
    </cfRule>
    <cfRule type="cellIs" dxfId="273" priority="17" operator="equal">
      <formula>"New"</formula>
    </cfRule>
  </conditionalFormatting>
  <conditionalFormatting sqref="D7:D9 D11:D13">
    <cfRule type="cellIs" dxfId="272" priority="13" operator="equal">
      <formula>"-"</formula>
    </cfRule>
  </conditionalFormatting>
  <conditionalFormatting sqref="P15:XFD15 A11:L11 A15:N15 N11:XFD11 E16:N17 A13:B13 N13:XFD13 K12:L13 E13:J13 A7:XFD9 C12:D13 B16:C17">
    <cfRule type="cellIs" dxfId="271" priority="12" operator="equal">
      <formula>"n/a"</formula>
    </cfRule>
  </conditionalFormatting>
  <conditionalFormatting sqref="O15">
    <cfRule type="cellIs" dxfId="270" priority="11" operator="equal">
      <formula>"n/a"</formula>
    </cfRule>
  </conditionalFormatting>
  <conditionalFormatting sqref="M11 M13">
    <cfRule type="cellIs" dxfId="269" priority="10" operator="equal">
      <formula>"n/a"</formula>
    </cfRule>
  </conditionalFormatting>
  <conditionalFormatting sqref="F10:XFD10">
    <cfRule type="cellIs" dxfId="268" priority="9" operator="equal">
      <formula>"n/a"</formula>
    </cfRule>
  </conditionalFormatting>
  <conditionalFormatting sqref="F14:XFD14 A14">
    <cfRule type="cellIs" dxfId="267" priority="8" operator="equal">
      <formula>"n/a"</formula>
    </cfRule>
  </conditionalFormatting>
  <conditionalFormatting sqref="A12:B12 N12:XFD12 E12:J12">
    <cfRule type="cellIs" dxfId="266" priority="3" operator="equal">
      <formula>"n/a"</formula>
    </cfRule>
  </conditionalFormatting>
  <conditionalFormatting sqref="M12">
    <cfRule type="cellIs" dxfId="265" priority="2" operator="equal">
      <formula>"n/a"</formula>
    </cfRule>
  </conditionalFormatting>
  <conditionalFormatting sqref="A10">
    <cfRule type="cellIs" dxfId="26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'List Values'!$B$5:$B$9</xm:f>
          </x14:formula1>
          <xm:sqref>C7:C9 C11:C13 C15:C1048576</xm:sqref>
        </x14:dataValidation>
        <x14:dataValidation type="list" allowBlank="1" showInputMessage="1" showErrorMessage="1" xr:uid="{00000000-0002-0000-0700-000001000000}">
          <x14:formula1>
            <xm:f>'List Values'!$A$5:$A$33</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7"/>
  <sheetViews>
    <sheetView workbookViewId="0">
      <pane ySplit="6" topLeftCell="A7" activePane="bottomLeft" state="frozen"/>
      <selection pane="bottomLeft"/>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128</v>
      </c>
      <c r="C1" s="25"/>
      <c r="D1" s="22" t="s">
        <v>236</v>
      </c>
      <c r="F1" s="41"/>
      <c r="H1" s="27"/>
    </row>
    <row r="2" spans="1:16" s="23" customFormat="1" ht="18.5" x14ac:dyDescent="0.35">
      <c r="A2" s="21" t="s">
        <v>8</v>
      </c>
      <c r="B2" s="28" t="s">
        <v>169</v>
      </c>
      <c r="C2" s="27"/>
      <c r="D2" s="28"/>
      <c r="F2" s="41"/>
      <c r="H2" s="27"/>
    </row>
    <row r="3" spans="1:16" s="23" customFormat="1" ht="18.5" x14ac:dyDescent="0.35">
      <c r="A3" s="21" t="s">
        <v>41</v>
      </c>
      <c r="B3" s="28"/>
      <c r="C3" s="27"/>
      <c r="D3" s="28"/>
      <c r="F3" s="41"/>
      <c r="H3" s="27"/>
    </row>
    <row r="4" spans="1:16" s="23" customFormat="1" ht="18.5" x14ac:dyDescent="0.35">
      <c r="A4" s="21" t="s">
        <v>9</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Q-SB4.1</v>
      </c>
      <c r="C7" s="37" t="s">
        <v>38</v>
      </c>
      <c r="D7" s="33" t="s">
        <v>168</v>
      </c>
      <c r="E7" s="34" t="s">
        <v>49</v>
      </c>
      <c r="F7" s="33" t="s">
        <v>55</v>
      </c>
      <c r="G7" s="33" t="s">
        <v>55</v>
      </c>
      <c r="H7" s="37" t="s">
        <v>55</v>
      </c>
      <c r="I7" s="34" t="s">
        <v>54</v>
      </c>
      <c r="J7" s="33" t="s">
        <v>55</v>
      </c>
      <c r="K7" s="33" t="s">
        <v>55</v>
      </c>
      <c r="L7" s="33" t="s">
        <v>55</v>
      </c>
      <c r="M7" s="33" t="s">
        <v>55</v>
      </c>
      <c r="N7" s="33" t="s">
        <v>55</v>
      </c>
    </row>
    <row r="8" spans="1:16" x14ac:dyDescent="0.35">
      <c r="A8" s="33">
        <v>2</v>
      </c>
      <c r="B8" s="33" t="str">
        <f t="shared" si="0"/>
        <v>Q-SB4.2</v>
      </c>
      <c r="C8" s="37" t="s">
        <v>38</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Q-SB4.3</v>
      </c>
      <c r="C9" s="37" t="s">
        <v>38</v>
      </c>
      <c r="D9" s="42" t="s">
        <v>130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Q-SB4.4</v>
      </c>
      <c r="C11" s="37" t="s">
        <v>38</v>
      </c>
      <c r="D11" s="42" t="s">
        <v>131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Q-SB4.5</v>
      </c>
      <c r="C12" s="37" t="s">
        <v>38</v>
      </c>
      <c r="D12" s="42" t="s">
        <v>131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Q-SB4.6</v>
      </c>
      <c r="C13" s="37" t="s">
        <v>38</v>
      </c>
      <c r="D13" s="42" t="s">
        <v>131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6</v>
      </c>
      <c r="B15" s="33" t="str">
        <f t="shared" si="0"/>
        <v>Q-SB4.6</v>
      </c>
      <c r="C15" s="37" t="s">
        <v>38</v>
      </c>
      <c r="D15" s="34" t="s">
        <v>56</v>
      </c>
      <c r="E15" s="34" t="s">
        <v>40</v>
      </c>
      <c r="F15" s="33" t="s">
        <v>55</v>
      </c>
      <c r="G15" s="33" t="s">
        <v>55</v>
      </c>
      <c r="H15" s="37" t="s">
        <v>55</v>
      </c>
      <c r="I15" s="34" t="s">
        <v>54</v>
      </c>
      <c r="J15" s="33" t="s">
        <v>55</v>
      </c>
      <c r="K15" s="33" t="s">
        <v>55</v>
      </c>
      <c r="L15" s="33" t="s">
        <v>55</v>
      </c>
      <c r="M15" s="33" t="s">
        <v>55</v>
      </c>
      <c r="N15" s="33" t="s">
        <v>55</v>
      </c>
      <c r="O15" s="31" t="s">
        <v>132</v>
      </c>
    </row>
    <row r="16" spans="1:16" ht="29" x14ac:dyDescent="0.35">
      <c r="A16" s="33">
        <v>7</v>
      </c>
      <c r="B16" s="33" t="str">
        <f t="shared" si="0"/>
        <v>Q-SB4.7</v>
      </c>
      <c r="C16" s="37" t="s">
        <v>38</v>
      </c>
      <c r="D16" s="33" t="s">
        <v>57</v>
      </c>
      <c r="E16" s="34" t="s">
        <v>40</v>
      </c>
      <c r="F16" s="33" t="s">
        <v>55</v>
      </c>
      <c r="G16" s="33" t="s">
        <v>55</v>
      </c>
      <c r="H16" s="37" t="s">
        <v>55</v>
      </c>
      <c r="I16" s="34" t="s">
        <v>54</v>
      </c>
      <c r="J16" s="33" t="s">
        <v>55</v>
      </c>
      <c r="K16" s="33" t="s">
        <v>55</v>
      </c>
      <c r="L16" s="33" t="s">
        <v>55</v>
      </c>
      <c r="M16" s="33" t="s">
        <v>55</v>
      </c>
      <c r="N16" s="33" t="s">
        <v>55</v>
      </c>
      <c r="O16" s="42" t="s">
        <v>133</v>
      </c>
      <c r="P16" s="33" t="s">
        <v>134</v>
      </c>
    </row>
    <row r="17" spans="1:15" ht="29" x14ac:dyDescent="0.35">
      <c r="A17" s="33">
        <v>8</v>
      </c>
      <c r="B17" s="33" t="str">
        <f t="shared" si="0"/>
        <v>Q-SB4.8</v>
      </c>
      <c r="C17" s="37" t="s">
        <v>38</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08000000}"/>
  <mergeCells count="2">
    <mergeCell ref="A10:E10"/>
    <mergeCell ref="A14:E14"/>
  </mergeCells>
  <conditionalFormatting sqref="C7:C9 C11:C13 C15:C1048576">
    <cfRule type="cellIs" dxfId="263" priority="14" operator="equal">
      <formula>"WIP (see comments)"</formula>
    </cfRule>
    <cfRule type="cellIs" dxfId="262" priority="15" operator="equal">
      <formula>"Removed"</formula>
    </cfRule>
    <cfRule type="cellIs" dxfId="261" priority="16" operator="equal">
      <formula>"Updated"</formula>
    </cfRule>
    <cfRule type="cellIs" dxfId="260" priority="17" operator="equal">
      <formula>"New"</formula>
    </cfRule>
  </conditionalFormatting>
  <conditionalFormatting sqref="D7:D9 D11:D13">
    <cfRule type="cellIs" dxfId="259" priority="13" operator="equal">
      <formula>"-"</formula>
    </cfRule>
  </conditionalFormatting>
  <conditionalFormatting sqref="P15:XFD15 A11:L11 A15:N15 N11:XFD11 E16:N17 A13:B13 N13:XFD13 K12:L13 E13:J13 A7:XFD9 C12:D13 B16:C17">
    <cfRule type="cellIs" dxfId="258" priority="12" operator="equal">
      <formula>"n/a"</formula>
    </cfRule>
  </conditionalFormatting>
  <conditionalFormatting sqref="O15">
    <cfRule type="cellIs" dxfId="257" priority="11" operator="equal">
      <formula>"n/a"</formula>
    </cfRule>
  </conditionalFormatting>
  <conditionalFormatting sqref="M11 M13">
    <cfRule type="cellIs" dxfId="256" priority="10" operator="equal">
      <formula>"n/a"</formula>
    </cfRule>
  </conditionalFormatting>
  <conditionalFormatting sqref="F10:XFD10">
    <cfRule type="cellIs" dxfId="255" priority="9" operator="equal">
      <formula>"n/a"</formula>
    </cfRule>
  </conditionalFormatting>
  <conditionalFormatting sqref="F14:XFD14 A14">
    <cfRule type="cellIs" dxfId="254" priority="8" operator="equal">
      <formula>"n/a"</formula>
    </cfRule>
  </conditionalFormatting>
  <conditionalFormatting sqref="A12:B12 N12:XFD12 E12:J12">
    <cfRule type="cellIs" dxfId="253" priority="3" operator="equal">
      <formula>"n/a"</formula>
    </cfRule>
  </conditionalFormatting>
  <conditionalFormatting sqref="M12">
    <cfRule type="cellIs" dxfId="252" priority="2" operator="equal">
      <formula>"n/a"</formula>
    </cfRule>
  </conditionalFormatting>
  <conditionalFormatting sqref="A10">
    <cfRule type="cellIs" dxfId="2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'List Values'!$B$5:$B$9</xm:f>
          </x14:formula1>
          <xm:sqref>C7:C9 C11:C13 C15:C1048576</xm:sqref>
        </x14:dataValidation>
        <x14:dataValidation type="list" allowBlank="1" showInputMessage="1" showErrorMessage="1" xr:uid="{00000000-0002-0000-0800-000001000000}">
          <x14:formula1>
            <xm:f>'List Values'!$A$5:$A$33</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H30"/>
  <sheetViews>
    <sheetView tabSelected="1" workbookViewId="0">
      <pane xSplit="4" ySplit="6" topLeftCell="E11" activePane="bottomRight" state="frozen"/>
      <selection pane="topRight" activeCell="E1" sqref="E1"/>
      <selection pane="bottomLeft" activeCell="A7" sqref="A7"/>
      <selection pane="bottomRight" activeCell="D13" sqref="D13"/>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29.5429687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34" s="23" customFormat="1" ht="18.5" x14ac:dyDescent="0.35">
      <c r="A1" s="21" t="s">
        <v>7</v>
      </c>
      <c r="B1" s="29" t="s">
        <v>312</v>
      </c>
      <c r="C1" s="25"/>
      <c r="D1" s="22"/>
      <c r="F1" s="41"/>
      <c r="H1" s="27"/>
    </row>
    <row r="2" spans="1:34" s="23" customFormat="1" ht="18.5" x14ac:dyDescent="0.35">
      <c r="A2" s="21" t="s">
        <v>8</v>
      </c>
      <c r="B2" s="28">
        <v>3</v>
      </c>
      <c r="C2" s="27"/>
      <c r="D2" s="46" t="s">
        <v>216</v>
      </c>
      <c r="F2" s="41"/>
      <c r="H2" s="27"/>
    </row>
    <row r="3" spans="1:34" s="23" customFormat="1" ht="18.5" x14ac:dyDescent="0.35">
      <c r="A3" s="21" t="s">
        <v>41</v>
      </c>
      <c r="B3" s="28" t="s">
        <v>265</v>
      </c>
      <c r="C3" s="27"/>
      <c r="F3" s="41"/>
      <c r="H3" s="27"/>
    </row>
    <row r="4" spans="1:34" s="23" customFormat="1" ht="18.5" x14ac:dyDescent="0.35">
      <c r="A4" s="21" t="s">
        <v>9</v>
      </c>
      <c r="B4" s="23" t="s">
        <v>54</v>
      </c>
      <c r="C4" s="27"/>
      <c r="D4" s="28" t="s">
        <v>331</v>
      </c>
      <c r="F4" s="41"/>
      <c r="H4" s="27"/>
    </row>
    <row r="5" spans="1:34" s="35" customFormat="1" x14ac:dyDescent="0.35">
      <c r="C5" s="36"/>
      <c r="F5" s="33"/>
      <c r="H5" s="36"/>
    </row>
    <row r="6" spans="1:34"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34" x14ac:dyDescent="0.35">
      <c r="A7" s="33">
        <v>1</v>
      </c>
      <c r="B7" s="33" t="str">
        <f t="shared" ref="B7:B8" si="0">CONCATENATE($B$2, ".", A7)</f>
        <v>3.1</v>
      </c>
      <c r="C7" s="37" t="s">
        <v>35</v>
      </c>
      <c r="D7" s="33" t="s">
        <v>317</v>
      </c>
      <c r="E7" s="34" t="s">
        <v>275</v>
      </c>
      <c r="F7" s="33" t="s">
        <v>55</v>
      </c>
      <c r="G7" s="33" t="s">
        <v>55</v>
      </c>
      <c r="H7" s="37" t="s">
        <v>55</v>
      </c>
      <c r="I7" s="34" t="s">
        <v>54</v>
      </c>
      <c r="J7" s="33" t="s">
        <v>55</v>
      </c>
      <c r="K7" s="33" t="s">
        <v>55</v>
      </c>
      <c r="L7" s="33" t="s">
        <v>55</v>
      </c>
      <c r="M7" s="33" t="s">
        <v>55</v>
      </c>
      <c r="N7" s="33" t="s">
        <v>55</v>
      </c>
      <c r="O7" s="33" t="s">
        <v>55</v>
      </c>
      <c r="P7" s="33" t="s">
        <v>234</v>
      </c>
      <c r="Q7" s="34"/>
      <c r="R7" s="34"/>
      <c r="S7" s="34"/>
      <c r="T7" s="34"/>
      <c r="U7" s="34"/>
      <c r="V7" s="34"/>
      <c r="W7" s="34"/>
      <c r="X7" s="34"/>
      <c r="Y7" s="34"/>
      <c r="Z7" s="34"/>
      <c r="AA7" s="34"/>
      <c r="AB7" s="34"/>
      <c r="AC7" s="34"/>
      <c r="AD7" s="34"/>
      <c r="AE7" s="34"/>
      <c r="AF7" s="34"/>
      <c r="AG7" s="34"/>
      <c r="AH7" s="34"/>
    </row>
    <row r="8" spans="1:34" x14ac:dyDescent="0.35">
      <c r="A8" s="33">
        <v>2</v>
      </c>
      <c r="B8" s="33" t="str">
        <f t="shared" si="0"/>
        <v>3.2</v>
      </c>
      <c r="C8" s="37" t="s">
        <v>37</v>
      </c>
      <c r="D8" s="33" t="s">
        <v>55</v>
      </c>
      <c r="E8" s="34" t="s">
        <v>43</v>
      </c>
      <c r="F8" s="33" t="s">
        <v>55</v>
      </c>
      <c r="G8" s="33" t="s">
        <v>55</v>
      </c>
      <c r="H8" s="37" t="s">
        <v>55</v>
      </c>
      <c r="I8" s="34" t="s">
        <v>54</v>
      </c>
      <c r="J8" s="33" t="s">
        <v>55</v>
      </c>
      <c r="K8" s="33" t="s">
        <v>55</v>
      </c>
      <c r="L8" s="33" t="s">
        <v>55</v>
      </c>
      <c r="M8" s="33" t="s">
        <v>55</v>
      </c>
      <c r="N8" s="33" t="s">
        <v>55</v>
      </c>
      <c r="O8" s="33" t="s">
        <v>55</v>
      </c>
      <c r="Q8" s="34"/>
      <c r="R8" s="34"/>
      <c r="S8" s="34"/>
      <c r="T8" s="34"/>
      <c r="U8" s="34"/>
      <c r="V8" s="34"/>
      <c r="W8" s="34"/>
      <c r="X8" s="34"/>
      <c r="Y8" s="34"/>
      <c r="Z8" s="34"/>
      <c r="AA8" s="34"/>
      <c r="AB8" s="34"/>
      <c r="AC8" s="34"/>
      <c r="AD8" s="34"/>
      <c r="AE8" s="34"/>
      <c r="AF8" s="34"/>
      <c r="AG8" s="34"/>
      <c r="AH8" s="34"/>
    </row>
    <row r="9" spans="1:34" ht="87" x14ac:dyDescent="0.35">
      <c r="A9" s="33">
        <v>3</v>
      </c>
      <c r="B9" s="33" t="str">
        <f>CONCATENATE($B$2, ".", A9)</f>
        <v>3.3</v>
      </c>
      <c r="C9" s="37" t="s">
        <v>35</v>
      </c>
      <c r="D9" s="34" t="s">
        <v>269</v>
      </c>
      <c r="E9" s="34" t="s">
        <v>33</v>
      </c>
      <c r="F9" s="33" t="s">
        <v>327</v>
      </c>
      <c r="G9" s="33" t="s">
        <v>229</v>
      </c>
      <c r="H9" s="37" t="s">
        <v>55</v>
      </c>
      <c r="I9" s="34" t="s">
        <v>54</v>
      </c>
      <c r="J9" s="33" t="s">
        <v>228</v>
      </c>
      <c r="K9" s="33" t="s">
        <v>55</v>
      </c>
      <c r="L9" s="33" t="s">
        <v>55</v>
      </c>
      <c r="M9" s="34" t="s">
        <v>55</v>
      </c>
      <c r="N9" s="33" t="s">
        <v>55</v>
      </c>
      <c r="O9" s="33" t="s">
        <v>264</v>
      </c>
      <c r="P9" s="33" t="s">
        <v>328</v>
      </c>
      <c r="Q9" s="34"/>
      <c r="R9" s="34"/>
      <c r="S9" s="34"/>
      <c r="T9" s="34"/>
      <c r="U9" s="34"/>
      <c r="V9" s="34"/>
      <c r="W9" s="34"/>
      <c r="X9" s="34"/>
      <c r="Y9" s="34"/>
      <c r="Z9" s="34"/>
      <c r="AA9" s="34"/>
      <c r="AB9" s="34"/>
      <c r="AC9" s="34"/>
      <c r="AD9" s="34"/>
      <c r="AE9" s="34"/>
      <c r="AF9" s="34"/>
      <c r="AG9" s="34"/>
      <c r="AH9" s="34"/>
    </row>
    <row r="10" spans="1:34" ht="14.5" customHeight="1" x14ac:dyDescent="0.35">
      <c r="A10" s="47" t="s">
        <v>260</v>
      </c>
      <c r="B10" s="47"/>
      <c r="C10" s="47"/>
      <c r="D10" s="47"/>
      <c r="E10" s="47"/>
      <c r="F10" s="47"/>
      <c r="G10" s="32"/>
      <c r="H10" s="32"/>
      <c r="I10" s="32"/>
      <c r="J10" s="32"/>
      <c r="K10" s="32"/>
      <c r="L10" s="32"/>
      <c r="M10" s="32"/>
      <c r="N10" s="32"/>
      <c r="O10" s="32"/>
      <c r="P10" s="32"/>
    </row>
    <row r="11" spans="1:34" x14ac:dyDescent="0.35">
      <c r="A11" s="33">
        <v>4</v>
      </c>
      <c r="B11" s="33" t="str">
        <f t="shared" ref="B11:B24" si="1">CONCATENATE($B$2, ".", A11)</f>
        <v>3.4</v>
      </c>
      <c r="C11" s="37" t="s">
        <v>37</v>
      </c>
      <c r="D11" s="34" t="s">
        <v>261</v>
      </c>
      <c r="E11" s="34" t="s">
        <v>48</v>
      </c>
      <c r="F11" s="33" t="s">
        <v>55</v>
      </c>
      <c r="G11" s="33" t="s">
        <v>55</v>
      </c>
      <c r="H11" s="37" t="s">
        <v>55</v>
      </c>
      <c r="I11" s="34" t="s">
        <v>54</v>
      </c>
      <c r="J11" s="33" t="s">
        <v>55</v>
      </c>
      <c r="K11" s="33" t="s">
        <v>55</v>
      </c>
      <c r="L11" s="33" t="s">
        <v>55</v>
      </c>
      <c r="M11" s="34" t="s">
        <v>55</v>
      </c>
      <c r="N11" s="33" t="s">
        <v>55</v>
      </c>
      <c r="O11" s="33" t="s">
        <v>227</v>
      </c>
    </row>
    <row r="12" spans="1:34" x14ac:dyDescent="0.35">
      <c r="A12" s="33">
        <v>5</v>
      </c>
      <c r="B12" s="33" t="str">
        <f>CONCATENATE($B$2, ".", A12)</f>
        <v>3.5</v>
      </c>
      <c r="C12" s="37" t="s">
        <v>37</v>
      </c>
      <c r="D12" s="34" t="s">
        <v>262</v>
      </c>
      <c r="E12" s="34" t="s">
        <v>49</v>
      </c>
      <c r="F12" s="33" t="s">
        <v>55</v>
      </c>
      <c r="G12" s="33" t="s">
        <v>55</v>
      </c>
      <c r="H12" s="37" t="s">
        <v>55</v>
      </c>
      <c r="I12" s="34" t="s">
        <v>54</v>
      </c>
      <c r="J12" s="33" t="s">
        <v>55</v>
      </c>
      <c r="K12" s="33" t="s">
        <v>55</v>
      </c>
      <c r="L12" s="33" t="s">
        <v>55</v>
      </c>
      <c r="M12" s="34" t="s">
        <v>55</v>
      </c>
      <c r="N12" s="33" t="s">
        <v>55</v>
      </c>
    </row>
    <row r="13" spans="1:34" ht="29" x14ac:dyDescent="0.35">
      <c r="A13" s="50">
        <v>6</v>
      </c>
      <c r="B13" s="33" t="str">
        <f>CONCATENATE($B$2, ".", A13)</f>
        <v>3.6</v>
      </c>
      <c r="C13" s="37" t="s">
        <v>39</v>
      </c>
      <c r="D13" s="52" t="s">
        <v>319</v>
      </c>
      <c r="E13" s="34" t="s">
        <v>32</v>
      </c>
      <c r="F13" s="33" t="s">
        <v>55</v>
      </c>
      <c r="G13" s="33" t="s">
        <v>55</v>
      </c>
      <c r="H13" s="37" t="s">
        <v>55</v>
      </c>
      <c r="I13" s="34" t="s">
        <v>252</v>
      </c>
      <c r="J13" s="33" t="s">
        <v>55</v>
      </c>
      <c r="K13" s="33" t="s">
        <v>55</v>
      </c>
      <c r="L13" s="33" t="s">
        <v>55</v>
      </c>
      <c r="M13" s="34" t="s">
        <v>55</v>
      </c>
      <c r="N13" s="33" t="s">
        <v>55</v>
      </c>
      <c r="O13" s="33" t="s">
        <v>322</v>
      </c>
      <c r="P13" s="33" t="s">
        <v>323</v>
      </c>
      <c r="Q13" s="34"/>
      <c r="R13" s="34"/>
      <c r="S13" s="34"/>
      <c r="T13" s="34"/>
      <c r="U13" s="34"/>
      <c r="V13" s="34"/>
      <c r="W13" s="34"/>
      <c r="X13" s="34"/>
      <c r="Y13" s="34"/>
      <c r="Z13" s="34"/>
      <c r="AA13" s="34"/>
      <c r="AB13" s="34"/>
      <c r="AC13" s="34"/>
      <c r="AD13" s="34"/>
      <c r="AE13" s="34"/>
      <c r="AF13" s="34"/>
      <c r="AG13" s="34"/>
      <c r="AH13" s="34"/>
    </row>
    <row r="14" spans="1:34" x14ac:dyDescent="0.35">
      <c r="A14" s="47" t="s">
        <v>257</v>
      </c>
      <c r="B14" s="47"/>
      <c r="C14" s="47"/>
      <c r="D14" s="47"/>
      <c r="E14" s="47"/>
      <c r="F14" s="47"/>
      <c r="G14" s="32"/>
      <c r="H14" s="32"/>
      <c r="I14" s="32"/>
      <c r="J14" s="32"/>
      <c r="K14" s="32"/>
      <c r="L14" s="32"/>
      <c r="M14" s="32"/>
      <c r="N14" s="32"/>
      <c r="O14" s="32"/>
      <c r="P14" s="32"/>
      <c r="Q14" s="34"/>
      <c r="R14" s="34"/>
      <c r="S14" s="34"/>
      <c r="T14" s="34"/>
      <c r="U14" s="34"/>
      <c r="V14" s="34"/>
      <c r="W14" s="34"/>
      <c r="X14" s="34"/>
      <c r="Y14" s="34"/>
      <c r="Z14" s="34"/>
      <c r="AA14" s="34"/>
      <c r="AB14" s="34"/>
      <c r="AC14" s="34"/>
      <c r="AD14" s="34"/>
      <c r="AE14" s="34"/>
      <c r="AF14" s="34"/>
      <c r="AG14" s="34"/>
      <c r="AH14" s="34"/>
    </row>
    <row r="15" spans="1:34" ht="58" x14ac:dyDescent="0.35">
      <c r="A15" s="50">
        <v>7</v>
      </c>
      <c r="B15" s="33" t="str">
        <f>CONCATENATE($B$2, ".", A15)</f>
        <v>3.7</v>
      </c>
      <c r="C15" s="37" t="s">
        <v>39</v>
      </c>
      <c r="D15" s="34" t="s">
        <v>289</v>
      </c>
      <c r="E15" s="34" t="s">
        <v>59</v>
      </c>
      <c r="F15" s="33" t="s">
        <v>55</v>
      </c>
      <c r="G15" s="33" t="s">
        <v>55</v>
      </c>
      <c r="H15" s="37" t="s">
        <v>55</v>
      </c>
      <c r="I15" s="34" t="s">
        <v>252</v>
      </c>
      <c r="J15" s="33" t="s">
        <v>55</v>
      </c>
      <c r="K15" s="33" t="s">
        <v>55</v>
      </c>
      <c r="L15" s="33" t="s">
        <v>55</v>
      </c>
      <c r="M15" s="33" t="s">
        <v>55</v>
      </c>
      <c r="N15" s="33" t="s">
        <v>55</v>
      </c>
      <c r="O15" s="33" t="s">
        <v>290</v>
      </c>
      <c r="P15" s="33" t="s">
        <v>284</v>
      </c>
      <c r="Q15" s="34"/>
      <c r="R15" s="34"/>
      <c r="S15" s="34"/>
      <c r="T15" s="34"/>
      <c r="U15" s="34"/>
      <c r="V15" s="34"/>
      <c r="W15" s="34"/>
      <c r="X15" s="34"/>
      <c r="Y15" s="34"/>
      <c r="Z15" s="34"/>
      <c r="AA15" s="34"/>
      <c r="AB15" s="34"/>
      <c r="AC15" s="34"/>
      <c r="AD15" s="34"/>
      <c r="AE15" s="34"/>
      <c r="AF15" s="34"/>
      <c r="AG15" s="34"/>
      <c r="AH15" s="34"/>
    </row>
    <row r="16" spans="1:34" ht="72.5" x14ac:dyDescent="0.35">
      <c r="A16" s="34">
        <v>8</v>
      </c>
      <c r="B16" s="33" t="str">
        <f>CONCATENATE($B$2, ".", A16)</f>
        <v>3.8</v>
      </c>
      <c r="C16" s="37" t="s">
        <v>37</v>
      </c>
      <c r="D16" s="34" t="s">
        <v>219</v>
      </c>
      <c r="E16" s="34" t="s">
        <v>28</v>
      </c>
      <c r="F16" s="33" t="s">
        <v>55</v>
      </c>
      <c r="G16" s="33" t="s">
        <v>55</v>
      </c>
      <c r="H16" s="37" t="s">
        <v>55</v>
      </c>
      <c r="I16" s="34" t="s">
        <v>54</v>
      </c>
      <c r="J16" s="33" t="s">
        <v>250</v>
      </c>
      <c r="K16" s="33" t="s">
        <v>55</v>
      </c>
      <c r="L16" s="33" t="s">
        <v>55</v>
      </c>
      <c r="M16" s="33" t="s">
        <v>55</v>
      </c>
      <c r="N16" s="33" t="s">
        <v>55</v>
      </c>
      <c r="O16" s="33" t="s">
        <v>268</v>
      </c>
      <c r="Q16" s="34"/>
      <c r="R16" s="34"/>
      <c r="S16" s="34"/>
      <c r="T16" s="34"/>
      <c r="U16" s="34"/>
      <c r="V16" s="34"/>
      <c r="W16" s="34"/>
      <c r="X16" s="34"/>
      <c r="Y16" s="34"/>
      <c r="Z16" s="34"/>
      <c r="AA16" s="34"/>
      <c r="AB16" s="34"/>
      <c r="AC16" s="34"/>
      <c r="AD16" s="34"/>
      <c r="AE16" s="34"/>
      <c r="AF16" s="34"/>
      <c r="AG16" s="34"/>
      <c r="AH16" s="34"/>
    </row>
    <row r="17" spans="1:34" ht="29" x14ac:dyDescent="0.35">
      <c r="C17" s="37" t="s">
        <v>38</v>
      </c>
      <c r="D17" s="34" t="s">
        <v>146</v>
      </c>
      <c r="E17" s="34" t="s">
        <v>48</v>
      </c>
      <c r="F17" s="33" t="s">
        <v>55</v>
      </c>
      <c r="G17" s="33" t="s">
        <v>55</v>
      </c>
      <c r="H17" s="37" t="s">
        <v>55</v>
      </c>
      <c r="I17" s="34" t="s">
        <v>54</v>
      </c>
      <c r="J17" s="33" t="s">
        <v>55</v>
      </c>
      <c r="K17" s="33" t="s">
        <v>55</v>
      </c>
      <c r="L17" s="33" t="s">
        <v>55</v>
      </c>
      <c r="M17" s="34" t="s">
        <v>55</v>
      </c>
      <c r="N17" s="33" t="s">
        <v>55</v>
      </c>
      <c r="P17" s="33" t="s">
        <v>267</v>
      </c>
    </row>
    <row r="18" spans="1:34" x14ac:dyDescent="0.35">
      <c r="A18" s="33">
        <v>9</v>
      </c>
      <c r="B18" s="33" t="str">
        <f t="shared" si="1"/>
        <v>3.9</v>
      </c>
      <c r="C18" s="37" t="s">
        <v>37</v>
      </c>
      <c r="D18" s="34" t="s">
        <v>147</v>
      </c>
      <c r="E18" s="34" t="s">
        <v>27</v>
      </c>
      <c r="F18" s="33" t="s">
        <v>55</v>
      </c>
      <c r="G18" s="33" t="s">
        <v>55</v>
      </c>
      <c r="H18" s="37" t="s">
        <v>55</v>
      </c>
      <c r="I18" s="34" t="s">
        <v>54</v>
      </c>
      <c r="J18" s="33" t="s">
        <v>55</v>
      </c>
      <c r="K18" s="33" t="s">
        <v>55</v>
      </c>
      <c r="L18" s="33" t="s">
        <v>55</v>
      </c>
      <c r="M18" s="34" t="s">
        <v>55</v>
      </c>
      <c r="N18" s="33" t="s">
        <v>55</v>
      </c>
    </row>
    <row r="19" spans="1:34" x14ac:dyDescent="0.35">
      <c r="A19" s="33">
        <v>10</v>
      </c>
      <c r="B19" s="33" t="str">
        <f t="shared" si="1"/>
        <v>3.10</v>
      </c>
      <c r="C19" s="37" t="s">
        <v>37</v>
      </c>
      <c r="D19" s="34" t="s">
        <v>148</v>
      </c>
      <c r="E19" s="34" t="s">
        <v>59</v>
      </c>
      <c r="F19" s="33" t="s">
        <v>55</v>
      </c>
      <c r="G19" s="33" t="s">
        <v>55</v>
      </c>
      <c r="H19" s="37" t="s">
        <v>55</v>
      </c>
      <c r="I19" s="34" t="s">
        <v>54</v>
      </c>
      <c r="J19" s="33" t="s">
        <v>55</v>
      </c>
      <c r="K19" s="33" t="s">
        <v>55</v>
      </c>
      <c r="L19" s="33" t="s">
        <v>55</v>
      </c>
      <c r="M19" s="34" t="s">
        <v>55</v>
      </c>
      <c r="N19" s="33" t="s">
        <v>55</v>
      </c>
    </row>
    <row r="20" spans="1:34" ht="58" x14ac:dyDescent="0.35">
      <c r="A20" s="50">
        <v>11</v>
      </c>
      <c r="B20" s="33" t="str">
        <f t="shared" si="1"/>
        <v>3.11</v>
      </c>
      <c r="C20" s="37" t="s">
        <v>39</v>
      </c>
      <c r="D20" s="34" t="s">
        <v>194</v>
      </c>
      <c r="E20" s="34" t="s">
        <v>59</v>
      </c>
      <c r="F20" s="33" t="s">
        <v>55</v>
      </c>
      <c r="G20" s="33" t="s">
        <v>55</v>
      </c>
      <c r="H20" s="37" t="s">
        <v>55</v>
      </c>
      <c r="I20" s="34" t="s">
        <v>252</v>
      </c>
      <c r="J20" s="33" t="s">
        <v>55</v>
      </c>
      <c r="K20" s="33" t="s">
        <v>55</v>
      </c>
      <c r="L20" s="33" t="s">
        <v>55</v>
      </c>
      <c r="M20" s="34" t="s">
        <v>55</v>
      </c>
      <c r="N20" s="33" t="s">
        <v>55</v>
      </c>
      <c r="O20" s="33" t="s">
        <v>243</v>
      </c>
      <c r="P20" s="33" t="s">
        <v>284</v>
      </c>
    </row>
    <row r="21" spans="1:34" ht="58" x14ac:dyDescent="0.35">
      <c r="A21" s="50">
        <v>12</v>
      </c>
      <c r="B21" s="33" t="str">
        <f t="shared" si="1"/>
        <v>3.12</v>
      </c>
      <c r="C21" s="37" t="s">
        <v>39</v>
      </c>
      <c r="D21" s="34" t="s">
        <v>195</v>
      </c>
      <c r="E21" s="34" t="s">
        <v>59</v>
      </c>
      <c r="F21" s="33" t="s">
        <v>55</v>
      </c>
      <c r="G21" s="33" t="s">
        <v>55</v>
      </c>
      <c r="H21" s="37" t="s">
        <v>55</v>
      </c>
      <c r="I21" s="34" t="s">
        <v>252</v>
      </c>
      <c r="J21" s="33" t="s">
        <v>55</v>
      </c>
      <c r="K21" s="33" t="s">
        <v>55</v>
      </c>
      <c r="L21" s="33" t="s">
        <v>55</v>
      </c>
      <c r="M21" s="34" t="s">
        <v>55</v>
      </c>
      <c r="N21" s="33" t="s">
        <v>55</v>
      </c>
      <c r="O21" s="33" t="s">
        <v>244</v>
      </c>
      <c r="P21" s="33" t="s">
        <v>284</v>
      </c>
    </row>
    <row r="22" spans="1:34" ht="58" x14ac:dyDescent="0.35">
      <c r="A22" s="50">
        <v>13</v>
      </c>
      <c r="B22" s="33" t="str">
        <f t="shared" ref="B22:B23" si="2">CONCATENATE($B$2, ".", A22)</f>
        <v>3.13</v>
      </c>
      <c r="C22" s="37" t="s">
        <v>39</v>
      </c>
      <c r="D22" s="34" t="s">
        <v>285</v>
      </c>
      <c r="E22" s="34" t="s">
        <v>59</v>
      </c>
      <c r="F22" s="33" t="s">
        <v>55</v>
      </c>
      <c r="G22" s="33" t="s">
        <v>55</v>
      </c>
      <c r="H22" s="37" t="s">
        <v>55</v>
      </c>
      <c r="I22" s="34" t="s">
        <v>252</v>
      </c>
      <c r="J22" s="33" t="s">
        <v>55</v>
      </c>
      <c r="K22" s="33" t="s">
        <v>55</v>
      </c>
      <c r="L22" s="33" t="s">
        <v>55</v>
      </c>
      <c r="M22" s="34" t="s">
        <v>55</v>
      </c>
      <c r="N22" s="33" t="s">
        <v>55</v>
      </c>
      <c r="O22" s="33" t="s">
        <v>287</v>
      </c>
      <c r="P22" s="33" t="s">
        <v>284</v>
      </c>
    </row>
    <row r="23" spans="1:34" ht="58" x14ac:dyDescent="0.35">
      <c r="A23" s="50">
        <v>14</v>
      </c>
      <c r="B23" s="33" t="str">
        <f t="shared" si="2"/>
        <v>3.14</v>
      </c>
      <c r="C23" s="37" t="s">
        <v>39</v>
      </c>
      <c r="D23" s="34" t="s">
        <v>286</v>
      </c>
      <c r="E23" s="34" t="s">
        <v>59</v>
      </c>
      <c r="F23" s="33" t="s">
        <v>55</v>
      </c>
      <c r="G23" s="33" t="s">
        <v>55</v>
      </c>
      <c r="H23" s="37" t="s">
        <v>55</v>
      </c>
      <c r="I23" s="34" t="s">
        <v>252</v>
      </c>
      <c r="J23" s="33" t="s">
        <v>55</v>
      </c>
      <c r="K23" s="33" t="s">
        <v>55</v>
      </c>
      <c r="L23" s="33" t="s">
        <v>55</v>
      </c>
      <c r="M23" s="34" t="s">
        <v>55</v>
      </c>
      <c r="N23" s="33" t="s">
        <v>55</v>
      </c>
      <c r="O23" s="33" t="s">
        <v>288</v>
      </c>
      <c r="P23" s="33" t="s">
        <v>284</v>
      </c>
    </row>
    <row r="24" spans="1:34" ht="72.5" x14ac:dyDescent="0.35">
      <c r="A24" s="33">
        <v>15</v>
      </c>
      <c r="B24" s="33" t="str">
        <f t="shared" si="1"/>
        <v>3.15</v>
      </c>
      <c r="C24" s="37" t="s">
        <v>37</v>
      </c>
      <c r="D24" s="34" t="s">
        <v>237</v>
      </c>
      <c r="E24" s="34" t="s">
        <v>47</v>
      </c>
      <c r="F24" s="33" t="s">
        <v>55</v>
      </c>
      <c r="G24" s="33" t="s">
        <v>55</v>
      </c>
      <c r="H24" s="37" t="s">
        <v>55</v>
      </c>
      <c r="I24" s="34" t="s">
        <v>252</v>
      </c>
      <c r="J24" s="33" t="s">
        <v>55</v>
      </c>
      <c r="K24" s="33" t="s">
        <v>55</v>
      </c>
      <c r="L24" s="33" t="s">
        <v>55</v>
      </c>
      <c r="M24" s="34" t="s">
        <v>55</v>
      </c>
      <c r="N24" s="33" t="s">
        <v>55</v>
      </c>
      <c r="O24" s="33" t="s">
        <v>281</v>
      </c>
      <c r="Q24" s="34"/>
      <c r="R24" s="34"/>
      <c r="S24" s="34"/>
      <c r="T24" s="34"/>
      <c r="U24" s="34"/>
      <c r="V24" s="34"/>
      <c r="W24" s="34"/>
      <c r="X24" s="34"/>
      <c r="Y24" s="34"/>
      <c r="Z24" s="34"/>
      <c r="AA24" s="34"/>
      <c r="AB24" s="34"/>
      <c r="AC24" s="34"/>
      <c r="AD24" s="34"/>
      <c r="AE24" s="34"/>
      <c r="AF24" s="34"/>
      <c r="AG24" s="34"/>
      <c r="AH24" s="34"/>
    </row>
    <row r="25" spans="1:34" x14ac:dyDescent="0.35">
      <c r="A25" s="47" t="s">
        <v>258</v>
      </c>
      <c r="B25" s="47"/>
      <c r="C25" s="47"/>
      <c r="D25" s="47"/>
      <c r="E25" s="47"/>
      <c r="F25" s="47"/>
      <c r="G25" s="32"/>
      <c r="H25" s="32"/>
      <c r="I25" s="32"/>
      <c r="J25" s="32"/>
      <c r="K25" s="32"/>
      <c r="L25" s="32"/>
      <c r="M25" s="32"/>
      <c r="N25" s="32"/>
      <c r="O25" s="32"/>
      <c r="P25" s="32"/>
    </row>
    <row r="26" spans="1:34" ht="29" x14ac:dyDescent="0.35">
      <c r="A26" s="33">
        <v>16</v>
      </c>
      <c r="B26" s="33" t="str">
        <f>CONCATENATE($B$2, ".", A26)</f>
        <v>3.16</v>
      </c>
      <c r="C26" s="37" t="s">
        <v>37</v>
      </c>
      <c r="D26" s="34" t="s">
        <v>200</v>
      </c>
      <c r="E26" s="34" t="s">
        <v>40</v>
      </c>
      <c r="F26" s="33" t="s">
        <v>203</v>
      </c>
      <c r="G26" s="33" t="s">
        <v>55</v>
      </c>
      <c r="H26" s="37" t="s">
        <v>55</v>
      </c>
      <c r="I26" s="34" t="s">
        <v>54</v>
      </c>
      <c r="J26" s="44" t="s">
        <v>241</v>
      </c>
      <c r="K26" s="33" t="s">
        <v>55</v>
      </c>
      <c r="L26" s="33" t="s">
        <v>55</v>
      </c>
      <c r="M26" s="34" t="s">
        <v>55</v>
      </c>
      <c r="N26" s="33" t="s">
        <v>55</v>
      </c>
      <c r="O26" s="33" t="s">
        <v>311</v>
      </c>
    </row>
    <row r="27" spans="1:34" x14ac:dyDescent="0.35">
      <c r="A27" s="33">
        <v>17</v>
      </c>
      <c r="B27" s="33" t="str">
        <f>CONCATENATE($B$2, ".", A27)</f>
        <v>3.17</v>
      </c>
      <c r="C27" s="37" t="s">
        <v>37</v>
      </c>
      <c r="D27" s="34" t="s">
        <v>259</v>
      </c>
      <c r="E27" s="34" t="s">
        <v>40</v>
      </c>
      <c r="F27" s="33" t="s">
        <v>55</v>
      </c>
      <c r="G27" s="33" t="s">
        <v>55</v>
      </c>
      <c r="H27" s="37" t="s">
        <v>55</v>
      </c>
      <c r="I27" s="34" t="s">
        <v>54</v>
      </c>
      <c r="J27" s="33" t="s">
        <v>55</v>
      </c>
      <c r="K27" s="33" t="s">
        <v>55</v>
      </c>
      <c r="L27" s="33" t="s">
        <v>55</v>
      </c>
      <c r="M27" s="34" t="s">
        <v>55</v>
      </c>
      <c r="N27" s="33" t="s">
        <v>55</v>
      </c>
    </row>
    <row r="28" spans="1:34" ht="87" x14ac:dyDescent="0.35">
      <c r="A28" s="50">
        <v>18</v>
      </c>
      <c r="B28" s="33" t="str">
        <f>CONCATENATE($B$2, ".", A28)</f>
        <v>3.18</v>
      </c>
      <c r="C28" s="37" t="s">
        <v>35</v>
      </c>
      <c r="D28" s="34" t="s">
        <v>56</v>
      </c>
      <c r="E28" s="34" t="s">
        <v>40</v>
      </c>
      <c r="F28" s="33" t="s">
        <v>55</v>
      </c>
      <c r="G28" s="33" t="s">
        <v>55</v>
      </c>
      <c r="H28" s="37" t="s">
        <v>55</v>
      </c>
      <c r="I28" s="34" t="s">
        <v>54</v>
      </c>
      <c r="J28" s="33" t="s">
        <v>55</v>
      </c>
      <c r="K28" s="33" t="s">
        <v>55</v>
      </c>
      <c r="L28" s="33" t="s">
        <v>55</v>
      </c>
      <c r="M28" s="33" t="s">
        <v>315</v>
      </c>
      <c r="N28" s="33" t="s">
        <v>313</v>
      </c>
      <c r="O28" s="33" t="s">
        <v>316</v>
      </c>
    </row>
    <row r="29" spans="1:34" ht="43.5" x14ac:dyDescent="0.35">
      <c r="A29" s="33">
        <v>19</v>
      </c>
      <c r="B29" s="33" t="str">
        <f>CONCATENATE($B$2, ".", A29)</f>
        <v>3.19</v>
      </c>
      <c r="C29" s="37" t="s">
        <v>37</v>
      </c>
      <c r="D29" s="34" t="s">
        <v>57</v>
      </c>
      <c r="E29" s="34" t="s">
        <v>40</v>
      </c>
      <c r="F29" s="33" t="s">
        <v>55</v>
      </c>
      <c r="G29" s="33" t="s">
        <v>55</v>
      </c>
      <c r="H29" s="37" t="s">
        <v>55</v>
      </c>
      <c r="I29" s="34" t="s">
        <v>54</v>
      </c>
      <c r="J29" s="33" t="s">
        <v>55</v>
      </c>
      <c r="K29" s="33" t="s">
        <v>55</v>
      </c>
      <c r="L29" s="33" t="s">
        <v>55</v>
      </c>
      <c r="M29" s="34" t="s">
        <v>55</v>
      </c>
      <c r="N29" s="33" t="s">
        <v>55</v>
      </c>
      <c r="O29" s="33" t="s">
        <v>278</v>
      </c>
    </row>
    <row r="30" spans="1:34" ht="116" hidden="1" x14ac:dyDescent="0.35">
      <c r="C30" s="37" t="s">
        <v>38</v>
      </c>
      <c r="D30" s="45" t="s">
        <v>230</v>
      </c>
      <c r="E30" s="34" t="s">
        <v>53</v>
      </c>
      <c r="F30" s="33" t="s">
        <v>55</v>
      </c>
      <c r="G30" s="33" t="s">
        <v>55</v>
      </c>
      <c r="H30" s="37" t="s">
        <v>55</v>
      </c>
      <c r="I30" s="37" t="s">
        <v>55</v>
      </c>
      <c r="J30" s="33" t="s">
        <v>55</v>
      </c>
      <c r="K30" s="33" t="s">
        <v>55</v>
      </c>
      <c r="L30" s="33" t="s">
        <v>55</v>
      </c>
      <c r="M30" s="34" t="s">
        <v>55</v>
      </c>
      <c r="N30" s="33" t="s">
        <v>55</v>
      </c>
      <c r="O30" s="48" t="s">
        <v>263</v>
      </c>
      <c r="P30" s="33" t="s">
        <v>277</v>
      </c>
    </row>
  </sheetData>
  <autoFilter ref="A6:P6" xr:uid="{00000000-0009-0000-0000-000009000000}"/>
  <conditionalFormatting sqref="C9 C31:C1048576 C24 C15:C16 C13">
    <cfRule type="cellIs" dxfId="250" priority="166" operator="equal">
      <formula>"WIP (see comments)"</formula>
    </cfRule>
    <cfRule type="cellIs" dxfId="249" priority="167" operator="equal">
      <formula>"Removed"</formula>
    </cfRule>
    <cfRule type="cellIs" dxfId="248" priority="168" operator="equal">
      <formula>"Updated"</formula>
    </cfRule>
    <cfRule type="cellIs" dxfId="247" priority="169" operator="equal">
      <formula>"New"</formula>
    </cfRule>
  </conditionalFormatting>
  <conditionalFormatting sqref="D9 D19 D24 D15:D16 D13">
    <cfRule type="cellIs" dxfId="246" priority="165" operator="equal">
      <formula>"-"</formula>
    </cfRule>
  </conditionalFormatting>
  <conditionalFormatting sqref="A11 G10:XFD10 P11:XFD11 I11 P9 A9:N9 P18:P19 Q7:XFD9 Q17:XFD19 G25:P25 A18:A19 I18:I19 G24 L24:N24 A24:E24 I24 Q24:XFD24 P13 P15:XFD16 Q13:XFD14 A15:I16 J15:N15 A13 I13 C13:E13">
    <cfRule type="cellIs" dxfId="245" priority="164" operator="equal">
      <formula>"n/a"</formula>
    </cfRule>
  </conditionalFormatting>
  <conditionalFormatting sqref="J19:N19 A19:B19 D19:H19">
    <cfRule type="cellIs" dxfId="244" priority="102" operator="equal">
      <formula>"n/a"</formula>
    </cfRule>
  </conditionalFormatting>
  <conditionalFormatting sqref="A10">
    <cfRule type="cellIs" dxfId="243" priority="101" operator="equal">
      <formula>"n/a"</formula>
    </cfRule>
  </conditionalFormatting>
  <conditionalFormatting sqref="C11">
    <cfRule type="cellIs" dxfId="242" priority="96" operator="equal">
      <formula>"WIP (see comments)"</formula>
    </cfRule>
    <cfRule type="cellIs" dxfId="241" priority="97" operator="equal">
      <formula>"Removed"</formula>
    </cfRule>
    <cfRule type="cellIs" dxfId="240" priority="98" operator="equal">
      <formula>"Updated"</formula>
    </cfRule>
    <cfRule type="cellIs" dxfId="239" priority="99" operator="equal">
      <formula>"New"</formula>
    </cfRule>
  </conditionalFormatting>
  <conditionalFormatting sqref="D11 D18">
    <cfRule type="cellIs" dxfId="238" priority="95" operator="equal">
      <formula>"-"</formula>
    </cfRule>
  </conditionalFormatting>
  <conditionalFormatting sqref="J11:N11 A11:H11 A18:B18 J18:N18 D18:H18">
    <cfRule type="cellIs" dxfId="237" priority="94" operator="equal">
      <formula>"n/a"</formula>
    </cfRule>
  </conditionalFormatting>
  <conditionalFormatting sqref="H24">
    <cfRule type="cellIs" dxfId="236" priority="93" operator="equal">
      <formula>"n/a"</formula>
    </cfRule>
  </conditionalFormatting>
  <conditionalFormatting sqref="F24">
    <cfRule type="cellIs" dxfId="235" priority="91" operator="equal">
      <formula>"n/a"</formula>
    </cfRule>
  </conditionalFormatting>
  <conditionalFormatting sqref="J24:K24">
    <cfRule type="cellIs" dxfId="234" priority="89" operator="equal">
      <formula>"n/a"</formula>
    </cfRule>
  </conditionalFormatting>
  <conditionalFormatting sqref="A19">
    <cfRule type="cellIs" dxfId="233" priority="87" operator="equal">
      <formula>"n/a"</formula>
    </cfRule>
  </conditionalFormatting>
  <conditionalFormatting sqref="A12 P12:XFD12 I12">
    <cfRule type="cellIs" dxfId="232" priority="81" operator="equal">
      <formula>"n/a"</formula>
    </cfRule>
  </conditionalFormatting>
  <conditionalFormatting sqref="C12">
    <cfRule type="cellIs" dxfId="231" priority="77" operator="equal">
      <formula>"WIP (see comments)"</formula>
    </cfRule>
    <cfRule type="cellIs" dxfId="230" priority="78" operator="equal">
      <formula>"Removed"</formula>
    </cfRule>
    <cfRule type="cellIs" dxfId="229" priority="79" operator="equal">
      <formula>"Updated"</formula>
    </cfRule>
    <cfRule type="cellIs" dxfId="228" priority="80" operator="equal">
      <formula>"New"</formula>
    </cfRule>
  </conditionalFormatting>
  <conditionalFormatting sqref="D12">
    <cfRule type="cellIs" dxfId="227" priority="76" operator="equal">
      <formula>"-"</formula>
    </cfRule>
  </conditionalFormatting>
  <conditionalFormatting sqref="A12:H12 F13:H13 J12:N13 B13">
    <cfRule type="cellIs" dxfId="226" priority="75" operator="equal">
      <formula>"n/a"</formula>
    </cfRule>
  </conditionalFormatting>
  <conditionalFormatting sqref="G14:P14">
    <cfRule type="cellIs" dxfId="225" priority="74" operator="equal">
      <formula>"n/a"</formula>
    </cfRule>
  </conditionalFormatting>
  <conditionalFormatting sqref="C17:C19">
    <cfRule type="cellIs" dxfId="224" priority="70" operator="equal">
      <formula>"WIP (see comments)"</formula>
    </cfRule>
    <cfRule type="cellIs" dxfId="223" priority="71" operator="equal">
      <formula>"Removed"</formula>
    </cfRule>
    <cfRule type="cellIs" dxfId="222" priority="72" operator="equal">
      <formula>"Updated"</formula>
    </cfRule>
    <cfRule type="cellIs" dxfId="221" priority="73" operator="equal">
      <formula>"New"</formula>
    </cfRule>
  </conditionalFormatting>
  <conditionalFormatting sqref="D17">
    <cfRule type="cellIs" dxfId="220" priority="69" operator="equal">
      <formula>"-"</formula>
    </cfRule>
  </conditionalFormatting>
  <conditionalFormatting sqref="A17:N17 C18:C19">
    <cfRule type="cellIs" dxfId="219" priority="68" operator="equal">
      <formula>"n/a"</formula>
    </cfRule>
  </conditionalFormatting>
  <conditionalFormatting sqref="A14">
    <cfRule type="cellIs" dxfId="218" priority="67" operator="equal">
      <formula>"n/a"</formula>
    </cfRule>
  </conditionalFormatting>
  <conditionalFormatting sqref="C30">
    <cfRule type="cellIs" dxfId="217" priority="63" operator="equal">
      <formula>"WIP (see comments)"</formula>
    </cfRule>
    <cfRule type="cellIs" dxfId="216" priority="64" operator="equal">
      <formula>"Removed"</formula>
    </cfRule>
    <cfRule type="cellIs" dxfId="215" priority="65" operator="equal">
      <formula>"Updated"</formula>
    </cfRule>
    <cfRule type="cellIs" dxfId="214" priority="66" operator="equal">
      <formula>"New"</formula>
    </cfRule>
  </conditionalFormatting>
  <conditionalFormatting sqref="D30">
    <cfRule type="cellIs" dxfId="213" priority="62" operator="equal">
      <formula>"-"</formula>
    </cfRule>
  </conditionalFormatting>
  <conditionalFormatting sqref="A30:E30 G30 L30:N30">
    <cfRule type="cellIs" dxfId="212" priority="61" operator="equal">
      <formula>"n/a"</formula>
    </cfRule>
  </conditionalFormatting>
  <conditionalFormatting sqref="H30:I30">
    <cfRule type="cellIs" dxfId="211" priority="60" operator="equal">
      <formula>"n/a"</formula>
    </cfRule>
  </conditionalFormatting>
  <conditionalFormatting sqref="F30">
    <cfRule type="cellIs" dxfId="210" priority="59" operator="equal">
      <formula>"n/a"</formula>
    </cfRule>
  </conditionalFormatting>
  <conditionalFormatting sqref="J30:K30">
    <cfRule type="cellIs" dxfId="209" priority="58" operator="equal">
      <formula>"n/a"</formula>
    </cfRule>
  </conditionalFormatting>
  <conditionalFormatting sqref="J28:K29">
    <cfRule type="cellIs" dxfId="208" priority="47" operator="equal">
      <formula>"n/a"</formula>
    </cfRule>
  </conditionalFormatting>
  <conditionalFormatting sqref="C28:C29">
    <cfRule type="cellIs" dxfId="207" priority="52" operator="equal">
      <formula>"WIP (see comments)"</formula>
    </cfRule>
    <cfRule type="cellIs" dxfId="206" priority="53" operator="equal">
      <formula>"Removed"</formula>
    </cfRule>
    <cfRule type="cellIs" dxfId="205" priority="54" operator="equal">
      <formula>"Updated"</formula>
    </cfRule>
    <cfRule type="cellIs" dxfId="204" priority="55" operator="equal">
      <formula>"New"</formula>
    </cfRule>
  </conditionalFormatting>
  <conditionalFormatting sqref="D28:D29">
    <cfRule type="cellIs" dxfId="203" priority="51" operator="equal">
      <formula>"-"</formula>
    </cfRule>
  </conditionalFormatting>
  <conditionalFormatting sqref="A28:E29 G28:G29 L29:N29 I28:I29 L28">
    <cfRule type="cellIs" dxfId="202" priority="50" operator="equal">
      <formula>"n/a"</formula>
    </cfRule>
  </conditionalFormatting>
  <conditionalFormatting sqref="H28:H29">
    <cfRule type="cellIs" dxfId="201" priority="49" operator="equal">
      <formula>"n/a"</formula>
    </cfRule>
  </conditionalFormatting>
  <conditionalFormatting sqref="F28:F29">
    <cfRule type="cellIs" dxfId="200" priority="48" operator="equal">
      <formula>"n/a"</formula>
    </cfRule>
  </conditionalFormatting>
  <conditionalFormatting sqref="A25">
    <cfRule type="cellIs" dxfId="199" priority="45" operator="equal">
      <formula>"n/a"</formula>
    </cfRule>
  </conditionalFormatting>
  <conditionalFormatting sqref="C7:C8">
    <cfRule type="cellIs" dxfId="198" priority="41" operator="equal">
      <formula>"WIP (see comments)"</formula>
    </cfRule>
    <cfRule type="cellIs" dxfId="197" priority="42" operator="equal">
      <formula>"Removed"</formula>
    </cfRule>
    <cfRule type="cellIs" dxfId="196" priority="43" operator="equal">
      <formula>"Updated"</formula>
    </cfRule>
    <cfRule type="cellIs" dxfId="195" priority="44" operator="equal">
      <formula>"New"</formula>
    </cfRule>
  </conditionalFormatting>
  <conditionalFormatting sqref="D7:D8">
    <cfRule type="cellIs" dxfId="194" priority="40" operator="equal">
      <formula>"-"</formula>
    </cfRule>
  </conditionalFormatting>
  <conditionalFormatting sqref="A7:P8">
    <cfRule type="cellIs" dxfId="193" priority="39" operator="equal">
      <formula>"n/a"</formula>
    </cfRule>
  </conditionalFormatting>
  <conditionalFormatting sqref="C26:C27">
    <cfRule type="cellIs" dxfId="192" priority="35" operator="equal">
      <formula>"WIP (see comments)"</formula>
    </cfRule>
    <cfRule type="cellIs" dxfId="191" priority="36" operator="equal">
      <formula>"Removed"</formula>
    </cfRule>
    <cfRule type="cellIs" dxfId="190" priority="37" operator="equal">
      <formula>"Updated"</formula>
    </cfRule>
    <cfRule type="cellIs" dxfId="189" priority="38" operator="equal">
      <formula>"New"</formula>
    </cfRule>
  </conditionalFormatting>
  <conditionalFormatting sqref="D26:D27">
    <cfRule type="cellIs" dxfId="188" priority="34" operator="equal">
      <formula>"-"</formula>
    </cfRule>
  </conditionalFormatting>
  <conditionalFormatting sqref="A26:E27 G26:G27 L26:N27 I26:I27">
    <cfRule type="cellIs" dxfId="187" priority="33" operator="equal">
      <formula>"n/a"</formula>
    </cfRule>
  </conditionalFormatting>
  <conditionalFormatting sqref="H26:H27">
    <cfRule type="cellIs" dxfId="186" priority="32" operator="equal">
      <formula>"n/a"</formula>
    </cfRule>
  </conditionalFormatting>
  <conditionalFormatting sqref="F26:F27">
    <cfRule type="cellIs" dxfId="185" priority="31" operator="equal">
      <formula>"n/a"</formula>
    </cfRule>
  </conditionalFormatting>
  <conditionalFormatting sqref="J26:K27">
    <cfRule type="cellIs" dxfId="184" priority="30" operator="equal">
      <formula>"n/a"</formula>
    </cfRule>
  </conditionalFormatting>
  <conditionalFormatting sqref="L16:N16">
    <cfRule type="cellIs" dxfId="183" priority="24" operator="equal">
      <formula>"n/a"</formula>
    </cfRule>
  </conditionalFormatting>
  <conditionalFormatting sqref="J16:K16">
    <cfRule type="cellIs" dxfId="182" priority="21" operator="equal">
      <formula>"n/a"</formula>
    </cfRule>
  </conditionalFormatting>
  <conditionalFormatting sqref="P17">
    <cfRule type="cellIs" dxfId="181" priority="20" operator="equal">
      <formula>"n/a"</formula>
    </cfRule>
  </conditionalFormatting>
  <conditionalFormatting sqref="P20:XFD21">
    <cfRule type="cellIs" dxfId="180" priority="19" operator="equal">
      <formula>"n/a"</formula>
    </cfRule>
  </conditionalFormatting>
  <conditionalFormatting sqref="A20:A21">
    <cfRule type="cellIs" dxfId="179" priority="18" operator="equal">
      <formula>"n/a"</formula>
    </cfRule>
  </conditionalFormatting>
  <conditionalFormatting sqref="C20:C23">
    <cfRule type="cellIs" dxfId="178" priority="14" operator="equal">
      <formula>"WIP (see comments)"</formula>
    </cfRule>
    <cfRule type="cellIs" dxfId="177" priority="15" operator="equal">
      <formula>"Removed"</formula>
    </cfRule>
    <cfRule type="cellIs" dxfId="176" priority="16" operator="equal">
      <formula>"Updated"</formula>
    </cfRule>
    <cfRule type="cellIs" dxfId="175" priority="17" operator="equal">
      <formula>"New"</formula>
    </cfRule>
  </conditionalFormatting>
  <conditionalFormatting sqref="D20:D21">
    <cfRule type="cellIs" dxfId="174" priority="13" operator="equal">
      <formula>"-"</formula>
    </cfRule>
  </conditionalFormatting>
  <conditionalFormatting sqref="A20:N20 A21:B21 D21:N21 C21:C23">
    <cfRule type="cellIs" dxfId="173" priority="12" operator="equal">
      <formula>"n/a"</formula>
    </cfRule>
  </conditionalFormatting>
  <conditionalFormatting sqref="A20:A21">
    <cfRule type="cellIs" dxfId="172" priority="11" operator="equal">
      <formula>"n/a"</formula>
    </cfRule>
  </conditionalFormatting>
  <conditionalFormatting sqref="P22:XFD23">
    <cfRule type="cellIs" dxfId="171" priority="10" operator="equal">
      <formula>"n/a"</formula>
    </cfRule>
  </conditionalFormatting>
  <conditionalFormatting sqref="A22:A23">
    <cfRule type="cellIs" dxfId="170" priority="9" operator="equal">
      <formula>"n/a"</formula>
    </cfRule>
  </conditionalFormatting>
  <conditionalFormatting sqref="D22:D23">
    <cfRule type="cellIs" dxfId="169" priority="4" operator="equal">
      <formula>"-"</formula>
    </cfRule>
  </conditionalFormatting>
  <conditionalFormatting sqref="A22:B23 D22:N23">
    <cfRule type="cellIs" dxfId="168" priority="3" operator="equal">
      <formula>"n/a"</formula>
    </cfRule>
  </conditionalFormatting>
  <conditionalFormatting sqref="A22:A23">
    <cfRule type="cellIs" dxfId="167" priority="2" operator="equal">
      <formula>"n/a"</formula>
    </cfRule>
  </conditionalFormatting>
  <conditionalFormatting sqref="M28:N28">
    <cfRule type="cellIs" dxfId="166" priority="1" operator="equal">
      <formula>"n/a"</formula>
    </cfRule>
  </conditionalFormatting>
  <dataValidations count="1">
    <dataValidation type="list" allowBlank="1" showInputMessage="1" showErrorMessage="1" sqref="E31:E1048576" xr:uid="{00000000-0002-0000-0900-000000000000}">
      <formula1>$A$5:$A$30</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'List Values'!$B$5:$B$9</xm:f>
          </x14:formula1>
          <xm:sqref>C7:C9 C26:C1048576 C11:C13 C15:C24</xm:sqref>
        </x14:dataValidation>
        <x14:dataValidation type="list" allowBlank="1" showInputMessage="1" showErrorMessage="1" xr:uid="{00000000-0002-0000-0900-000002000000}">
          <x14:formula1>
            <xm:f>'List Values'!$A$5:$A$30</xm:f>
          </x14:formula1>
          <xm:sqref>E7:E30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172</v>
      </c>
      <c r="C1" s="25"/>
      <c r="D1" s="22" t="s">
        <v>214</v>
      </c>
      <c r="F1" s="41"/>
      <c r="H1" s="27"/>
    </row>
    <row r="2" spans="1:16" s="23" customFormat="1" ht="18.5" x14ac:dyDescent="0.35">
      <c r="A2" s="21" t="s">
        <v>8</v>
      </c>
      <c r="B2" s="28" t="s">
        <v>171</v>
      </c>
      <c r="C2" s="27"/>
      <c r="D2" s="43"/>
      <c r="F2" s="41"/>
      <c r="H2" s="27"/>
    </row>
    <row r="3" spans="1:16" s="23" customFormat="1" ht="18.5" x14ac:dyDescent="0.35">
      <c r="A3" s="21" t="s">
        <v>41</v>
      </c>
      <c r="B3" s="28" t="s">
        <v>178</v>
      </c>
      <c r="C3" s="27"/>
      <c r="F3" s="41"/>
      <c r="H3" s="27"/>
    </row>
    <row r="4" spans="1:16" s="23" customFormat="1" ht="18.5" x14ac:dyDescent="0.35">
      <c r="A4" s="21" t="s">
        <v>9</v>
      </c>
      <c r="B4" s="28" t="s">
        <v>226</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3" si="0">CONCATENATE($B$2, ".", A7)</f>
        <v>3a.1</v>
      </c>
      <c r="C7" s="37" t="s">
        <v>38</v>
      </c>
      <c r="D7" s="34" t="s">
        <v>146</v>
      </c>
      <c r="E7" s="34" t="s">
        <v>48</v>
      </c>
      <c r="F7" s="33" t="s">
        <v>55</v>
      </c>
      <c r="G7" s="33" t="s">
        <v>55</v>
      </c>
      <c r="H7" s="37" t="s">
        <v>55</v>
      </c>
      <c r="I7" s="34" t="s">
        <v>54</v>
      </c>
      <c r="J7" s="33" t="s">
        <v>55</v>
      </c>
      <c r="K7" s="33" t="s">
        <v>55</v>
      </c>
      <c r="L7" s="33" t="s">
        <v>55</v>
      </c>
      <c r="M7" s="34" t="s">
        <v>55</v>
      </c>
      <c r="N7" s="33" t="s">
        <v>55</v>
      </c>
    </row>
    <row r="8" spans="1:16" x14ac:dyDescent="0.35">
      <c r="A8" s="33">
        <v>2</v>
      </c>
      <c r="B8" s="33" t="str">
        <f t="shared" si="0"/>
        <v>3a.2</v>
      </c>
      <c r="C8" s="37" t="s">
        <v>38</v>
      </c>
      <c r="D8" s="34" t="s">
        <v>147</v>
      </c>
      <c r="E8" s="34" t="s">
        <v>27</v>
      </c>
      <c r="F8" s="33" t="s">
        <v>55</v>
      </c>
      <c r="G8" s="33" t="s">
        <v>55</v>
      </c>
      <c r="H8" s="37" t="s">
        <v>55</v>
      </c>
      <c r="I8" s="34" t="s">
        <v>54</v>
      </c>
      <c r="J8" s="33" t="s">
        <v>55</v>
      </c>
      <c r="K8" s="33" t="s">
        <v>55</v>
      </c>
      <c r="L8" s="33" t="s">
        <v>55</v>
      </c>
      <c r="M8" s="34" t="s">
        <v>55</v>
      </c>
      <c r="N8" s="33" t="s">
        <v>55</v>
      </c>
    </row>
    <row r="9" spans="1:16" x14ac:dyDescent="0.35">
      <c r="A9" s="33">
        <v>3</v>
      </c>
      <c r="B9" s="33" t="str">
        <f t="shared" si="0"/>
        <v>3a.3</v>
      </c>
      <c r="C9" s="37" t="s">
        <v>38</v>
      </c>
      <c r="D9" s="34" t="s">
        <v>148</v>
      </c>
      <c r="E9" s="34" t="s">
        <v>27</v>
      </c>
      <c r="F9" s="33" t="s">
        <v>55</v>
      </c>
      <c r="G9" s="33" t="s">
        <v>55</v>
      </c>
      <c r="H9" s="37" t="s">
        <v>55</v>
      </c>
      <c r="I9" s="34" t="s">
        <v>54</v>
      </c>
      <c r="J9" s="33" t="s">
        <v>55</v>
      </c>
      <c r="K9" s="33" t="s">
        <v>55</v>
      </c>
      <c r="L9" s="33" t="s">
        <v>55</v>
      </c>
      <c r="M9" s="34" t="s">
        <v>55</v>
      </c>
      <c r="N9" s="33" t="s">
        <v>55</v>
      </c>
    </row>
    <row r="10" spans="1:16" x14ac:dyDescent="0.35">
      <c r="A10" s="33">
        <v>4</v>
      </c>
      <c r="B10" s="33" t="str">
        <f t="shared" si="0"/>
        <v>3a.4</v>
      </c>
      <c r="C10" s="37" t="s">
        <v>38</v>
      </c>
      <c r="D10" s="34" t="s">
        <v>152</v>
      </c>
      <c r="E10" s="34" t="s">
        <v>59</v>
      </c>
      <c r="F10" s="33" t="s">
        <v>55</v>
      </c>
      <c r="G10" s="33" t="s">
        <v>55</v>
      </c>
      <c r="H10" s="37" t="s">
        <v>55</v>
      </c>
      <c r="I10" s="34" t="s">
        <v>54</v>
      </c>
      <c r="J10" s="33" t="s">
        <v>55</v>
      </c>
      <c r="K10" s="33" t="s">
        <v>55</v>
      </c>
      <c r="L10" s="33" t="s">
        <v>55</v>
      </c>
      <c r="M10" s="34" t="s">
        <v>55</v>
      </c>
      <c r="N10" s="33" t="s">
        <v>55</v>
      </c>
    </row>
    <row r="11" spans="1:16" x14ac:dyDescent="0.35">
      <c r="A11" s="33">
        <v>5</v>
      </c>
      <c r="B11" s="33" t="str">
        <f t="shared" si="0"/>
        <v>3a.5</v>
      </c>
      <c r="C11" s="37" t="s">
        <v>38</v>
      </c>
      <c r="D11" s="34" t="s">
        <v>153</v>
      </c>
      <c r="E11" s="34" t="s">
        <v>59</v>
      </c>
      <c r="F11" s="33" t="s">
        <v>55</v>
      </c>
      <c r="G11" s="33" t="s">
        <v>55</v>
      </c>
      <c r="H11" s="37" t="s">
        <v>55</v>
      </c>
      <c r="I11" s="34" t="s">
        <v>54</v>
      </c>
      <c r="J11" s="33" t="s">
        <v>55</v>
      </c>
      <c r="K11" s="33" t="s">
        <v>55</v>
      </c>
      <c r="L11" s="33" t="s">
        <v>55</v>
      </c>
      <c r="M11" s="34" t="s">
        <v>55</v>
      </c>
      <c r="N11" s="33" t="s">
        <v>55</v>
      </c>
    </row>
    <row r="12" spans="1:16" x14ac:dyDescent="0.35">
      <c r="A12" s="33">
        <v>6</v>
      </c>
      <c r="B12" s="33" t="str">
        <f t="shared" si="0"/>
        <v>3a.6</v>
      </c>
      <c r="C12" s="37" t="s">
        <v>38</v>
      </c>
      <c r="D12" s="34" t="s">
        <v>154</v>
      </c>
      <c r="E12" s="34" t="s">
        <v>59</v>
      </c>
      <c r="F12" s="33" t="s">
        <v>55</v>
      </c>
      <c r="G12" s="33" t="s">
        <v>55</v>
      </c>
      <c r="H12" s="37" t="s">
        <v>55</v>
      </c>
      <c r="I12" s="34" t="s">
        <v>54</v>
      </c>
      <c r="J12" s="33" t="s">
        <v>55</v>
      </c>
      <c r="K12" s="33" t="s">
        <v>55</v>
      </c>
      <c r="L12" s="33" t="s">
        <v>55</v>
      </c>
      <c r="M12" s="34" t="s">
        <v>55</v>
      </c>
      <c r="N12" s="33" t="s">
        <v>55</v>
      </c>
    </row>
    <row r="13" spans="1:16" ht="29" x14ac:dyDescent="0.35">
      <c r="A13" s="33">
        <v>7</v>
      </c>
      <c r="B13" s="33" t="str">
        <f t="shared" si="0"/>
        <v>3a.7</v>
      </c>
      <c r="C13" s="37" t="s">
        <v>38</v>
      </c>
      <c r="D13" s="34" t="s">
        <v>159</v>
      </c>
      <c r="E13" s="34" t="s">
        <v>40</v>
      </c>
      <c r="F13" s="33" t="s">
        <v>55</v>
      </c>
      <c r="G13" s="33" t="s">
        <v>55</v>
      </c>
      <c r="H13" s="37" t="s">
        <v>55</v>
      </c>
      <c r="I13" s="34" t="s">
        <v>54</v>
      </c>
      <c r="J13" s="33" t="s">
        <v>55</v>
      </c>
      <c r="K13" s="33" t="s">
        <v>55</v>
      </c>
      <c r="L13" s="33" t="s">
        <v>55</v>
      </c>
      <c r="M13" s="33" t="s">
        <v>55</v>
      </c>
      <c r="N13" s="33" t="s">
        <v>55</v>
      </c>
      <c r="O13" s="31" t="s">
        <v>160</v>
      </c>
    </row>
  </sheetData>
  <autoFilter ref="A6:P6" xr:uid="{00000000-0009-0000-0000-00000A000000}"/>
  <conditionalFormatting sqref="C7:C1048576">
    <cfRule type="cellIs" dxfId="165" priority="18" operator="equal">
      <formula>"WIP (see comments)"</formula>
    </cfRule>
    <cfRule type="cellIs" dxfId="164" priority="19" operator="equal">
      <formula>"Removed"</formula>
    </cfRule>
    <cfRule type="cellIs" dxfId="163" priority="20" operator="equal">
      <formula>"Updated"</formula>
    </cfRule>
    <cfRule type="cellIs" dxfId="162" priority="21" operator="equal">
      <formula>"New"</formula>
    </cfRule>
  </conditionalFormatting>
  <conditionalFormatting sqref="D7 D9">
    <cfRule type="cellIs" dxfId="161" priority="17" operator="equal">
      <formula>"-"</formula>
    </cfRule>
  </conditionalFormatting>
  <conditionalFormatting sqref="P7:XFD7 A7:N7 P9:XFD13 G11:G12 L11:N12 A9:B13 E11:E12 E10:H10 I8:I12 J9:N10 D9:H9 D13:N13 C8:C13">
    <cfRule type="cellIs" dxfId="160" priority="16" operator="equal">
      <formula>"n/a"</formula>
    </cfRule>
  </conditionalFormatting>
  <conditionalFormatting sqref="O13">
    <cfRule type="cellIs" dxfId="159" priority="15" operator="equal">
      <formula>"n/a"</formula>
    </cfRule>
  </conditionalFormatting>
  <conditionalFormatting sqref="D8">
    <cfRule type="cellIs" dxfId="158" priority="10" operator="equal">
      <formula>"-"</formula>
    </cfRule>
  </conditionalFormatting>
  <conditionalFormatting sqref="A8:B8 P8:XFD8 J8:N8 D8:H8">
    <cfRule type="cellIs" dxfId="157" priority="9" operator="equal">
      <formula>"n/a"</formula>
    </cfRule>
  </conditionalFormatting>
  <conditionalFormatting sqref="H12">
    <cfRule type="cellIs" dxfId="156" priority="8" operator="equal">
      <formula>"n/a"</formula>
    </cfRule>
  </conditionalFormatting>
  <conditionalFormatting sqref="H11">
    <cfRule type="cellIs" dxfId="155" priority="7" operator="equal">
      <formula>"n/a"</formula>
    </cfRule>
  </conditionalFormatting>
  <conditionalFormatting sqref="F12">
    <cfRule type="cellIs" dxfId="154" priority="6" operator="equal">
      <formula>"n/a"</formula>
    </cfRule>
  </conditionalFormatting>
  <conditionalFormatting sqref="F11">
    <cfRule type="cellIs" dxfId="153" priority="5" operator="equal">
      <formula>"n/a"</formula>
    </cfRule>
  </conditionalFormatting>
  <conditionalFormatting sqref="J12:K12">
    <cfRule type="cellIs" dxfId="152" priority="4" operator="equal">
      <formula>"n/a"</formula>
    </cfRule>
  </conditionalFormatting>
  <conditionalFormatting sqref="J11:K11">
    <cfRule type="cellIs" dxfId="151" priority="3" operator="equal">
      <formula>"n/a"</formula>
    </cfRule>
  </conditionalFormatting>
  <conditionalFormatting sqref="D10:D12">
    <cfRule type="cellIs" dxfId="150" priority="2" operator="equal">
      <formula>"-"</formula>
    </cfRule>
  </conditionalFormatting>
  <conditionalFormatting sqref="D10:D12">
    <cfRule type="cellIs" dxfId="1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'List Values'!$B$5:$B$9</xm:f>
          </x14:formula1>
          <xm:sqref>C7:C1048576</xm:sqref>
        </x14:dataValidation>
        <x14:dataValidation type="list" allowBlank="1" showInputMessage="1" showErrorMessage="1" xr:uid="{00000000-0002-0000-0A00-000001000000}">
          <x14:formula1>
            <xm:f>'List Values'!$A$5:$A$33</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P36"/>
  <sheetViews>
    <sheetView workbookViewId="0">
      <pane xSplit="4" ySplit="6" topLeftCell="L21" activePane="bottomRight" state="frozen"/>
      <selection pane="topRight" activeCell="E1" sqref="E1"/>
      <selection pane="bottomLeft" activeCell="A7" sqref="A7"/>
      <selection pane="bottomRight" activeCell="N40" sqref="N40"/>
    </sheetView>
  </sheetViews>
  <sheetFormatPr defaultColWidth="9.1796875" defaultRowHeight="14.5" x14ac:dyDescent="0.35"/>
  <cols>
    <col min="1" max="1" width="14.7265625" style="33" customWidth="1"/>
    <col min="2" max="2" width="12.54296875" style="33" customWidth="1"/>
    <col min="3" max="3" width="13.54296875" style="37" customWidth="1"/>
    <col min="4" max="4" width="47.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180</v>
      </c>
      <c r="C1" s="25"/>
      <c r="D1" s="22"/>
      <c r="F1" s="41"/>
      <c r="H1" s="27"/>
    </row>
    <row r="2" spans="1:16" s="23" customFormat="1" ht="18.5" x14ac:dyDescent="0.35">
      <c r="A2" s="21" t="s">
        <v>8</v>
      </c>
      <c r="B2" s="28">
        <v>4</v>
      </c>
      <c r="C2" s="27"/>
      <c r="D2" s="28"/>
      <c r="F2" s="41"/>
      <c r="H2" s="27"/>
    </row>
    <row r="3" spans="1:16" s="23" customFormat="1" ht="18.5" x14ac:dyDescent="0.35">
      <c r="A3" s="21" t="s">
        <v>41</v>
      </c>
      <c r="B3" s="28" t="s">
        <v>181</v>
      </c>
      <c r="C3" s="27"/>
      <c r="D3" s="28" t="s">
        <v>331</v>
      </c>
      <c r="F3" s="41"/>
      <c r="H3" s="27"/>
    </row>
    <row r="4" spans="1:16" s="23" customFormat="1" ht="18.5" x14ac:dyDescent="0.35">
      <c r="A4" s="21" t="s">
        <v>9</v>
      </c>
      <c r="B4" s="23" t="s">
        <v>54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8" si="0">CONCATENATE($B$2, ".", A7)</f>
        <v>4.1</v>
      </c>
      <c r="C7" s="37" t="s">
        <v>35</v>
      </c>
      <c r="D7" s="33" t="s">
        <v>235</v>
      </c>
      <c r="E7" s="34" t="s">
        <v>275</v>
      </c>
      <c r="F7" s="33" t="s">
        <v>55</v>
      </c>
      <c r="G7" s="33" t="s">
        <v>55</v>
      </c>
      <c r="H7" s="37" t="s">
        <v>55</v>
      </c>
      <c r="I7" s="34" t="s">
        <v>54</v>
      </c>
      <c r="J7" s="33" t="s">
        <v>55</v>
      </c>
      <c r="K7" s="33" t="s">
        <v>55</v>
      </c>
      <c r="L7" s="33" t="s">
        <v>55</v>
      </c>
      <c r="M7" s="33" t="s">
        <v>55</v>
      </c>
      <c r="N7" s="33" t="s">
        <v>55</v>
      </c>
      <c r="O7" s="33" t="s">
        <v>55</v>
      </c>
      <c r="P7" s="33" t="s">
        <v>234</v>
      </c>
    </row>
    <row r="8" spans="1:16" x14ac:dyDescent="0.35">
      <c r="A8" s="33">
        <v>2</v>
      </c>
      <c r="B8" s="33" t="str">
        <f t="shared" si="0"/>
        <v>4.2</v>
      </c>
      <c r="C8" s="37" t="s">
        <v>37</v>
      </c>
      <c r="D8" s="33" t="s">
        <v>55</v>
      </c>
      <c r="E8" s="34" t="s">
        <v>43</v>
      </c>
      <c r="F8" s="33" t="s">
        <v>55</v>
      </c>
      <c r="G8" s="33" t="s">
        <v>55</v>
      </c>
      <c r="H8" s="37" t="s">
        <v>55</v>
      </c>
      <c r="I8" s="34" t="s">
        <v>54</v>
      </c>
      <c r="J8" s="33" t="s">
        <v>55</v>
      </c>
      <c r="K8" s="33" t="s">
        <v>55</v>
      </c>
      <c r="L8" s="33" t="s">
        <v>55</v>
      </c>
      <c r="M8" s="33" t="s">
        <v>55</v>
      </c>
      <c r="N8" s="33" t="s">
        <v>55</v>
      </c>
      <c r="O8" s="33" t="s">
        <v>55</v>
      </c>
    </row>
    <row r="9" spans="1:16" s="32" customFormat="1" ht="15" customHeight="1" x14ac:dyDescent="0.35">
      <c r="A9" s="51" t="s">
        <v>291</v>
      </c>
      <c r="B9" s="51"/>
      <c r="C9" s="51"/>
      <c r="D9" s="51"/>
      <c r="E9" s="51"/>
      <c r="F9" s="51"/>
    </row>
    <row r="10" spans="1:16" ht="29" x14ac:dyDescent="0.35">
      <c r="C10" s="37" t="s">
        <v>38</v>
      </c>
      <c r="D10" s="34" t="s">
        <v>146</v>
      </c>
      <c r="E10" s="34" t="s">
        <v>48</v>
      </c>
      <c r="F10" s="33" t="s">
        <v>55</v>
      </c>
      <c r="G10" s="33" t="s">
        <v>55</v>
      </c>
      <c r="H10" s="37" t="s">
        <v>55</v>
      </c>
      <c r="I10" s="34" t="s">
        <v>54</v>
      </c>
      <c r="J10" s="33" t="s">
        <v>55</v>
      </c>
      <c r="K10" s="33" t="s">
        <v>55</v>
      </c>
      <c r="L10" s="33" t="s">
        <v>55</v>
      </c>
      <c r="M10" s="34" t="s">
        <v>55</v>
      </c>
      <c r="N10" s="33" t="s">
        <v>55</v>
      </c>
      <c r="O10" s="33" t="s">
        <v>55</v>
      </c>
      <c r="P10" s="33" t="s">
        <v>267</v>
      </c>
    </row>
    <row r="11" spans="1:16" ht="58" x14ac:dyDescent="0.35">
      <c r="A11" s="50">
        <v>3</v>
      </c>
      <c r="B11" s="33" t="str">
        <f t="shared" ref="B11" si="1">CONCATENATE($B$2, ".", A11)</f>
        <v>4.3</v>
      </c>
      <c r="C11" s="37" t="s">
        <v>39</v>
      </c>
      <c r="D11" s="34" t="s">
        <v>289</v>
      </c>
      <c r="E11" s="34" t="s">
        <v>59</v>
      </c>
      <c r="F11" s="33" t="s">
        <v>55</v>
      </c>
      <c r="G11" s="33" t="s">
        <v>55</v>
      </c>
      <c r="H11" s="37" t="s">
        <v>55</v>
      </c>
      <c r="I11" s="34" t="s">
        <v>252</v>
      </c>
      <c r="J11" s="33" t="s">
        <v>55</v>
      </c>
      <c r="K11" s="33" t="s">
        <v>55</v>
      </c>
      <c r="L11" s="33" t="s">
        <v>55</v>
      </c>
      <c r="M11" s="33" t="s">
        <v>55</v>
      </c>
      <c r="N11" s="33" t="s">
        <v>55</v>
      </c>
      <c r="O11" s="33" t="s">
        <v>290</v>
      </c>
      <c r="P11" s="33" t="s">
        <v>284</v>
      </c>
    </row>
    <row r="12" spans="1:16" x14ac:dyDescent="0.35">
      <c r="A12" s="33">
        <v>4</v>
      </c>
      <c r="B12" s="33" t="str">
        <f t="shared" ref="B12:B22" si="2">CONCATENATE($B$2, ".", A12)</f>
        <v>4.4</v>
      </c>
      <c r="C12" s="37" t="s">
        <v>37</v>
      </c>
      <c r="D12" s="34" t="s">
        <v>147</v>
      </c>
      <c r="E12" s="34" t="s">
        <v>59</v>
      </c>
      <c r="F12" s="33" t="s">
        <v>55</v>
      </c>
      <c r="G12" s="33" t="s">
        <v>55</v>
      </c>
      <c r="H12" s="37" t="s">
        <v>55</v>
      </c>
      <c r="I12" s="34" t="s">
        <v>54</v>
      </c>
      <c r="J12" s="33" t="s">
        <v>55</v>
      </c>
      <c r="K12" s="33" t="s">
        <v>55</v>
      </c>
      <c r="L12" s="33" t="s">
        <v>55</v>
      </c>
      <c r="M12" s="34" t="s">
        <v>55</v>
      </c>
      <c r="N12" s="33" t="s">
        <v>55</v>
      </c>
      <c r="O12" s="33" t="s">
        <v>55</v>
      </c>
    </row>
    <row r="13" spans="1:16" x14ac:dyDescent="0.35">
      <c r="A13" s="33">
        <v>5</v>
      </c>
      <c r="B13" s="33" t="str">
        <f t="shared" si="2"/>
        <v>4.5</v>
      </c>
      <c r="C13" s="37" t="s">
        <v>37</v>
      </c>
      <c r="D13" s="34" t="s">
        <v>148</v>
      </c>
      <c r="E13" s="34" t="s">
        <v>59</v>
      </c>
      <c r="F13" s="33" t="s">
        <v>55</v>
      </c>
      <c r="G13" s="33" t="s">
        <v>55</v>
      </c>
      <c r="H13" s="37" t="s">
        <v>55</v>
      </c>
      <c r="I13" s="34" t="s">
        <v>54</v>
      </c>
      <c r="J13" s="33" t="s">
        <v>55</v>
      </c>
      <c r="K13" s="33" t="s">
        <v>55</v>
      </c>
      <c r="L13" s="33" t="s">
        <v>55</v>
      </c>
      <c r="M13" s="34" t="s">
        <v>55</v>
      </c>
      <c r="N13" s="33" t="s">
        <v>55</v>
      </c>
      <c r="O13" s="33" t="s">
        <v>55</v>
      </c>
    </row>
    <row r="14" spans="1:16" ht="87" x14ac:dyDescent="0.35">
      <c r="A14" s="33">
        <v>6</v>
      </c>
      <c r="B14" s="33" t="str">
        <f t="shared" si="2"/>
        <v>4.6</v>
      </c>
      <c r="C14" s="37" t="s">
        <v>35</v>
      </c>
      <c r="D14" s="34" t="s">
        <v>199</v>
      </c>
      <c r="E14" s="34" t="s">
        <v>59</v>
      </c>
      <c r="F14" s="33" t="s">
        <v>55</v>
      </c>
      <c r="G14" s="33" t="s">
        <v>55</v>
      </c>
      <c r="H14" s="37" t="s">
        <v>55</v>
      </c>
      <c r="I14" s="34" t="s">
        <v>252</v>
      </c>
      <c r="J14" s="33" t="s">
        <v>55</v>
      </c>
      <c r="K14" s="33" t="s">
        <v>55</v>
      </c>
      <c r="L14" s="33" t="s">
        <v>55</v>
      </c>
      <c r="M14" s="34" t="s">
        <v>55</v>
      </c>
      <c r="N14" s="33" t="s">
        <v>55</v>
      </c>
      <c r="O14" s="33" t="s">
        <v>296</v>
      </c>
      <c r="P14" s="33" t="s">
        <v>234</v>
      </c>
    </row>
    <row r="15" spans="1:16" ht="87" x14ac:dyDescent="0.35">
      <c r="A15" s="33">
        <v>7</v>
      </c>
      <c r="B15" s="33" t="str">
        <f>CONCATENATE($B$2, ".", A15)</f>
        <v>4.7</v>
      </c>
      <c r="C15" s="37" t="s">
        <v>37</v>
      </c>
      <c r="D15" s="34" t="s">
        <v>193</v>
      </c>
      <c r="E15" s="34" t="s">
        <v>59</v>
      </c>
      <c r="F15" s="33" t="s">
        <v>55</v>
      </c>
      <c r="G15" s="33" t="s">
        <v>55</v>
      </c>
      <c r="H15" s="37" t="s">
        <v>55</v>
      </c>
      <c r="I15" s="34" t="s">
        <v>252</v>
      </c>
      <c r="J15" s="33" t="s">
        <v>55</v>
      </c>
      <c r="K15" s="33" t="s">
        <v>55</v>
      </c>
      <c r="L15" s="33" t="s">
        <v>55</v>
      </c>
      <c r="M15" s="34" t="s">
        <v>55</v>
      </c>
      <c r="N15" s="33" t="s">
        <v>55</v>
      </c>
      <c r="O15" s="33" t="s">
        <v>297</v>
      </c>
    </row>
    <row r="16" spans="1:16" ht="58" x14ac:dyDescent="0.35">
      <c r="A16" s="33">
        <v>8</v>
      </c>
      <c r="B16" s="33" t="str">
        <f t="shared" ref="B16:B19" si="3">CONCATENATE($B$2, ".", A16)</f>
        <v>4.8</v>
      </c>
      <c r="C16" s="37" t="s">
        <v>37</v>
      </c>
      <c r="D16" s="34" t="s">
        <v>194</v>
      </c>
      <c r="E16" s="34" t="s">
        <v>59</v>
      </c>
      <c r="F16" s="33" t="s">
        <v>55</v>
      </c>
      <c r="G16" s="33" t="s">
        <v>55</v>
      </c>
      <c r="H16" s="37" t="s">
        <v>55</v>
      </c>
      <c r="I16" s="34" t="s">
        <v>252</v>
      </c>
      <c r="J16" s="33" t="s">
        <v>55</v>
      </c>
      <c r="K16" s="33" t="s">
        <v>55</v>
      </c>
      <c r="L16" s="33" t="s">
        <v>55</v>
      </c>
      <c r="M16" s="34" t="s">
        <v>55</v>
      </c>
      <c r="N16" s="33" t="s">
        <v>55</v>
      </c>
      <c r="O16" s="33" t="s">
        <v>243</v>
      </c>
    </row>
    <row r="17" spans="1:16" s="32" customFormat="1" ht="58" x14ac:dyDescent="0.35">
      <c r="A17" s="33">
        <v>9</v>
      </c>
      <c r="B17" s="33" t="str">
        <f t="shared" si="3"/>
        <v>4.9</v>
      </c>
      <c r="C17" s="37" t="s">
        <v>37</v>
      </c>
      <c r="D17" s="34" t="s">
        <v>195</v>
      </c>
      <c r="E17" s="34" t="s">
        <v>59</v>
      </c>
      <c r="F17" s="33" t="s">
        <v>55</v>
      </c>
      <c r="G17" s="33" t="s">
        <v>55</v>
      </c>
      <c r="H17" s="37" t="s">
        <v>55</v>
      </c>
      <c r="I17" s="34" t="s">
        <v>252</v>
      </c>
      <c r="J17" s="33" t="s">
        <v>55</v>
      </c>
      <c r="K17" s="33" t="s">
        <v>55</v>
      </c>
      <c r="L17" s="33" t="s">
        <v>55</v>
      </c>
      <c r="M17" s="34" t="s">
        <v>55</v>
      </c>
      <c r="N17" s="33" t="s">
        <v>55</v>
      </c>
      <c r="O17" s="33" t="s">
        <v>244</v>
      </c>
      <c r="P17" s="33"/>
    </row>
    <row r="18" spans="1:16" ht="58" x14ac:dyDescent="0.35">
      <c r="A18" s="50">
        <v>10</v>
      </c>
      <c r="B18" s="33" t="str">
        <f t="shared" si="3"/>
        <v>4.10</v>
      </c>
      <c r="C18" s="37" t="s">
        <v>39</v>
      </c>
      <c r="D18" s="34" t="s">
        <v>285</v>
      </c>
      <c r="E18" s="34" t="s">
        <v>59</v>
      </c>
      <c r="F18" s="33" t="s">
        <v>55</v>
      </c>
      <c r="G18" s="33" t="s">
        <v>55</v>
      </c>
      <c r="H18" s="37" t="s">
        <v>55</v>
      </c>
      <c r="I18" s="34" t="s">
        <v>252</v>
      </c>
      <c r="J18" s="33" t="s">
        <v>55</v>
      </c>
      <c r="K18" s="33" t="s">
        <v>55</v>
      </c>
      <c r="L18" s="33" t="s">
        <v>55</v>
      </c>
      <c r="M18" s="34" t="s">
        <v>55</v>
      </c>
      <c r="N18" s="33" t="s">
        <v>55</v>
      </c>
      <c r="O18" s="33" t="s">
        <v>287</v>
      </c>
      <c r="P18" s="33" t="s">
        <v>284</v>
      </c>
    </row>
    <row r="19" spans="1:16" ht="58" x14ac:dyDescent="0.35">
      <c r="A19" s="50">
        <v>11</v>
      </c>
      <c r="B19" s="33" t="str">
        <f t="shared" si="3"/>
        <v>4.11</v>
      </c>
      <c r="C19" s="37" t="s">
        <v>39</v>
      </c>
      <c r="D19" s="34" t="s">
        <v>286</v>
      </c>
      <c r="E19" s="34" t="s">
        <v>59</v>
      </c>
      <c r="F19" s="33" t="s">
        <v>55</v>
      </c>
      <c r="G19" s="33" t="s">
        <v>55</v>
      </c>
      <c r="H19" s="37" t="s">
        <v>55</v>
      </c>
      <c r="I19" s="34" t="s">
        <v>252</v>
      </c>
      <c r="J19" s="33" t="s">
        <v>55</v>
      </c>
      <c r="K19" s="33" t="s">
        <v>55</v>
      </c>
      <c r="L19" s="33" t="s">
        <v>55</v>
      </c>
      <c r="M19" s="34" t="s">
        <v>55</v>
      </c>
      <c r="N19" s="33" t="s">
        <v>55</v>
      </c>
      <c r="O19" s="33" t="s">
        <v>288</v>
      </c>
      <c r="P19" s="33" t="s">
        <v>284</v>
      </c>
    </row>
    <row r="20" spans="1:16" ht="87" x14ac:dyDescent="0.35">
      <c r="A20" s="50">
        <v>12</v>
      </c>
      <c r="B20" s="33" t="str">
        <f t="shared" si="2"/>
        <v>4.12</v>
      </c>
      <c r="C20" s="37" t="s">
        <v>35</v>
      </c>
      <c r="D20" s="34" t="s">
        <v>292</v>
      </c>
      <c r="E20" s="34" t="s">
        <v>59</v>
      </c>
      <c r="F20" s="33" t="s">
        <v>55</v>
      </c>
      <c r="G20" s="33" t="s">
        <v>55</v>
      </c>
      <c r="H20" s="37" t="s">
        <v>55</v>
      </c>
      <c r="I20" s="34" t="s">
        <v>54</v>
      </c>
      <c r="J20" s="33" t="s">
        <v>303</v>
      </c>
      <c r="K20" s="33" t="s">
        <v>55</v>
      </c>
      <c r="L20" s="33" t="s">
        <v>55</v>
      </c>
      <c r="M20" s="34" t="s">
        <v>55</v>
      </c>
      <c r="N20" s="33" t="s">
        <v>55</v>
      </c>
      <c r="O20" s="33" t="s">
        <v>304</v>
      </c>
      <c r="P20" s="33" t="s">
        <v>305</v>
      </c>
    </row>
    <row r="21" spans="1:16" ht="29" x14ac:dyDescent="0.35">
      <c r="A21" s="33">
        <v>13</v>
      </c>
      <c r="B21" s="33" t="str">
        <f t="shared" si="2"/>
        <v>4.13</v>
      </c>
      <c r="C21" s="37" t="s">
        <v>37</v>
      </c>
      <c r="D21" s="34" t="s">
        <v>155</v>
      </c>
      <c r="E21" s="34" t="s">
        <v>47</v>
      </c>
      <c r="F21" s="33" t="s">
        <v>55</v>
      </c>
      <c r="G21" s="33" t="s">
        <v>55</v>
      </c>
      <c r="H21" s="37" t="s">
        <v>55</v>
      </c>
      <c r="I21" s="34" t="s">
        <v>54</v>
      </c>
      <c r="J21" s="33" t="s">
        <v>55</v>
      </c>
      <c r="K21" s="33" t="s">
        <v>55</v>
      </c>
      <c r="L21" s="33" t="s">
        <v>55</v>
      </c>
      <c r="M21" s="34" t="s">
        <v>55</v>
      </c>
      <c r="N21" s="33" t="s">
        <v>55</v>
      </c>
      <c r="O21" s="33" t="s">
        <v>330</v>
      </c>
    </row>
    <row r="22" spans="1:16" ht="72.5" x14ac:dyDescent="0.35">
      <c r="A22" s="33">
        <v>14</v>
      </c>
      <c r="B22" s="33" t="str">
        <f t="shared" si="2"/>
        <v>4.14</v>
      </c>
      <c r="C22" s="37" t="s">
        <v>37</v>
      </c>
      <c r="D22" s="45" t="s">
        <v>293</v>
      </c>
      <c r="E22" s="34" t="s">
        <v>53</v>
      </c>
      <c r="F22" s="33" t="s">
        <v>55</v>
      </c>
      <c r="G22" s="33" t="s">
        <v>55</v>
      </c>
      <c r="H22" s="37" t="s">
        <v>55</v>
      </c>
      <c r="I22" s="34" t="s">
        <v>221</v>
      </c>
      <c r="J22" s="33" t="s">
        <v>55</v>
      </c>
      <c r="K22" s="33" t="s">
        <v>55</v>
      </c>
      <c r="L22" s="33" t="s">
        <v>55</v>
      </c>
      <c r="M22" s="34" t="s">
        <v>55</v>
      </c>
      <c r="N22" s="33" t="s">
        <v>55</v>
      </c>
      <c r="O22" s="33" t="s">
        <v>300</v>
      </c>
    </row>
    <row r="23" spans="1:16" x14ac:dyDescent="0.35">
      <c r="A23" s="51" t="s">
        <v>294</v>
      </c>
      <c r="B23" s="51"/>
      <c r="C23" s="51"/>
      <c r="D23" s="51"/>
      <c r="E23" s="51"/>
      <c r="F23" s="32"/>
      <c r="G23" s="32"/>
      <c r="H23" s="32"/>
      <c r="I23" s="32"/>
      <c r="J23" s="32"/>
      <c r="K23" s="32"/>
      <c r="L23" s="32"/>
      <c r="M23" s="32"/>
      <c r="N23" s="32"/>
      <c r="O23" s="32"/>
      <c r="P23" s="32"/>
    </row>
    <row r="24" spans="1:16" ht="43.5" x14ac:dyDescent="0.35">
      <c r="A24" s="33">
        <v>15</v>
      </c>
      <c r="B24" s="33" t="str">
        <f>CONCATENATE($B$2, ".", A24)</f>
        <v>4.15</v>
      </c>
      <c r="C24" s="37" t="s">
        <v>37</v>
      </c>
      <c r="D24" s="34" t="s">
        <v>156</v>
      </c>
      <c r="E24" s="34" t="s">
        <v>34</v>
      </c>
      <c r="F24" s="33" t="s">
        <v>55</v>
      </c>
      <c r="G24" s="33" t="s">
        <v>55</v>
      </c>
      <c r="H24" s="37" t="s">
        <v>55</v>
      </c>
      <c r="I24" s="34" t="s">
        <v>54</v>
      </c>
      <c r="J24" s="33" t="s">
        <v>55</v>
      </c>
      <c r="K24" s="33" t="s">
        <v>55</v>
      </c>
      <c r="L24" s="33" t="s">
        <v>55</v>
      </c>
      <c r="M24" s="33" t="s">
        <v>55</v>
      </c>
      <c r="N24" s="33" t="s">
        <v>55</v>
      </c>
      <c r="O24" s="31" t="s">
        <v>157</v>
      </c>
    </row>
    <row r="25" spans="1:16" x14ac:dyDescent="0.35">
      <c r="A25" s="33">
        <v>16</v>
      </c>
      <c r="B25" s="33" t="str">
        <f>CONCATENATE($B$2, ".", A25)</f>
        <v>4.16</v>
      </c>
      <c r="C25" s="37" t="s">
        <v>37</v>
      </c>
      <c r="D25" s="33" t="s">
        <v>161</v>
      </c>
      <c r="E25" s="34" t="s">
        <v>32</v>
      </c>
      <c r="F25" s="33" t="s">
        <v>55</v>
      </c>
      <c r="G25" s="33" t="s">
        <v>55</v>
      </c>
      <c r="H25" s="37" t="s">
        <v>55</v>
      </c>
      <c r="I25" s="34" t="s">
        <v>54</v>
      </c>
      <c r="J25" s="33" t="s">
        <v>55</v>
      </c>
      <c r="K25" s="33" t="s">
        <v>55</v>
      </c>
      <c r="L25" s="33" t="s">
        <v>55</v>
      </c>
      <c r="M25" s="33" t="s">
        <v>55</v>
      </c>
      <c r="N25" s="33" t="s">
        <v>55</v>
      </c>
    </row>
    <row r="26" spans="1:16" ht="22" customHeight="1" x14ac:dyDescent="0.35">
      <c r="A26" s="33">
        <v>17</v>
      </c>
      <c r="B26" s="33" t="str">
        <f>CONCATENATE($B$2, ".", A26)</f>
        <v>4.17</v>
      </c>
      <c r="C26" s="37" t="s">
        <v>35</v>
      </c>
      <c r="D26" s="34" t="s">
        <v>320</v>
      </c>
      <c r="E26" s="34" t="s">
        <v>27</v>
      </c>
      <c r="F26" s="33" t="s">
        <v>55</v>
      </c>
      <c r="G26" s="33" t="s">
        <v>55</v>
      </c>
      <c r="H26" s="37" t="s">
        <v>55</v>
      </c>
      <c r="I26" s="34" t="s">
        <v>54</v>
      </c>
      <c r="J26" s="33" t="s">
        <v>55</v>
      </c>
      <c r="K26" s="33" t="s">
        <v>55</v>
      </c>
      <c r="L26" s="33" t="s">
        <v>55</v>
      </c>
      <c r="M26" s="33" t="s">
        <v>55</v>
      </c>
      <c r="N26" s="33" t="s">
        <v>55</v>
      </c>
    </row>
    <row r="27" spans="1:16" ht="29" x14ac:dyDescent="0.35">
      <c r="A27" s="33">
        <v>18</v>
      </c>
      <c r="B27" s="33" t="str">
        <f>CONCATENATE($B$2, ".", A27)</f>
        <v>4.18</v>
      </c>
      <c r="C27" s="37" t="s">
        <v>39</v>
      </c>
      <c r="D27" s="34" t="s">
        <v>321</v>
      </c>
      <c r="E27" s="34" t="s">
        <v>32</v>
      </c>
      <c r="F27" s="33" t="s">
        <v>55</v>
      </c>
      <c r="G27" s="33" t="s">
        <v>55</v>
      </c>
      <c r="H27" s="37" t="s">
        <v>55</v>
      </c>
      <c r="I27" s="34" t="s">
        <v>54</v>
      </c>
      <c r="J27" s="33" t="s">
        <v>55</v>
      </c>
      <c r="K27" s="33" t="s">
        <v>55</v>
      </c>
      <c r="L27" s="33" t="s">
        <v>55</v>
      </c>
      <c r="M27" s="33" t="s">
        <v>55</v>
      </c>
      <c r="N27" s="33" t="s">
        <v>55</v>
      </c>
      <c r="P27" s="33" t="s">
        <v>295</v>
      </c>
    </row>
    <row r="28" spans="1:16" s="32" customFormat="1" x14ac:dyDescent="0.35">
      <c r="A28" s="51" t="s">
        <v>273</v>
      </c>
      <c r="B28" s="51"/>
      <c r="C28" s="51"/>
      <c r="D28" s="51"/>
      <c r="E28" s="51"/>
      <c r="F28" s="51"/>
    </row>
    <row r="29" spans="1:16" ht="91.5" customHeight="1" x14ac:dyDescent="0.35">
      <c r="A29" s="33">
        <v>19</v>
      </c>
      <c r="B29" s="33" t="str">
        <f t="shared" ref="B29:B33" si="4">CONCATENATE($B$2, ".", A29)</f>
        <v>4.19</v>
      </c>
      <c r="C29" s="37" t="s">
        <v>37</v>
      </c>
      <c r="D29" s="34" t="s">
        <v>147</v>
      </c>
      <c r="E29" s="34" t="s">
        <v>59</v>
      </c>
      <c r="F29" s="33" t="s">
        <v>55</v>
      </c>
      <c r="G29" s="33" t="s">
        <v>55</v>
      </c>
      <c r="H29" s="37" t="s">
        <v>55</v>
      </c>
      <c r="I29" s="34" t="s">
        <v>173</v>
      </c>
      <c r="J29" s="33" t="s">
        <v>55</v>
      </c>
      <c r="K29" s="33" t="s">
        <v>55</v>
      </c>
      <c r="L29" s="33" t="s">
        <v>55</v>
      </c>
      <c r="M29" s="34" t="s">
        <v>55</v>
      </c>
      <c r="N29" s="33" t="s">
        <v>55</v>
      </c>
    </row>
    <row r="30" spans="1:16" ht="29" x14ac:dyDescent="0.35">
      <c r="A30" s="33">
        <v>20</v>
      </c>
      <c r="B30" s="33" t="str">
        <f t="shared" si="4"/>
        <v>4.20</v>
      </c>
      <c r="C30" s="37" t="s">
        <v>37</v>
      </c>
      <c r="D30" s="34" t="s">
        <v>148</v>
      </c>
      <c r="E30" s="34" t="s">
        <v>59</v>
      </c>
      <c r="F30" s="33" t="s">
        <v>55</v>
      </c>
      <c r="G30" s="33" t="s">
        <v>55</v>
      </c>
      <c r="H30" s="37" t="s">
        <v>55</v>
      </c>
      <c r="I30" s="34" t="s">
        <v>173</v>
      </c>
      <c r="J30" s="33" t="s">
        <v>55</v>
      </c>
      <c r="K30" s="33" t="s">
        <v>55</v>
      </c>
      <c r="L30" s="33" t="s">
        <v>55</v>
      </c>
      <c r="M30" s="34" t="s">
        <v>55</v>
      </c>
      <c r="N30" s="33" t="s">
        <v>55</v>
      </c>
    </row>
    <row r="31" spans="1:16" ht="29" x14ac:dyDescent="0.35">
      <c r="A31" s="33">
        <v>21</v>
      </c>
      <c r="B31" s="33" t="str">
        <f t="shared" si="4"/>
        <v>4.21</v>
      </c>
      <c r="C31" s="37" t="s">
        <v>39</v>
      </c>
      <c r="D31" s="34" t="s">
        <v>302</v>
      </c>
      <c r="E31" s="34" t="s">
        <v>32</v>
      </c>
      <c r="F31" s="33" t="s">
        <v>55</v>
      </c>
      <c r="G31" s="33" t="s">
        <v>55</v>
      </c>
      <c r="H31" s="37" t="s">
        <v>55</v>
      </c>
      <c r="I31" s="34" t="s">
        <v>173</v>
      </c>
      <c r="J31" s="44">
        <v>1</v>
      </c>
      <c r="K31" s="33" t="s">
        <v>55</v>
      </c>
      <c r="L31" s="33" t="s">
        <v>55</v>
      </c>
      <c r="M31" s="34" t="s">
        <v>55</v>
      </c>
      <c r="N31" s="33" t="s">
        <v>55</v>
      </c>
      <c r="O31" s="33" t="s">
        <v>306</v>
      </c>
    </row>
    <row r="32" spans="1:16" ht="29" x14ac:dyDescent="0.35">
      <c r="A32" s="33">
        <v>22</v>
      </c>
      <c r="B32" s="33" t="str">
        <f t="shared" si="4"/>
        <v>4.22</v>
      </c>
      <c r="C32" s="37" t="s">
        <v>37</v>
      </c>
      <c r="D32" s="34" t="s">
        <v>155</v>
      </c>
      <c r="E32" s="34" t="s">
        <v>47</v>
      </c>
      <c r="F32" s="33" t="s">
        <v>55</v>
      </c>
      <c r="G32" s="33" t="s">
        <v>55</v>
      </c>
      <c r="H32" s="37" t="s">
        <v>55</v>
      </c>
      <c r="I32" s="34" t="s">
        <v>173</v>
      </c>
      <c r="J32" s="33" t="s">
        <v>55</v>
      </c>
      <c r="K32" s="33" t="s">
        <v>55</v>
      </c>
      <c r="L32" s="33" t="s">
        <v>55</v>
      </c>
      <c r="M32" s="34" t="s">
        <v>55</v>
      </c>
      <c r="N32" s="33" t="s">
        <v>55</v>
      </c>
      <c r="O32" s="33" t="s">
        <v>329</v>
      </c>
    </row>
    <row r="33" spans="1:16" ht="72.5" x14ac:dyDescent="0.35">
      <c r="A33" s="33">
        <v>23</v>
      </c>
      <c r="B33" s="33" t="str">
        <f t="shared" si="4"/>
        <v>4.23</v>
      </c>
      <c r="C33" s="37" t="s">
        <v>35</v>
      </c>
      <c r="D33" s="45" t="s">
        <v>279</v>
      </c>
      <c r="E33" s="34" t="s">
        <v>53</v>
      </c>
      <c r="F33" s="33" t="s">
        <v>55</v>
      </c>
      <c r="G33" s="33" t="s">
        <v>55</v>
      </c>
      <c r="H33" s="37" t="s">
        <v>55</v>
      </c>
      <c r="I33" s="34" t="s">
        <v>221</v>
      </c>
      <c r="J33" s="33" t="s">
        <v>55</v>
      </c>
      <c r="K33" s="33" t="s">
        <v>55</v>
      </c>
      <c r="L33" s="33" t="s">
        <v>55</v>
      </c>
      <c r="M33" s="34" t="s">
        <v>55</v>
      </c>
      <c r="N33" s="33" t="s">
        <v>55</v>
      </c>
      <c r="O33" s="33" t="s">
        <v>222</v>
      </c>
      <c r="P33" s="33" t="s">
        <v>280</v>
      </c>
    </row>
    <row r="34" spans="1:16" x14ac:dyDescent="0.35">
      <c r="A34" s="51" t="s">
        <v>258</v>
      </c>
      <c r="B34" s="51"/>
      <c r="C34" s="51"/>
      <c r="D34" s="51"/>
      <c r="E34" s="51"/>
      <c r="F34" s="32"/>
      <c r="G34" s="32"/>
      <c r="H34" s="32"/>
      <c r="I34" s="32"/>
      <c r="J34" s="32"/>
      <c r="K34" s="32"/>
      <c r="L34" s="32"/>
      <c r="M34" s="32"/>
      <c r="N34" s="32"/>
      <c r="O34" s="32"/>
      <c r="P34" s="32"/>
    </row>
    <row r="35" spans="1:16" ht="203" x14ac:dyDescent="0.35">
      <c r="A35" s="50">
        <v>24</v>
      </c>
      <c r="B35" s="33" t="str">
        <f>CONCATENATE($B$2, ".", A35)</f>
        <v>4.24</v>
      </c>
      <c r="C35" s="37" t="s">
        <v>35</v>
      </c>
      <c r="D35" s="33" t="s">
        <v>56</v>
      </c>
      <c r="E35" s="34" t="s">
        <v>40</v>
      </c>
      <c r="F35" s="33" t="s">
        <v>55</v>
      </c>
      <c r="G35" s="33" t="s">
        <v>55</v>
      </c>
      <c r="H35" s="37" t="s">
        <v>55</v>
      </c>
      <c r="I35" s="34" t="s">
        <v>54</v>
      </c>
      <c r="J35" s="33" t="s">
        <v>55</v>
      </c>
      <c r="K35" s="33" t="s">
        <v>55</v>
      </c>
      <c r="L35" s="33" t="s">
        <v>55</v>
      </c>
      <c r="M35" s="33" t="s">
        <v>298</v>
      </c>
      <c r="N35" s="33" t="s">
        <v>314</v>
      </c>
      <c r="O35" s="33" t="s">
        <v>299</v>
      </c>
      <c r="P35" s="33" t="s">
        <v>301</v>
      </c>
    </row>
    <row r="36" spans="1:16" ht="29" x14ac:dyDescent="0.35">
      <c r="A36" s="33">
        <v>25</v>
      </c>
      <c r="B36" s="33" t="str">
        <f>CONCATENATE($B$2, ".", A36)</f>
        <v>4.25</v>
      </c>
      <c r="C36" s="37" t="s">
        <v>37</v>
      </c>
      <c r="D36" s="33" t="s">
        <v>57</v>
      </c>
      <c r="E36" s="34" t="s">
        <v>40</v>
      </c>
      <c r="F36" s="33" t="s">
        <v>55</v>
      </c>
      <c r="G36" s="33" t="s">
        <v>55</v>
      </c>
      <c r="H36" s="37" t="s">
        <v>55</v>
      </c>
      <c r="I36" s="34" t="s">
        <v>54</v>
      </c>
      <c r="J36" s="33" t="s">
        <v>55</v>
      </c>
      <c r="K36" s="33" t="s">
        <v>55</v>
      </c>
      <c r="L36" s="33" t="s">
        <v>55</v>
      </c>
      <c r="M36" s="33" t="s">
        <v>55</v>
      </c>
      <c r="N36" s="33" t="s">
        <v>55</v>
      </c>
      <c r="O36" s="33" t="s">
        <v>272</v>
      </c>
    </row>
  </sheetData>
  <autoFilter ref="A6:P6" xr:uid="{00000000-0009-0000-0000-00000B000000}"/>
  <mergeCells count="4">
    <mergeCell ref="A23:E23"/>
    <mergeCell ref="A9:F9"/>
    <mergeCell ref="A34:E34"/>
    <mergeCell ref="A28:F28"/>
  </mergeCells>
  <conditionalFormatting sqref="C10:C13 C20:C22 C32:C33 C24:C27 C29:C30 C35:C1048576">
    <cfRule type="cellIs" dxfId="148" priority="98" operator="equal">
      <formula>"WIP (see comments)"</formula>
    </cfRule>
    <cfRule type="cellIs" dxfId="147" priority="99" operator="equal">
      <formula>"Removed"</formula>
    </cfRule>
    <cfRule type="cellIs" dxfId="146" priority="100" operator="equal">
      <formula>"Updated"</formula>
    </cfRule>
    <cfRule type="cellIs" dxfId="145" priority="101" operator="equal">
      <formula>"New"</formula>
    </cfRule>
  </conditionalFormatting>
  <conditionalFormatting sqref="D10 D20:D21 D32 D26:D27 D29:D30 D12:D13">
    <cfRule type="cellIs" dxfId="144" priority="97" operator="equal">
      <formula>"-"</formula>
    </cfRule>
  </conditionalFormatting>
  <conditionalFormatting sqref="A24:N24 B25 E25:N25 E35:N36 B35:B36 A21:L21 A20:E20 A22:C22 F22:L22 G20:L20 Q7:XFD8 Q10:XFD11 Q14:XFD18 F23:P23 F34:P34 M20:XFD22 P33 G28:P28 P24:XFD24 A29:P30 D32:P32 C32:C33 A32:B32 I31 D26:P27 A26:B27 C25:C27 Q26:XFD28 A11:C11 A10:O10 A12:XFD13">
    <cfRule type="cellIs" dxfId="143" priority="96" operator="equal">
      <formula>"n/a"</formula>
    </cfRule>
  </conditionalFormatting>
  <conditionalFormatting sqref="O24">
    <cfRule type="cellIs" dxfId="142" priority="95" operator="equal">
      <formula>"n/a"</formula>
    </cfRule>
  </conditionalFormatting>
  <conditionalFormatting sqref="G9:XFD9">
    <cfRule type="cellIs" dxfId="141" priority="93" operator="equal">
      <formula>"n/a"</formula>
    </cfRule>
  </conditionalFormatting>
  <conditionalFormatting sqref="A23">
    <cfRule type="cellIs" dxfId="140" priority="92" operator="equal">
      <formula>"n/a"</formula>
    </cfRule>
  </conditionalFormatting>
  <conditionalFormatting sqref="A9">
    <cfRule type="cellIs" dxfId="139" priority="89" operator="equal">
      <formula>"n/a"</formula>
    </cfRule>
  </conditionalFormatting>
  <conditionalFormatting sqref="A34">
    <cfRule type="cellIs" dxfId="138" priority="73" operator="equal">
      <formula>"n/a"</formula>
    </cfRule>
  </conditionalFormatting>
  <conditionalFormatting sqref="F20">
    <cfRule type="cellIs" dxfId="137" priority="72" operator="equal">
      <formula>"n/a"</formula>
    </cfRule>
  </conditionalFormatting>
  <conditionalFormatting sqref="D22">
    <cfRule type="cellIs" dxfId="136" priority="71" operator="equal">
      <formula>"-"</formula>
    </cfRule>
  </conditionalFormatting>
  <conditionalFormatting sqref="D22:E22">
    <cfRule type="cellIs" dxfId="135" priority="70" operator="equal">
      <formula>"n/a"</formula>
    </cfRule>
  </conditionalFormatting>
  <conditionalFormatting sqref="Q23:XFD23">
    <cfRule type="cellIs" dxfId="134" priority="64" operator="equal">
      <formula>"n/a"</formula>
    </cfRule>
  </conditionalFormatting>
  <conditionalFormatting sqref="A33:B33 N33 F33:L33">
    <cfRule type="cellIs" dxfId="133" priority="51" operator="equal">
      <formula>"n/a"</formula>
    </cfRule>
  </conditionalFormatting>
  <conditionalFormatting sqref="M33">
    <cfRule type="cellIs" dxfId="132" priority="50" operator="equal">
      <formula>"n/a"</formula>
    </cfRule>
  </conditionalFormatting>
  <conditionalFormatting sqref="D33">
    <cfRule type="cellIs" dxfId="131" priority="49" operator="equal">
      <formula>"-"</formula>
    </cfRule>
  </conditionalFormatting>
  <conditionalFormatting sqref="D33:E33">
    <cfRule type="cellIs" dxfId="130" priority="48" operator="equal">
      <formula>"n/a"</formula>
    </cfRule>
  </conditionalFormatting>
  <conditionalFormatting sqref="O33">
    <cfRule type="cellIs" dxfId="129" priority="47" operator="equal">
      <formula>"n/a"</formula>
    </cfRule>
  </conditionalFormatting>
  <conditionalFormatting sqref="C35:C36">
    <cfRule type="cellIs" dxfId="128" priority="42" operator="equal">
      <formula>"n/a"</formula>
    </cfRule>
  </conditionalFormatting>
  <conditionalFormatting sqref="C7:C8">
    <cfRule type="cellIs" dxfId="127" priority="35" operator="equal">
      <formula>"WIP (see comments)"</formula>
    </cfRule>
    <cfRule type="cellIs" dxfId="126" priority="36" operator="equal">
      <formula>"Removed"</formula>
    </cfRule>
    <cfRule type="cellIs" dxfId="125" priority="37" operator="equal">
      <formula>"Updated"</formula>
    </cfRule>
    <cfRule type="cellIs" dxfId="124" priority="38" operator="equal">
      <formula>"New"</formula>
    </cfRule>
  </conditionalFormatting>
  <conditionalFormatting sqref="D7:D8">
    <cfRule type="cellIs" dxfId="123" priority="34" operator="equal">
      <formula>"-"</formula>
    </cfRule>
  </conditionalFormatting>
  <conditionalFormatting sqref="A7:P8">
    <cfRule type="cellIs" dxfId="122" priority="33" operator="equal">
      <formula>"n/a"</formula>
    </cfRule>
  </conditionalFormatting>
  <conditionalFormatting sqref="P10">
    <cfRule type="cellIs" dxfId="121" priority="32" operator="equal">
      <formula>"n/a"</formula>
    </cfRule>
  </conditionalFormatting>
  <conditionalFormatting sqref="A28">
    <cfRule type="cellIs" dxfId="120" priority="29" operator="equal">
      <formula>"n/a"</formula>
    </cfRule>
  </conditionalFormatting>
  <conditionalFormatting sqref="P14:P17">
    <cfRule type="cellIs" dxfId="119" priority="28" operator="equal">
      <formula>"n/a"</formula>
    </cfRule>
  </conditionalFormatting>
  <conditionalFormatting sqref="A14:A17">
    <cfRule type="cellIs" dxfId="118" priority="27" operator="equal">
      <formula>"n/a"</formula>
    </cfRule>
  </conditionalFormatting>
  <conditionalFormatting sqref="C14:C17">
    <cfRule type="cellIs" dxfId="117" priority="23" operator="equal">
      <formula>"WIP (see comments)"</formula>
    </cfRule>
    <cfRule type="cellIs" dxfId="116" priority="24" operator="equal">
      <formula>"Removed"</formula>
    </cfRule>
    <cfRule type="cellIs" dxfId="115" priority="25" operator="equal">
      <formula>"Updated"</formula>
    </cfRule>
    <cfRule type="cellIs" dxfId="114" priority="26" operator="equal">
      <formula>"New"</formula>
    </cfRule>
  </conditionalFormatting>
  <conditionalFormatting sqref="D14:D17">
    <cfRule type="cellIs" dxfId="113" priority="22" operator="equal">
      <formula>"-"</formula>
    </cfRule>
  </conditionalFormatting>
  <conditionalFormatting sqref="A14:N17">
    <cfRule type="cellIs" dxfId="112" priority="21" operator="equal">
      <formula>"n/a"</formula>
    </cfRule>
  </conditionalFormatting>
  <conditionalFormatting sqref="A14:A17">
    <cfRule type="cellIs" dxfId="111" priority="20" operator="equal">
      <formula>"n/a"</formula>
    </cfRule>
  </conditionalFormatting>
  <conditionalFormatting sqref="C18:C19">
    <cfRule type="cellIs" dxfId="110" priority="16" operator="equal">
      <formula>"WIP (see comments)"</formula>
    </cfRule>
    <cfRule type="cellIs" dxfId="109" priority="17" operator="equal">
      <formula>"Removed"</formula>
    </cfRule>
    <cfRule type="cellIs" dxfId="108" priority="18" operator="equal">
      <formula>"Updated"</formula>
    </cfRule>
    <cfRule type="cellIs" dxfId="107" priority="19" operator="equal">
      <formula>"New"</formula>
    </cfRule>
  </conditionalFormatting>
  <conditionalFormatting sqref="C18:C19">
    <cfRule type="cellIs" dxfId="106" priority="15" operator="equal">
      <formula>"n/a"</formula>
    </cfRule>
  </conditionalFormatting>
  <conditionalFormatting sqref="P18:P19">
    <cfRule type="cellIs" dxfId="105" priority="14" operator="equal">
      <formula>"n/a"</formula>
    </cfRule>
  </conditionalFormatting>
  <conditionalFormatting sqref="A18:A19">
    <cfRule type="cellIs" dxfId="104" priority="13" operator="equal">
      <formula>"n/a"</formula>
    </cfRule>
  </conditionalFormatting>
  <conditionalFormatting sqref="D18:D19">
    <cfRule type="cellIs" dxfId="103" priority="12" operator="equal">
      <formula>"-"</formula>
    </cfRule>
  </conditionalFormatting>
  <conditionalFormatting sqref="A18:B19 D18:N19">
    <cfRule type="cellIs" dxfId="102" priority="11" operator="equal">
      <formula>"n/a"</formula>
    </cfRule>
  </conditionalFormatting>
  <conditionalFormatting sqref="A18:A19">
    <cfRule type="cellIs" dxfId="101" priority="10" operator="equal">
      <formula>"n/a"</formula>
    </cfRule>
  </conditionalFormatting>
  <conditionalFormatting sqref="C31">
    <cfRule type="cellIs" dxfId="100" priority="6" operator="equal">
      <formula>"WIP (see comments)"</formula>
    </cfRule>
    <cfRule type="cellIs" dxfId="99" priority="7" operator="equal">
      <formula>"Removed"</formula>
    </cfRule>
    <cfRule type="cellIs" dxfId="98" priority="8" operator="equal">
      <formula>"Updated"</formula>
    </cfRule>
    <cfRule type="cellIs" dxfId="97" priority="9" operator="equal">
      <formula>"New"</formula>
    </cfRule>
  </conditionalFormatting>
  <conditionalFormatting sqref="D31">
    <cfRule type="cellIs" dxfId="96" priority="5" operator="equal">
      <formula>"-"</formula>
    </cfRule>
  </conditionalFormatting>
  <conditionalFormatting sqref="A31:E31 G31:H31 J31:P31">
    <cfRule type="cellIs" dxfId="95" priority="4" operator="equal">
      <formula>"n/a"</formula>
    </cfRule>
  </conditionalFormatting>
  <conditionalFormatting sqref="F31">
    <cfRule type="cellIs" dxfId="94" priority="3" operator="equal">
      <formula>"n/a"</formula>
    </cfRule>
  </conditionalFormatting>
  <conditionalFormatting sqref="D11">
    <cfRule type="cellIs" dxfId="93" priority="2" operator="equal">
      <formula>"-"</formula>
    </cfRule>
  </conditionalFormatting>
  <conditionalFormatting sqref="P11 D11:N11">
    <cfRule type="cellIs" dxfId="92" priority="1" operator="equal">
      <formula>"n/a"</formula>
    </cfRule>
  </conditionalFormatting>
  <dataValidations count="1">
    <dataValidation type="list" allowBlank="1" showInputMessage="1" showErrorMessage="1" sqref="E23 E34:E1048576" xr:uid="{00000000-0002-0000-0B00-000000000000}">
      <formula1>$A$5:$A$32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1000000}">
          <x14:formula1>
            <xm:f>'List Values'!$B$5:$B$9</xm:f>
          </x14:formula1>
          <xm:sqref>C7:C8 C35:C1048576 C24:C27 C29:C33 C10:C22</xm:sqref>
        </x14:dataValidation>
        <x14:dataValidation type="list" allowBlank="1" showInputMessage="1" showErrorMessage="1" xr:uid="{00000000-0002-0000-0B00-000002000000}">
          <x14:formula1>
            <xm:f>'List Values'!$A$5:$A$30</xm:f>
          </x14:formula1>
          <xm:sqref>E7:E8 E29:E33 E24:E27 E10:E22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
  <sheetViews>
    <sheetView workbookViewId="0">
      <pane ySplit="6" topLeftCell="A7" activePane="bottomLeft" state="frozen"/>
      <selection pane="bottomLeft" activeCell="C2" sqref="C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66</v>
      </c>
      <c r="C1" s="25"/>
      <c r="D1" s="22" t="s">
        <v>98</v>
      </c>
      <c r="F1" s="41"/>
      <c r="H1" s="27"/>
    </row>
    <row r="2" spans="1:16" s="23" customFormat="1" ht="18.5" x14ac:dyDescent="0.35">
      <c r="A2" s="21" t="s">
        <v>8</v>
      </c>
      <c r="B2" s="28" t="s">
        <v>170</v>
      </c>
      <c r="C2" s="27"/>
      <c r="D2" s="28"/>
      <c r="F2" s="41"/>
      <c r="H2" s="27"/>
    </row>
    <row r="3" spans="1:16" s="23" customFormat="1" ht="18.5" x14ac:dyDescent="0.35">
      <c r="A3" s="21" t="s">
        <v>41</v>
      </c>
      <c r="B3" s="28"/>
      <c r="C3" s="27"/>
      <c r="D3" s="28"/>
      <c r="F3" s="41"/>
      <c r="H3" s="27"/>
    </row>
    <row r="4" spans="1:16" s="23" customFormat="1" ht="18.5" x14ac:dyDescent="0.35">
      <c r="A4" s="21" t="s">
        <v>9</v>
      </c>
      <c r="B4" s="23" t="s">
        <v>67</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2" si="0">CONCATENATE($B$2, ".", A7)</f>
        <v>1a.1</v>
      </c>
      <c r="C7" s="37" t="s">
        <v>39</v>
      </c>
      <c r="D7" s="33" t="s">
        <v>65</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1a.2</v>
      </c>
      <c r="C8" s="37" t="s">
        <v>39</v>
      </c>
      <c r="D8" s="34" t="s">
        <v>68</v>
      </c>
      <c r="E8" s="34" t="s">
        <v>27</v>
      </c>
      <c r="F8" s="33" t="s">
        <v>55</v>
      </c>
      <c r="G8" s="33" t="s">
        <v>55</v>
      </c>
      <c r="H8" s="37" t="s">
        <v>55</v>
      </c>
      <c r="I8" s="34" t="s">
        <v>54</v>
      </c>
      <c r="J8" s="33" t="s">
        <v>55</v>
      </c>
      <c r="K8" s="33" t="s">
        <v>55</v>
      </c>
      <c r="L8" s="33" t="s">
        <v>55</v>
      </c>
      <c r="M8" s="33" t="s">
        <v>55</v>
      </c>
      <c r="N8" s="33" t="s">
        <v>55</v>
      </c>
    </row>
    <row r="9" spans="1:16" ht="29" x14ac:dyDescent="0.35">
      <c r="A9" s="33">
        <v>3</v>
      </c>
      <c r="B9" s="33" t="str">
        <f t="shared" si="0"/>
        <v>1a.3</v>
      </c>
      <c r="C9" s="37" t="s">
        <v>39</v>
      </c>
      <c r="D9" s="34" t="s">
        <v>69</v>
      </c>
      <c r="E9" s="34" t="s">
        <v>32</v>
      </c>
      <c r="F9" s="33" t="s">
        <v>55</v>
      </c>
      <c r="G9" s="33" t="s">
        <v>55</v>
      </c>
      <c r="H9" s="37" t="s">
        <v>55</v>
      </c>
      <c r="I9" s="34" t="s">
        <v>54</v>
      </c>
      <c r="J9" s="33" t="s">
        <v>55</v>
      </c>
      <c r="K9" s="33" t="s">
        <v>55</v>
      </c>
      <c r="L9" s="33" t="s">
        <v>55</v>
      </c>
      <c r="M9" s="33" t="s">
        <v>55</v>
      </c>
      <c r="N9" s="33" t="s">
        <v>55</v>
      </c>
    </row>
    <row r="10" spans="1:16" ht="72.75" customHeight="1" x14ac:dyDescent="0.35">
      <c r="A10" s="33">
        <v>4</v>
      </c>
      <c r="B10" s="33" t="str">
        <f t="shared" si="0"/>
        <v>1a.4</v>
      </c>
      <c r="C10" s="37" t="s">
        <v>39</v>
      </c>
      <c r="D10" s="34" t="s">
        <v>70</v>
      </c>
      <c r="E10" s="34" t="s">
        <v>31</v>
      </c>
      <c r="F10" s="33" t="s">
        <v>71</v>
      </c>
      <c r="G10" s="33" t="s">
        <v>55</v>
      </c>
      <c r="H10" s="37" t="s">
        <v>55</v>
      </c>
      <c r="I10" s="34" t="s">
        <v>54</v>
      </c>
      <c r="J10" s="33" t="s">
        <v>72</v>
      </c>
      <c r="K10" s="33" t="s">
        <v>73</v>
      </c>
      <c r="L10" s="33" t="s">
        <v>55</v>
      </c>
      <c r="M10" s="34" t="s">
        <v>74</v>
      </c>
      <c r="N10" s="33" t="s">
        <v>75</v>
      </c>
    </row>
    <row r="11" spans="1:16" ht="29" x14ac:dyDescent="0.35">
      <c r="A11" s="33">
        <v>5</v>
      </c>
      <c r="B11" s="33" t="str">
        <f t="shared" si="0"/>
        <v>1a.5</v>
      </c>
      <c r="C11" s="37" t="s">
        <v>39</v>
      </c>
      <c r="D11" s="34" t="s">
        <v>76</v>
      </c>
      <c r="E11" s="33" t="s">
        <v>40</v>
      </c>
      <c r="F11" s="33" t="s">
        <v>55</v>
      </c>
      <c r="G11" s="33" t="s">
        <v>55</v>
      </c>
      <c r="H11" s="37" t="s">
        <v>55</v>
      </c>
      <c r="I11" s="34" t="s">
        <v>54</v>
      </c>
      <c r="J11" s="33" t="s">
        <v>55</v>
      </c>
      <c r="K11" s="33" t="s">
        <v>55</v>
      </c>
      <c r="L11" s="33" t="s">
        <v>55</v>
      </c>
      <c r="M11" s="33" t="s">
        <v>55</v>
      </c>
      <c r="N11" s="33" t="s">
        <v>55</v>
      </c>
      <c r="O11" s="31" t="s">
        <v>78</v>
      </c>
    </row>
    <row r="12" spans="1:16" ht="29" x14ac:dyDescent="0.35">
      <c r="A12" s="33">
        <v>6</v>
      </c>
      <c r="B12" s="33" t="str">
        <f t="shared" si="0"/>
        <v>1a.6</v>
      </c>
      <c r="C12" s="37" t="s">
        <v>39</v>
      </c>
      <c r="D12" s="33" t="s">
        <v>77</v>
      </c>
      <c r="E12" s="33" t="s">
        <v>40</v>
      </c>
      <c r="F12" s="33" t="s">
        <v>55</v>
      </c>
      <c r="G12" s="33" t="s">
        <v>55</v>
      </c>
      <c r="H12" s="37" t="s">
        <v>55</v>
      </c>
      <c r="I12" s="34" t="s">
        <v>54</v>
      </c>
      <c r="J12" s="33" t="s">
        <v>55</v>
      </c>
      <c r="K12" s="33" t="s">
        <v>55</v>
      </c>
      <c r="L12" s="33" t="s">
        <v>55</v>
      </c>
      <c r="M12" s="33" t="s">
        <v>55</v>
      </c>
      <c r="N12" s="33" t="s">
        <v>55</v>
      </c>
      <c r="O12" s="33" t="s">
        <v>79</v>
      </c>
    </row>
  </sheetData>
  <autoFilter ref="A6:P6" xr:uid="{00000000-0009-0000-0000-00000C000000}"/>
  <conditionalFormatting sqref="C7:C1048576">
    <cfRule type="cellIs" dxfId="91" priority="9" operator="equal">
      <formula>"WIP (see comments)"</formula>
    </cfRule>
    <cfRule type="cellIs" dxfId="90" priority="10" operator="equal">
      <formula>"Removed"</formula>
    </cfRule>
    <cfRule type="cellIs" dxfId="89" priority="11" operator="equal">
      <formula>"Updated"</formula>
    </cfRule>
    <cfRule type="cellIs" dxfId="88" priority="12" operator="equal">
      <formula>"New"</formula>
    </cfRule>
  </conditionalFormatting>
  <conditionalFormatting sqref="D7:D10">
    <cfRule type="cellIs" dxfId="87" priority="4" operator="equal">
      <formula>"-"</formula>
    </cfRule>
  </conditionalFormatting>
  <conditionalFormatting sqref="P11:XFD11 A11:N11 B12 C11:C12 E12:N12 A7:XFD9 A10:L10 N10:XFD10">
    <cfRule type="cellIs" dxfId="86" priority="3" operator="equal">
      <formula>"n/a"</formula>
    </cfRule>
  </conditionalFormatting>
  <conditionalFormatting sqref="O11">
    <cfRule type="cellIs" dxfId="85" priority="2" operator="equal">
      <formula>"n/a"</formula>
    </cfRule>
  </conditionalFormatting>
  <conditionalFormatting sqref="M10">
    <cfRule type="cellIs" dxfId="8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'List Values'!$B$5:$B$9</xm:f>
          </x14:formula1>
          <xm:sqref>C7:C1048576</xm:sqref>
        </x14:dataValidation>
        <x14:dataValidation type="list" allowBlank="1" showInputMessage="1" showErrorMessage="1" xr:uid="{00000000-0002-0000-0C00-000001000000}">
          <x14:formula1>
            <xm:f>'List Values'!$A$5:$A$32</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80</v>
      </c>
      <c r="C1" s="25"/>
      <c r="D1" s="22" t="s">
        <v>98</v>
      </c>
      <c r="F1" s="41"/>
      <c r="H1" s="27"/>
    </row>
    <row r="2" spans="1:16" s="23" customFormat="1" ht="18.5" x14ac:dyDescent="0.35">
      <c r="A2" s="21" t="s">
        <v>8</v>
      </c>
      <c r="B2" s="28" t="s">
        <v>82</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Q-P1.1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Q-P1.2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Q-P1.3</v>
      </c>
      <c r="C9" s="37" t="s">
        <v>39</v>
      </c>
      <c r="D9" s="34" t="s">
        <v>85</v>
      </c>
      <c r="E9" s="34" t="s">
        <v>27</v>
      </c>
      <c r="F9" s="33" t="s">
        <v>55</v>
      </c>
      <c r="G9" s="33" t="s">
        <v>55</v>
      </c>
      <c r="H9" s="37" t="s">
        <v>55</v>
      </c>
      <c r="I9" s="34" t="s">
        <v>54</v>
      </c>
      <c r="J9" s="33" t="s">
        <v>55</v>
      </c>
      <c r="K9" s="33" t="s">
        <v>55</v>
      </c>
      <c r="L9" s="33" t="s">
        <v>55</v>
      </c>
      <c r="M9" s="33" t="s">
        <v>55</v>
      </c>
      <c r="N9" s="33" t="s">
        <v>55</v>
      </c>
    </row>
    <row r="10" spans="1:16" s="32" customFormat="1" x14ac:dyDescent="0.35">
      <c r="A10" s="51" t="s">
        <v>127</v>
      </c>
      <c r="B10" s="51"/>
      <c r="C10" s="51"/>
      <c r="D10" s="51"/>
      <c r="E10" s="51"/>
    </row>
    <row r="11" spans="1:16" ht="29" x14ac:dyDescent="0.35">
      <c r="A11" s="33">
        <v>4</v>
      </c>
      <c r="B11" s="33" t="str">
        <f t="shared" si="0"/>
        <v>Q-P1.4</v>
      </c>
      <c r="C11" s="37" t="s">
        <v>42</v>
      </c>
      <c r="D11" s="34" t="s">
        <v>88</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Q-P1.5</v>
      </c>
      <c r="C12" s="37" t="s">
        <v>42</v>
      </c>
      <c r="D12" s="34" t="s">
        <v>91</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Q-P1.6</v>
      </c>
      <c r="C13" s="37" t="s">
        <v>42</v>
      </c>
      <c r="D13" s="34" t="s">
        <v>92</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7</v>
      </c>
      <c r="B15" s="33" t="str">
        <f t="shared" si="0"/>
        <v>Q-P1.7</v>
      </c>
      <c r="C15" s="37" t="s">
        <v>39</v>
      </c>
      <c r="D15" s="34" t="s">
        <v>56</v>
      </c>
      <c r="E15" s="34" t="s">
        <v>40</v>
      </c>
      <c r="F15" s="33" t="s">
        <v>55</v>
      </c>
      <c r="G15" s="33" t="s">
        <v>55</v>
      </c>
      <c r="H15" s="37" t="s">
        <v>55</v>
      </c>
      <c r="I15" s="34" t="s">
        <v>54</v>
      </c>
      <c r="J15" s="33" t="s">
        <v>55</v>
      </c>
      <c r="K15" s="33" t="s">
        <v>55</v>
      </c>
      <c r="L15" s="33" t="s">
        <v>55</v>
      </c>
      <c r="M15" s="33" t="s">
        <v>55</v>
      </c>
      <c r="N15" s="33" t="s">
        <v>55</v>
      </c>
      <c r="O15" s="31" t="s">
        <v>93</v>
      </c>
    </row>
    <row r="16" spans="1:16" ht="29" x14ac:dyDescent="0.35">
      <c r="A16" s="33">
        <v>8</v>
      </c>
      <c r="B16" s="33" t="str">
        <f t="shared" si="0"/>
        <v>Q-P1.8</v>
      </c>
      <c r="C16" s="37" t="s">
        <v>39</v>
      </c>
      <c r="D16" s="33" t="s">
        <v>57</v>
      </c>
      <c r="E16" s="34" t="s">
        <v>40</v>
      </c>
      <c r="F16" s="33" t="s">
        <v>55</v>
      </c>
      <c r="G16" s="33" t="s">
        <v>55</v>
      </c>
      <c r="H16" s="37" t="s">
        <v>55</v>
      </c>
      <c r="I16" s="34" t="s">
        <v>54</v>
      </c>
      <c r="J16" s="33" t="s">
        <v>55</v>
      </c>
      <c r="K16" s="33" t="s">
        <v>55</v>
      </c>
      <c r="L16" s="33" t="s">
        <v>55</v>
      </c>
      <c r="M16" s="33" t="s">
        <v>55</v>
      </c>
      <c r="N16" s="33" t="s">
        <v>55</v>
      </c>
      <c r="O16" s="33" t="s">
        <v>94</v>
      </c>
    </row>
    <row r="17" spans="1:15" ht="29" x14ac:dyDescent="0.35">
      <c r="A17" s="33">
        <v>9</v>
      </c>
      <c r="B17" s="33" t="str">
        <f>CONCATENATE($B$2, ".", A17)</f>
        <v>Q-P1.9</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0D000000}"/>
  <mergeCells count="2">
    <mergeCell ref="A10:E10"/>
    <mergeCell ref="A14:E14"/>
  </mergeCells>
  <conditionalFormatting sqref="C7:C9 C15:C1048576 C11:C13">
    <cfRule type="cellIs" dxfId="83" priority="9" operator="equal">
      <formula>"WIP (see comments)"</formula>
    </cfRule>
    <cfRule type="cellIs" dxfId="82" priority="10" operator="equal">
      <formula>"Removed"</formula>
    </cfRule>
    <cfRule type="cellIs" dxfId="81" priority="11" operator="equal">
      <formula>"Updated"</formula>
    </cfRule>
    <cfRule type="cellIs" dxfId="80" priority="12" operator="equal">
      <formula>"New"</formula>
    </cfRule>
  </conditionalFormatting>
  <conditionalFormatting sqref="D7 D11:D13 D9">
    <cfRule type="cellIs" dxfId="79" priority="8" operator="equal">
      <formula>"-"</formula>
    </cfRule>
  </conditionalFormatting>
  <conditionalFormatting sqref="P15:XFD15 A7:XFD7 A15:N15 N11:XFD13 B16:C17 E16:N17 A9:XFD9 A8:C8 E8:XFD8 A11:L13">
    <cfRule type="cellIs" dxfId="78" priority="7" operator="equal">
      <formula>"n/a"</formula>
    </cfRule>
  </conditionalFormatting>
  <conditionalFormatting sqref="O15">
    <cfRule type="cellIs" dxfId="77" priority="6" operator="equal">
      <formula>"n/a"</formula>
    </cfRule>
  </conditionalFormatting>
  <conditionalFormatting sqref="M11:M13">
    <cfRule type="cellIs" dxfId="76" priority="5" operator="equal">
      <formula>"n/a"</formula>
    </cfRule>
  </conditionalFormatting>
  <conditionalFormatting sqref="F10:XFD10 A10">
    <cfRule type="cellIs" dxfId="75" priority="4" operator="equal">
      <formula>"n/a"</formula>
    </cfRule>
  </conditionalFormatting>
  <conditionalFormatting sqref="F14:XFD14 A14">
    <cfRule type="cellIs" dxfId="74" priority="3" operator="equal">
      <formula>"n/a"</formula>
    </cfRule>
  </conditionalFormatting>
  <conditionalFormatting sqref="D8">
    <cfRule type="cellIs" dxfId="73" priority="2" operator="equal">
      <formula>"-"</formula>
    </cfRule>
  </conditionalFormatting>
  <conditionalFormatting sqref="D8">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'List Values'!$B$5:$B$9</xm:f>
          </x14:formula1>
          <xm:sqref>C7:C9 C15:C1048576 C11:C13</xm:sqref>
        </x14:dataValidation>
        <x14:dataValidation type="list" allowBlank="1" showInputMessage="1" showErrorMessage="1" xr:uid="{00000000-0002-0000-0D00-000001000000}">
          <x14:formula1>
            <xm:f>'List Values'!$A$5:$A$33</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96</v>
      </c>
      <c r="C1" s="25"/>
      <c r="D1" s="22" t="s">
        <v>98</v>
      </c>
      <c r="F1" s="41"/>
      <c r="H1" s="27"/>
    </row>
    <row r="2" spans="1:16" s="23" customFormat="1" ht="18.5" x14ac:dyDescent="0.35">
      <c r="A2" s="21" t="s">
        <v>8</v>
      </c>
      <c r="B2" s="28" t="s">
        <v>97</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Q-P2.1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Q-P2.2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Q-P2.3</v>
      </c>
      <c r="C9" s="37" t="s">
        <v>39</v>
      </c>
      <c r="D9" s="34" t="s">
        <v>100</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Q-P2.4</v>
      </c>
      <c r="C11" s="37" t="s">
        <v>42</v>
      </c>
      <c r="D11" s="34" t="s">
        <v>101</v>
      </c>
      <c r="E11" s="34" t="s">
        <v>87</v>
      </c>
      <c r="F11" s="33" t="s">
        <v>89</v>
      </c>
      <c r="G11" s="33" t="s">
        <v>55</v>
      </c>
      <c r="H11" s="37" t="s">
        <v>55</v>
      </c>
      <c r="I11" s="34" t="s">
        <v>54</v>
      </c>
      <c r="J11" s="33" t="s">
        <v>90</v>
      </c>
      <c r="K11" s="33" t="s">
        <v>73</v>
      </c>
      <c r="L11" s="33" t="s">
        <v>55</v>
      </c>
      <c r="M11" s="34" t="s">
        <v>55</v>
      </c>
      <c r="N11" s="33" t="s">
        <v>55</v>
      </c>
      <c r="O11" s="42" t="s">
        <v>95</v>
      </c>
      <c r="P11" s="33" t="s">
        <v>84</v>
      </c>
    </row>
    <row r="12" spans="1:16" ht="38.25" customHeight="1" x14ac:dyDescent="0.35">
      <c r="A12" s="33">
        <v>5</v>
      </c>
      <c r="B12" s="33" t="str">
        <f t="shared" si="0"/>
        <v>Q-P2.5</v>
      </c>
      <c r="C12" s="37" t="s">
        <v>42</v>
      </c>
      <c r="D12" s="34" t="s">
        <v>102</v>
      </c>
      <c r="E12" s="34" t="s">
        <v>87</v>
      </c>
      <c r="F12" s="33" t="s">
        <v>89</v>
      </c>
      <c r="G12" s="33" t="s">
        <v>55</v>
      </c>
      <c r="H12" s="37" t="s">
        <v>55</v>
      </c>
      <c r="I12" s="34" t="s">
        <v>54</v>
      </c>
      <c r="J12" s="33" t="s">
        <v>90</v>
      </c>
      <c r="K12" s="33" t="s">
        <v>73</v>
      </c>
      <c r="L12" s="33" t="s">
        <v>55</v>
      </c>
      <c r="M12" s="34" t="s">
        <v>55</v>
      </c>
      <c r="N12" s="33" t="s">
        <v>55</v>
      </c>
      <c r="O12" s="42" t="s">
        <v>95</v>
      </c>
      <c r="P12" s="33" t="s">
        <v>84</v>
      </c>
    </row>
    <row r="13" spans="1:16" s="32" customFormat="1" x14ac:dyDescent="0.35">
      <c r="A13" s="51"/>
      <c r="B13" s="51"/>
      <c r="C13" s="51"/>
      <c r="D13" s="51"/>
      <c r="E13" s="51"/>
    </row>
    <row r="14" spans="1:16" ht="29" x14ac:dyDescent="0.35">
      <c r="A14" s="33">
        <v>6</v>
      </c>
      <c r="B14" s="33" t="str">
        <f t="shared" si="0"/>
        <v>Q-P2.6</v>
      </c>
      <c r="C14" s="37" t="s">
        <v>39</v>
      </c>
      <c r="D14" s="34" t="s">
        <v>56</v>
      </c>
      <c r="E14" s="34" t="s">
        <v>40</v>
      </c>
      <c r="F14" s="33" t="s">
        <v>55</v>
      </c>
      <c r="G14" s="33" t="s">
        <v>55</v>
      </c>
      <c r="H14" s="37" t="s">
        <v>55</v>
      </c>
      <c r="I14" s="34" t="s">
        <v>54</v>
      </c>
      <c r="J14" s="33" t="s">
        <v>55</v>
      </c>
      <c r="K14" s="33" t="s">
        <v>55</v>
      </c>
      <c r="L14" s="33" t="s">
        <v>55</v>
      </c>
      <c r="M14" s="33" t="s">
        <v>55</v>
      </c>
      <c r="N14" s="33" t="s">
        <v>55</v>
      </c>
      <c r="O14" s="31" t="s">
        <v>103</v>
      </c>
    </row>
    <row r="15" spans="1:16" ht="29" x14ac:dyDescent="0.35">
      <c r="A15" s="33">
        <v>7</v>
      </c>
      <c r="B15" s="33" t="str">
        <f t="shared" si="0"/>
        <v>Q-P2.7</v>
      </c>
      <c r="C15" s="37" t="s">
        <v>39</v>
      </c>
      <c r="D15" s="33" t="s">
        <v>57</v>
      </c>
      <c r="E15" s="34" t="s">
        <v>40</v>
      </c>
      <c r="F15" s="33" t="s">
        <v>55</v>
      </c>
      <c r="G15" s="33" t="s">
        <v>55</v>
      </c>
      <c r="H15" s="37" t="s">
        <v>55</v>
      </c>
      <c r="I15" s="34" t="s">
        <v>54</v>
      </c>
      <c r="J15" s="33" t="s">
        <v>55</v>
      </c>
      <c r="K15" s="33" t="s">
        <v>55</v>
      </c>
      <c r="L15" s="33" t="s">
        <v>55</v>
      </c>
      <c r="M15" s="33" t="s">
        <v>55</v>
      </c>
      <c r="N15" s="33" t="s">
        <v>55</v>
      </c>
      <c r="O15" s="33" t="s">
        <v>105</v>
      </c>
    </row>
    <row r="16" spans="1:16" ht="29" x14ac:dyDescent="0.35">
      <c r="A16" s="33">
        <v>8</v>
      </c>
      <c r="B16" s="33" t="str">
        <f t="shared" si="0"/>
        <v>Q-P2.8</v>
      </c>
      <c r="C16" s="37" t="s">
        <v>39</v>
      </c>
      <c r="D16" s="33" t="s">
        <v>77</v>
      </c>
      <c r="E16" s="34" t="s">
        <v>40</v>
      </c>
      <c r="F16" s="33" t="s">
        <v>55</v>
      </c>
      <c r="G16" s="33" t="s">
        <v>55</v>
      </c>
      <c r="H16" s="37" t="s">
        <v>55</v>
      </c>
      <c r="I16" s="34" t="s">
        <v>54</v>
      </c>
      <c r="J16" s="33" t="s">
        <v>55</v>
      </c>
      <c r="K16" s="33" t="s">
        <v>55</v>
      </c>
      <c r="L16" s="33" t="s">
        <v>55</v>
      </c>
      <c r="M16" s="33" t="s">
        <v>55</v>
      </c>
      <c r="N16" s="33" t="s">
        <v>55</v>
      </c>
      <c r="O16" s="33" t="s">
        <v>79</v>
      </c>
    </row>
  </sheetData>
  <autoFilter ref="A6:P6" xr:uid="{00000000-0009-0000-0000-00000E000000}"/>
  <mergeCells count="2">
    <mergeCell ref="A10:E10"/>
    <mergeCell ref="A13:E13"/>
  </mergeCells>
  <conditionalFormatting sqref="C7:C9 C14:C1048576 C11:C12">
    <cfRule type="cellIs" dxfId="71" priority="8" operator="equal">
      <formula>"WIP (see comments)"</formula>
    </cfRule>
    <cfRule type="cellIs" dxfId="70" priority="9" operator="equal">
      <formula>"Removed"</formula>
    </cfRule>
    <cfRule type="cellIs" dxfId="69" priority="10" operator="equal">
      <formula>"Updated"</formula>
    </cfRule>
    <cfRule type="cellIs" dxfId="68" priority="11" operator="equal">
      <formula>"New"</formula>
    </cfRule>
  </conditionalFormatting>
  <conditionalFormatting sqref="D7:D9 D11:D12">
    <cfRule type="cellIs" dxfId="67" priority="7" operator="equal">
      <formula>"-"</formula>
    </cfRule>
  </conditionalFormatting>
  <conditionalFormatting sqref="P14:XFD14 A7:XFD9 A14:N14 N11:XFD12 B15:C16 E15:N16 A11:L12">
    <cfRule type="cellIs" dxfId="66" priority="6" operator="equal">
      <formula>"n/a"</formula>
    </cfRule>
  </conditionalFormatting>
  <conditionalFormatting sqref="O14">
    <cfRule type="cellIs" dxfId="65" priority="5" operator="equal">
      <formula>"n/a"</formula>
    </cfRule>
  </conditionalFormatting>
  <conditionalFormatting sqref="M11:M12">
    <cfRule type="cellIs" dxfId="64" priority="4" operator="equal">
      <formula>"n/a"</formula>
    </cfRule>
  </conditionalFormatting>
  <conditionalFormatting sqref="F10:XFD10">
    <cfRule type="cellIs" dxfId="63" priority="3" operator="equal">
      <formula>"n/a"</formula>
    </cfRule>
  </conditionalFormatting>
  <conditionalFormatting sqref="F13:XFD13 A13">
    <cfRule type="cellIs" dxfId="62" priority="2" operator="equal">
      <formula>"n/a"</formula>
    </cfRule>
  </conditionalFormatting>
  <conditionalFormatting sqref="A10">
    <cfRule type="cellIs" dxfId="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Values'!$B$5:$B$9</xm:f>
          </x14:formula1>
          <xm:sqref>C7:C9 C14:C1048576 C11:C12</xm:sqref>
        </x14:dataValidation>
        <x14:dataValidation type="list" allowBlank="1" showInputMessage="1" showErrorMessage="1" xr:uid="{00000000-0002-0000-0E00-000001000000}">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106</v>
      </c>
      <c r="C1" s="25"/>
      <c r="D1" s="22" t="s">
        <v>98</v>
      </c>
      <c r="F1" s="41"/>
      <c r="H1" s="27"/>
    </row>
    <row r="2" spans="1:16" s="23" customFormat="1" ht="18.5" x14ac:dyDescent="0.35">
      <c r="A2" s="21" t="s">
        <v>8</v>
      </c>
      <c r="B2" s="28" t="s">
        <v>107</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Q-P3.1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Q-P3.2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x14ac:dyDescent="0.35">
      <c r="A9" s="33">
        <v>3</v>
      </c>
      <c r="B9" s="33" t="str">
        <f t="shared" si="0"/>
        <v>Q-P3.3</v>
      </c>
      <c r="C9" s="37" t="s">
        <v>39</v>
      </c>
      <c r="D9" s="34" t="s">
        <v>108</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Q-P3.4</v>
      </c>
      <c r="C11" s="37" t="s">
        <v>42</v>
      </c>
      <c r="D11" s="34" t="s">
        <v>109</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CONCATENATE($B$2, ".", A12)</f>
        <v>Q-P3.5</v>
      </c>
      <c r="C12" s="37" t="s">
        <v>42</v>
      </c>
      <c r="D12" s="34" t="s">
        <v>110</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Q-P3.6</v>
      </c>
      <c r="C13" s="37" t="s">
        <v>42</v>
      </c>
      <c r="D13" s="34" t="s">
        <v>111</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81.75" customHeight="1" x14ac:dyDescent="0.35">
      <c r="A15" s="33">
        <v>6</v>
      </c>
      <c r="B15" s="33" t="str">
        <f t="shared" si="0"/>
        <v>Q-P3.6</v>
      </c>
      <c r="C15" s="37" t="s">
        <v>39</v>
      </c>
      <c r="D15" s="34" t="s">
        <v>56</v>
      </c>
      <c r="E15" s="34" t="s">
        <v>40</v>
      </c>
      <c r="F15" s="33" t="s">
        <v>55</v>
      </c>
      <c r="G15" s="33" t="s">
        <v>55</v>
      </c>
      <c r="H15" s="37" t="s">
        <v>55</v>
      </c>
      <c r="I15" s="34" t="s">
        <v>54</v>
      </c>
      <c r="J15" s="33" t="s">
        <v>55</v>
      </c>
      <c r="K15" s="33" t="s">
        <v>55</v>
      </c>
      <c r="L15" s="33" t="s">
        <v>55</v>
      </c>
      <c r="M15" s="33" t="s">
        <v>55</v>
      </c>
      <c r="N15" s="33" t="s">
        <v>55</v>
      </c>
      <c r="O15" s="31" t="s">
        <v>144</v>
      </c>
    </row>
    <row r="16" spans="1:16" ht="29" x14ac:dyDescent="0.35">
      <c r="A16" s="33">
        <v>7</v>
      </c>
      <c r="B16" s="33" t="str">
        <f t="shared" si="0"/>
        <v>Q-P3.7</v>
      </c>
      <c r="C16" s="37" t="s">
        <v>39</v>
      </c>
      <c r="D16" s="33" t="s">
        <v>57</v>
      </c>
      <c r="E16" s="34" t="s">
        <v>40</v>
      </c>
      <c r="F16" s="33" t="s">
        <v>55</v>
      </c>
      <c r="G16" s="33" t="s">
        <v>55</v>
      </c>
      <c r="H16" s="37" t="s">
        <v>55</v>
      </c>
      <c r="I16" s="34" t="s">
        <v>54</v>
      </c>
      <c r="J16" s="33" t="s">
        <v>55</v>
      </c>
      <c r="K16" s="33" t="s">
        <v>55</v>
      </c>
      <c r="L16" s="33" t="s">
        <v>55</v>
      </c>
      <c r="M16" s="33" t="s">
        <v>55</v>
      </c>
      <c r="N16" s="33" t="s">
        <v>55</v>
      </c>
      <c r="O16" s="33" t="s">
        <v>104</v>
      </c>
    </row>
    <row r="17" spans="1:15" ht="83.25" customHeight="1" x14ac:dyDescent="0.35">
      <c r="A17" s="33">
        <v>8</v>
      </c>
      <c r="B17" s="33" t="str">
        <f t="shared" si="0"/>
        <v>Q-P3.8</v>
      </c>
      <c r="C17" s="37" t="s">
        <v>39</v>
      </c>
      <c r="D17" s="33" t="s">
        <v>77</v>
      </c>
      <c r="E17" s="34" t="s">
        <v>40</v>
      </c>
      <c r="F17" s="33" t="s">
        <v>55</v>
      </c>
      <c r="G17" s="33" t="s">
        <v>55</v>
      </c>
      <c r="H17" s="37" t="s">
        <v>55</v>
      </c>
      <c r="I17" s="34" t="s">
        <v>54</v>
      </c>
      <c r="J17" s="33" t="s">
        <v>55</v>
      </c>
      <c r="K17" s="33" t="s">
        <v>55</v>
      </c>
      <c r="L17" s="33" t="s">
        <v>55</v>
      </c>
      <c r="M17" s="33" t="s">
        <v>55</v>
      </c>
      <c r="N17" s="33" t="s">
        <v>55</v>
      </c>
      <c r="O17" s="33" t="s">
        <v>145</v>
      </c>
    </row>
  </sheetData>
  <autoFilter ref="A6:P6" xr:uid="{00000000-0009-0000-0000-00000F000000}"/>
  <mergeCells count="2">
    <mergeCell ref="A10:E10"/>
    <mergeCell ref="A14:E14"/>
  </mergeCells>
  <conditionalFormatting sqref="C7:C9 C15:C1048576 C11 C13">
    <cfRule type="cellIs" dxfId="60" priority="15" operator="equal">
      <formula>"WIP (see comments)"</formula>
    </cfRule>
    <cfRule type="cellIs" dxfId="59" priority="16" operator="equal">
      <formula>"Removed"</formula>
    </cfRule>
    <cfRule type="cellIs" dxfId="58" priority="17" operator="equal">
      <formula>"Updated"</formula>
    </cfRule>
    <cfRule type="cellIs" dxfId="57" priority="18" operator="equal">
      <formula>"New"</formula>
    </cfRule>
  </conditionalFormatting>
  <conditionalFormatting sqref="D7:D9 D11 D13">
    <cfRule type="cellIs" dxfId="56" priority="14" operator="equal">
      <formula>"-"</formula>
    </cfRule>
  </conditionalFormatting>
  <conditionalFormatting sqref="P15:XFD15 A7:XFD9 A11:L11 A15:N15 N11:XFD11 B16:C17 E16:N17 A13:J13 N13:XFD13 K12:L13">
    <cfRule type="cellIs" dxfId="55" priority="13" operator="equal">
      <formula>"n/a"</formula>
    </cfRule>
  </conditionalFormatting>
  <conditionalFormatting sqref="O15">
    <cfRule type="cellIs" dxfId="54" priority="12" operator="equal">
      <formula>"n/a"</formula>
    </cfRule>
  </conditionalFormatting>
  <conditionalFormatting sqref="M11 M13">
    <cfRule type="cellIs" dxfId="53" priority="11" operator="equal">
      <formula>"n/a"</formula>
    </cfRule>
  </conditionalFormatting>
  <conditionalFormatting sqref="F10:XFD10">
    <cfRule type="cellIs" dxfId="52" priority="10" operator="equal">
      <formula>"n/a"</formula>
    </cfRule>
  </conditionalFormatting>
  <conditionalFormatting sqref="F14:XFD14 A14">
    <cfRule type="cellIs" dxfId="51" priority="9" operator="equal">
      <formula>"n/a"</formula>
    </cfRule>
  </conditionalFormatting>
  <conditionalFormatting sqref="C12">
    <cfRule type="cellIs" dxfId="50" priority="5" operator="equal">
      <formula>"WIP (see comments)"</formula>
    </cfRule>
    <cfRule type="cellIs" dxfId="49" priority="6" operator="equal">
      <formula>"Removed"</formula>
    </cfRule>
    <cfRule type="cellIs" dxfId="48" priority="7" operator="equal">
      <formula>"Updated"</formula>
    </cfRule>
    <cfRule type="cellIs" dxfId="47" priority="8" operator="equal">
      <formula>"New"</formula>
    </cfRule>
  </conditionalFormatting>
  <conditionalFormatting sqref="D12">
    <cfRule type="cellIs" dxfId="46" priority="4" operator="equal">
      <formula>"-"</formula>
    </cfRule>
  </conditionalFormatting>
  <conditionalFormatting sqref="A12:J12 N12:XFD12">
    <cfRule type="cellIs" dxfId="45" priority="3" operator="equal">
      <formula>"n/a"</formula>
    </cfRule>
  </conditionalFormatting>
  <conditionalFormatting sqref="M12">
    <cfRule type="cellIs" dxfId="44" priority="2" operator="equal">
      <formula>"n/a"</formula>
    </cfRule>
  </conditionalFormatting>
  <conditionalFormatting sqref="A10">
    <cfRule type="cellIs" dxfId="4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Values'!$B$5:$B$9</xm:f>
          </x14:formula1>
          <xm:sqref>C7:C9 C15:C1048576 C11:C13</xm:sqref>
        </x14:dataValidation>
        <x14:dataValidation type="list" allowBlank="1" showInputMessage="1" showErrorMessage="1" xr:uid="{00000000-0002-0000-0F00-000001000000}">
          <x14:formula1>
            <xm:f>'List Values'!$A$5:$A$33</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8"/>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6"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139</v>
      </c>
      <c r="B1" s="29" t="s">
        <v>136</v>
      </c>
      <c r="C1" s="25"/>
      <c r="D1" s="22" t="s">
        <v>138</v>
      </c>
      <c r="F1" s="41"/>
      <c r="H1" s="27"/>
    </row>
    <row r="2" spans="1:16" s="23" customFormat="1" ht="18.5" x14ac:dyDescent="0.35">
      <c r="A2" s="21" t="s">
        <v>8</v>
      </c>
      <c r="B2" s="28" t="s">
        <v>137</v>
      </c>
      <c r="C2" s="27"/>
      <c r="D2" s="28"/>
      <c r="F2" s="41"/>
      <c r="H2" s="27"/>
    </row>
    <row r="3" spans="1:16" s="23" customFormat="1" ht="18.5" x14ac:dyDescent="0.35">
      <c r="A3" s="21" t="s">
        <v>41</v>
      </c>
      <c r="B3" s="28"/>
      <c r="C3" s="27"/>
      <c r="D3" s="28"/>
      <c r="F3" s="41"/>
      <c r="H3" s="27"/>
    </row>
    <row r="4" spans="1:16" s="23" customFormat="1" ht="18.5" x14ac:dyDescent="0.35">
      <c r="A4" s="21" t="s">
        <v>9</v>
      </c>
      <c r="B4" s="23" t="s">
        <v>141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101.5" x14ac:dyDescent="0.35">
      <c r="A7" s="33">
        <v>1</v>
      </c>
      <c r="B7" s="33" t="str">
        <f>CONCATENATE($B$2, ".", A7)</f>
        <v>P3a.1</v>
      </c>
      <c r="C7" s="37" t="s">
        <v>42</v>
      </c>
      <c r="D7" s="42" t="s">
        <v>142</v>
      </c>
      <c r="E7" s="34" t="s">
        <v>32</v>
      </c>
      <c r="F7" s="33" t="s">
        <v>55</v>
      </c>
      <c r="G7" s="33" t="s">
        <v>55</v>
      </c>
      <c r="H7" s="37" t="s">
        <v>55</v>
      </c>
      <c r="I7" s="34" t="s">
        <v>54</v>
      </c>
      <c r="J7" s="33" t="s">
        <v>55</v>
      </c>
      <c r="K7" s="33" t="s">
        <v>55</v>
      </c>
      <c r="L7" s="33" t="s">
        <v>55</v>
      </c>
      <c r="M7" s="33" t="s">
        <v>55</v>
      </c>
      <c r="N7" s="33" t="s">
        <v>55</v>
      </c>
    </row>
    <row r="8" spans="1:16" ht="43.5" x14ac:dyDescent="0.35">
      <c r="A8" s="33">
        <v>2</v>
      </c>
      <c r="B8" s="33" t="str">
        <f>CONCATENATE($B$2, ".", A8)</f>
        <v>P3a.2</v>
      </c>
      <c r="C8" s="37" t="s">
        <v>39</v>
      </c>
      <c r="D8" s="34" t="s">
        <v>140</v>
      </c>
      <c r="E8" s="34" t="s">
        <v>40</v>
      </c>
      <c r="F8" s="33" t="s">
        <v>55</v>
      </c>
      <c r="G8" s="33" t="s">
        <v>55</v>
      </c>
      <c r="H8" s="37" t="s">
        <v>55</v>
      </c>
      <c r="I8" s="34" t="s">
        <v>54</v>
      </c>
      <c r="J8" s="33" t="s">
        <v>55</v>
      </c>
      <c r="K8" s="33" t="s">
        <v>55</v>
      </c>
      <c r="L8" s="33" t="s">
        <v>55</v>
      </c>
      <c r="M8" s="33" t="s">
        <v>55</v>
      </c>
      <c r="N8" s="33" t="s">
        <v>55</v>
      </c>
      <c r="O8" s="31" t="s">
        <v>143</v>
      </c>
    </row>
  </sheetData>
  <autoFilter ref="A6:P6" xr:uid="{00000000-0009-0000-0000-000010000000}"/>
  <conditionalFormatting sqref="C7:C1048576">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D7">
    <cfRule type="cellIs" dxfId="38" priority="14" operator="equal">
      <formula>"-"</formula>
    </cfRule>
  </conditionalFormatting>
  <conditionalFormatting sqref="P8:XFD8 A7:XFD7 A8:N8">
    <cfRule type="cellIs" dxfId="37" priority="13" operator="equal">
      <formula>"n/a"</formula>
    </cfRule>
  </conditionalFormatting>
  <conditionalFormatting sqref="O8">
    <cfRule type="cellIs" dxfId="36" priority="1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Values'!$B$5:$B$9</xm:f>
          </x14:formula1>
          <xm:sqref>C7 C8:C1048576</xm:sqref>
        </x14:dataValidation>
        <x14:dataValidation type="list" allowBlank="1" showInputMessage="1" showErrorMessage="1" xr:uid="{00000000-0002-0000-1000-000001000000}">
          <x14:formula1>
            <xm:f>'List Values'!$A$5:$A$33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112</v>
      </c>
      <c r="C1" s="25"/>
      <c r="D1" s="22" t="s">
        <v>98</v>
      </c>
      <c r="F1" s="41"/>
      <c r="H1" s="27"/>
    </row>
    <row r="2" spans="1:16" s="23" customFormat="1" ht="18.5" x14ac:dyDescent="0.35">
      <c r="A2" s="21" t="s">
        <v>8</v>
      </c>
      <c r="B2" s="28" t="s">
        <v>113</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Q-P4.1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Q-P4.2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ht="29" x14ac:dyDescent="0.35">
      <c r="A9" s="33">
        <v>3</v>
      </c>
      <c r="B9" s="33" t="str">
        <f t="shared" si="0"/>
        <v>Q-P4.3</v>
      </c>
      <c r="C9" s="37" t="s">
        <v>39</v>
      </c>
      <c r="D9" s="34" t="s">
        <v>162</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Q-P4.4</v>
      </c>
      <c r="C11" s="37" t="s">
        <v>42</v>
      </c>
      <c r="D11" s="34" t="s">
        <v>114</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Q-P4.5</v>
      </c>
      <c r="C12" s="37" t="s">
        <v>42</v>
      </c>
      <c r="D12" s="34" t="s">
        <v>116</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Q-P4.6</v>
      </c>
      <c r="C13" s="37" t="s">
        <v>42</v>
      </c>
      <c r="D13" s="34" t="s">
        <v>115</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6</v>
      </c>
      <c r="B15" s="33" t="str">
        <f t="shared" si="0"/>
        <v>Q-P4.6</v>
      </c>
      <c r="C15" s="37" t="s">
        <v>39</v>
      </c>
      <c r="D15" s="34" t="s">
        <v>56</v>
      </c>
      <c r="E15" s="34" t="s">
        <v>40</v>
      </c>
      <c r="F15" s="33" t="s">
        <v>55</v>
      </c>
      <c r="G15" s="33" t="s">
        <v>55</v>
      </c>
      <c r="H15" s="37" t="s">
        <v>55</v>
      </c>
      <c r="I15" s="34" t="s">
        <v>54</v>
      </c>
      <c r="J15" s="33" t="s">
        <v>55</v>
      </c>
      <c r="K15" s="33" t="s">
        <v>55</v>
      </c>
      <c r="L15" s="33" t="s">
        <v>55</v>
      </c>
      <c r="M15" s="33" t="s">
        <v>55</v>
      </c>
      <c r="N15" s="33" t="s">
        <v>55</v>
      </c>
      <c r="O15" s="31" t="s">
        <v>117</v>
      </c>
    </row>
    <row r="16" spans="1:16" ht="29" x14ac:dyDescent="0.35">
      <c r="A16" s="33">
        <v>7</v>
      </c>
      <c r="B16" s="33" t="str">
        <f t="shared" si="0"/>
        <v>Q-P4.7</v>
      </c>
      <c r="C16" s="37" t="s">
        <v>39</v>
      </c>
      <c r="D16" s="33" t="s">
        <v>57</v>
      </c>
      <c r="E16" s="34" t="s">
        <v>40</v>
      </c>
      <c r="F16" s="33" t="s">
        <v>55</v>
      </c>
      <c r="G16" s="33" t="s">
        <v>55</v>
      </c>
      <c r="H16" s="37" t="s">
        <v>55</v>
      </c>
      <c r="I16" s="34" t="s">
        <v>54</v>
      </c>
      <c r="J16" s="33" t="s">
        <v>55</v>
      </c>
      <c r="K16" s="33" t="s">
        <v>55</v>
      </c>
      <c r="L16" s="33" t="s">
        <v>55</v>
      </c>
      <c r="M16" s="33" t="s">
        <v>55</v>
      </c>
      <c r="N16" s="33" t="s">
        <v>55</v>
      </c>
      <c r="O16" s="33" t="s">
        <v>118</v>
      </c>
    </row>
    <row r="17" spans="1:15" ht="29" x14ac:dyDescent="0.35">
      <c r="A17" s="33">
        <v>8</v>
      </c>
      <c r="B17" s="33" t="str">
        <f t="shared" si="0"/>
        <v>Q-P4.8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11000000}"/>
  <mergeCells count="2">
    <mergeCell ref="A10:E10"/>
    <mergeCell ref="A14:E14"/>
  </mergeCells>
  <conditionalFormatting sqref="C7:C9 C15:C1048576 C11 C13">
    <cfRule type="cellIs" dxfId="35" priority="15" operator="equal">
      <formula>"WIP (see comments)"</formula>
    </cfRule>
    <cfRule type="cellIs" dxfId="34" priority="16" operator="equal">
      <formula>"Removed"</formula>
    </cfRule>
    <cfRule type="cellIs" dxfId="33" priority="17" operator="equal">
      <formula>"Updated"</formula>
    </cfRule>
    <cfRule type="cellIs" dxfId="32" priority="18" operator="equal">
      <formula>"New"</formula>
    </cfRule>
  </conditionalFormatting>
  <conditionalFormatting sqref="D7:D9 D11 D13">
    <cfRule type="cellIs" dxfId="31" priority="14" operator="equal">
      <formula>"-"</formula>
    </cfRule>
  </conditionalFormatting>
  <conditionalFormatting sqref="P15:XFD15 A7:XFD9 A11:L11 A15:N15 N11:XFD11 B16:C17 E16:N17 A13:J13 N13:XFD13 K12:L13">
    <cfRule type="cellIs" dxfId="30" priority="13" operator="equal">
      <formula>"n/a"</formula>
    </cfRule>
  </conditionalFormatting>
  <conditionalFormatting sqref="O15">
    <cfRule type="cellIs" dxfId="29" priority="12" operator="equal">
      <formula>"n/a"</formula>
    </cfRule>
  </conditionalFormatting>
  <conditionalFormatting sqref="M11 M13">
    <cfRule type="cellIs" dxfId="28" priority="11" operator="equal">
      <formula>"n/a"</formula>
    </cfRule>
  </conditionalFormatting>
  <conditionalFormatting sqref="F10:XFD10">
    <cfRule type="cellIs" dxfId="27" priority="10" operator="equal">
      <formula>"n/a"</formula>
    </cfRule>
  </conditionalFormatting>
  <conditionalFormatting sqref="F14:XFD14 A14">
    <cfRule type="cellIs" dxfId="26" priority="9" operator="equal">
      <formula>"n/a"</formula>
    </cfRule>
  </conditionalFormatting>
  <conditionalFormatting sqref="C12">
    <cfRule type="cellIs" dxfId="25" priority="5" operator="equal">
      <formula>"WIP (see comments)"</formula>
    </cfRule>
    <cfRule type="cellIs" dxfId="24" priority="6" operator="equal">
      <formula>"Removed"</formula>
    </cfRule>
    <cfRule type="cellIs" dxfId="23" priority="7" operator="equal">
      <formula>"Updated"</formula>
    </cfRule>
    <cfRule type="cellIs" dxfId="22" priority="8" operator="equal">
      <formula>"New"</formula>
    </cfRule>
  </conditionalFormatting>
  <conditionalFormatting sqref="D12">
    <cfRule type="cellIs" dxfId="21" priority="4" operator="equal">
      <formula>"-"</formula>
    </cfRule>
  </conditionalFormatting>
  <conditionalFormatting sqref="A12:J12 N12:XFD12">
    <cfRule type="cellIs" dxfId="20" priority="3" operator="equal">
      <formula>"n/a"</formula>
    </cfRule>
  </conditionalFormatting>
  <conditionalFormatting sqref="M12">
    <cfRule type="cellIs" dxfId="19" priority="2" operator="equal">
      <formula>"n/a"</formula>
    </cfRule>
  </conditionalFormatting>
  <conditionalFormatting sqref="A10">
    <cfRule type="cellIs" dxfId="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Values'!$B$5:$B$9</xm:f>
          </x14:formula1>
          <xm:sqref>C7:C9 C15:C1048576 C11:C13</xm:sqref>
        </x14:dataValidation>
        <x14:dataValidation type="list" allowBlank="1" showInputMessage="1" showErrorMessage="1" xr:uid="{00000000-0002-0000-1100-000001000000}">
          <x14:formula1>
            <xm:f>'List Values'!$A$5:$A$33</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119</v>
      </c>
      <c r="C1" s="25"/>
      <c r="D1" s="22" t="s">
        <v>98</v>
      </c>
      <c r="F1" s="41"/>
      <c r="H1" s="27"/>
    </row>
    <row r="2" spans="1:16" s="23" customFormat="1" ht="18.5" x14ac:dyDescent="0.35">
      <c r="A2" s="21" t="s">
        <v>8</v>
      </c>
      <c r="B2" s="28" t="s">
        <v>120</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Q-P5.1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Q-P5.2</v>
      </c>
      <c r="C8" s="37" t="s">
        <v>42</v>
      </c>
      <c r="D8" s="34" t="s">
        <v>99</v>
      </c>
      <c r="E8" s="34" t="s">
        <v>48</v>
      </c>
      <c r="F8" s="33" t="s">
        <v>55</v>
      </c>
      <c r="G8" s="33" t="s">
        <v>55</v>
      </c>
      <c r="H8" s="37" t="s">
        <v>55</v>
      </c>
      <c r="I8" s="34" t="s">
        <v>54</v>
      </c>
      <c r="J8" s="33" t="s">
        <v>55</v>
      </c>
      <c r="K8" s="33" t="s">
        <v>55</v>
      </c>
      <c r="L8" s="33" t="s">
        <v>55</v>
      </c>
      <c r="M8" s="33" t="s">
        <v>55</v>
      </c>
      <c r="N8" s="33" t="s">
        <v>55</v>
      </c>
      <c r="O8" s="42" t="s">
        <v>95</v>
      </c>
      <c r="P8" s="33" t="s">
        <v>84</v>
      </c>
    </row>
    <row r="9" spans="1:16" ht="29" x14ac:dyDescent="0.35">
      <c r="A9" s="33">
        <v>3</v>
      </c>
      <c r="B9" s="33" t="str">
        <f t="shared" si="0"/>
        <v>Q-P5.3</v>
      </c>
      <c r="C9" s="37" t="s">
        <v>39</v>
      </c>
      <c r="D9" s="34" t="s">
        <v>121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1" t="s">
        <v>127</v>
      </c>
      <c r="B10" s="51"/>
      <c r="C10" s="51"/>
      <c r="D10" s="51"/>
      <c r="E10" s="51"/>
    </row>
    <row r="11" spans="1:16" ht="29" x14ac:dyDescent="0.35">
      <c r="A11" s="33">
        <v>4</v>
      </c>
      <c r="B11" s="33" t="str">
        <f t="shared" si="0"/>
        <v>Q-P5.4</v>
      </c>
      <c r="C11" s="37" t="s">
        <v>42</v>
      </c>
      <c r="D11" s="34" t="s">
        <v>122</v>
      </c>
      <c r="E11" s="34" t="s">
        <v>87</v>
      </c>
      <c r="F11" s="33" t="s">
        <v>89</v>
      </c>
      <c r="G11" s="33" t="s">
        <v>55</v>
      </c>
      <c r="H11" s="37" t="s">
        <v>55</v>
      </c>
      <c r="I11" s="34" t="s">
        <v>54</v>
      </c>
      <c r="J11" s="33" t="s">
        <v>90</v>
      </c>
      <c r="K11" s="33" t="s">
        <v>73</v>
      </c>
      <c r="L11" s="33" t="s">
        <v>55</v>
      </c>
      <c r="M11" s="34" t="s">
        <v>55</v>
      </c>
      <c r="N11" s="33" t="s">
        <v>55</v>
      </c>
      <c r="O11" s="42" t="s">
        <v>95</v>
      </c>
      <c r="P11" s="33" t="s">
        <v>84</v>
      </c>
    </row>
    <row r="12" spans="1:16" ht="29" x14ac:dyDescent="0.35">
      <c r="A12" s="33">
        <v>5</v>
      </c>
      <c r="B12" s="33" t="str">
        <f t="shared" si="0"/>
        <v>Q-P5.5</v>
      </c>
      <c r="C12" s="37" t="s">
        <v>42</v>
      </c>
      <c r="D12" s="34" t="s">
        <v>123</v>
      </c>
      <c r="E12" s="34" t="s">
        <v>87</v>
      </c>
      <c r="F12" s="33" t="s">
        <v>89</v>
      </c>
      <c r="G12" s="33" t="s">
        <v>55</v>
      </c>
      <c r="H12" s="37" t="s">
        <v>55</v>
      </c>
      <c r="I12" s="34" t="s">
        <v>54</v>
      </c>
      <c r="J12" s="33" t="s">
        <v>90</v>
      </c>
      <c r="K12" s="33" t="s">
        <v>73</v>
      </c>
      <c r="L12" s="33" t="s">
        <v>55</v>
      </c>
      <c r="M12" s="34" t="s">
        <v>55</v>
      </c>
      <c r="N12" s="33" t="s">
        <v>55</v>
      </c>
      <c r="O12" s="42" t="s">
        <v>95</v>
      </c>
      <c r="P12" s="33" t="s">
        <v>84</v>
      </c>
    </row>
    <row r="13" spans="1:16" ht="29" x14ac:dyDescent="0.35">
      <c r="A13" s="33">
        <v>6</v>
      </c>
      <c r="B13" s="33" t="str">
        <f t="shared" si="0"/>
        <v>Q-P5.6</v>
      </c>
      <c r="C13" s="37" t="s">
        <v>42</v>
      </c>
      <c r="D13" s="34" t="s">
        <v>124</v>
      </c>
      <c r="E13" s="34" t="s">
        <v>87</v>
      </c>
      <c r="F13" s="33" t="s">
        <v>89</v>
      </c>
      <c r="G13" s="33" t="s">
        <v>55</v>
      </c>
      <c r="H13" s="37" t="s">
        <v>55</v>
      </c>
      <c r="I13" s="34" t="s">
        <v>54</v>
      </c>
      <c r="J13" s="33" t="s">
        <v>90</v>
      </c>
      <c r="K13" s="33" t="s">
        <v>73</v>
      </c>
      <c r="L13" s="33" t="s">
        <v>55</v>
      </c>
      <c r="M13" s="34" t="s">
        <v>55</v>
      </c>
      <c r="N13" s="33" t="s">
        <v>55</v>
      </c>
      <c r="O13" s="42" t="s">
        <v>95</v>
      </c>
      <c r="P13" s="33" t="s">
        <v>84</v>
      </c>
    </row>
    <row r="14" spans="1:16" s="32" customFormat="1" x14ac:dyDescent="0.35">
      <c r="A14" s="51"/>
      <c r="B14" s="51"/>
      <c r="C14" s="51"/>
      <c r="D14" s="51"/>
      <c r="E14" s="51"/>
    </row>
    <row r="15" spans="1:16" ht="29" x14ac:dyDescent="0.35">
      <c r="A15" s="33">
        <v>6</v>
      </c>
      <c r="B15" s="33" t="str">
        <f t="shared" si="0"/>
        <v>Q-P5.6</v>
      </c>
      <c r="C15" s="37" t="s">
        <v>39</v>
      </c>
      <c r="D15" s="34" t="s">
        <v>56</v>
      </c>
      <c r="E15" s="34" t="s">
        <v>40</v>
      </c>
      <c r="F15" s="33" t="s">
        <v>55</v>
      </c>
      <c r="G15" s="33" t="s">
        <v>55</v>
      </c>
      <c r="H15" s="37" t="s">
        <v>55</v>
      </c>
      <c r="I15" s="34" t="s">
        <v>54</v>
      </c>
      <c r="J15" s="33" t="s">
        <v>55</v>
      </c>
      <c r="K15" s="33" t="s">
        <v>55</v>
      </c>
      <c r="L15" s="33" t="s">
        <v>55</v>
      </c>
      <c r="M15" s="33" t="s">
        <v>55</v>
      </c>
      <c r="N15" s="33" t="s">
        <v>55</v>
      </c>
      <c r="O15" s="31" t="s">
        <v>125</v>
      </c>
    </row>
    <row r="16" spans="1:16" ht="29" x14ac:dyDescent="0.35">
      <c r="A16" s="33">
        <v>7</v>
      </c>
      <c r="B16" s="33" t="str">
        <f t="shared" si="0"/>
        <v>Q-P5.7</v>
      </c>
      <c r="C16" s="37" t="s">
        <v>39</v>
      </c>
      <c r="D16" s="33" t="s">
        <v>57</v>
      </c>
      <c r="E16" s="34" t="s">
        <v>40</v>
      </c>
      <c r="F16" s="33" t="s">
        <v>55</v>
      </c>
      <c r="G16" s="33" t="s">
        <v>55</v>
      </c>
      <c r="H16" s="37" t="s">
        <v>55</v>
      </c>
      <c r="I16" s="34" t="s">
        <v>54</v>
      </c>
      <c r="J16" s="33" t="s">
        <v>55</v>
      </c>
      <c r="K16" s="33" t="s">
        <v>55</v>
      </c>
      <c r="L16" s="33" t="s">
        <v>55</v>
      </c>
      <c r="M16" s="33" t="s">
        <v>55</v>
      </c>
      <c r="N16" s="33" t="s">
        <v>55</v>
      </c>
      <c r="O16" s="33" t="s">
        <v>126</v>
      </c>
    </row>
    <row r="17" spans="1:15" ht="29" x14ac:dyDescent="0.35">
      <c r="A17" s="33">
        <v>8</v>
      </c>
      <c r="B17" s="33" t="str">
        <f t="shared" si="0"/>
        <v>Q-P5.8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xr:uid="{00000000-0009-0000-0000-000012000000}"/>
  <mergeCells count="2">
    <mergeCell ref="A10:E10"/>
    <mergeCell ref="A14:E14"/>
  </mergeCells>
  <conditionalFormatting sqref="C7:C9 C15:C1048576 C11 C13">
    <cfRule type="cellIs" dxfId="17" priority="15" operator="equal">
      <formula>"WIP (see comments)"</formula>
    </cfRule>
    <cfRule type="cellIs" dxfId="16" priority="16" operator="equal">
      <formula>"Removed"</formula>
    </cfRule>
    <cfRule type="cellIs" dxfId="15" priority="17" operator="equal">
      <formula>"Updated"</formula>
    </cfRule>
    <cfRule type="cellIs" dxfId="14" priority="18" operator="equal">
      <formula>"New"</formula>
    </cfRule>
  </conditionalFormatting>
  <conditionalFormatting sqref="D7:D9 D11 D13">
    <cfRule type="cellIs" dxfId="13" priority="14" operator="equal">
      <formula>"-"</formula>
    </cfRule>
  </conditionalFormatting>
  <conditionalFormatting sqref="P15:XFD15 A7:XFD9 A11:L11 A15:N15 N11:XFD11 B16:C17 E16:N17 A13:J13 N13:XFD13 K12:L13">
    <cfRule type="cellIs" dxfId="12" priority="13" operator="equal">
      <formula>"n/a"</formula>
    </cfRule>
  </conditionalFormatting>
  <conditionalFormatting sqref="O15">
    <cfRule type="cellIs" dxfId="11" priority="12" operator="equal">
      <formula>"n/a"</formula>
    </cfRule>
  </conditionalFormatting>
  <conditionalFormatting sqref="M11 M13">
    <cfRule type="cellIs" dxfId="10" priority="11" operator="equal">
      <formula>"n/a"</formula>
    </cfRule>
  </conditionalFormatting>
  <conditionalFormatting sqref="F10:XFD10">
    <cfRule type="cellIs" dxfId="9" priority="10" operator="equal">
      <formula>"n/a"</formula>
    </cfRule>
  </conditionalFormatting>
  <conditionalFormatting sqref="F14:XFD14 A14">
    <cfRule type="cellIs" dxfId="8" priority="9" operator="equal">
      <formula>"n/a"</formula>
    </cfRule>
  </conditionalFormatting>
  <conditionalFormatting sqref="C12">
    <cfRule type="cellIs" dxfId="7" priority="5" operator="equal">
      <formula>"WIP (see comments)"</formula>
    </cfRule>
    <cfRule type="cellIs" dxfId="6" priority="6" operator="equal">
      <formula>"Removed"</formula>
    </cfRule>
    <cfRule type="cellIs" dxfId="5" priority="7" operator="equal">
      <formula>"Updated"</formula>
    </cfRule>
    <cfRule type="cellIs" dxfId="4" priority="8" operator="equal">
      <formula>"New"</formula>
    </cfRule>
  </conditionalFormatting>
  <conditionalFormatting sqref="D12">
    <cfRule type="cellIs" dxfId="3" priority="4" operator="equal">
      <formula>"-"</formula>
    </cfRule>
  </conditionalFormatting>
  <conditionalFormatting sqref="A12:J12 N12:XFD12">
    <cfRule type="cellIs" dxfId="2" priority="3" operator="equal">
      <formula>"n/a"</formula>
    </cfRule>
  </conditionalFormatting>
  <conditionalFormatting sqref="M12">
    <cfRule type="cellIs" dxfId="1" priority="2" operator="equal">
      <formula>"n/a"</formula>
    </cfRule>
  </conditionalFormatting>
  <conditionalFormatting sqref="A10">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Values'!$B$5:$B$9</xm:f>
          </x14:formula1>
          <xm:sqref>C7:C9 C15:C1048576 C11:C13</xm:sqref>
        </x14:dataValidation>
        <x14:dataValidation type="list" allowBlank="1" showInputMessage="1" showErrorMessage="1" xr:uid="{00000000-0002-0000-1200-000001000000}">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88A41D3-C05D-43AE-8287-4623FCE68ABF}"/>
</file>

<file path=customXml/itemProps2.xml><?xml version="1.0" encoding="utf-8"?>
<ds:datastoreItem xmlns:ds="http://schemas.openxmlformats.org/officeDocument/2006/customXml" ds:itemID="{5F4774FC-F02A-4C3C-8447-59385838B959}">
  <ds:schemaRefs>
    <ds:schemaRef ds:uri="http://schemas.microsoft.com/sharepoint/v3/contenttype/forms"/>
  </ds:schemaRefs>
</ds:datastoreItem>
</file>

<file path=customXml/itemProps3.xml><?xml version="1.0" encoding="utf-8"?>
<ds:datastoreItem xmlns:ds="http://schemas.openxmlformats.org/officeDocument/2006/customXml" ds:itemID="{3EB99182-92B5-407A-B8B1-688F4E652BE9}">
  <ds:schemaRefs>
    <ds:schemaRef ds:uri="http://schemas.openxmlformats.org/package/2006/metadata/core-properties"/>
    <ds:schemaRef ds:uri="http://purl.org/dc/terms/"/>
    <ds:schemaRef ds:uri="http://purl.org/dc/elements/1.1/"/>
    <ds:schemaRef ds:uri="http://schemas.microsoft.com/sharepoint/v4"/>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Control</vt:lpstr>
      <vt:lpstr>List Values</vt:lpstr>
      <vt:lpstr>DEPRECATED Welcome-Business</vt:lpstr>
      <vt:lpstr>OOS Question SB1</vt:lpstr>
      <vt:lpstr>OOS Question SB2</vt:lpstr>
      <vt:lpstr>2. Account Selection</vt:lpstr>
      <vt:lpstr>DEPRECATED Account Details</vt:lpstr>
      <vt:lpstr>OOS Question SB3</vt:lpstr>
      <vt:lpstr>OOS Question SB4</vt:lpstr>
      <vt:lpstr>3. Service Selection</vt:lpstr>
      <vt:lpstr>DEPRECATED Service Details</vt:lpstr>
      <vt:lpstr>4. Product Review</vt:lpstr>
      <vt:lpstr>1a. Welcome-Personal</vt:lpstr>
      <vt:lpstr>Question P1</vt:lpstr>
      <vt:lpstr>Question P2</vt:lpstr>
      <vt:lpstr>Question P3</vt:lpstr>
      <vt:lpstr>Overlay P3a</vt:lpstr>
      <vt:lpstr>Question P4</vt:lpstr>
      <vt:lpstr>Question 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2021-05-11T16:33:47Z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