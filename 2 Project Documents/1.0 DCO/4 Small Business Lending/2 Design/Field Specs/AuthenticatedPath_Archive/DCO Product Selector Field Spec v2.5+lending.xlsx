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E27DA55B-1180-4F26-A29B-C49354C6B0DF}" xr6:coauthVersionLast="47" xr6:coauthVersionMax="47" xr10:uidLastSave="{00000000-0000-0000-0000-000000000000}"/>
  <bookViews>
    <workbookView xWindow="40920" yWindow="-120" windowWidth="38640" windowHeight="15840" tabRatio="830" activeTab="5" xr2:uid="{00000000-000D-0000-FFFF-FFFF00000000}"/>
  </bookViews>
  <sheets>
    <sheet name="Revision Control" sheetId="1" r:id="rId1"/>
    <sheet name="List Values" sheetId="3" r:id="rId2"/>
    <sheet name="DEPRECATED Welcome-Business" sheetId="62" state="hidden" r:id="rId3"/>
    <sheet name="OOS Question SB1" sheetId="53" state="hidden" r:id="rId4"/>
    <sheet name="OOS Question SB2" sheetId="59" state="hidden" r:id="rId5"/>
    <sheet name="2. Account Selection" sheetId="54" r:id="rId6"/>
    <sheet name="DEPRECATED Account Details" sheetId="58" state="hidden" r:id="rId7"/>
    <sheet name="OOS Question SB3" sheetId="60" state="hidden" r:id="rId8"/>
    <sheet name="OOS Question SB4" sheetId="61" state="hidden"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1" hidden="1">'4. Product Review'!$A$6:$P$6</definedName>
    <definedName name="_xlnm._FilterDatabase" localSheetId="6"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7" hidden="1">'OOS Question SB3'!$A$6:$P$6</definedName>
    <definedName name="_xlnm._FilterDatabase" localSheetId="8"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54" l="1"/>
  <c r="B10" i="54"/>
  <c r="B11" i="57" l="1"/>
  <c r="B13" i="63" l="1"/>
  <c r="B29" i="54" l="1"/>
  <c r="B31" i="57"/>
  <c r="B27" i="57"/>
  <c r="B19" i="57"/>
  <c r="B18" i="57"/>
  <c r="B17" i="57"/>
  <c r="B16" i="57"/>
  <c r="B15" i="57"/>
  <c r="B14" i="57"/>
  <c r="B23" i="63"/>
  <c r="B22" i="63"/>
  <c r="B21" i="63"/>
  <c r="B20" i="63"/>
  <c r="B15" i="63"/>
  <c r="B15" i="54" l="1"/>
  <c r="B16" i="63" l="1"/>
  <c r="B27" i="63"/>
  <c r="B26" i="63"/>
  <c r="B21" i="54" l="1"/>
  <c r="B20" i="54"/>
  <c r="B19" i="54"/>
  <c r="B18" i="54"/>
  <c r="B8" i="57" l="1"/>
  <c r="B7" i="57"/>
  <c r="B8" i="63"/>
  <c r="B7" i="63"/>
  <c r="B8" i="54"/>
  <c r="B7" i="54"/>
  <c r="B8" i="62"/>
  <c r="B15" i="62" l="1"/>
  <c r="B14" i="62"/>
  <c r="B29" i="63" l="1"/>
  <c r="B28" i="63"/>
  <c r="B33" i="57" l="1"/>
  <c r="B26" i="57"/>
  <c r="B22" i="57" l="1"/>
  <c r="B36" i="57"/>
  <c r="B12" i="63" l="1"/>
  <c r="B11" i="63"/>
  <c r="B15" i="58"/>
  <c r="B16" i="58" l="1"/>
  <c r="B27" i="54" l="1"/>
  <c r="B28" i="54"/>
  <c r="B26" i="54"/>
  <c r="B10" i="62" l="1"/>
  <c r="B13" i="62"/>
  <c r="B25" i="54" l="1"/>
  <c r="B32" i="57" l="1"/>
  <c r="B30" i="57"/>
  <c r="B29" i="57"/>
  <c r="B13" i="64"/>
  <c r="B12" i="64"/>
  <c r="B11" i="64"/>
  <c r="B10" i="64"/>
  <c r="B9" i="64"/>
  <c r="B8" i="64"/>
  <c r="B7" i="64"/>
  <c r="B24" i="63"/>
  <c r="B19" i="63"/>
  <c r="B18"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20" i="57"/>
  <c r="B21" i="57"/>
  <c r="B12" i="54"/>
  <c r="B11" i="54"/>
  <c r="B17" i="58"/>
  <c r="B14" i="58"/>
  <c r="B11" i="58"/>
  <c r="B10" i="58"/>
  <c r="B8" i="58"/>
  <c r="B7" i="58"/>
  <c r="B22" i="54"/>
  <c r="B14" i="54"/>
  <c r="B23" i="54"/>
  <c r="B16" i="54"/>
  <c r="B35" i="57"/>
  <c r="B25" i="57"/>
  <c r="B24" i="57"/>
  <c r="B8" i="55"/>
  <c r="B7" i="55"/>
  <c r="B17"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<sst xmlns="http://schemas.openxmlformats.org/spreadsheetml/2006/main" count="2857" uniqueCount="332">
  <si>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</si>
  <si>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</si>
  <si>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</si>
  <si>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</si>
  <si>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</si>
  <si>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</si>
  <si>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</si>
  <si>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</si>
  <si>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</si>
  <si>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</si>
  <si>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</si>
  <si>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</si>
  <si>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</si>
  <si>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</si>
  <si>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</si>
  <si>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</si>
  <si>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</si>
  <si>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</si>
  <si>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</si>
  <si>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</si>
  <si>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</si>
  <si>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</si>
  <si>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</si>
  <si>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</si>
  <si>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</si>
  <si>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</si>
  <si>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</si>
  <si>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</si>
  <si>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</si>
  <si>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</si>
  <si>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</si>
  <si>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</si>
  <si>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</si>
  <si>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</si>
  <si>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</si>
  <si>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</si>
  <si>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</si>
  <si>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</si>
  <si>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</si>
  <si>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</si>
  <si>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</si>
  <si>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</si>
  <si>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</si>
  <si>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</si>
  <si>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</si>
  <si>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</si>
  <si>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</si>
  <si>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</si>
  <si>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</si>
  <si>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</si>
  <si>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</si>
  <si>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</si>
  <si>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</si>
  <si>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</si>
  <si>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</si>
  <si>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</si>
  <si>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</si>
  <si>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</si>
  <si>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</si>
  <si>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</si>
  <si>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</si>
  <si>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</si>
  <si>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</si>
  <si>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</si>
  <si>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</si>
  <si>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</si>
  <si>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</si>
  <si>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</si>
  <si>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</si>
  <si>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</si>
  <si>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</si>
  <si>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</si>
  <si>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</si>
  <si>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</si>
  <si>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</si>
  <si>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</si>
  <si>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</si>
  <si>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</si>
  <si>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</si>
  <si>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</si>
  <si>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</si>
  <si>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</si>
  <si>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</si>
  <si>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</si>
  <si>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</si>
  <si>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</si>
  <si>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</si>
  <si>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</si>
  <si>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</si>
  <si>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</si>
  <si>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</si>
  <si>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</si>
  <si>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</si>
  <si>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</si>
  <si>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</si>
  <si>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</si>
  <si>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</si>
  <si>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</si>
  <si>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</si>
  <si>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</si>
  <si>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</si>
  <si>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</si>
  <si>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</si>
  <si>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</si>
  <si>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</si>
  <si>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</si>
  <si>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</si>
  <si>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</si>
  <si>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</si>
  <si>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</si>
  <si>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</si>
  <si>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</si>
  <si>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</si>
  <si>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</si>
  <si>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</si>
  <si>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</si>
  <si>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</si>
  <si>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</si>
  <si>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</si>
  <si>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</si>
  <si>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</si>
  <si>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</si>
  <si>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</si>
  <si>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</si>
  <si>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</si>
  <si>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</si>
  <si>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</si>
  <si>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</si>
  <si>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</si>
  <si>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</si>
  <si>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</si>
  <si>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</si>
  <si>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</si>
  <si>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</si>
  <si>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</si>
  <si>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</si>
  <si>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</si>
  <si>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</si>
  <si>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</si>
  <si>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</si>
  <si>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</si>
  <si>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</si>
  <si>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</si>
  <si>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</si>
  <si>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</si>
  <si>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</si>
  <si>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&lt;&lt;Product_Catalogue.Product_Image&gt;&gt;</t>
  </si>
  <si>
    <t>&lt;&lt;Product_Catalogue.Product_Name&gt;&gt;</t>
  </si>
  <si>
    <t>&lt;&lt;Product_Catalogue.Tag_Line&gt;&gt;</t>
  </si>
  <si>
    <t>Explore our accounts</t>
  </si>
  <si>
    <t>[Image - Chequing]</t>
  </si>
  <si>
    <t>[Image - Savings]</t>
  </si>
  <si>
    <t>[Product attribute 1 - TBD]</t>
  </si>
  <si>
    <t>[Product attribute 2 - TBD]</t>
  </si>
  <si>
    <t>[Product attribute N - TBD]</t>
  </si>
  <si>
    <t>Remove</t>
  </si>
  <si>
    <t>Total monthly fixed fees: $&lt;&lt;fee total&gt;&gt;</t>
  </si>
  <si>
    <t>&lt;&lt;fee total&gt;&gt; should be calculated as the sum of all monthly fees (&lt;&lt;Product_Catalogue.Monthly_Fee&gt;&gt;) of the selected product instances</t>
  </si>
  <si>
    <t>Account Details</t>
  </si>
  <si>
    <t>Close</t>
  </si>
  <si>
    <t>On click…
Close the overlay</t>
  </si>
  <si>
    <t>* Additional transaction fees may apply</t>
  </si>
  <si>
    <t>What is the lowest balance you can comfortably keep in your account to avoid fees?</t>
  </si>
  <si>
    <t>2.0</t>
  </si>
  <si>
    <t>Business banking transactions</t>
  </si>
  <si>
    <t>Who do you need to pay?</t>
  </si>
  <si>
    <t>Q-SB2</t>
  </si>
  <si>
    <t>Q-SB3</t>
  </si>
  <si>
    <t>How do you want to get paid?</t>
  </si>
  <si>
    <t>Q-SB4</t>
  </si>
  <si>
    <t>1a</t>
  </si>
  <si>
    <t>3a</t>
  </si>
  <si>
    <t>Service Details (cash management products/services)</t>
  </si>
  <si>
    <t>Only if additional product/service selected</t>
  </si>
  <si>
    <t>Only for business banking applicants</t>
  </si>
  <si>
    <t>CWBSB-200</t>
  </si>
  <si>
    <t>2a</t>
  </si>
  <si>
    <t>CWBSB-204</t>
  </si>
  <si>
    <t>CWBSB-511</t>
  </si>
  <si>
    <t>CWBSB-201</t>
  </si>
  <si>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</si>
  <si>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</si>
  <si>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</si>
  <si>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</si>
  <si>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</si>
  <si>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</si>
  <si>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</si>
  <si>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</si>
  <si>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</si>
  <si>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</si>
  <si>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</si>
  <si>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</si>
  <si>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Conditional-omit if null value for Product Catalogue attribute "Monthly Free Transactions"</t>
  </si>
  <si>
    <t>Monthly fee $&lt;&lt;Product_Catalogue.Monthly_Fee&gt;&gt;</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</si>
  <si>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</si>
  <si>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</si>
  <si>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</si>
  <si>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</si>
  <si>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</si>
  <si>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 xml:space="preserve">&lt;&lt;Product_Catalogue.Monthly_Free_Tranactions&gt;&gt; monthly free transactions </t>
  </si>
  <si>
    <t>&lt;&lt;count&gt;&gt;</t>
  </si>
  <si>
    <t>account(s) added</t>
  </si>
  <si>
    <t>Validate that at least 1 account has been selected</t>
  </si>
  <si>
    <t>Whole numbers</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</si>
  <si>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</si>
  <si>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</si>
  <si>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</si>
  <si>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</si>
  <si>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</si>
  <si>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</si>
  <si>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</si>
  <si>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</si>
  <si>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</si>
  <si>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</si>
  <si>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</si>
  <si>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Chequing &amp; Savings Product Catalogue XML CWBSB-432</t>
  </si>
  <si>
    <t>Cash Management Products/Services XML CWBSB-433</t>
  </si>
  <si>
    <t>CWB Small Business Digital Client Onboarding (DCO)</t>
  </si>
  <si>
    <t>Numerical values 1 through 3</t>
  </si>
  <si>
    <t>(no caption)</t>
  </si>
  <si>
    <t>Small business pages for SB DCO Sprint 8:
- 1. Welcome-Business (CWBSB-201)
- 2. Account Selection (CWBSB-200)
Accounts Product Specification (CWBSB-432)
Account Product Field Matrix (attached to Epic CWBSB-87)</t>
  </si>
  <si>
    <t>Display modal message only if 'Remove' link is clicked</t>
  </si>
  <si>
    <t>2.1</t>
  </si>
  <si>
    <t>Added 4. Product Review page (CWBSB-199) for inclusion in Sprint 8.</t>
  </si>
  <si>
    <t>2.2</t>
  </si>
  <si>
    <t>DEPRECATED - Learn More will link to Sitecore web pages</t>
  </si>
  <si>
    <t>Refer to CWB design system for image assets</t>
  </si>
  <si>
    <t>All solutions</t>
  </si>
  <si>
    <t>Select the type of solutions you are interested in.</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</si>
  <si>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</si>
  <si>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 xml:space="preserve">On click, navigate to </t>
  </si>
  <si>
    <t xml:space="preserve">On click, </t>
  </si>
  <si>
    <t>Our business accounts</t>
  </si>
  <si>
    <t>Wording review - updated</t>
  </si>
  <si>
    <t>What you've selected</t>
  </si>
  <si>
    <t>OOS for R1</t>
  </si>
  <si>
    <t>View features</t>
  </si>
  <si>
    <t>Quantity:</t>
  </si>
  <si>
    <t>Product card re-styling CWBSB-658</t>
  </si>
  <si>
    <t>Quantity counter (- / +)</t>
  </si>
  <si>
    <t>See business rules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</si>
  <si>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</si>
  <si>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</si>
  <si>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</si>
  <si>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On click, hyperlink to URL in Product Catalogue attribute "Product Link" (open in new tab/window)</t>
  </si>
  <si>
    <t>On click...
Filter the account cards below to show only chequing accounts.</t>
  </si>
  <si>
    <t>On click...
Filter the account cards below to show only savings accounts.</t>
  </si>
  <si>
    <t>Selected</t>
  </si>
  <si>
    <t>Selected
Unselected</t>
  </si>
  <si>
    <t>Unselected</t>
  </si>
  <si>
    <t>Render as bullet point (see CWB design kit for UI treatment).
Omit if null or zero (0) value for Product Catalogue attribute "Monthly Free Transactions"</t>
  </si>
  <si>
    <t>Conditional - see business rules</t>
  </si>
  <si>
    <t>Product cards: show one card composed of the following fields, for each account in the selected category (Chequing or Savings)</t>
  </si>
  <si>
    <t>End product cards section</t>
  </si>
  <si>
    <t>Please select at least one account.</t>
  </si>
  <si>
    <t>Increment counter (sum) according to number of accounts selected from product cards above (including any pre-selected accounts on page entry).</t>
  </si>
  <si>
    <t>Card set for filtered products: show one card composed of the following fields, for each product in the category</t>
  </si>
  <si>
    <t>End card set</t>
  </si>
  <si>
    <t>Repeatable cash management solutions section: repeat for each solution category displayed (controlled by filter 3.3)</t>
  </si>
  <si>
    <t>[image - &lt;&lt;solution category&gt;&gt;]</t>
  </si>
  <si>
    <t>&lt;&lt;Product_Catalogue.Solution_Category&gt;&gt;</t>
  </si>
  <si>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</si>
  <si>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This drop-down is used to filter products/solutions by category.
On page load, default "All solutions" and reveal all sections below.
On selection of filter values, show only the solutions in the category selected.</t>
  </si>
  <si>
    <r>
      <rPr>
        <strike/>
        <sz val="14"/>
        <color theme="1"/>
        <rFont val="Calibri"/>
        <family val="2"/>
        <scheme val="minor"/>
      </rPr>
      <t>CWBSB-202</t>
    </r>
    <r>
      <rPr>
        <sz val="14"/>
        <color theme="1"/>
        <rFont val="Calibri"/>
        <family val="2"/>
        <scheme val="minor"/>
      </rPr>
      <t xml:space="preserve"> CWBSB-592</t>
    </r>
  </si>
  <si>
    <t>Initial spec for 3. Service Selection (complementary products) (CWBSB-202).
Deprecated account details/service details (redirecting to CWB website).</t>
  </si>
  <si>
    <t>Image support is required but images will not be loaded for R1.</t>
  </si>
  <si>
    <t>This is a round check mark element in top left of product cards - see CWB design kit for visual style and selected/unselected card states.
Load all products/solutions (in unselected state) according to filter control (3.3).</t>
  </si>
  <si>
    <t>Show me:</t>
  </si>
  <si>
    <t>DEPRECATED as guided journey OOS for R1 CWBSB-659</t>
  </si>
  <si>
    <t>2.3</t>
  </si>
  <si>
    <t>On click...
Navigate back to Service Selection (CWBSB-592)</t>
  </si>
  <si>
    <t>Card set for other selected complementary products/services</t>
  </si>
  <si>
    <t>Updated 2. Account Selection, 3. Service Selection (complementary products) and 4. Product Review to reflect updated UX design for product cards (CWBSB-658).
Deprecated welcome page and guided question pages as OOS for R1 (CWBSB-659)</t>
  </si>
  <si>
    <t>Step name (above progress bar)</t>
  </si>
  <si>
    <t>2.4</t>
  </si>
  <si>
    <t>Confirmed in product card re-styling story CWBSB-658 that modal is not needed: selections are not lost on "back" (Lucy Liu 3/23)</t>
  </si>
  <si>
    <t>On click, navigate to Account Selection page (CWBSB-200)
Note: selections will be retained.</t>
  </si>
  <si>
    <t>Omit if no URL  &lt;&lt;product link&gt;&gt; attribute in product specification
ELSE, on click...
Open (in new tab/window) URL link in &lt;&lt;product link&gt;&gt; attribute for corresponding product.</t>
  </si>
  <si>
    <t>Reveal on page load for pre-selected accounts only;
ELSE reveal when card is selected using check control (2.7)</t>
  </si>
  <si>
    <t>Added for use with lending product.</t>
  </si>
  <si>
    <t>&lt;&lt;Product_Catalogue.Configurable_Feature_3&gt;&gt;</t>
  </si>
  <si>
    <t>&lt;&lt;Product_Catalogue.Configurable_Feature_4&gt;&gt;</t>
  </si>
  <si>
    <t>Render as bullet point (see CWB design kit for UI treatment).
Omit if null value for Product Catalogue attribute "Configurable feature 3"</t>
  </si>
  <si>
    <t>Render as bullet point (see CWB design kit for UI treatment).
Omit if null value for Product Catalogue attribute "Configurable feature 4"</t>
  </si>
  <si>
    <t>&lt;&lt;Product_Catalogue.Card_Banner&gt;&gt;</t>
  </si>
  <si>
    <t>This is a text banner element, with text applicable for the specific product - see CWB design kit for visual style. 
Omit if null value for Product Catalogue attribute "card banner".</t>
  </si>
  <si>
    <t>Product card set for selected account(s) AND lending product, if applicable. Show one card composed of the following fields, for each account and lending product (if applicable) selected</t>
  </si>
  <si>
    <t>Quantity: &lt;&lt;number&gt;&gt;</t>
  </si>
  <si>
    <t>End product card set</t>
  </si>
  <si>
    <t>Chequing/savings products only: not applicable for lending product.
Render as bullet point (see CWB design kit for UI treatment).
Omit if null or zero (0) value for Product Catalogue attribute "Monthly Free Transactions"</t>
  </si>
  <si>
    <t>Chequing/savings products only: not applicable for lending product.
Render as bullet point (see CWB design kit for UI treatment).
Insert "0" if null value for Product Catalogue attribute "Monthly Fee"</t>
  </si>
  <si>
    <t xml:space="preserve">IF NO lending product selected
- must be at least one chequing OR savings account product selected to continue.
ELSE IF lending product selected
- must be at least one chequing account product selected to continue.
</t>
  </si>
  <si>
    <t>On click…
IF validation as described passes, navigate to Business eConsent (CWBSB-19)
ELSE IF validation fails, display appropriate validation message and remain on page.</t>
  </si>
  <si>
    <t>Quantity: 1</t>
  </si>
  <si>
    <t>Account (chequing/savings):
Insert number of product instances previously selected in &lt;&lt;number&gt;&gt; field.
Lending product:
Value will always be 1.</t>
  </si>
  <si>
    <t>Account (chequing/savings) products:
Quantity will be based on selection in Account Selection page (CWBSB-200).
Lending product:
Quantity will always be 1.
Quantity is static/non-editable in this page.</t>
  </si>
  <si>
    <t>Quantity for each complementary product/service will always be 1. This element is static/non-editable.</t>
  </si>
  <si>
    <r>
      <t xml:space="preserve">Are you sure? If you go back, you will need to re-start your application and you will lose any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</si>
  <si>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On click, validate that at least one account has been selected.
IF &gt;=1 account has been selected, navigate to Service (complementary products) Selection CWBSB-202
ELSE IF no account(s) selected, remain on page and display validation message.</t>
  </si>
  <si>
    <t>Increment for each additional product/solution selected from product cards in this page.</t>
  </si>
  <si>
    <t>Service Selection - lending and cash management (complementary) products/services</t>
  </si>
  <si>
    <t>IF NO lending product selected:
You must select at least one chequing or savings account.
ELSE IF lending product selected:
A chequing account is required to apply for a Line of Credit. Please go back and select a chequing account.</t>
  </si>
  <si>
    <t>Solutions</t>
  </si>
  <si>
    <t>Account selection</t>
  </si>
  <si>
    <t xml:space="preserve">If approved, your line of credit will be available right away. </t>
  </si>
  <si>
    <t>You indicated your interest in these solutions</t>
  </si>
  <si>
    <t>Our support team will contact you to discuss your needs and get you set up.</t>
  </si>
  <si>
    <t>Display this text ONLY for solution category "Financing"</t>
  </si>
  <si>
    <t>Added - team review 5/7</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</si>
  <si>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</si>
  <si>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</si>
  <si>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Logic update for 'Back' modal CWBSB-934</t>
  </si>
  <si>
    <t>All solutions
Financing
Credit cards
Payment solutions
Receivable solutions</t>
  </si>
  <si>
    <t>Other than "All solutions", enumerated values are defined in Product Specification (Product Type attribute).
Updated order - team review 5/10.</t>
  </si>
  <si>
    <t>On click...
Display modal confirmation message 4.23</t>
  </si>
  <si>
    <t>On click...
Display modal confirmation message 4.14</t>
  </si>
  <si>
    <t>Text/verbiage updates CWBSB-938 (all product selection pages)</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</si>
  <si>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</si>
  <si>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On click, display modal confirmation 2.20</t>
  </si>
  <si>
    <t>Insert &lt;&lt;product name&gt;&gt; attribute where indicated.
IF selection = 'No, go back', close modal and remain on page.
ELSE IF selection = 'Yes, remove', remove the product and corresponding tile from the page, close the modal and reload the page</t>
  </si>
  <si>
    <t>Incorporating text/verbiage updates (team reviewed).
Removed modal confirmation on 'Back' for 3. Service Selection (not required per Temenos dev CWBSB-658); updated 'Back' behaviour accordingly.
Updated +/- behaviour in 2. Account Selection per Sprint 10 demo (bug CWBSB-749)
3. Service Selection - product cards, validations modified to account for lending product attribution.
4. Product Review - layout, content and navigation logic modified to account for lending product.
2. Account Selection - updated 'Back' logic (added modal) to deal with technical limitation related to Codat.
Added story # for 'back' behaviour and final verbiage updates.
See green highlights for lending related updates.</t>
  </si>
  <si>
    <r>
      <t xml:space="preserve">Remove &lt;&lt;product name&gt;&gt;?
</t>
    </r>
    <r>
      <rPr>
        <u/>
        <sz val="11"/>
        <color theme="1"/>
        <rFont val="Calibri"/>
        <family val="2"/>
        <scheme val="minor"/>
      </rPr>
      <t>Yes, remove</t>
    </r>
    <r>
      <rPr>
        <sz val="11"/>
        <color theme="1"/>
        <rFont val="Calibri"/>
        <family val="2"/>
        <scheme val="minor"/>
      </rPr>
      <t xml:space="preserve">  </t>
    </r>
    <r>
      <rPr>
        <u/>
        <sz val="11"/>
        <color theme="1"/>
        <rFont val="Calibri"/>
        <family val="2"/>
        <scheme val="minor"/>
      </rPr>
      <t>No, go back</t>
    </r>
    <r>
      <rPr>
        <sz val="11"/>
        <color theme="1"/>
        <rFont val="Calibri"/>
        <family val="2"/>
        <scheme val="minor"/>
      </rPr>
      <t xml:space="preserve"> </t>
    </r>
  </si>
  <si>
    <t>solution(s) added</t>
  </si>
  <si>
    <t>On click…
IF validation as described passes, navigate to Product Review (CWBSB-199)
ELSE IF validation fails, display validation message and remain on page.
For exisiting customers run fraud check and go to ''eConsent'' page.</t>
  </si>
  <si>
    <t>New-to-bank flow.
IF lending (Line of Credit) product selected:
validate that at least one chequing account product selected to continue.</t>
  </si>
  <si>
    <t>New-to-bank flow.
A chequing account is required to apply for a Line of Credit. Please go back and select a chequing account.</t>
  </si>
  <si>
    <t>New-to-bank-only</t>
  </si>
  <si>
    <t>2.5</t>
  </si>
  <si>
    <t>Manny Ine</t>
  </si>
  <si>
    <t>Updated 2. Account selection page - added a new line of text
Updated 3. Service Selection page - updated the validation and business rules to include new-to-bank only.
Updated 4. Product review page - updated  visibility to New-to-bank only</t>
  </si>
  <si>
    <r>
      <t xml:space="preserve">Looking for an LOC? </t>
    </r>
    <r>
      <rPr>
        <u/>
        <sz val="12"/>
        <color rgb="FF000000"/>
        <rFont val="Calibri"/>
        <family val="2"/>
        <scheme val="minor"/>
      </rPr>
      <t>Skip to complementary products</t>
    </r>
  </si>
  <si>
    <r>
      <t xml:space="preserve">For exisitng client flow only.
</t>
    </r>
    <r>
      <rPr>
        <u/>
        <sz val="11"/>
        <color theme="1"/>
        <rFont val="Calibri"/>
        <family val="2"/>
        <scheme val="minor"/>
      </rPr>
      <t xml:space="preserve">Skip to complementary products </t>
    </r>
    <r>
      <rPr>
        <sz val="11"/>
        <color theme="1"/>
        <rFont val="Calibri"/>
        <family val="2"/>
        <scheme val="minor"/>
      </rPr>
      <t xml:space="preserve">  link to complementary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</si>
</sst>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4"/>
      <color theme="1"/>
      <name val="Calibri"/>
      <family val="2"/>
      <scheme val="minor"/>
    </font>
    <font>
      <strike/>
      <sz val="11"/>
      <color theme="1"/>
      <name val="Calibri"/>
      <family val="2"/>
      <scheme val="minor"/>
    </font>
    <font>
      <sz val="8"/>
      <name val="Calibri"/>
      <family val="2"/>
      <scheme val="minor"/>
    </font>
    <font>
      <sz val="12"/>
      <color rgb="FF000000"/>
      <name val="Calibri"/>
      <family val="2"/>
      <scheme val="minor"/>
    </font>
    <font>
      <u/>
      <sz val="12"/>
      <color rgb="FF00000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s>
  <borders count="1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s>
  <cellStyleXfs count="1">
    <xf numFmtId="0" fontId="0" fillId="0" borderId="0"/>
  </cellStyleXfs>
  <cellXfs count="4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0" fontId="3" fillId="0" borderId="7" xfId="0" applyFont="1" applyBorder="1" applyAlignment="1">
      <alignment vertical="center" wrapText="1"/>
    </xf>
    <xf numFmtId="0" fontId="0" fillId="0" borderId="8"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9" xfId="0" applyFont="1" applyFill="1" applyBorder="1" applyAlignment="1">
      <alignment vertical="center" wrapText="1"/>
    </xf>
    <xf numFmtId="0" fontId="6" fillId="0" borderId="0" xfId="0" applyFont="1" applyAlignment="1">
      <alignment horizontal="center" vertical="center"/>
    </xf>
    <xf numFmtId="0" fontId="1" fillId="4" borderId="9"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0" fillId="0" borderId="0" xfId="0" applyFill="1" applyAlignment="1">
      <alignment vertical="center" wrapText="1"/>
    </xf>
    <xf numFmtId="0" fontId="7" fillId="5" borderId="0" xfId="0" applyFont="1" applyFill="1" applyAlignment="1">
      <alignment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3" borderId="10" xfId="0" applyFont="1" applyFill="1" applyBorder="1" applyAlignment="1">
      <alignment horizontal="center" vertical="center"/>
    </xf>
    <xf numFmtId="0" fontId="0" fillId="0" borderId="11" xfId="0" applyBorder="1" applyAlignment="1">
      <alignment horizontal="center" vertical="center" wrapText="1"/>
    </xf>
    <xf numFmtId="0" fontId="4" fillId="0" borderId="0" xfId="0" applyFont="1" applyAlignment="1">
      <alignment vertical="center" wrapText="1"/>
    </xf>
    <xf numFmtId="0" fontId="0" fillId="6" borderId="0" xfId="0" applyFont="1" applyFill="1" applyAlignment="1">
      <alignment vertical="center" wrapText="1"/>
    </xf>
    <xf numFmtId="0" fontId="6"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Fill="1" applyAlignment="1">
      <alignment horizontal="center" vertical="center" wrapText="1"/>
    </xf>
    <xf numFmtId="0" fontId="5" fillId="0" borderId="0" xfId="0" applyFont="1" applyAlignment="1">
      <alignment horizontal="left" vertical="center"/>
    </xf>
    <xf numFmtId="0" fontId="7" fillId="5" borderId="0" xfId="0" applyFont="1" applyFill="1" applyAlignment="1">
      <alignment vertical="center"/>
    </xf>
    <xf numFmtId="0" fontId="11" fillId="0" borderId="0" xfId="0" applyFont="1" applyAlignment="1">
      <alignment vertical="center" wrapText="1"/>
    </xf>
    <xf numFmtId="0" fontId="7" fillId="0" borderId="0" xfId="0" applyFont="1" applyFill="1" applyAlignment="1">
      <alignment vertical="center" wrapText="1"/>
    </xf>
    <xf numFmtId="0" fontId="7" fillId="5" borderId="0" xfId="0" applyFont="1" applyFill="1" applyAlignment="1">
      <alignment horizontal="left" vertical="center" wrapText="1"/>
    </xf>
    <xf numFmtId="0" fontId="13" fillId="0" borderId="0" xfId="0" applyFont="1"/>
  </cellXfs>
  <cellStyles count="1">
    <cellStyle name="Normal" xfId="0" builtinId="0"/>
  </cellStyles>
  <dxfs count="402">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pane ySplit="5" topLeftCell="A9" activePane="bottomLeft" state="frozen"/>
      <selection pane="bottomLeft" activeCell="B15" sqref="B15"/>
    </sheetView>
  </sheetViews>
  <sheetFormatPr defaultRowHeight="14.25" x14ac:dyDescent="0.45"/>
  <cols>
    <col min="1" max="1" width="19.796875" customWidth="1"/>
    <col min="2" max="2" width="18.73046875" bestFit="1" customWidth="1"/>
    <col min="3" max="3" width="52.265625" customWidth="1"/>
    <col min="4" max="6" width="21.53125" customWidth="1"/>
    <col min="7" max="7" width="20.19921875" customWidth="1"/>
  </cols>
  <sheetData>
    <row r="1" spans="1:16" s="1" customFormat="1" ht="18" x14ac:dyDescent="0.45">
      <c r="A1" s="1" t="s">
        <v>217</v>
      </c>
      <c r="B1" s="2"/>
      <c r="C1" s="2"/>
      <c r="D1" s="2"/>
      <c r="E1" s="2"/>
      <c r="F1" s="2"/>
      <c r="G1" s="3"/>
      <c r="H1" s="2"/>
      <c r="I1" s="3"/>
      <c r="J1" s="3"/>
      <c r="K1" s="3"/>
      <c r="L1" s="2"/>
      <c r="M1" s="2"/>
      <c r="N1" s="2"/>
      <c r="O1" s="2"/>
      <c r="P1" s="2"/>
    </row>
    <row r="2" spans="1:16" s="1" customFormat="1" ht="18" x14ac:dyDescent="0.45">
      <c r="A2" s="1" t="s">
        <v>62</v>
      </c>
      <c r="B2" s="2"/>
      <c r="C2" s="2"/>
      <c r="D2" s="2"/>
      <c r="E2" s="2"/>
      <c r="F2" s="2"/>
      <c r="G2" s="3"/>
      <c r="H2" s="2"/>
      <c r="I2" s="3"/>
      <c r="J2" s="3"/>
      <c r="K2" s="3"/>
      <c r="L2" s="2"/>
      <c r="M2" s="2"/>
      <c r="N2" s="2"/>
      <c r="O2" s="2"/>
      <c r="P2" s="2"/>
    </row>
    <row r="3" spans="1:16" s="4" customFormat="1" x14ac:dyDescent="0.45">
      <c r="C3" s="5"/>
    </row>
    <row r="4" spans="1:16" ht="14.65" thickBot="1" x14ac:dyDescent="0.5"/>
    <row r="5" spans="1:16" s="10" customFormat="1" ht="14.65" thickBot="1" x14ac:dyDescent="0.5">
      <c r="A5" s="6" t="s">
        <v>2</v>
      </c>
      <c r="B5" s="7" t="s">
        <v>3</v>
      </c>
      <c r="C5" s="8" t="s">
        <v>4</v>
      </c>
      <c r="D5" s="7" t="s">
        <v>5</v>
      </c>
      <c r="E5" s="36" t="s">
        <v>61</v>
      </c>
      <c r="F5" s="9" t="s">
        <v>6</v>
      </c>
    </row>
    <row r="6" spans="1:16" s="4" customFormat="1" x14ac:dyDescent="0.45">
      <c r="A6" s="11" t="s">
        <v>63</v>
      </c>
      <c r="B6" s="12">
        <v>44054</v>
      </c>
      <c r="C6" s="13" t="s">
        <v>64</v>
      </c>
      <c r="D6" s="17" t="s">
        <v>1</v>
      </c>
      <c r="E6" s="37"/>
      <c r="F6" s="28"/>
    </row>
    <row r="7" spans="1:16" s="4" customFormat="1" ht="65.650000000000006" x14ac:dyDescent="0.45">
      <c r="A7" s="11" t="s">
        <v>163</v>
      </c>
      <c r="B7" s="12">
        <v>44244</v>
      </c>
      <c r="C7" s="13" t="s">
        <v>220</v>
      </c>
      <c r="D7" s="17" t="s">
        <v>190</v>
      </c>
      <c r="E7" s="37" t="s">
        <v>191</v>
      </c>
      <c r="F7" s="28"/>
    </row>
    <row r="8" spans="1:16" s="4" customFormat="1" x14ac:dyDescent="0.45">
      <c r="A8" s="11" t="s">
        <v>222</v>
      </c>
      <c r="B8" s="12">
        <v>44245</v>
      </c>
      <c r="C8" s="13" t="s">
        <v>223</v>
      </c>
      <c r="D8" s="17" t="s">
        <v>190</v>
      </c>
      <c r="E8" s="37" t="s">
        <v>191</v>
      </c>
      <c r="F8" s="28"/>
    </row>
    <row r="9" spans="1:16" s="4" customFormat="1" ht="52.5" x14ac:dyDescent="0.45">
      <c r="A9" s="11" t="s">
        <v>224</v>
      </c>
      <c r="B9" s="12">
        <v>44253</v>
      </c>
      <c r="C9" s="13" t="s">
        <v>264</v>
      </c>
      <c r="D9" s="17" t="s">
        <v>190</v>
      </c>
      <c r="E9" s="37" t="s">
        <v>191</v>
      </c>
      <c r="F9" s="28"/>
    </row>
    <row r="10" spans="1:16" s="4" customFormat="1" ht="65.650000000000006" x14ac:dyDescent="0.45">
      <c r="A10" s="11" t="s">
        <v>269</v>
      </c>
      <c r="B10" s="12">
        <v>44277</v>
      </c>
      <c r="C10" s="13" t="s">
        <v>272</v>
      </c>
      <c r="D10" s="17" t="s">
        <v>190</v>
      </c>
      <c r="E10" s="37" t="s">
        <v>191</v>
      </c>
      <c r="F10" s="28"/>
    </row>
    <row r="11" spans="1:16" s="4" customFormat="1" ht="183.75" x14ac:dyDescent="0.45">
      <c r="A11" s="11" t="s">
        <v>274</v>
      </c>
      <c r="B11" s="12">
        <v>44328</v>
      </c>
      <c r="C11" s="13" t="s">
        <v>320</v>
      </c>
      <c r="D11" s="17" t="s">
        <v>190</v>
      </c>
      <c r="E11" s="37" t="s">
        <v>191</v>
      </c>
      <c r="F11" s="28"/>
    </row>
    <row r="12" spans="1:16" s="4" customFormat="1" ht="85.9" customHeight="1" thickBot="1" x14ac:dyDescent="0.5">
      <c r="A12" s="11" t="s">
        <v>327</v>
      </c>
      <c r="B12" s="12">
        <v>44467</v>
      </c>
      <c r="C12" s="14" t="s">
        <v>329</v>
      </c>
      <c r="D12" s="16" t="s">
        <v>328</v>
      </c>
      <c r="E12" s="37" t="s">
        <v>191</v>
      </c>
      <c r="F12" s="15"/>
    </row>
  </sheetData>
  <phoneticPr fontId="12" type="noConversion"/>
  <conditionalFormatting sqref="I1:J2">
    <cfRule type="cellIs" dxfId="401" priority="10" operator="equal">
      <formula>"Not Applicable"</formula>
    </cfRule>
    <cfRule type="cellIs" dxfId="400" priority="11" operator="equal">
      <formula>"4 - Future Initiative (out of scope)"</formula>
    </cfRule>
    <cfRule type="cellIs" dxfId="399" priority="12" operator="equal">
      <formula>"3 - Desirable (Nice To Have)"</formula>
    </cfRule>
    <cfRule type="cellIs" dxfId="398" priority="13" operator="equal">
      <formula>"2 - Recommended (Best Practice)"</formula>
    </cfRule>
    <cfRule type="cellIs" dxfId="397" priority="14" operator="equal">
      <formula>"1 - Mandatory (Must Have)"</formula>
    </cfRule>
  </conditionalFormatting>
  <conditionalFormatting sqref="G1:G2">
    <cfRule type="cellIs" dxfId="396" priority="8" operator="equal">
      <formula>"Non-functional"</formula>
    </cfRule>
    <cfRule type="cellIs" dxfId="39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election activeCell="A30" sqref="A30"/>
    </sheetView>
  </sheetViews>
  <sheetFormatPr defaultRowHeight="14.25" x14ac:dyDescent="0.45"/>
  <cols>
    <col min="1" max="1" width="47.265625" bestFit="1" customWidth="1"/>
    <col min="2" max="2" width="25.53125" customWidth="1"/>
  </cols>
  <sheetData>
    <row r="1" spans="1:15" s="1" customFormat="1" ht="18" x14ac:dyDescent="0.45">
      <c r="A1" s="1" t="s">
        <v>0</v>
      </c>
      <c r="B1" s="2"/>
      <c r="C1" s="2"/>
      <c r="D1" s="2"/>
      <c r="E1" s="2"/>
      <c r="F1" s="3"/>
      <c r="G1" s="2"/>
      <c r="H1" s="3"/>
      <c r="I1" s="3"/>
      <c r="J1" s="3"/>
      <c r="K1" s="2"/>
      <c r="L1" s="2"/>
      <c r="M1" s="2"/>
      <c r="N1" s="2"/>
      <c r="O1" s="2"/>
    </row>
    <row r="2" spans="1:15" s="1" customFormat="1" ht="18" x14ac:dyDescent="0.45">
      <c r="A2" s="1" t="s">
        <v>60</v>
      </c>
      <c r="B2" s="2"/>
      <c r="C2" s="2"/>
      <c r="D2" s="2"/>
      <c r="E2" s="2"/>
      <c r="F2" s="3"/>
      <c r="G2" s="2"/>
      <c r="H2" s="3"/>
      <c r="I2" s="3"/>
      <c r="J2" s="3"/>
      <c r="K2" s="2"/>
      <c r="L2" s="2"/>
      <c r="M2" s="2"/>
      <c r="N2" s="2"/>
      <c r="O2" s="2"/>
    </row>
    <row r="4" spans="1:15" s="18" customFormat="1" x14ac:dyDescent="0.45">
      <c r="A4" s="18" t="s">
        <v>26</v>
      </c>
      <c r="B4" s="18" t="s">
        <v>36</v>
      </c>
    </row>
    <row r="5" spans="1:15" x14ac:dyDescent="0.45">
      <c r="A5" t="s">
        <v>40</v>
      </c>
      <c r="B5" t="s">
        <v>39</v>
      </c>
    </row>
    <row r="6" spans="1:15" x14ac:dyDescent="0.45">
      <c r="A6" t="s">
        <v>28</v>
      </c>
      <c r="B6" t="s">
        <v>37</v>
      </c>
    </row>
    <row r="7" spans="1:15" x14ac:dyDescent="0.45">
      <c r="A7" t="s">
        <v>44</v>
      </c>
      <c r="B7" t="s">
        <v>38</v>
      </c>
    </row>
    <row r="8" spans="1:15" x14ac:dyDescent="0.45">
      <c r="A8" t="s">
        <v>53</v>
      </c>
      <c r="B8" t="s">
        <v>35</v>
      </c>
    </row>
    <row r="9" spans="1:15" x14ac:dyDescent="0.45">
      <c r="A9" t="s">
        <v>46</v>
      </c>
      <c r="B9" t="s">
        <v>42</v>
      </c>
    </row>
    <row r="10" spans="1:15" x14ac:dyDescent="0.45">
      <c r="A10" t="s">
        <v>33</v>
      </c>
    </row>
    <row r="11" spans="1:15" x14ac:dyDescent="0.45">
      <c r="A11" t="s">
        <v>59</v>
      </c>
    </row>
    <row r="12" spans="1:15" x14ac:dyDescent="0.45">
      <c r="A12" t="s">
        <v>58</v>
      </c>
    </row>
    <row r="13" spans="1:15" x14ac:dyDescent="0.45">
      <c r="A13" t="s">
        <v>52</v>
      </c>
    </row>
    <row r="14" spans="1:15" x14ac:dyDescent="0.45">
      <c r="A14" t="s">
        <v>50</v>
      </c>
    </row>
    <row r="15" spans="1:15" x14ac:dyDescent="0.45">
      <c r="A15" t="s">
        <v>48</v>
      </c>
    </row>
    <row r="16" spans="1:15" x14ac:dyDescent="0.45">
      <c r="A16" t="s">
        <v>43</v>
      </c>
    </row>
    <row r="17" spans="1:1" x14ac:dyDescent="0.45">
      <c r="A17" t="s">
        <v>239</v>
      </c>
    </row>
    <row r="18" spans="1:1" x14ac:dyDescent="0.45">
      <c r="A18" t="s">
        <v>86</v>
      </c>
    </row>
    <row r="19" spans="1:1" x14ac:dyDescent="0.45">
      <c r="A19" t="s">
        <v>87</v>
      </c>
    </row>
    <row r="20" spans="1:1" x14ac:dyDescent="0.45">
      <c r="A20" t="s">
        <v>30</v>
      </c>
    </row>
    <row r="21" spans="1:1" x14ac:dyDescent="0.45">
      <c r="A21" t="s">
        <v>29</v>
      </c>
    </row>
    <row r="22" spans="1:1" x14ac:dyDescent="0.45">
      <c r="A22" t="s">
        <v>49</v>
      </c>
    </row>
    <row r="23" spans="1:1" x14ac:dyDescent="0.45">
      <c r="A23" t="s">
        <v>27</v>
      </c>
    </row>
    <row r="24" spans="1:1" x14ac:dyDescent="0.45">
      <c r="A24" t="s">
        <v>47</v>
      </c>
    </row>
    <row r="25" spans="1:1" x14ac:dyDescent="0.45">
      <c r="A25" t="s">
        <v>32</v>
      </c>
    </row>
    <row r="26" spans="1:1" x14ac:dyDescent="0.45">
      <c r="A26" t="s">
        <v>34</v>
      </c>
    </row>
    <row r="27" spans="1:1" x14ac:dyDescent="0.45">
      <c r="A27" t="s">
        <v>273</v>
      </c>
    </row>
    <row r="28" spans="1:1" x14ac:dyDescent="0.45">
      <c r="A28" t="s">
        <v>31</v>
      </c>
    </row>
    <row r="29" spans="1:1" x14ac:dyDescent="0.45">
      <c r="A29" t="s">
        <v>45</v>
      </c>
    </row>
    <row r="30" spans="1:1" x14ac:dyDescent="0.45">
      <c r="A30" t="s">
        <v>51</v>
      </c>
    </row>
  </sheetData>
  <sortState xmlns:xlrd2="http://schemas.microsoft.com/office/spreadsheetml/2017/richdata2" ref="A5:A15">
    <sortCondition ref="A16"/>
  </sortState>
  <conditionalFormatting sqref="H1:I2">
    <cfRule type="cellIs" dxfId="394" priority="3" operator="equal">
      <formula>"Not Applicable"</formula>
    </cfRule>
    <cfRule type="cellIs" dxfId="393" priority="4" operator="equal">
      <formula>"4 - Future Initiative (out of scope)"</formula>
    </cfRule>
    <cfRule type="cellIs" dxfId="392" priority="5" operator="equal">
      <formula>"3 - Desirable (Nice To Have)"</formula>
    </cfRule>
    <cfRule type="cellIs" dxfId="391" priority="6" operator="equal">
      <formula>"2 - Recommended (Best Practice)"</formula>
    </cfRule>
    <cfRule type="cellIs" dxfId="390" priority="7" operator="equal">
      <formula>"1 - Mandatory (Must Have)"</formula>
    </cfRule>
  </conditionalFormatting>
  <conditionalFormatting sqref="F1:F2">
    <cfRule type="cellIs" dxfId="389" priority="1" operator="equal">
      <formula>"Non-functional"</formula>
    </cfRule>
    <cfRule type="cellIs" dxfId="38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4"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189</v>
      </c>
      <c r="C1" s="23"/>
      <c r="D1" s="20" t="s">
        <v>268</v>
      </c>
      <c r="F1" s="38"/>
      <c r="H1" s="25"/>
    </row>
    <row r="2" spans="1:16" s="21" customFormat="1" ht="18" x14ac:dyDescent="0.45">
      <c r="A2" s="19" t="s">
        <v>8</v>
      </c>
      <c r="B2" s="26">
        <v>1</v>
      </c>
      <c r="C2" s="25"/>
      <c r="D2" s="26"/>
      <c r="F2" s="38"/>
      <c r="H2" s="25"/>
    </row>
    <row r="3" spans="1:16" s="21" customFormat="1" ht="18" x14ac:dyDescent="0.45">
      <c r="A3" s="19" t="s">
        <v>41</v>
      </c>
      <c r="B3" s="26" t="s">
        <v>179</v>
      </c>
      <c r="C3" s="25"/>
      <c r="D3" s="26"/>
      <c r="F3" s="38"/>
      <c r="H3" s="25"/>
    </row>
    <row r="4" spans="1:16" s="21" customFormat="1" ht="18" x14ac:dyDescent="0.45">
      <c r="A4" s="19" t="s">
        <v>9</v>
      </c>
      <c r="B4" s="21" t="s">
        <v>174</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5" si="0">CONCATENATE($B$2, ".", A7)</f>
        <v>1.1</v>
      </c>
      <c r="C7" s="35" t="s">
        <v>38</v>
      </c>
      <c r="D7" s="31" t="s">
        <v>232</v>
      </c>
      <c r="E7" s="32" t="s">
        <v>49</v>
      </c>
      <c r="F7" s="31" t="s">
        <v>55</v>
      </c>
      <c r="G7" s="31" t="s">
        <v>55</v>
      </c>
      <c r="H7" s="35" t="s">
        <v>55</v>
      </c>
      <c r="I7" s="32" t="s">
        <v>54</v>
      </c>
      <c r="J7" s="31" t="s">
        <v>55</v>
      </c>
      <c r="K7" s="31" t="s">
        <v>55</v>
      </c>
      <c r="L7" s="31" t="s">
        <v>55</v>
      </c>
      <c r="M7" s="31" t="s">
        <v>55</v>
      </c>
      <c r="N7" s="31" t="s">
        <v>55</v>
      </c>
      <c r="O7" s="31" t="s">
        <v>55</v>
      </c>
      <c r="P7" s="31" t="s">
        <v>233</v>
      </c>
    </row>
    <row r="8" spans="1:16" x14ac:dyDescent="0.45">
      <c r="A8" s="31">
        <v>2</v>
      </c>
      <c r="B8" s="31" t="str">
        <f t="shared" si="0"/>
        <v>1.2</v>
      </c>
      <c r="C8" s="35" t="s">
        <v>38</v>
      </c>
      <c r="D8" s="31" t="s">
        <v>55</v>
      </c>
      <c r="E8" s="32" t="s">
        <v>43</v>
      </c>
      <c r="F8" s="31" t="s">
        <v>55</v>
      </c>
      <c r="G8" s="31" t="s">
        <v>55</v>
      </c>
      <c r="H8" s="35" t="s">
        <v>55</v>
      </c>
      <c r="I8" s="32" t="s">
        <v>54</v>
      </c>
      <c r="J8" s="31" t="s">
        <v>55</v>
      </c>
      <c r="K8" s="31" t="s">
        <v>55</v>
      </c>
      <c r="L8" s="31" t="s">
        <v>55</v>
      </c>
      <c r="M8" s="31" t="s">
        <v>55</v>
      </c>
      <c r="N8" s="31" t="s">
        <v>55</v>
      </c>
      <c r="O8" s="31" t="s">
        <v>55</v>
      </c>
    </row>
    <row r="9" spans="1:16" ht="28.5" x14ac:dyDescent="0.45">
      <c r="A9" s="31">
        <v>3</v>
      </c>
      <c r="B9" s="31" t="str">
        <f t="shared" si="0"/>
        <v>1.3</v>
      </c>
      <c r="C9" s="35" t="s">
        <v>38</v>
      </c>
      <c r="D9" s="32" t="s">
        <v>182</v>
      </c>
      <c r="E9" s="32" t="s">
        <v>27</v>
      </c>
      <c r="F9" s="31" t="s">
        <v>55</v>
      </c>
      <c r="G9" s="31" t="s">
        <v>55</v>
      </c>
      <c r="H9" s="35" t="s">
        <v>55</v>
      </c>
      <c r="I9" s="32" t="s">
        <v>54</v>
      </c>
      <c r="J9" s="31" t="s">
        <v>55</v>
      </c>
      <c r="K9" s="31" t="s">
        <v>55</v>
      </c>
      <c r="L9" s="31" t="s">
        <v>55</v>
      </c>
      <c r="M9" s="31" t="s">
        <v>55</v>
      </c>
      <c r="N9" s="31" t="s">
        <v>55</v>
      </c>
      <c r="O9" s="31" t="s">
        <v>55</v>
      </c>
    </row>
    <row r="10" spans="1:16" ht="42.75" x14ac:dyDescent="0.45">
      <c r="A10" s="31">
        <v>4</v>
      </c>
      <c r="B10" s="31" t="str">
        <f t="shared" si="0"/>
        <v>1.4</v>
      </c>
      <c r="C10" s="35" t="s">
        <v>38</v>
      </c>
      <c r="D10" s="32" t="s">
        <v>188</v>
      </c>
      <c r="E10" s="32" t="s">
        <v>32</v>
      </c>
      <c r="F10" s="31" t="s">
        <v>55</v>
      </c>
      <c r="G10" s="31" t="s">
        <v>55</v>
      </c>
      <c r="H10" s="35" t="s">
        <v>55</v>
      </c>
      <c r="I10" s="32" t="s">
        <v>54</v>
      </c>
      <c r="J10" s="31" t="s">
        <v>55</v>
      </c>
      <c r="K10" s="31" t="s">
        <v>55</v>
      </c>
      <c r="L10" s="31" t="s">
        <v>55</v>
      </c>
      <c r="M10" s="31" t="s">
        <v>55</v>
      </c>
      <c r="N10" s="31" t="s">
        <v>55</v>
      </c>
      <c r="O10" s="31" t="s">
        <v>55</v>
      </c>
    </row>
    <row r="11" spans="1:16" x14ac:dyDescent="0.45">
      <c r="A11" s="31">
        <v>5</v>
      </c>
      <c r="B11" s="31" t="str">
        <f t="shared" si="0"/>
        <v>1.5</v>
      </c>
      <c r="C11" s="35" t="s">
        <v>38</v>
      </c>
      <c r="D11" s="32" t="s">
        <v>183</v>
      </c>
      <c r="E11" s="32" t="s">
        <v>27</v>
      </c>
      <c r="F11" s="31" t="s">
        <v>55</v>
      </c>
      <c r="G11" s="31" t="s">
        <v>55</v>
      </c>
      <c r="H11" s="35" t="s">
        <v>55</v>
      </c>
      <c r="I11" s="32" t="s">
        <v>54</v>
      </c>
      <c r="J11" s="31" t="s">
        <v>55</v>
      </c>
      <c r="K11" s="31" t="s">
        <v>55</v>
      </c>
      <c r="L11" s="31" t="s">
        <v>55</v>
      </c>
      <c r="M11" s="31" t="s">
        <v>55</v>
      </c>
      <c r="N11" s="31" t="s">
        <v>55</v>
      </c>
      <c r="O11" s="31" t="s">
        <v>55</v>
      </c>
    </row>
    <row r="12" spans="1:16" ht="42.75" x14ac:dyDescent="0.45">
      <c r="A12" s="31">
        <v>6</v>
      </c>
      <c r="B12" s="31" t="str">
        <f t="shared" si="0"/>
        <v>1.6</v>
      </c>
      <c r="C12" s="35" t="s">
        <v>38</v>
      </c>
      <c r="D12" s="32" t="s">
        <v>76</v>
      </c>
      <c r="E12" s="31" t="s">
        <v>40</v>
      </c>
      <c r="F12" s="31" t="s">
        <v>184</v>
      </c>
      <c r="G12" s="31" t="s">
        <v>55</v>
      </c>
      <c r="H12" s="35" t="s">
        <v>55</v>
      </c>
      <c r="I12" s="32" t="s">
        <v>54</v>
      </c>
      <c r="J12" s="31" t="s">
        <v>55</v>
      </c>
      <c r="K12" s="31" t="s">
        <v>55</v>
      </c>
      <c r="L12" s="31" t="s">
        <v>55</v>
      </c>
      <c r="M12" s="31" t="s">
        <v>55</v>
      </c>
      <c r="N12" s="31" t="s">
        <v>55</v>
      </c>
      <c r="O12" s="29" t="s">
        <v>186</v>
      </c>
      <c r="P12" s="31" t="s">
        <v>185</v>
      </c>
    </row>
    <row r="13" spans="1:16" ht="57" x14ac:dyDescent="0.45">
      <c r="A13" s="31">
        <v>7</v>
      </c>
      <c r="B13" s="31" t="str">
        <f t="shared" si="0"/>
        <v>1.7</v>
      </c>
      <c r="C13" s="35" t="s">
        <v>38</v>
      </c>
      <c r="D13" s="31" t="s">
        <v>77</v>
      </c>
      <c r="E13" s="31" t="s">
        <v>40</v>
      </c>
      <c r="F13" s="31" t="s">
        <v>184</v>
      </c>
      <c r="G13" s="31" t="s">
        <v>55</v>
      </c>
      <c r="H13" s="35" t="s">
        <v>55</v>
      </c>
      <c r="I13" s="32" t="s">
        <v>54</v>
      </c>
      <c r="J13" s="31" t="s">
        <v>55</v>
      </c>
      <c r="K13" s="31" t="s">
        <v>55</v>
      </c>
      <c r="L13" s="31" t="s">
        <v>55</v>
      </c>
      <c r="M13" s="31" t="s">
        <v>55</v>
      </c>
      <c r="N13" s="31" t="s">
        <v>55</v>
      </c>
      <c r="O13" s="31" t="s">
        <v>187</v>
      </c>
      <c r="P13" s="31" t="s">
        <v>185</v>
      </c>
    </row>
    <row r="14" spans="1:16" x14ac:dyDescent="0.45">
      <c r="A14" s="31">
        <v>8</v>
      </c>
      <c r="B14" s="31" t="str">
        <f t="shared" si="0"/>
        <v>1.8</v>
      </c>
      <c r="C14" s="35" t="s">
        <v>38</v>
      </c>
      <c r="D14" s="32" t="s">
        <v>56</v>
      </c>
      <c r="E14" s="32" t="s">
        <v>40</v>
      </c>
      <c r="F14" s="31" t="s">
        <v>55</v>
      </c>
      <c r="G14" s="31" t="s">
        <v>55</v>
      </c>
      <c r="H14" s="35" t="s">
        <v>55</v>
      </c>
      <c r="I14" s="32" t="s">
        <v>54</v>
      </c>
      <c r="J14" s="31" t="s">
        <v>55</v>
      </c>
      <c r="K14" s="31" t="s">
        <v>55</v>
      </c>
      <c r="L14" s="31" t="s">
        <v>55</v>
      </c>
      <c r="M14" s="32" t="s">
        <v>55</v>
      </c>
      <c r="N14" s="31" t="s">
        <v>55</v>
      </c>
      <c r="O14" s="31" t="s">
        <v>230</v>
      </c>
    </row>
    <row r="15" spans="1:16" x14ac:dyDescent="0.45">
      <c r="A15" s="31">
        <v>9</v>
      </c>
      <c r="B15" s="31" t="str">
        <f t="shared" si="0"/>
        <v>1.9</v>
      </c>
      <c r="C15" s="35" t="s">
        <v>38</v>
      </c>
      <c r="D15" s="32" t="s">
        <v>57</v>
      </c>
      <c r="E15" s="32" t="s">
        <v>40</v>
      </c>
      <c r="F15" s="31" t="s">
        <v>55</v>
      </c>
      <c r="G15" s="31" t="s">
        <v>55</v>
      </c>
      <c r="H15" s="35" t="s">
        <v>55</v>
      </c>
      <c r="I15" s="32" t="s">
        <v>54</v>
      </c>
      <c r="J15" s="31" t="s">
        <v>55</v>
      </c>
      <c r="K15" s="31" t="s">
        <v>55</v>
      </c>
      <c r="L15" s="31" t="s">
        <v>55</v>
      </c>
      <c r="M15" s="32" t="s">
        <v>55</v>
      </c>
      <c r="N15" s="31" t="s">
        <v>55</v>
      </c>
      <c r="O15" s="31" t="s">
        <v>231</v>
      </c>
    </row>
  </sheetData>
  <autoFilter ref="A6:P6" xr:uid="{00000000-0009-0000-0000-000002000000}"/>
  <conditionalFormatting sqref="C7:C1048576">
    <cfRule type="cellIs" dxfId="387" priority="19" operator="equal">
      <formula>"WIP (see comments)"</formula>
    </cfRule>
    <cfRule type="cellIs" dxfId="386" priority="20" operator="equal">
      <formula>"Removed"</formula>
    </cfRule>
    <cfRule type="cellIs" dxfId="385" priority="21" operator="equal">
      <formula>"Updated"</formula>
    </cfRule>
    <cfRule type="cellIs" dxfId="384" priority="22" operator="equal">
      <formula>"New"</formula>
    </cfRule>
  </conditionalFormatting>
  <conditionalFormatting sqref="D7:D11">
    <cfRule type="cellIs" dxfId="383" priority="18" operator="equal">
      <formula>"-"</formula>
    </cfRule>
  </conditionalFormatting>
  <conditionalFormatting sqref="P12:XFD12 A7:XFD7 A8:B12 D8:XFD11 D12:N12 C8:C15">
    <cfRule type="cellIs" dxfId="382" priority="17" operator="equal">
      <formula>"n/a"</formula>
    </cfRule>
  </conditionalFormatting>
  <conditionalFormatting sqref="O12">
    <cfRule type="cellIs" dxfId="381" priority="16" operator="equal">
      <formula>"n/a"</formula>
    </cfRule>
  </conditionalFormatting>
  <conditionalFormatting sqref="B13 E13:N13">
    <cfRule type="cellIs" dxfId="380" priority="10" operator="equal">
      <formula>"n/a"</formula>
    </cfRule>
  </conditionalFormatting>
  <conditionalFormatting sqref="J14:K15">
    <cfRule type="cellIs" dxfId="379" priority="1" operator="equal">
      <formula>"n/a"</formula>
    </cfRule>
  </conditionalFormatting>
  <conditionalFormatting sqref="D14:D15">
    <cfRule type="cellIs" dxfId="378" priority="5" operator="equal">
      <formula>"-"</formula>
    </cfRule>
  </conditionalFormatting>
  <conditionalFormatting sqref="D14:E15 G14:G15 L14:N15 I14:I15">
    <cfRule type="cellIs" dxfId="377" priority="4" operator="equal">
      <formula>"n/a"</formula>
    </cfRule>
  </conditionalFormatting>
  <conditionalFormatting sqref="H14:H15">
    <cfRule type="cellIs" dxfId="376" priority="3" operator="equal">
      <formula>"n/a"</formula>
    </cfRule>
  </conditionalFormatting>
  <conditionalFormatting sqref="F14:F15">
    <cfRule type="cellIs" dxfId="375" priority="2" operator="equal">
      <formula>"n/a"</formula>
    </cfRule>
  </conditionalFormatting>
  <dataValidations count="1">
    <dataValidation type="list" allowBlank="1" showInputMessage="1" showErrorMessage="1" sqref="E16:E1048576" xr:uid="{00000000-0002-0000-0200-000000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'List Values'!$B$5:$B$9</xm:f>
          </x14:formula1>
          <xm:sqref>C7:C1048576</xm:sqref>
        </x14:dataValidation>
        <x14:dataValidation type="list" allowBlank="1" showInputMessage="1" showErrorMessage="1" xr:uid="{00000000-0002-0000-0200-000002000000}">
          <x14:formula1>
            <xm:f>'List Values'!$A$5:$A$32</xm:f>
          </x14:formula1>
          <xm:sqref>E7:E13</xm:sqref>
        </x14:dataValidation>
        <x14:dataValidation type="list" allowBlank="1" showInputMessage="1" showErrorMessage="1" xr:uid="{00000000-0002-0000-0200-000003000000}">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9921875" defaultRowHeight="14.25" x14ac:dyDescent="0.45"/>
  <cols>
    <col min="1" max="1" width="14.73046875" style="31" customWidth="1"/>
    <col min="2" max="2" width="12.53125" style="31" customWidth="1"/>
    <col min="3" max="3" width="15.7304687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128</v>
      </c>
      <c r="C1" s="23"/>
      <c r="D1" s="20" t="s">
        <v>235</v>
      </c>
      <c r="F1" s="38"/>
      <c r="H1" s="25"/>
    </row>
    <row r="2" spans="1:16" s="21" customFormat="1" ht="18" x14ac:dyDescent="0.45">
      <c r="A2" s="19" t="s">
        <v>8</v>
      </c>
      <c r="B2" s="26" t="s">
        <v>129</v>
      </c>
      <c r="C2" s="25"/>
      <c r="D2" s="26"/>
      <c r="F2" s="38"/>
      <c r="H2" s="25"/>
    </row>
    <row r="3" spans="1:16" s="21" customFormat="1" ht="18" x14ac:dyDescent="0.45">
      <c r="A3" s="19" t="s">
        <v>41</v>
      </c>
      <c r="B3" s="26"/>
      <c r="C3" s="25"/>
      <c r="D3" s="26"/>
      <c r="F3" s="38"/>
      <c r="H3" s="25"/>
    </row>
    <row r="4" spans="1:16" s="21" customFormat="1" ht="18" x14ac:dyDescent="0.45">
      <c r="A4" s="19" t="s">
        <v>9</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Q-SB1.1</v>
      </c>
      <c r="C7" s="35" t="s">
        <v>38</v>
      </c>
      <c r="D7" s="31" t="s">
        <v>83</v>
      </c>
      <c r="E7" s="32" t="s">
        <v>49</v>
      </c>
      <c r="F7" s="31" t="s">
        <v>55</v>
      </c>
      <c r="G7" s="31" t="s">
        <v>55</v>
      </c>
      <c r="H7" s="35" t="s">
        <v>55</v>
      </c>
      <c r="I7" s="32" t="s">
        <v>54</v>
      </c>
      <c r="J7" s="31" t="s">
        <v>55</v>
      </c>
      <c r="K7" s="31" t="s">
        <v>55</v>
      </c>
      <c r="L7" s="31" t="s">
        <v>55</v>
      </c>
      <c r="M7" s="31" t="s">
        <v>55</v>
      </c>
      <c r="N7" s="31" t="s">
        <v>55</v>
      </c>
    </row>
    <row r="8" spans="1:16" x14ac:dyDescent="0.45">
      <c r="A8" s="31">
        <v>2</v>
      </c>
      <c r="B8" s="31" t="str">
        <f t="shared" si="0"/>
        <v>Q-SB1.2</v>
      </c>
      <c r="C8" s="35" t="s">
        <v>38</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Q-SB1.3</v>
      </c>
      <c r="C9" s="35" t="s">
        <v>38</v>
      </c>
      <c r="D9" s="39" t="s">
        <v>130</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Q-SB1.4</v>
      </c>
      <c r="C11" s="35" t="s">
        <v>38</v>
      </c>
      <c r="D11" s="39" t="s">
        <v>131</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Q-SB1.5</v>
      </c>
      <c r="C12" s="35" t="s">
        <v>38</v>
      </c>
      <c r="D12" s="39" t="s">
        <v>131</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Q-SB1.6</v>
      </c>
      <c r="C13" s="35" t="s">
        <v>38</v>
      </c>
      <c r="D13" s="39" t="s">
        <v>131</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Q-SB1.6</v>
      </c>
      <c r="C15" s="35" t="s">
        <v>38</v>
      </c>
      <c r="D15" s="32" t="s">
        <v>56</v>
      </c>
      <c r="E15" s="32" t="s">
        <v>40</v>
      </c>
      <c r="F15" s="31" t="s">
        <v>55</v>
      </c>
      <c r="G15" s="31" t="s">
        <v>55</v>
      </c>
      <c r="H15" s="35" t="s">
        <v>55</v>
      </c>
      <c r="I15" s="32" t="s">
        <v>54</v>
      </c>
      <c r="J15" s="31" t="s">
        <v>55</v>
      </c>
      <c r="K15" s="31" t="s">
        <v>55</v>
      </c>
      <c r="L15" s="31" t="s">
        <v>55</v>
      </c>
      <c r="M15" s="31" t="s">
        <v>55</v>
      </c>
      <c r="N15" s="31" t="s">
        <v>55</v>
      </c>
      <c r="O15" s="29" t="s">
        <v>132</v>
      </c>
    </row>
    <row r="16" spans="1:16" ht="28.5" x14ac:dyDescent="0.45">
      <c r="A16" s="31">
        <v>7</v>
      </c>
      <c r="B16" s="31" t="str">
        <f t="shared" si="0"/>
        <v>Q-SB1.7</v>
      </c>
      <c r="C16" s="35" t="s">
        <v>38</v>
      </c>
      <c r="D16" s="31" t="s">
        <v>57</v>
      </c>
      <c r="E16" s="32" t="s">
        <v>40</v>
      </c>
      <c r="F16" s="31" t="s">
        <v>55</v>
      </c>
      <c r="G16" s="31" t="s">
        <v>55</v>
      </c>
      <c r="H16" s="35" t="s">
        <v>55</v>
      </c>
      <c r="I16" s="32" t="s">
        <v>54</v>
      </c>
      <c r="J16" s="31" t="s">
        <v>55</v>
      </c>
      <c r="K16" s="31" t="s">
        <v>55</v>
      </c>
      <c r="L16" s="31" t="s">
        <v>55</v>
      </c>
      <c r="M16" s="31" t="s">
        <v>55</v>
      </c>
      <c r="N16" s="31" t="s">
        <v>55</v>
      </c>
      <c r="O16" s="39" t="s">
        <v>133</v>
      </c>
      <c r="P16" s="31" t="s">
        <v>134</v>
      </c>
    </row>
    <row r="17" spans="1:15" ht="28.5" x14ac:dyDescent="0.45">
      <c r="A17" s="31">
        <v>8</v>
      </c>
      <c r="B17" s="31" t="str">
        <f t="shared" si="0"/>
        <v>Q-SB1.8</v>
      </c>
      <c r="C17" s="35" t="s">
        <v>38</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03000000}"/>
  <mergeCells count="2">
    <mergeCell ref="A10:E10"/>
    <mergeCell ref="A14:E14"/>
  </mergeCells>
  <conditionalFormatting sqref="C7:C9 C11:C13 C15:C1048576">
    <cfRule type="cellIs" dxfId="374" priority="15" operator="equal">
      <formula>"WIP (see comments)"</formula>
    </cfRule>
    <cfRule type="cellIs" dxfId="373" priority="16" operator="equal">
      <formula>"Removed"</formula>
    </cfRule>
    <cfRule type="cellIs" dxfId="372" priority="17" operator="equal">
      <formula>"Updated"</formula>
    </cfRule>
    <cfRule type="cellIs" dxfId="371" priority="18" operator="equal">
      <formula>"New"</formula>
    </cfRule>
  </conditionalFormatting>
  <conditionalFormatting sqref="D7:D9 D11:D13">
    <cfRule type="cellIs" dxfId="370" priority="14" operator="equal">
      <formula>"-"</formula>
    </cfRule>
  </conditionalFormatting>
  <conditionalFormatting sqref="P15:XFD15 A11:L11 A15:N15 N11:XFD11 E16:N17 A13:B13 N13:XFD13 K12:L13 E13:J13 A7:XFD9 C12:D13 B16:C17">
    <cfRule type="cellIs" dxfId="369" priority="13" operator="equal">
      <formula>"n/a"</formula>
    </cfRule>
  </conditionalFormatting>
  <conditionalFormatting sqref="O15">
    <cfRule type="cellIs" dxfId="368" priority="12" operator="equal">
      <formula>"n/a"</formula>
    </cfRule>
  </conditionalFormatting>
  <conditionalFormatting sqref="M11 M13">
    <cfRule type="cellIs" dxfId="367" priority="11" operator="equal">
      <formula>"n/a"</formula>
    </cfRule>
  </conditionalFormatting>
  <conditionalFormatting sqref="F10:XFD10">
    <cfRule type="cellIs" dxfId="366" priority="10" operator="equal">
      <formula>"n/a"</formula>
    </cfRule>
  </conditionalFormatting>
  <conditionalFormatting sqref="F14:XFD14 A14">
    <cfRule type="cellIs" dxfId="365" priority="9" operator="equal">
      <formula>"n/a"</formula>
    </cfRule>
  </conditionalFormatting>
  <conditionalFormatting sqref="A12:B12 N12:XFD12 E12:J12">
    <cfRule type="cellIs" dxfId="364" priority="3" operator="equal">
      <formula>"n/a"</formula>
    </cfRule>
  </conditionalFormatting>
  <conditionalFormatting sqref="M12">
    <cfRule type="cellIs" dxfId="363" priority="2" operator="equal">
      <formula>"n/a"</formula>
    </cfRule>
  </conditionalFormatting>
  <conditionalFormatting sqref="A10">
    <cfRule type="cellIs" dxfId="3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Values'!$B$5:$B$9</xm:f>
          </x14:formula1>
          <xm:sqref>C7:C9 C11:C13 C15:C1048576</xm:sqref>
        </x14:dataValidation>
        <x14:dataValidation type="list" allowBlank="1" showInputMessage="1" showErrorMessage="1" xr:uid="{00000000-0002-0000-0300-000001000000}">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A17" sqref="A17"/>
    </sheetView>
  </sheetViews>
  <sheetFormatPr defaultColWidth="9.19921875" defaultRowHeight="14.25" x14ac:dyDescent="0.45"/>
  <cols>
    <col min="1" max="1" width="14.73046875" style="31" customWidth="1"/>
    <col min="2" max="2" width="12.53125" style="31" customWidth="1"/>
    <col min="3" max="3" width="15.7304687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128</v>
      </c>
      <c r="C1" s="23"/>
      <c r="D1" s="20" t="s">
        <v>235</v>
      </c>
      <c r="F1" s="38"/>
      <c r="H1" s="25"/>
    </row>
    <row r="2" spans="1:16" s="21" customFormat="1" ht="18" x14ac:dyDescent="0.45">
      <c r="A2" s="19" t="s">
        <v>8</v>
      </c>
      <c r="B2" s="26" t="s">
        <v>166</v>
      </c>
      <c r="C2" s="25"/>
      <c r="D2" s="26"/>
      <c r="F2" s="38"/>
      <c r="H2" s="25"/>
    </row>
    <row r="3" spans="1:16" s="21" customFormat="1" ht="18" x14ac:dyDescent="0.45">
      <c r="A3" s="19" t="s">
        <v>41</v>
      </c>
      <c r="B3" s="26"/>
      <c r="C3" s="25"/>
      <c r="D3" s="26"/>
      <c r="F3" s="38"/>
      <c r="H3" s="25"/>
    </row>
    <row r="4" spans="1:16" s="21" customFormat="1" ht="18" x14ac:dyDescent="0.45">
      <c r="A4" s="19" t="s">
        <v>9</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Q-SB2.1</v>
      </c>
      <c r="C7" s="35" t="s">
        <v>38</v>
      </c>
      <c r="D7" s="31" t="s">
        <v>164</v>
      </c>
      <c r="E7" s="32" t="s">
        <v>49</v>
      </c>
      <c r="F7" s="31" t="s">
        <v>55</v>
      </c>
      <c r="G7" s="31" t="s">
        <v>55</v>
      </c>
      <c r="H7" s="35" t="s">
        <v>55</v>
      </c>
      <c r="I7" s="32" t="s">
        <v>54</v>
      </c>
      <c r="J7" s="31" t="s">
        <v>55</v>
      </c>
      <c r="K7" s="31" t="s">
        <v>55</v>
      </c>
      <c r="L7" s="31" t="s">
        <v>55</v>
      </c>
      <c r="M7" s="31" t="s">
        <v>55</v>
      </c>
      <c r="N7" s="31" t="s">
        <v>55</v>
      </c>
    </row>
    <row r="8" spans="1:16" x14ac:dyDescent="0.45">
      <c r="A8" s="31">
        <v>2</v>
      </c>
      <c r="B8" s="31" t="str">
        <f t="shared" si="0"/>
        <v>Q-SB2.2</v>
      </c>
      <c r="C8" s="35" t="s">
        <v>38</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Q-SB2.3</v>
      </c>
      <c r="C9" s="35" t="s">
        <v>38</v>
      </c>
      <c r="D9" s="39" t="s">
        <v>130</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Q-SB2.4</v>
      </c>
      <c r="C11" s="35" t="s">
        <v>38</v>
      </c>
      <c r="D11" s="39" t="s">
        <v>131</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Q-SB2.5</v>
      </c>
      <c r="C12" s="35" t="s">
        <v>38</v>
      </c>
      <c r="D12" s="39" t="s">
        <v>131</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Q-SB2.6</v>
      </c>
      <c r="C13" s="35" t="s">
        <v>38</v>
      </c>
      <c r="D13" s="39" t="s">
        <v>131</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Q-SB2.6</v>
      </c>
      <c r="C15" s="35" t="s">
        <v>38</v>
      </c>
      <c r="D15" s="32" t="s">
        <v>56</v>
      </c>
      <c r="E15" s="32" t="s">
        <v>40</v>
      </c>
      <c r="F15" s="31" t="s">
        <v>55</v>
      </c>
      <c r="G15" s="31" t="s">
        <v>55</v>
      </c>
      <c r="H15" s="35" t="s">
        <v>55</v>
      </c>
      <c r="I15" s="32" t="s">
        <v>54</v>
      </c>
      <c r="J15" s="31" t="s">
        <v>55</v>
      </c>
      <c r="K15" s="31" t="s">
        <v>55</v>
      </c>
      <c r="L15" s="31" t="s">
        <v>55</v>
      </c>
      <c r="M15" s="31" t="s">
        <v>55</v>
      </c>
      <c r="N15" s="31" t="s">
        <v>55</v>
      </c>
      <c r="O15" s="29" t="s">
        <v>132</v>
      </c>
    </row>
    <row r="16" spans="1:16" ht="28.5" x14ac:dyDescent="0.45">
      <c r="A16" s="31">
        <v>7</v>
      </c>
      <c r="B16" s="31" t="str">
        <f t="shared" si="0"/>
        <v>Q-SB2.7</v>
      </c>
      <c r="C16" s="35" t="s">
        <v>38</v>
      </c>
      <c r="D16" s="31" t="s">
        <v>57</v>
      </c>
      <c r="E16" s="32" t="s">
        <v>40</v>
      </c>
      <c r="F16" s="31" t="s">
        <v>55</v>
      </c>
      <c r="G16" s="31" t="s">
        <v>55</v>
      </c>
      <c r="H16" s="35" t="s">
        <v>55</v>
      </c>
      <c r="I16" s="32" t="s">
        <v>54</v>
      </c>
      <c r="J16" s="31" t="s">
        <v>55</v>
      </c>
      <c r="K16" s="31" t="s">
        <v>55</v>
      </c>
      <c r="L16" s="31" t="s">
        <v>55</v>
      </c>
      <c r="M16" s="31" t="s">
        <v>55</v>
      </c>
      <c r="N16" s="31" t="s">
        <v>55</v>
      </c>
      <c r="O16" s="39" t="s">
        <v>133</v>
      </c>
      <c r="P16" s="31" t="s">
        <v>134</v>
      </c>
    </row>
    <row r="17" spans="1:15" ht="28.5" x14ac:dyDescent="0.45">
      <c r="A17" s="31">
        <v>8</v>
      </c>
      <c r="B17" s="31" t="str">
        <f t="shared" si="0"/>
        <v>Q-SB2.8</v>
      </c>
      <c r="C17" s="35" t="s">
        <v>38</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04000000}"/>
  <mergeCells count="2">
    <mergeCell ref="A10:E10"/>
    <mergeCell ref="A14:E14"/>
  </mergeCells>
  <conditionalFormatting sqref="C7:C9 C11:C13 C15:C1048576">
    <cfRule type="cellIs" dxfId="361" priority="14" operator="equal">
      <formula>"WIP (see comments)"</formula>
    </cfRule>
    <cfRule type="cellIs" dxfId="360" priority="15" operator="equal">
      <formula>"Removed"</formula>
    </cfRule>
    <cfRule type="cellIs" dxfId="359" priority="16" operator="equal">
      <formula>"Updated"</formula>
    </cfRule>
    <cfRule type="cellIs" dxfId="358" priority="17" operator="equal">
      <formula>"New"</formula>
    </cfRule>
  </conditionalFormatting>
  <conditionalFormatting sqref="D7:D9 D11:D13">
    <cfRule type="cellIs" dxfId="357" priority="13" operator="equal">
      <formula>"-"</formula>
    </cfRule>
  </conditionalFormatting>
  <conditionalFormatting sqref="P15:XFD15 A11:L11 A15:N15 N11:XFD11 E16:N17 A13:B13 N13:XFD13 K12:L13 E13:J13 A7:XFD9 C12:D13 B16:C17">
    <cfRule type="cellIs" dxfId="356" priority="12" operator="equal">
      <formula>"n/a"</formula>
    </cfRule>
  </conditionalFormatting>
  <conditionalFormatting sqref="O15">
    <cfRule type="cellIs" dxfId="355" priority="11" operator="equal">
      <formula>"n/a"</formula>
    </cfRule>
  </conditionalFormatting>
  <conditionalFormatting sqref="M11 M13">
    <cfRule type="cellIs" dxfId="354" priority="10" operator="equal">
      <formula>"n/a"</formula>
    </cfRule>
  </conditionalFormatting>
  <conditionalFormatting sqref="F10:XFD10">
    <cfRule type="cellIs" dxfId="353" priority="9" operator="equal">
      <formula>"n/a"</formula>
    </cfRule>
  </conditionalFormatting>
  <conditionalFormatting sqref="F14:XFD14 A14">
    <cfRule type="cellIs" dxfId="352" priority="8" operator="equal">
      <formula>"n/a"</formula>
    </cfRule>
  </conditionalFormatting>
  <conditionalFormatting sqref="A12:B12 N12:XFD12 E12:J12">
    <cfRule type="cellIs" dxfId="351" priority="3" operator="equal">
      <formula>"n/a"</formula>
    </cfRule>
  </conditionalFormatting>
  <conditionalFormatting sqref="M12">
    <cfRule type="cellIs" dxfId="350" priority="2" operator="equal">
      <formula>"n/a"</formula>
    </cfRule>
  </conditionalFormatting>
  <conditionalFormatting sqref="A10">
    <cfRule type="cellIs" dxfId="3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'List Values'!$B$5:$B$9</xm:f>
          </x14:formula1>
          <xm:sqref>C7:C9 C11:C13 C15:C1048576</xm:sqref>
        </x14:dataValidation>
        <x14:dataValidation type="list" allowBlank="1" showInputMessage="1" showErrorMessage="1" xr:uid="{00000000-0002-0000-0400-000001000000}">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B29"/>
  <sheetViews>
    <sheetView tabSelected="1" zoomScaleNormal="100" workbookViewId="0">
      <pane xSplit="4" ySplit="6" topLeftCell="H7" activePane="bottomRight" state="frozen"/>
      <selection pane="topRight" activeCell="E1" sqref="E1"/>
      <selection pane="bottomLeft" activeCell="A7" sqref="A7"/>
      <selection pane="bottomRight" activeCell="M11" sqref="M9:M11"/>
    </sheetView>
  </sheetViews>
  <sheetFormatPr defaultColWidth="9.19921875" defaultRowHeight="14.25" x14ac:dyDescent="0.45"/>
  <cols>
    <col min="1" max="1" width="14.73046875" style="31" customWidth="1"/>
    <col min="2" max="2" width="12.53125" style="31" customWidth="1"/>
    <col min="3" max="3" width="13.53125" style="35" customWidth="1"/>
    <col min="4" max="4" width="58.664062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5" hidden="1" customHeight="1" x14ac:dyDescent="0.45">
      <c r="A1" s="19" t="s">
        <v>7</v>
      </c>
      <c r="B1" s="27" t="s">
        <v>135</v>
      </c>
      <c r="C1" s="23"/>
      <c r="D1" s="20"/>
      <c r="F1" s="38"/>
      <c r="H1" s="25"/>
    </row>
    <row r="2" spans="1:16" s="21" customFormat="1" ht="18" x14ac:dyDescent="0.45">
      <c r="A2" s="19" t="s">
        <v>8</v>
      </c>
      <c r="B2" s="26">
        <v>2</v>
      </c>
      <c r="C2" s="25"/>
      <c r="D2" s="26" t="s">
        <v>215</v>
      </c>
      <c r="F2" s="38"/>
      <c r="H2" s="25"/>
    </row>
    <row r="3" spans="1:16" s="21" customFormat="1" ht="18" x14ac:dyDescent="0.45">
      <c r="A3" s="19" t="s">
        <v>41</v>
      </c>
      <c r="B3" s="26" t="s">
        <v>175</v>
      </c>
      <c r="C3" s="25"/>
      <c r="D3" s="26" t="s">
        <v>316</v>
      </c>
      <c r="F3" s="38"/>
      <c r="H3" s="25"/>
    </row>
    <row r="4" spans="1:16" s="21" customFormat="1" ht="18" x14ac:dyDescent="0.45">
      <c r="A4" s="19" t="s">
        <v>9</v>
      </c>
      <c r="B4" s="21" t="s">
        <v>54</v>
      </c>
      <c r="C4" s="25"/>
      <c r="D4" s="21" t="s">
        <v>238</v>
      </c>
      <c r="F4" s="38"/>
      <c r="H4" s="25"/>
    </row>
    <row r="5" spans="1:16" s="33" customFormat="1" ht="18" x14ac:dyDescent="0.45">
      <c r="C5" s="34"/>
      <c r="D5" s="21" t="s">
        <v>311</v>
      </c>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0" si="0">CONCATENATE($B$2, ".", A7)</f>
        <v>2.1</v>
      </c>
      <c r="C7" s="35" t="s">
        <v>37</v>
      </c>
      <c r="D7" s="31" t="s">
        <v>303</v>
      </c>
      <c r="E7" s="32" t="s">
        <v>273</v>
      </c>
      <c r="F7" s="31" t="s">
        <v>55</v>
      </c>
      <c r="G7" s="31" t="s">
        <v>55</v>
      </c>
      <c r="H7" s="35" t="s">
        <v>55</v>
      </c>
      <c r="I7" s="32" t="s">
        <v>54</v>
      </c>
      <c r="J7" s="31" t="s">
        <v>55</v>
      </c>
      <c r="K7" s="31" t="s">
        <v>55</v>
      </c>
      <c r="L7" s="31" t="s">
        <v>55</v>
      </c>
      <c r="M7" s="31" t="s">
        <v>55</v>
      </c>
      <c r="N7" s="31" t="s">
        <v>55</v>
      </c>
      <c r="O7" s="31" t="s">
        <v>55</v>
      </c>
    </row>
    <row r="8" spans="1:16" x14ac:dyDescent="0.45">
      <c r="A8" s="31">
        <v>2</v>
      </c>
      <c r="B8" s="31" t="str">
        <f t="shared" si="0"/>
        <v>2.2</v>
      </c>
      <c r="C8" s="35" t="s">
        <v>37</v>
      </c>
      <c r="D8" s="31" t="s">
        <v>55</v>
      </c>
      <c r="E8" s="32" t="s">
        <v>43</v>
      </c>
      <c r="F8" s="31" t="s">
        <v>55</v>
      </c>
      <c r="G8" s="31" t="s">
        <v>55</v>
      </c>
      <c r="H8" s="35" t="s">
        <v>55</v>
      </c>
      <c r="I8" s="32" t="s">
        <v>54</v>
      </c>
      <c r="J8" s="31" t="s">
        <v>55</v>
      </c>
      <c r="K8" s="31" t="s">
        <v>55</v>
      </c>
      <c r="L8" s="31" t="s">
        <v>55</v>
      </c>
      <c r="M8" s="31" t="s">
        <v>55</v>
      </c>
      <c r="N8" s="31" t="s">
        <v>55</v>
      </c>
      <c r="O8" s="31" t="s">
        <v>55</v>
      </c>
    </row>
    <row r="9" spans="1:16" ht="42.75" x14ac:dyDescent="0.5">
      <c r="A9" s="31">
        <v>3</v>
      </c>
      <c r="B9" s="31" t="str">
        <f t="shared" si="0"/>
        <v>2.3</v>
      </c>
      <c r="C9" s="35" t="s">
        <v>39</v>
      </c>
      <c r="D9" s="48" t="s">
        <v>330</v>
      </c>
      <c r="E9" s="32" t="s">
        <v>32</v>
      </c>
      <c r="F9" s="31" t="s">
        <v>55</v>
      </c>
      <c r="G9" s="31" t="s">
        <v>55</v>
      </c>
      <c r="H9" s="35" t="s">
        <v>55</v>
      </c>
      <c r="I9" s="32" t="s">
        <v>251</v>
      </c>
      <c r="J9" s="31" t="s">
        <v>55</v>
      </c>
      <c r="K9" s="31" t="s">
        <v>55</v>
      </c>
      <c r="L9" s="31" t="s">
        <v>55</v>
      </c>
      <c r="M9" s="31" t="s">
        <v>55</v>
      </c>
      <c r="N9" s="31" t="s">
        <v>55</v>
      </c>
      <c r="O9" s="31" t="s">
        <v>331</v>
      </c>
    </row>
    <row r="10" spans="1:16" x14ac:dyDescent="0.45">
      <c r="A10" s="31">
        <v>4</v>
      </c>
      <c r="B10" s="31" t="str">
        <f t="shared" si="0"/>
        <v>2.4</v>
      </c>
      <c r="C10" s="35" t="s">
        <v>37</v>
      </c>
      <c r="D10" s="32" t="s">
        <v>149</v>
      </c>
      <c r="E10" s="32" t="s">
        <v>49</v>
      </c>
      <c r="F10" s="31" t="s">
        <v>55</v>
      </c>
      <c r="G10" s="31" t="s">
        <v>55</v>
      </c>
      <c r="H10" s="35" t="s">
        <v>55</v>
      </c>
      <c r="I10" s="32" t="s">
        <v>54</v>
      </c>
      <c r="J10" s="31" t="s">
        <v>55</v>
      </c>
      <c r="K10" s="31" t="s">
        <v>55</v>
      </c>
      <c r="L10" s="31" t="s">
        <v>55</v>
      </c>
      <c r="M10" s="32" t="s">
        <v>55</v>
      </c>
      <c r="N10" s="31" t="s">
        <v>55</v>
      </c>
    </row>
    <row r="11" spans="1:16" ht="42.75" x14ac:dyDescent="0.45">
      <c r="A11" s="31">
        <v>5</v>
      </c>
      <c r="B11" s="31" t="str">
        <f>CONCATENATE($B$2, ".", A11)</f>
        <v>2.5</v>
      </c>
      <c r="C11" s="35" t="s">
        <v>37</v>
      </c>
      <c r="D11" s="32" t="s">
        <v>150</v>
      </c>
      <c r="E11" s="32" t="s">
        <v>87</v>
      </c>
      <c r="F11" s="31" t="s">
        <v>248</v>
      </c>
      <c r="G11" s="31" t="s">
        <v>55</v>
      </c>
      <c r="H11" s="35" t="s">
        <v>55</v>
      </c>
      <c r="I11" s="32" t="s">
        <v>54</v>
      </c>
      <c r="J11" s="31" t="s">
        <v>247</v>
      </c>
      <c r="K11" s="31" t="s">
        <v>55</v>
      </c>
      <c r="L11" s="31" t="s">
        <v>55</v>
      </c>
      <c r="M11" s="32" t="s">
        <v>55</v>
      </c>
      <c r="N11" s="31" t="s">
        <v>55</v>
      </c>
      <c r="O11" s="31" t="s">
        <v>245</v>
      </c>
    </row>
    <row r="12" spans="1:16" ht="42.75" x14ac:dyDescent="0.45">
      <c r="A12" s="31">
        <v>6</v>
      </c>
      <c r="B12" s="31" t="str">
        <f>CONCATENATE($B$2, ".", A12)</f>
        <v>2.6</v>
      </c>
      <c r="C12" s="35" t="s">
        <v>37</v>
      </c>
      <c r="D12" s="32" t="s">
        <v>151</v>
      </c>
      <c r="E12" s="32" t="s">
        <v>87</v>
      </c>
      <c r="F12" s="31" t="s">
        <v>248</v>
      </c>
      <c r="G12" s="31" t="s">
        <v>55</v>
      </c>
      <c r="H12" s="35" t="s">
        <v>55</v>
      </c>
      <c r="I12" s="32" t="s">
        <v>54</v>
      </c>
      <c r="J12" s="31" t="s">
        <v>249</v>
      </c>
      <c r="K12" s="31" t="s">
        <v>55</v>
      </c>
      <c r="L12" s="31" t="s">
        <v>55</v>
      </c>
      <c r="M12" s="32" t="s">
        <v>55</v>
      </c>
      <c r="N12" s="31" t="s">
        <v>55</v>
      </c>
      <c r="O12" s="31" t="s">
        <v>246</v>
      </c>
    </row>
    <row r="13" spans="1:16" s="30" customFormat="1" ht="15" customHeight="1" x14ac:dyDescent="0.45">
      <c r="A13" s="44" t="s">
        <v>252</v>
      </c>
      <c r="B13" s="44"/>
      <c r="C13" s="44"/>
      <c r="D13" s="44"/>
      <c r="E13" s="44"/>
      <c r="F13" s="44"/>
    </row>
    <row r="14" spans="1:16" ht="156.75" x14ac:dyDescent="0.45">
      <c r="A14" s="31">
        <v>7</v>
      </c>
      <c r="B14" s="31" t="str">
        <f>CONCATENATE($B$2, ".", A14)</f>
        <v>2.7</v>
      </c>
      <c r="C14" s="35" t="s">
        <v>37</v>
      </c>
      <c r="D14" s="32" t="s">
        <v>219</v>
      </c>
      <c r="E14" s="32" t="s">
        <v>28</v>
      </c>
      <c r="F14" s="31" t="s">
        <v>55</v>
      </c>
      <c r="G14" s="31" t="s">
        <v>55</v>
      </c>
      <c r="H14" s="35" t="s">
        <v>55</v>
      </c>
      <c r="I14" s="32" t="s">
        <v>54</v>
      </c>
      <c r="J14" s="31" t="s">
        <v>240</v>
      </c>
      <c r="K14" s="31" t="s">
        <v>55</v>
      </c>
      <c r="L14" s="31" t="s">
        <v>55</v>
      </c>
      <c r="M14" s="32" t="s">
        <v>55</v>
      </c>
      <c r="N14" s="31" t="s">
        <v>55</v>
      </c>
      <c r="O14" s="31" t="s">
        <v>309</v>
      </c>
    </row>
    <row r="15" spans="1:16" x14ac:dyDescent="0.45">
      <c r="A15" s="31">
        <v>8</v>
      </c>
      <c r="B15" s="31" t="str">
        <f>CONCATENATE($B$2, ".", A15)</f>
        <v>2.8</v>
      </c>
      <c r="C15" s="35" t="s">
        <v>38</v>
      </c>
      <c r="D15" s="32" t="s">
        <v>146</v>
      </c>
      <c r="E15" s="32" t="s">
        <v>48</v>
      </c>
      <c r="F15" s="31" t="s">
        <v>55</v>
      </c>
      <c r="G15" s="31" t="s">
        <v>55</v>
      </c>
      <c r="H15" s="35" t="s">
        <v>55</v>
      </c>
      <c r="I15" s="32" t="s">
        <v>54</v>
      </c>
      <c r="J15" s="31" t="s">
        <v>55</v>
      </c>
      <c r="K15" s="31" t="s">
        <v>55</v>
      </c>
      <c r="L15" s="31" t="s">
        <v>55</v>
      </c>
      <c r="M15" s="32" t="s">
        <v>55</v>
      </c>
      <c r="N15" s="31" t="s">
        <v>55</v>
      </c>
    </row>
    <row r="16" spans="1:16" x14ac:dyDescent="0.45">
      <c r="A16" s="31">
        <v>9</v>
      </c>
      <c r="B16" s="31" t="str">
        <f>CONCATENATE($B$2, ".", A16)</f>
        <v>2.9</v>
      </c>
      <c r="C16" s="35" t="s">
        <v>37</v>
      </c>
      <c r="D16" s="32" t="s">
        <v>147</v>
      </c>
      <c r="E16" s="32" t="s">
        <v>27</v>
      </c>
      <c r="F16" s="31" t="s">
        <v>55</v>
      </c>
      <c r="G16" s="31" t="s">
        <v>55</v>
      </c>
      <c r="H16" s="35" t="s">
        <v>55</v>
      </c>
      <c r="I16" s="32" t="s">
        <v>54</v>
      </c>
      <c r="J16" s="31" t="s">
        <v>55</v>
      </c>
      <c r="K16" s="31" t="s">
        <v>55</v>
      </c>
      <c r="L16" s="31" t="s">
        <v>55</v>
      </c>
      <c r="M16" s="32" t="s">
        <v>55</v>
      </c>
      <c r="N16" s="31" t="s">
        <v>55</v>
      </c>
    </row>
    <row r="17" spans="1:28" x14ac:dyDescent="0.45">
      <c r="A17" s="31">
        <v>10</v>
      </c>
      <c r="B17" s="31" t="str">
        <f t="shared" ref="B17:B23" si="1">CONCATENATE($B$2, ".", A17)</f>
        <v>2.10</v>
      </c>
      <c r="C17" s="35" t="s">
        <v>37</v>
      </c>
      <c r="D17" s="32" t="s">
        <v>148</v>
      </c>
      <c r="E17" s="32" t="s">
        <v>59</v>
      </c>
      <c r="F17" s="31" t="s">
        <v>55</v>
      </c>
      <c r="G17" s="31" t="s">
        <v>55</v>
      </c>
      <c r="H17" s="35" t="s">
        <v>55</v>
      </c>
      <c r="I17" s="32" t="s">
        <v>54</v>
      </c>
      <c r="J17" s="31" t="s">
        <v>55</v>
      </c>
      <c r="K17" s="31" t="s">
        <v>55</v>
      </c>
      <c r="L17" s="31" t="s">
        <v>55</v>
      </c>
      <c r="M17" s="32" t="s">
        <v>55</v>
      </c>
      <c r="N17" s="31" t="s">
        <v>55</v>
      </c>
    </row>
    <row r="18" spans="1:28" ht="57" x14ac:dyDescent="0.45">
      <c r="A18" s="31">
        <v>11</v>
      </c>
      <c r="B18" s="31" t="str">
        <f t="shared" si="1"/>
        <v>2.11</v>
      </c>
      <c r="C18" s="35" t="s">
        <v>37</v>
      </c>
      <c r="D18" s="32" t="s">
        <v>199</v>
      </c>
      <c r="E18" s="32" t="s">
        <v>59</v>
      </c>
      <c r="F18" s="31" t="s">
        <v>55</v>
      </c>
      <c r="G18" s="31" t="s">
        <v>55</v>
      </c>
      <c r="H18" s="35" t="s">
        <v>55</v>
      </c>
      <c r="I18" s="32" t="s">
        <v>251</v>
      </c>
      <c r="J18" s="31" t="s">
        <v>55</v>
      </c>
      <c r="K18" s="31" t="s">
        <v>55</v>
      </c>
      <c r="L18" s="31" t="s">
        <v>55</v>
      </c>
      <c r="M18" s="32" t="s">
        <v>55</v>
      </c>
      <c r="N18" s="31" t="s">
        <v>55</v>
      </c>
      <c r="O18" s="31" t="s">
        <v>250</v>
      </c>
    </row>
    <row r="19" spans="1:28" ht="57" x14ac:dyDescent="0.45">
      <c r="A19" s="31">
        <v>12</v>
      </c>
      <c r="B19" s="31" t="str">
        <f>CONCATENATE($B$2, ".", A19)</f>
        <v>2.12</v>
      </c>
      <c r="C19" s="35" t="s">
        <v>37</v>
      </c>
      <c r="D19" s="32" t="s">
        <v>193</v>
      </c>
      <c r="E19" s="32" t="s">
        <v>59</v>
      </c>
      <c r="F19" s="31" t="s">
        <v>55</v>
      </c>
      <c r="G19" s="31" t="s">
        <v>55</v>
      </c>
      <c r="H19" s="35" t="s">
        <v>55</v>
      </c>
      <c r="I19" s="32" t="s">
        <v>54</v>
      </c>
      <c r="J19" s="31" t="s">
        <v>55</v>
      </c>
      <c r="K19" s="31" t="s">
        <v>55</v>
      </c>
      <c r="L19" s="31" t="s">
        <v>55</v>
      </c>
      <c r="M19" s="32" t="s">
        <v>55</v>
      </c>
      <c r="N19" s="31" t="s">
        <v>55</v>
      </c>
      <c r="O19" s="31" t="s">
        <v>241</v>
      </c>
    </row>
    <row r="20" spans="1:28" ht="57" x14ac:dyDescent="0.45">
      <c r="A20" s="31">
        <v>13</v>
      </c>
      <c r="B20" s="31" t="str">
        <f t="shared" ref="B20:B21" si="2">CONCATENATE($B$2, ".", A20)</f>
        <v>2.13</v>
      </c>
      <c r="C20" s="35" t="s">
        <v>37</v>
      </c>
      <c r="D20" s="32" t="s">
        <v>194</v>
      </c>
      <c r="E20" s="32" t="s">
        <v>59</v>
      </c>
      <c r="F20" s="31" t="s">
        <v>55</v>
      </c>
      <c r="G20" s="31" t="s">
        <v>55</v>
      </c>
      <c r="H20" s="35" t="s">
        <v>55</v>
      </c>
      <c r="I20" s="32" t="s">
        <v>251</v>
      </c>
      <c r="J20" s="31" t="s">
        <v>55</v>
      </c>
      <c r="K20" s="31" t="s">
        <v>55</v>
      </c>
      <c r="L20" s="31" t="s">
        <v>55</v>
      </c>
      <c r="M20" s="32" t="s">
        <v>55</v>
      </c>
      <c r="N20" s="31" t="s">
        <v>55</v>
      </c>
      <c r="O20" s="31" t="s">
        <v>242</v>
      </c>
    </row>
    <row r="21" spans="1:28" ht="57" x14ac:dyDescent="0.45">
      <c r="A21" s="31">
        <v>14</v>
      </c>
      <c r="B21" s="31" t="str">
        <f t="shared" si="2"/>
        <v>2.14</v>
      </c>
      <c r="C21" s="35" t="s">
        <v>37</v>
      </c>
      <c r="D21" s="32" t="s">
        <v>195</v>
      </c>
      <c r="E21" s="32" t="s">
        <v>59</v>
      </c>
      <c r="F21" s="31" t="s">
        <v>55</v>
      </c>
      <c r="G21" s="31" t="s">
        <v>55</v>
      </c>
      <c r="H21" s="35" t="s">
        <v>55</v>
      </c>
      <c r="I21" s="32" t="s">
        <v>251</v>
      </c>
      <c r="J21" s="31" t="s">
        <v>55</v>
      </c>
      <c r="K21" s="31" t="s">
        <v>55</v>
      </c>
      <c r="L21" s="31" t="s">
        <v>55</v>
      </c>
      <c r="M21" s="32" t="s">
        <v>55</v>
      </c>
      <c r="N21" s="31" t="s">
        <v>55</v>
      </c>
      <c r="O21" s="31" t="s">
        <v>243</v>
      </c>
    </row>
    <row r="22" spans="1:28" ht="28.5" x14ac:dyDescent="0.45">
      <c r="A22" s="31">
        <v>15</v>
      </c>
      <c r="B22" s="31" t="str">
        <f>CONCATENATE($B$2, ".", A22)</f>
        <v>2.15</v>
      </c>
      <c r="C22" s="35" t="s">
        <v>37</v>
      </c>
      <c r="D22" s="32" t="s">
        <v>236</v>
      </c>
      <c r="E22" s="32" t="s">
        <v>47</v>
      </c>
      <c r="F22" s="31" t="s">
        <v>55</v>
      </c>
      <c r="G22" s="31" t="s">
        <v>55</v>
      </c>
      <c r="H22" s="35" t="s">
        <v>55</v>
      </c>
      <c r="I22" s="32" t="s">
        <v>54</v>
      </c>
      <c r="J22" s="31" t="s">
        <v>55</v>
      </c>
      <c r="K22" s="31" t="s">
        <v>55</v>
      </c>
      <c r="L22" s="31" t="s">
        <v>55</v>
      </c>
      <c r="M22" s="32" t="s">
        <v>55</v>
      </c>
      <c r="N22" s="31" t="s">
        <v>55</v>
      </c>
      <c r="O22" s="31" t="s">
        <v>244</v>
      </c>
    </row>
    <row r="23" spans="1:28" s="30" customFormat="1" ht="141.5" customHeight="1" x14ac:dyDescent="0.45">
      <c r="A23" s="31">
        <v>16</v>
      </c>
      <c r="B23" s="31" t="str">
        <f t="shared" si="1"/>
        <v>2.16</v>
      </c>
      <c r="C23" s="35" t="s">
        <v>37</v>
      </c>
      <c r="D23" s="32" t="s">
        <v>237</v>
      </c>
      <c r="E23" s="32" t="s">
        <v>239</v>
      </c>
      <c r="F23" s="31" t="s">
        <v>218</v>
      </c>
      <c r="G23" s="31" t="s">
        <v>55</v>
      </c>
      <c r="H23" s="35">
        <v>1</v>
      </c>
      <c r="I23" s="32" t="s">
        <v>278</v>
      </c>
      <c r="J23" s="41" t="s">
        <v>240</v>
      </c>
      <c r="K23" s="31" t="s">
        <v>55</v>
      </c>
      <c r="L23" s="31" t="s">
        <v>55</v>
      </c>
      <c r="M23" s="32" t="s">
        <v>55</v>
      </c>
      <c r="N23" s="31" t="s">
        <v>55</v>
      </c>
      <c r="O23" s="31" t="s">
        <v>317</v>
      </c>
      <c r="P23" s="31"/>
      <c r="Q23" s="46"/>
      <c r="R23" s="46"/>
      <c r="S23" s="46"/>
      <c r="T23" s="46"/>
      <c r="U23" s="46"/>
      <c r="V23" s="46"/>
      <c r="W23" s="46"/>
      <c r="X23" s="46"/>
      <c r="Y23" s="46"/>
      <c r="Z23" s="46"/>
      <c r="AA23" s="46"/>
      <c r="AB23" s="46"/>
    </row>
    <row r="24" spans="1:28" x14ac:dyDescent="0.45">
      <c r="A24" s="44" t="s">
        <v>253</v>
      </c>
      <c r="B24" s="44"/>
      <c r="C24" s="44"/>
      <c r="D24" s="44"/>
      <c r="E24" s="44"/>
      <c r="F24" s="44"/>
      <c r="G24" s="30"/>
      <c r="H24" s="30"/>
      <c r="I24" s="30"/>
      <c r="J24" s="30"/>
      <c r="K24" s="30"/>
      <c r="L24" s="30"/>
      <c r="M24" s="30"/>
      <c r="N24" s="30"/>
      <c r="O24" s="30"/>
      <c r="P24" s="30"/>
    </row>
    <row r="25" spans="1:28" ht="42.75" x14ac:dyDescent="0.45">
      <c r="A25" s="31">
        <v>17</v>
      </c>
      <c r="B25" s="31" t="str">
        <f>CONCATENATE($B$2, ".", A25)</f>
        <v>2.17</v>
      </c>
      <c r="C25" s="35" t="s">
        <v>37</v>
      </c>
      <c r="D25" s="32" t="s">
        <v>200</v>
      </c>
      <c r="E25" s="32" t="s">
        <v>40</v>
      </c>
      <c r="F25" s="31" t="s">
        <v>203</v>
      </c>
      <c r="G25" s="31" t="s">
        <v>55</v>
      </c>
      <c r="H25" s="35" t="s">
        <v>55</v>
      </c>
      <c r="I25" s="32" t="s">
        <v>54</v>
      </c>
      <c r="J25" s="41" t="s">
        <v>240</v>
      </c>
      <c r="K25" s="31" t="s">
        <v>55</v>
      </c>
      <c r="L25" s="31" t="s">
        <v>55</v>
      </c>
      <c r="M25" s="32" t="s">
        <v>55</v>
      </c>
      <c r="N25" s="31" t="s">
        <v>55</v>
      </c>
      <c r="O25" s="31" t="s">
        <v>255</v>
      </c>
    </row>
    <row r="26" spans="1:28" x14ac:dyDescent="0.45">
      <c r="A26" s="31">
        <v>18</v>
      </c>
      <c r="B26" s="31" t="str">
        <f>CONCATENATE($B$2, ".", A26)</f>
        <v>2.18</v>
      </c>
      <c r="C26" s="35" t="s">
        <v>37</v>
      </c>
      <c r="D26" s="32" t="s">
        <v>201</v>
      </c>
      <c r="E26" s="32" t="s">
        <v>40</v>
      </c>
      <c r="F26" s="31" t="s">
        <v>55</v>
      </c>
      <c r="G26" s="31" t="s">
        <v>55</v>
      </c>
      <c r="H26" s="35" t="s">
        <v>55</v>
      </c>
      <c r="I26" s="32" t="s">
        <v>54</v>
      </c>
      <c r="J26" s="31" t="s">
        <v>55</v>
      </c>
      <c r="K26" s="31" t="s">
        <v>55</v>
      </c>
      <c r="L26" s="31" t="s">
        <v>55</v>
      </c>
      <c r="M26" s="32" t="s">
        <v>55</v>
      </c>
      <c r="N26" s="31" t="s">
        <v>55</v>
      </c>
    </row>
    <row r="27" spans="1:28" ht="85.5" x14ac:dyDescent="0.45">
      <c r="A27" s="31">
        <v>19</v>
      </c>
      <c r="B27" s="31" t="str">
        <f>CONCATENATE($B$2, ".", A27)</f>
        <v>2.19</v>
      </c>
      <c r="C27" s="35" t="s">
        <v>37</v>
      </c>
      <c r="D27" s="32" t="s">
        <v>56</v>
      </c>
      <c r="E27" s="32" t="s">
        <v>40</v>
      </c>
      <c r="F27" s="31" t="s">
        <v>55</v>
      </c>
      <c r="G27" s="31" t="s">
        <v>55</v>
      </c>
      <c r="H27" s="35" t="s">
        <v>55</v>
      </c>
      <c r="I27" s="32" t="s">
        <v>54</v>
      </c>
      <c r="J27" s="31" t="s">
        <v>55</v>
      </c>
      <c r="K27" s="31" t="s">
        <v>55</v>
      </c>
      <c r="L27" s="31" t="s">
        <v>55</v>
      </c>
      <c r="M27" s="32" t="s">
        <v>202</v>
      </c>
      <c r="N27" s="31" t="s">
        <v>254</v>
      </c>
      <c r="O27" s="31" t="s">
        <v>298</v>
      </c>
    </row>
    <row r="28" spans="1:28" x14ac:dyDescent="0.45">
      <c r="A28" s="31">
        <v>20</v>
      </c>
      <c r="B28" s="31" t="str">
        <f>CONCATENATE($B$2, ".", A28)</f>
        <v>2.20</v>
      </c>
      <c r="C28" s="35" t="s">
        <v>37</v>
      </c>
      <c r="D28" s="32" t="s">
        <v>57</v>
      </c>
      <c r="E28" s="32" t="s">
        <v>40</v>
      </c>
      <c r="F28" s="31" t="s">
        <v>55</v>
      </c>
      <c r="G28" s="31" t="s">
        <v>55</v>
      </c>
      <c r="H28" s="35" t="s">
        <v>55</v>
      </c>
      <c r="I28" s="32" t="s">
        <v>54</v>
      </c>
      <c r="J28" s="31" t="s">
        <v>55</v>
      </c>
      <c r="K28" s="31" t="s">
        <v>55</v>
      </c>
      <c r="L28" s="31" t="s">
        <v>55</v>
      </c>
      <c r="M28" s="32" t="s">
        <v>55</v>
      </c>
      <c r="N28" s="31" t="s">
        <v>55</v>
      </c>
      <c r="O28" s="31" t="s">
        <v>318</v>
      </c>
    </row>
    <row r="29" spans="1:28" ht="114" x14ac:dyDescent="0.45">
      <c r="A29" s="31">
        <v>21</v>
      </c>
      <c r="B29" s="31" t="str">
        <f>CONCATENATE($B$2, ".", A29)</f>
        <v>2.21</v>
      </c>
      <c r="C29" s="35" t="s">
        <v>37</v>
      </c>
      <c r="D29" s="42" t="s">
        <v>297</v>
      </c>
      <c r="E29" s="32" t="s">
        <v>53</v>
      </c>
      <c r="F29" s="31" t="s">
        <v>55</v>
      </c>
      <c r="G29" s="31" t="s">
        <v>55</v>
      </c>
      <c r="H29" s="35" t="s">
        <v>55</v>
      </c>
      <c r="I29" s="41" t="s">
        <v>251</v>
      </c>
      <c r="J29" s="31" t="s">
        <v>55</v>
      </c>
      <c r="K29" s="31" t="s">
        <v>55</v>
      </c>
      <c r="L29" s="31" t="s">
        <v>55</v>
      </c>
      <c r="M29" s="32" t="s">
        <v>55</v>
      </c>
      <c r="N29" s="31" t="s">
        <v>55</v>
      </c>
      <c r="O29" s="31" t="s">
        <v>310</v>
      </c>
    </row>
  </sheetData>
  <autoFilter ref="A6:P6" xr:uid="{00000000-0009-0000-0000-000005000000}"/>
  <conditionalFormatting sqref="C30:C1048576 C17 C14">
    <cfRule type="cellIs" dxfId="348" priority="127" operator="equal">
      <formula>"WIP (see comments)"</formula>
    </cfRule>
    <cfRule type="cellIs" dxfId="347" priority="128" operator="equal">
      <formula>"Removed"</formula>
    </cfRule>
    <cfRule type="cellIs" dxfId="346" priority="129" operator="equal">
      <formula>"Updated"</formula>
    </cfRule>
    <cfRule type="cellIs" dxfId="345" priority="130" operator="equal">
      <formula>"New"</formula>
    </cfRule>
  </conditionalFormatting>
  <conditionalFormatting sqref="D17 D22:D23 D14">
    <cfRule type="cellIs" dxfId="344" priority="126" operator="equal">
      <formula>"-"</formula>
    </cfRule>
  </conditionalFormatting>
  <conditionalFormatting sqref="B17:N17 Q7:XFD9 I22 A14:E14 B22:B23 G14 G22 L14:N14 D22:E22 L22:N23 G24:P24 P16:XFD23 Q15:XFD15 D23:J23 I14 P14:XFD14 A15:A23">
    <cfRule type="cellIs" dxfId="343" priority="125" operator="equal">
      <formula>"n/a"</formula>
    </cfRule>
  </conditionalFormatting>
  <conditionalFormatting sqref="H22">
    <cfRule type="cellIs" dxfId="342" priority="112" operator="equal">
      <formula>"n/a"</formula>
    </cfRule>
  </conditionalFormatting>
  <conditionalFormatting sqref="C16">
    <cfRule type="cellIs" dxfId="341" priority="115" operator="equal">
      <formula>"WIP (see comments)"</formula>
    </cfRule>
    <cfRule type="cellIs" dxfId="340" priority="116" operator="equal">
      <formula>"Removed"</formula>
    </cfRule>
    <cfRule type="cellIs" dxfId="339" priority="117" operator="equal">
      <formula>"Updated"</formula>
    </cfRule>
    <cfRule type="cellIs" dxfId="338" priority="118" operator="equal">
      <formula>"New"</formula>
    </cfRule>
  </conditionalFormatting>
  <conditionalFormatting sqref="D16">
    <cfRule type="cellIs" dxfId="337" priority="114" operator="equal">
      <formula>"-"</formula>
    </cfRule>
  </conditionalFormatting>
  <conditionalFormatting sqref="B16:N16">
    <cfRule type="cellIs" dxfId="336" priority="113" operator="equal">
      <formula>"n/a"</formula>
    </cfRule>
  </conditionalFormatting>
  <conditionalFormatting sqref="F14">
    <cfRule type="cellIs" dxfId="335" priority="109" operator="equal">
      <formula>"n/a"</formula>
    </cfRule>
  </conditionalFormatting>
  <conditionalFormatting sqref="H14">
    <cfRule type="cellIs" dxfId="334" priority="111" operator="equal">
      <formula>"n/a"</formula>
    </cfRule>
  </conditionalFormatting>
  <conditionalFormatting sqref="F22">
    <cfRule type="cellIs" dxfId="333" priority="110" operator="equal">
      <formula>"n/a"</formula>
    </cfRule>
  </conditionalFormatting>
  <conditionalFormatting sqref="J22:K22 K23">
    <cfRule type="cellIs" dxfId="332" priority="108" operator="equal">
      <formula>"n/a"</formula>
    </cfRule>
  </conditionalFormatting>
  <conditionalFormatting sqref="J14:K14">
    <cfRule type="cellIs" dxfId="331" priority="107" operator="equal">
      <formula>"n/a"</formula>
    </cfRule>
  </conditionalFormatting>
  <conditionalFormatting sqref="C10:C12">
    <cfRule type="cellIs" dxfId="330" priority="63" operator="equal">
      <formula>"WIP (see comments)"</formula>
    </cfRule>
    <cfRule type="cellIs" dxfId="329" priority="64" operator="equal">
      <formula>"Removed"</formula>
    </cfRule>
    <cfRule type="cellIs" dxfId="328" priority="65" operator="equal">
      <formula>"Updated"</formula>
    </cfRule>
    <cfRule type="cellIs" dxfId="327" priority="66" operator="equal">
      <formula>"New"</formula>
    </cfRule>
  </conditionalFormatting>
  <conditionalFormatting sqref="D10:D12">
    <cfRule type="cellIs" dxfId="326" priority="62" operator="equal">
      <formula>"-"</formula>
    </cfRule>
  </conditionalFormatting>
  <conditionalFormatting sqref="P10:XFD12 B11:N12 C10:N10">
    <cfRule type="cellIs" dxfId="325" priority="61" operator="equal">
      <formula>"n/a"</formula>
    </cfRule>
  </conditionalFormatting>
  <conditionalFormatting sqref="G13:XFD13 A13">
    <cfRule type="cellIs" dxfId="324" priority="45" operator="equal">
      <formula>"n/a"</formula>
    </cfRule>
  </conditionalFormatting>
  <conditionalFormatting sqref="A24">
    <cfRule type="cellIs" dxfId="323" priority="44" operator="equal">
      <formula>"n/a"</formula>
    </cfRule>
  </conditionalFormatting>
  <conditionalFormatting sqref="C25:C29">
    <cfRule type="cellIs" dxfId="322" priority="40" operator="equal">
      <formula>"WIP (see comments)"</formula>
    </cfRule>
    <cfRule type="cellIs" dxfId="321" priority="41" operator="equal">
      <formula>"Removed"</formula>
    </cfRule>
    <cfRule type="cellIs" dxfId="320" priority="42" operator="equal">
      <formula>"Updated"</formula>
    </cfRule>
    <cfRule type="cellIs" dxfId="319" priority="43" operator="equal">
      <formula>"New"</formula>
    </cfRule>
  </conditionalFormatting>
  <conditionalFormatting sqref="D25:D29">
    <cfRule type="cellIs" dxfId="318" priority="39" operator="equal">
      <formula>"-"</formula>
    </cfRule>
  </conditionalFormatting>
  <conditionalFormatting sqref="G25:G29 L25:N29 I25:I28 A25:E29">
    <cfRule type="cellIs" dxfId="317" priority="38" operator="equal">
      <formula>"n/a"</formula>
    </cfRule>
  </conditionalFormatting>
  <conditionalFormatting sqref="H25:H29 I29">
    <cfRule type="cellIs" dxfId="316" priority="37" operator="equal">
      <formula>"n/a"</formula>
    </cfRule>
  </conditionalFormatting>
  <conditionalFormatting sqref="F25:F29">
    <cfRule type="cellIs" dxfId="315" priority="36" operator="equal">
      <formula>"n/a"</formula>
    </cfRule>
  </conditionalFormatting>
  <conditionalFormatting sqref="J25:K29">
    <cfRule type="cellIs" dxfId="314" priority="35" operator="equal">
      <formula>"n/a"</formula>
    </cfRule>
  </conditionalFormatting>
  <conditionalFormatting sqref="C7:C9">
    <cfRule type="cellIs" dxfId="313" priority="20" operator="equal">
      <formula>"WIP (see comments)"</formula>
    </cfRule>
    <cfRule type="cellIs" dxfId="312" priority="21" operator="equal">
      <formula>"Removed"</formula>
    </cfRule>
    <cfRule type="cellIs" dxfId="311" priority="22" operator="equal">
      <formula>"Updated"</formula>
    </cfRule>
    <cfRule type="cellIs" dxfId="310" priority="23" operator="equal">
      <formula>"New"</formula>
    </cfRule>
  </conditionalFormatting>
  <conditionalFormatting sqref="D7:D8">
    <cfRule type="cellIs" dxfId="309" priority="19" operator="equal">
      <formula>"-"</formula>
    </cfRule>
  </conditionalFormatting>
  <conditionalFormatting sqref="A7:P8 C9 A9:A12 B9:B10 E9:P9">
    <cfRule type="cellIs" dxfId="308" priority="18" operator="equal">
      <formula>"n/a"</formula>
    </cfRule>
  </conditionalFormatting>
  <conditionalFormatting sqref="C18:C23">
    <cfRule type="cellIs" dxfId="307" priority="13" operator="equal">
      <formula>"WIP (see comments)"</formula>
    </cfRule>
    <cfRule type="cellIs" dxfId="306" priority="14" operator="equal">
      <formula>"Removed"</formula>
    </cfRule>
    <cfRule type="cellIs" dxfId="305" priority="15" operator="equal">
      <formula>"Updated"</formula>
    </cfRule>
    <cfRule type="cellIs" dxfId="304" priority="16" operator="equal">
      <formula>"New"</formula>
    </cfRule>
  </conditionalFormatting>
  <conditionalFormatting sqref="D18:D21">
    <cfRule type="cellIs" dxfId="303" priority="12" operator="equal">
      <formula>"-"</formula>
    </cfRule>
  </conditionalFormatting>
  <conditionalFormatting sqref="B18:N18 B19:B21 D19:N21 C19:C23">
    <cfRule type="cellIs" dxfId="302" priority="11" operator="equal">
      <formula>"n/a"</formula>
    </cfRule>
  </conditionalFormatting>
  <conditionalFormatting sqref="P15">
    <cfRule type="cellIs" dxfId="301" priority="7" operator="equal">
      <formula>"n/a"</formula>
    </cfRule>
  </conditionalFormatting>
  <conditionalFormatting sqref="C15">
    <cfRule type="cellIs" dxfId="300" priority="3" operator="equal">
      <formula>"WIP (see comments)"</formula>
    </cfRule>
    <cfRule type="cellIs" dxfId="299" priority="4" operator="equal">
      <formula>"Removed"</formula>
    </cfRule>
    <cfRule type="cellIs" dxfId="298" priority="5" operator="equal">
      <formula>"Updated"</formula>
    </cfRule>
    <cfRule type="cellIs" dxfId="297" priority="6" operator="equal">
      <formula>"New"</formula>
    </cfRule>
  </conditionalFormatting>
  <conditionalFormatting sqref="D15">
    <cfRule type="cellIs" dxfId="296" priority="2" operator="equal">
      <formula>"-"</formula>
    </cfRule>
  </conditionalFormatting>
  <conditionalFormatting sqref="B15:N15">
    <cfRule type="cellIs" dxfId="295" priority="1" operator="equal">
      <formula>"n/a"</formula>
    </cfRule>
  </conditionalFormatting>
  <dataValidations count="1">
    <dataValidation type="list" allowBlank="1" showInputMessage="1" showErrorMessage="1" sqref="E30:E1048576" xr:uid="{00000000-0002-0000-0500-000000000000}">
      <formula1>$A$5:$A$23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'List Values'!$B$5:$B$9</xm:f>
          </x14:formula1>
          <xm:sqref>C25:C1048576 C7:C12 C14:C23</xm:sqref>
        </x14:dataValidation>
        <x14:dataValidation type="list" allowBlank="1" showInputMessage="1" showErrorMessage="1" xr:uid="{00000000-0002-0000-0500-000002000000}">
          <x14:formula1>
            <xm:f>'List Values'!$A$5:$A$30</xm:f>
          </x14:formula1>
          <xm:sqref>E7:E29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158</v>
      </c>
      <c r="C1" s="23"/>
      <c r="D1" s="20" t="s">
        <v>214</v>
      </c>
      <c r="F1" s="38"/>
      <c r="H1" s="25"/>
    </row>
    <row r="2" spans="1:16" s="21" customFormat="1" ht="18" x14ac:dyDescent="0.45">
      <c r="A2" s="19" t="s">
        <v>8</v>
      </c>
      <c r="B2" s="26" t="s">
        <v>176</v>
      </c>
      <c r="C2" s="25"/>
      <c r="D2" s="26"/>
      <c r="F2" s="38"/>
      <c r="H2" s="25"/>
    </row>
    <row r="3" spans="1:16" s="21" customFormat="1" ht="18" x14ac:dyDescent="0.45">
      <c r="A3" s="19" t="s">
        <v>41</v>
      </c>
      <c r="B3" s="26" t="s">
        <v>177</v>
      </c>
      <c r="C3" s="25"/>
      <c r="D3" s="26"/>
      <c r="F3" s="38"/>
      <c r="H3" s="25"/>
    </row>
    <row r="4" spans="1:16" s="21" customFormat="1" ht="18" x14ac:dyDescent="0.45">
      <c r="A4" s="19" t="s">
        <v>9</v>
      </c>
      <c r="B4" s="26" t="s">
        <v>225</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B7" s="31" t="str">
        <f t="shared" ref="B7:B17" si="0">CONCATENATE($B$2, ".", A7)</f>
        <v>2a.</v>
      </c>
      <c r="C7" s="35" t="s">
        <v>38</v>
      </c>
      <c r="D7" s="32" t="s">
        <v>147</v>
      </c>
      <c r="E7" s="32" t="s">
        <v>49</v>
      </c>
      <c r="F7" s="31" t="s">
        <v>55</v>
      </c>
      <c r="G7" s="31" t="s">
        <v>55</v>
      </c>
      <c r="H7" s="35" t="s">
        <v>55</v>
      </c>
      <c r="I7" s="32" t="s">
        <v>54</v>
      </c>
      <c r="J7" s="31" t="s">
        <v>55</v>
      </c>
      <c r="K7" s="31" t="s">
        <v>55</v>
      </c>
      <c r="L7" s="31" t="s">
        <v>55</v>
      </c>
      <c r="M7" s="32" t="s">
        <v>55</v>
      </c>
      <c r="N7" s="31" t="s">
        <v>55</v>
      </c>
      <c r="O7" s="31" t="s">
        <v>204</v>
      </c>
    </row>
    <row r="8" spans="1:16" x14ac:dyDescent="0.45">
      <c r="B8" s="31" t="str">
        <f t="shared" si="0"/>
        <v>2a.</v>
      </c>
      <c r="C8" s="35" t="s">
        <v>38</v>
      </c>
      <c r="D8" s="32" t="s">
        <v>148</v>
      </c>
      <c r="E8" s="32" t="s">
        <v>27</v>
      </c>
      <c r="F8" s="31" t="s">
        <v>55</v>
      </c>
      <c r="G8" s="31" t="s">
        <v>55</v>
      </c>
      <c r="H8" s="35" t="s">
        <v>55</v>
      </c>
      <c r="I8" s="32" t="s">
        <v>54</v>
      </c>
      <c r="J8" s="31" t="s">
        <v>55</v>
      </c>
      <c r="K8" s="31" t="s">
        <v>55</v>
      </c>
      <c r="L8" s="31" t="s">
        <v>55</v>
      </c>
      <c r="M8" s="32" t="s">
        <v>55</v>
      </c>
      <c r="N8" s="31" t="s">
        <v>55</v>
      </c>
      <c r="O8" s="31" t="s">
        <v>205</v>
      </c>
    </row>
    <row r="9" spans="1:16" ht="42.75" x14ac:dyDescent="0.45">
      <c r="C9" s="35" t="s">
        <v>38</v>
      </c>
      <c r="D9" s="32" t="s">
        <v>212</v>
      </c>
      <c r="E9" s="32" t="s">
        <v>34</v>
      </c>
      <c r="F9" s="31" t="s">
        <v>55</v>
      </c>
      <c r="G9" s="31" t="s">
        <v>55</v>
      </c>
      <c r="H9" s="35" t="s">
        <v>55</v>
      </c>
      <c r="I9" s="32" t="s">
        <v>210</v>
      </c>
      <c r="J9" s="31" t="s">
        <v>55</v>
      </c>
      <c r="K9" s="31" t="s">
        <v>55</v>
      </c>
      <c r="L9" s="31" t="s">
        <v>55</v>
      </c>
      <c r="M9" s="32" t="s">
        <v>55</v>
      </c>
      <c r="N9" s="31" t="s">
        <v>55</v>
      </c>
      <c r="O9" s="31" t="s">
        <v>211</v>
      </c>
    </row>
    <row r="10" spans="1:16" ht="42.75" x14ac:dyDescent="0.45">
      <c r="B10" s="31" t="str">
        <f t="shared" si="0"/>
        <v>2a.</v>
      </c>
      <c r="C10" s="35" t="s">
        <v>38</v>
      </c>
      <c r="D10" s="32" t="s">
        <v>199</v>
      </c>
      <c r="E10" s="32" t="s">
        <v>34</v>
      </c>
      <c r="F10" s="31" t="s">
        <v>55</v>
      </c>
      <c r="G10" s="31" t="s">
        <v>55</v>
      </c>
      <c r="H10" s="35" t="s">
        <v>55</v>
      </c>
      <c r="I10" s="32" t="s">
        <v>192</v>
      </c>
      <c r="J10" s="31" t="s">
        <v>55</v>
      </c>
      <c r="K10" s="31" t="s">
        <v>55</v>
      </c>
      <c r="L10" s="31" t="s">
        <v>55</v>
      </c>
      <c r="M10" s="32" t="s">
        <v>55</v>
      </c>
      <c r="N10" s="31" t="s">
        <v>55</v>
      </c>
      <c r="O10" s="31" t="s">
        <v>207</v>
      </c>
    </row>
    <row r="11" spans="1:16" ht="28.5" x14ac:dyDescent="0.45">
      <c r="B11" s="31" t="str">
        <f t="shared" si="0"/>
        <v>2a.</v>
      </c>
      <c r="C11" s="35" t="s">
        <v>38</v>
      </c>
      <c r="D11" s="32" t="s">
        <v>193</v>
      </c>
      <c r="E11" s="32" t="s">
        <v>34</v>
      </c>
      <c r="F11" s="31" t="s">
        <v>55</v>
      </c>
      <c r="G11" s="31" t="s">
        <v>55</v>
      </c>
      <c r="H11" s="35" t="s">
        <v>55</v>
      </c>
      <c r="I11" s="32" t="s">
        <v>54</v>
      </c>
      <c r="J11" s="31" t="s">
        <v>55</v>
      </c>
      <c r="K11" s="31" t="s">
        <v>55</v>
      </c>
      <c r="L11" s="31" t="s">
        <v>55</v>
      </c>
      <c r="M11" s="32" t="s">
        <v>55</v>
      </c>
      <c r="N11" s="31" t="s">
        <v>55</v>
      </c>
      <c r="O11" s="31" t="s">
        <v>208</v>
      </c>
    </row>
    <row r="12" spans="1:16" x14ac:dyDescent="0.45">
      <c r="C12" s="35" t="s">
        <v>38</v>
      </c>
      <c r="D12" s="32"/>
      <c r="E12" s="32"/>
      <c r="I12" s="32"/>
      <c r="M12" s="32"/>
    </row>
    <row r="13" spans="1:16" x14ac:dyDescent="0.45">
      <c r="C13" s="35" t="s">
        <v>38</v>
      </c>
      <c r="D13" s="32"/>
      <c r="E13" s="32"/>
      <c r="I13" s="32"/>
      <c r="M13" s="32"/>
    </row>
    <row r="14" spans="1:16" ht="42.75" x14ac:dyDescent="0.45">
      <c r="B14" s="31" t="str">
        <f t="shared" si="0"/>
        <v>2a.</v>
      </c>
      <c r="C14" s="35" t="s">
        <v>38</v>
      </c>
      <c r="D14" s="32" t="s">
        <v>194</v>
      </c>
      <c r="E14" s="32" t="s">
        <v>59</v>
      </c>
      <c r="F14" s="31" t="s">
        <v>55</v>
      </c>
      <c r="G14" s="31" t="s">
        <v>55</v>
      </c>
      <c r="H14" s="35" t="s">
        <v>55</v>
      </c>
      <c r="I14" s="32" t="s">
        <v>196</v>
      </c>
      <c r="J14" s="31" t="s">
        <v>55</v>
      </c>
      <c r="K14" s="31" t="s">
        <v>55</v>
      </c>
      <c r="L14" s="31" t="s">
        <v>55</v>
      </c>
      <c r="M14" s="32" t="s">
        <v>55</v>
      </c>
      <c r="N14" s="31" t="s">
        <v>55</v>
      </c>
      <c r="O14" s="31" t="s">
        <v>209</v>
      </c>
    </row>
    <row r="15" spans="1:16" ht="42.75" x14ac:dyDescent="0.45">
      <c r="B15" s="31" t="str">
        <f t="shared" si="0"/>
        <v>2a.</v>
      </c>
      <c r="C15" s="35" t="s">
        <v>38</v>
      </c>
      <c r="D15" s="32" t="s">
        <v>195</v>
      </c>
      <c r="E15" s="32" t="s">
        <v>59</v>
      </c>
      <c r="F15" s="31" t="s">
        <v>55</v>
      </c>
      <c r="G15" s="31" t="s">
        <v>55</v>
      </c>
      <c r="H15" s="35" t="s">
        <v>55</v>
      </c>
      <c r="I15" s="32" t="s">
        <v>197</v>
      </c>
      <c r="J15" s="31" t="s">
        <v>55</v>
      </c>
      <c r="K15" s="31" t="s">
        <v>55</v>
      </c>
      <c r="L15" s="31" t="s">
        <v>55</v>
      </c>
      <c r="M15" s="32" t="s">
        <v>55</v>
      </c>
      <c r="N15" s="31" t="s">
        <v>55</v>
      </c>
      <c r="O15" s="31" t="s">
        <v>198</v>
      </c>
    </row>
    <row r="16" spans="1:16" x14ac:dyDescent="0.45">
      <c r="B16" s="31" t="str">
        <f>CONCATENATE($B$2, ".", A16)</f>
        <v>2a.</v>
      </c>
      <c r="C16" s="35" t="s">
        <v>38</v>
      </c>
      <c r="D16" s="32" t="s">
        <v>213</v>
      </c>
      <c r="E16" s="32" t="s">
        <v>59</v>
      </c>
      <c r="F16" s="31" t="s">
        <v>55</v>
      </c>
      <c r="G16" s="31" t="s">
        <v>55</v>
      </c>
      <c r="H16" s="35" t="s">
        <v>55</v>
      </c>
      <c r="I16" s="32" t="s">
        <v>54</v>
      </c>
      <c r="J16" s="31" t="s">
        <v>55</v>
      </c>
      <c r="K16" s="31" t="s">
        <v>55</v>
      </c>
      <c r="L16" s="31" t="s">
        <v>55</v>
      </c>
      <c r="M16" s="32" t="s">
        <v>55</v>
      </c>
      <c r="N16" s="31" t="s">
        <v>55</v>
      </c>
      <c r="O16" s="31" t="s">
        <v>206</v>
      </c>
    </row>
    <row r="17" spans="2:15" ht="28.5" x14ac:dyDescent="0.45">
      <c r="B17" s="31" t="str">
        <f t="shared" si="0"/>
        <v>2a.</v>
      </c>
      <c r="C17" s="35" t="s">
        <v>38</v>
      </c>
      <c r="D17" s="32" t="s">
        <v>159</v>
      </c>
      <c r="E17" s="32" t="s">
        <v>40</v>
      </c>
      <c r="F17" s="31" t="s">
        <v>55</v>
      </c>
      <c r="G17" s="31" t="s">
        <v>55</v>
      </c>
      <c r="H17" s="35" t="s">
        <v>55</v>
      </c>
      <c r="I17" s="32" t="s">
        <v>54</v>
      </c>
      <c r="J17" s="31" t="s">
        <v>55</v>
      </c>
      <c r="K17" s="31" t="s">
        <v>55</v>
      </c>
      <c r="L17" s="31" t="s">
        <v>55</v>
      </c>
      <c r="M17" s="31" t="s">
        <v>55</v>
      </c>
      <c r="N17" s="31" t="s">
        <v>55</v>
      </c>
      <c r="O17" s="29" t="s">
        <v>160</v>
      </c>
    </row>
  </sheetData>
  <autoFilter ref="A6:P6" xr:uid="{00000000-0009-0000-0000-000006000000}"/>
  <conditionalFormatting sqref="C18:C1048576">
    <cfRule type="cellIs" dxfId="294" priority="25" operator="equal">
      <formula>"WIP (see comments)"</formula>
    </cfRule>
    <cfRule type="cellIs" dxfId="293" priority="26" operator="equal">
      <formula>"Removed"</formula>
    </cfRule>
    <cfRule type="cellIs" dxfId="292" priority="27" operator="equal">
      <formula>"Updated"</formula>
    </cfRule>
    <cfRule type="cellIs" dxfId="291" priority="28" operator="equal">
      <formula>"New"</formula>
    </cfRule>
  </conditionalFormatting>
  <conditionalFormatting sqref="D8:D9 D16">
    <cfRule type="cellIs" dxfId="290" priority="24" operator="equal">
      <formula>"-"</formula>
    </cfRule>
  </conditionalFormatting>
  <conditionalFormatting sqref="I7:I8 J8:N9 P8:XFD17 A8:B17 D8:H9 D16:N17">
    <cfRule type="cellIs" dxfId="289" priority="23" operator="equal">
      <formula>"n/a"</formula>
    </cfRule>
  </conditionalFormatting>
  <conditionalFormatting sqref="O17">
    <cfRule type="cellIs" dxfId="288" priority="22" operator="equal">
      <formula>"n/a"</formula>
    </cfRule>
  </conditionalFormatting>
  <conditionalFormatting sqref="C7:C17">
    <cfRule type="cellIs" dxfId="287" priority="14" operator="equal">
      <formula>"WIP (see comments)"</formula>
    </cfRule>
    <cfRule type="cellIs" dxfId="286" priority="15" operator="equal">
      <formula>"Removed"</formula>
    </cfRule>
    <cfRule type="cellIs" dxfId="285" priority="16" operator="equal">
      <formula>"Updated"</formula>
    </cfRule>
    <cfRule type="cellIs" dxfId="284" priority="17" operator="equal">
      <formula>"New"</formula>
    </cfRule>
  </conditionalFormatting>
  <conditionalFormatting sqref="D7">
    <cfRule type="cellIs" dxfId="283" priority="13" operator="equal">
      <formula>"-"</formula>
    </cfRule>
  </conditionalFormatting>
  <conditionalFormatting sqref="A7:H7 P7:XFD7 J7:N7 C8:C17">
    <cfRule type="cellIs" dxfId="282" priority="12" operator="equal">
      <formula>"n/a"</formula>
    </cfRule>
  </conditionalFormatting>
  <conditionalFormatting sqref="D10:D15">
    <cfRule type="cellIs" dxfId="281" priority="3" operator="equal">
      <formula>"-"</formula>
    </cfRule>
  </conditionalFormatting>
  <conditionalFormatting sqref="D10:N15">
    <cfRule type="cellIs" dxfId="280" priority="2" operator="equal">
      <formula>"n/a"</formula>
    </cfRule>
  </conditionalFormatting>
  <conditionalFormatting sqref="I9">
    <cfRule type="cellIs" dxfId="27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Values'!$B$5:$B$9</xm:f>
          </x14:formula1>
          <xm:sqref>C7:C1048576</xm:sqref>
        </x14:dataValidation>
        <x14:dataValidation type="list" allowBlank="1" showInputMessage="1" showErrorMessage="1" xr:uid="{00000000-0002-0000-0600-000001000000}">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P17"/>
  <sheetViews>
    <sheetView workbookViewId="0">
      <pane ySplit="6" topLeftCell="A7" activePane="bottomLeft" state="frozen"/>
      <selection pane="bottomLeft" activeCell="A17" sqref="A17"/>
    </sheetView>
  </sheetViews>
  <sheetFormatPr defaultColWidth="9.19921875" defaultRowHeight="14.25" x14ac:dyDescent="0.45"/>
  <cols>
    <col min="1" max="1" width="14.73046875" style="31" customWidth="1"/>
    <col min="2" max="2" width="12.53125" style="31" customWidth="1"/>
    <col min="3" max="3" width="15.7304687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128</v>
      </c>
      <c r="C1" s="23"/>
      <c r="D1" s="20" t="s">
        <v>235</v>
      </c>
      <c r="F1" s="38"/>
      <c r="H1" s="25"/>
    </row>
    <row r="2" spans="1:16" s="21" customFormat="1" ht="18" x14ac:dyDescent="0.45">
      <c r="A2" s="19" t="s">
        <v>8</v>
      </c>
      <c r="B2" s="26" t="s">
        <v>167</v>
      </c>
      <c r="C2" s="25"/>
      <c r="D2" s="26"/>
      <c r="F2" s="38"/>
      <c r="H2" s="25"/>
    </row>
    <row r="3" spans="1:16" s="21" customFormat="1" ht="18" x14ac:dyDescent="0.45">
      <c r="A3" s="19" t="s">
        <v>41</v>
      </c>
      <c r="B3" s="26"/>
      <c r="C3" s="25"/>
      <c r="D3" s="26"/>
      <c r="F3" s="38"/>
      <c r="H3" s="25"/>
    </row>
    <row r="4" spans="1:16" s="21" customFormat="1" ht="18" x14ac:dyDescent="0.45">
      <c r="A4" s="19" t="s">
        <v>9</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Q-SB3.1</v>
      </c>
      <c r="C7" s="35" t="s">
        <v>38</v>
      </c>
      <c r="D7" s="31" t="s">
        <v>165</v>
      </c>
      <c r="E7" s="32" t="s">
        <v>49</v>
      </c>
      <c r="F7" s="31" t="s">
        <v>55</v>
      </c>
      <c r="G7" s="31" t="s">
        <v>55</v>
      </c>
      <c r="H7" s="35" t="s">
        <v>55</v>
      </c>
      <c r="I7" s="32" t="s">
        <v>54</v>
      </c>
      <c r="J7" s="31" t="s">
        <v>55</v>
      </c>
      <c r="K7" s="31" t="s">
        <v>55</v>
      </c>
      <c r="L7" s="31" t="s">
        <v>55</v>
      </c>
      <c r="M7" s="31" t="s">
        <v>55</v>
      </c>
      <c r="N7" s="31" t="s">
        <v>55</v>
      </c>
    </row>
    <row r="8" spans="1:16" x14ac:dyDescent="0.45">
      <c r="A8" s="31">
        <v>2</v>
      </c>
      <c r="B8" s="31" t="str">
        <f t="shared" si="0"/>
        <v>Q-SB3.2</v>
      </c>
      <c r="C8" s="35" t="s">
        <v>38</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Q-SB3.3</v>
      </c>
      <c r="C9" s="35" t="s">
        <v>38</v>
      </c>
      <c r="D9" s="39" t="s">
        <v>130</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Q-SB3.4</v>
      </c>
      <c r="C11" s="35" t="s">
        <v>38</v>
      </c>
      <c r="D11" s="39" t="s">
        <v>131</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Q-SB3.5</v>
      </c>
      <c r="C12" s="35" t="s">
        <v>38</v>
      </c>
      <c r="D12" s="39" t="s">
        <v>131</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Q-SB3.6</v>
      </c>
      <c r="C13" s="35" t="s">
        <v>38</v>
      </c>
      <c r="D13" s="39" t="s">
        <v>131</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Q-SB3.6</v>
      </c>
      <c r="C15" s="35" t="s">
        <v>38</v>
      </c>
      <c r="D15" s="32" t="s">
        <v>56</v>
      </c>
      <c r="E15" s="32" t="s">
        <v>40</v>
      </c>
      <c r="F15" s="31" t="s">
        <v>55</v>
      </c>
      <c r="G15" s="31" t="s">
        <v>55</v>
      </c>
      <c r="H15" s="35" t="s">
        <v>55</v>
      </c>
      <c r="I15" s="32" t="s">
        <v>54</v>
      </c>
      <c r="J15" s="31" t="s">
        <v>55</v>
      </c>
      <c r="K15" s="31" t="s">
        <v>55</v>
      </c>
      <c r="L15" s="31" t="s">
        <v>55</v>
      </c>
      <c r="M15" s="31" t="s">
        <v>55</v>
      </c>
      <c r="N15" s="31" t="s">
        <v>55</v>
      </c>
      <c r="O15" s="29" t="s">
        <v>132</v>
      </c>
    </row>
    <row r="16" spans="1:16" ht="28.5" x14ac:dyDescent="0.45">
      <c r="A16" s="31">
        <v>7</v>
      </c>
      <c r="B16" s="31" t="str">
        <f t="shared" si="0"/>
        <v>Q-SB3.7</v>
      </c>
      <c r="C16" s="35" t="s">
        <v>38</v>
      </c>
      <c r="D16" s="31" t="s">
        <v>57</v>
      </c>
      <c r="E16" s="32" t="s">
        <v>40</v>
      </c>
      <c r="F16" s="31" t="s">
        <v>55</v>
      </c>
      <c r="G16" s="31" t="s">
        <v>55</v>
      </c>
      <c r="H16" s="35" t="s">
        <v>55</v>
      </c>
      <c r="I16" s="32" t="s">
        <v>54</v>
      </c>
      <c r="J16" s="31" t="s">
        <v>55</v>
      </c>
      <c r="K16" s="31" t="s">
        <v>55</v>
      </c>
      <c r="L16" s="31" t="s">
        <v>55</v>
      </c>
      <c r="M16" s="31" t="s">
        <v>55</v>
      </c>
      <c r="N16" s="31" t="s">
        <v>55</v>
      </c>
      <c r="O16" s="39" t="s">
        <v>133</v>
      </c>
      <c r="P16" s="31" t="s">
        <v>134</v>
      </c>
    </row>
    <row r="17" spans="1:15" ht="28.5" x14ac:dyDescent="0.45">
      <c r="A17" s="31">
        <v>8</v>
      </c>
      <c r="B17" s="31" t="str">
        <f t="shared" si="0"/>
        <v>Q-SB3.8</v>
      </c>
      <c r="C17" s="35" t="s">
        <v>38</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07000000}"/>
  <mergeCells count="2">
    <mergeCell ref="A10:E10"/>
    <mergeCell ref="A14:E14"/>
  </mergeCells>
  <conditionalFormatting sqref="C7:C9 C11:C13 C15:C1048576">
    <cfRule type="cellIs" dxfId="278" priority="14" operator="equal">
      <formula>"WIP (see comments)"</formula>
    </cfRule>
    <cfRule type="cellIs" dxfId="277" priority="15" operator="equal">
      <formula>"Removed"</formula>
    </cfRule>
    <cfRule type="cellIs" dxfId="276" priority="16" operator="equal">
      <formula>"Updated"</formula>
    </cfRule>
    <cfRule type="cellIs" dxfId="275" priority="17" operator="equal">
      <formula>"New"</formula>
    </cfRule>
  </conditionalFormatting>
  <conditionalFormatting sqref="D7:D9 D11:D13">
    <cfRule type="cellIs" dxfId="274" priority="13" operator="equal">
      <formula>"-"</formula>
    </cfRule>
  </conditionalFormatting>
  <conditionalFormatting sqref="P15:XFD15 A11:L11 A15:N15 N11:XFD11 E16:N17 A13:B13 N13:XFD13 K12:L13 E13:J13 A7:XFD9 C12:D13 B16:C17">
    <cfRule type="cellIs" dxfId="273" priority="12" operator="equal">
      <formula>"n/a"</formula>
    </cfRule>
  </conditionalFormatting>
  <conditionalFormatting sqref="O15">
    <cfRule type="cellIs" dxfId="272" priority="11" operator="equal">
      <formula>"n/a"</formula>
    </cfRule>
  </conditionalFormatting>
  <conditionalFormatting sqref="M11 M13">
    <cfRule type="cellIs" dxfId="271" priority="10" operator="equal">
      <formula>"n/a"</formula>
    </cfRule>
  </conditionalFormatting>
  <conditionalFormatting sqref="F10:XFD10">
    <cfRule type="cellIs" dxfId="270" priority="9" operator="equal">
      <formula>"n/a"</formula>
    </cfRule>
  </conditionalFormatting>
  <conditionalFormatting sqref="F14:XFD14 A14">
    <cfRule type="cellIs" dxfId="269" priority="8" operator="equal">
      <formula>"n/a"</formula>
    </cfRule>
  </conditionalFormatting>
  <conditionalFormatting sqref="A12:B12 N12:XFD12 E12:J12">
    <cfRule type="cellIs" dxfId="268" priority="3" operator="equal">
      <formula>"n/a"</formula>
    </cfRule>
  </conditionalFormatting>
  <conditionalFormatting sqref="M12">
    <cfRule type="cellIs" dxfId="267" priority="2" operator="equal">
      <formula>"n/a"</formula>
    </cfRule>
  </conditionalFormatting>
  <conditionalFormatting sqref="A10">
    <cfRule type="cellIs" dxfId="2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Values'!$B$5:$B$9</xm:f>
          </x14:formula1>
          <xm:sqref>C7:C9 C11:C13 C15:C1048576</xm:sqref>
        </x14:dataValidation>
        <x14:dataValidation type="list" allowBlank="1" showInputMessage="1" showErrorMessage="1" xr:uid="{00000000-0002-0000-0700-000001000000}">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7"/>
  <sheetViews>
    <sheetView workbookViewId="0">
      <pane ySplit="6" topLeftCell="A7" activePane="bottomLeft" state="frozen"/>
      <selection pane="bottomLeft"/>
    </sheetView>
  </sheetViews>
  <sheetFormatPr defaultColWidth="9.19921875" defaultRowHeight="14.25" x14ac:dyDescent="0.45"/>
  <cols>
    <col min="1" max="1" width="14.73046875" style="31" customWidth="1"/>
    <col min="2" max="2" width="12.53125" style="31" customWidth="1"/>
    <col min="3" max="3" width="15.7304687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128</v>
      </c>
      <c r="C1" s="23"/>
      <c r="D1" s="20" t="s">
        <v>235</v>
      </c>
      <c r="F1" s="38"/>
      <c r="H1" s="25"/>
    </row>
    <row r="2" spans="1:16" s="21" customFormat="1" ht="18" x14ac:dyDescent="0.45">
      <c r="A2" s="19" t="s">
        <v>8</v>
      </c>
      <c r="B2" s="26" t="s">
        <v>169</v>
      </c>
      <c r="C2" s="25"/>
      <c r="D2" s="26"/>
      <c r="F2" s="38"/>
      <c r="H2" s="25"/>
    </row>
    <row r="3" spans="1:16" s="21" customFormat="1" ht="18" x14ac:dyDescent="0.45">
      <c r="A3" s="19" t="s">
        <v>41</v>
      </c>
      <c r="B3" s="26"/>
      <c r="C3" s="25"/>
      <c r="D3" s="26"/>
      <c r="F3" s="38"/>
      <c r="H3" s="25"/>
    </row>
    <row r="4" spans="1:16" s="21" customFormat="1" ht="18" x14ac:dyDescent="0.45">
      <c r="A4" s="19" t="s">
        <v>9</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Q-SB4.1</v>
      </c>
      <c r="C7" s="35" t="s">
        <v>38</v>
      </c>
      <c r="D7" s="31" t="s">
        <v>168</v>
      </c>
      <c r="E7" s="32" t="s">
        <v>49</v>
      </c>
      <c r="F7" s="31" t="s">
        <v>55</v>
      </c>
      <c r="G7" s="31" t="s">
        <v>55</v>
      </c>
      <c r="H7" s="35" t="s">
        <v>55</v>
      </c>
      <c r="I7" s="32" t="s">
        <v>54</v>
      </c>
      <c r="J7" s="31" t="s">
        <v>55</v>
      </c>
      <c r="K7" s="31" t="s">
        <v>55</v>
      </c>
      <c r="L7" s="31" t="s">
        <v>55</v>
      </c>
      <c r="M7" s="31" t="s">
        <v>55</v>
      </c>
      <c r="N7" s="31" t="s">
        <v>55</v>
      </c>
    </row>
    <row r="8" spans="1:16" x14ac:dyDescent="0.45">
      <c r="A8" s="31">
        <v>2</v>
      </c>
      <c r="B8" s="31" t="str">
        <f t="shared" si="0"/>
        <v>Q-SB4.2</v>
      </c>
      <c r="C8" s="35" t="s">
        <v>38</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Q-SB4.3</v>
      </c>
      <c r="C9" s="35" t="s">
        <v>38</v>
      </c>
      <c r="D9" s="39" t="s">
        <v>130</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Q-SB4.4</v>
      </c>
      <c r="C11" s="35" t="s">
        <v>38</v>
      </c>
      <c r="D11" s="39" t="s">
        <v>131</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Q-SB4.5</v>
      </c>
      <c r="C12" s="35" t="s">
        <v>38</v>
      </c>
      <c r="D12" s="39" t="s">
        <v>131</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Q-SB4.6</v>
      </c>
      <c r="C13" s="35" t="s">
        <v>38</v>
      </c>
      <c r="D13" s="39" t="s">
        <v>131</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Q-SB4.6</v>
      </c>
      <c r="C15" s="35" t="s">
        <v>38</v>
      </c>
      <c r="D15" s="32" t="s">
        <v>56</v>
      </c>
      <c r="E15" s="32" t="s">
        <v>40</v>
      </c>
      <c r="F15" s="31" t="s">
        <v>55</v>
      </c>
      <c r="G15" s="31" t="s">
        <v>55</v>
      </c>
      <c r="H15" s="35" t="s">
        <v>55</v>
      </c>
      <c r="I15" s="32" t="s">
        <v>54</v>
      </c>
      <c r="J15" s="31" t="s">
        <v>55</v>
      </c>
      <c r="K15" s="31" t="s">
        <v>55</v>
      </c>
      <c r="L15" s="31" t="s">
        <v>55</v>
      </c>
      <c r="M15" s="31" t="s">
        <v>55</v>
      </c>
      <c r="N15" s="31" t="s">
        <v>55</v>
      </c>
      <c r="O15" s="29" t="s">
        <v>132</v>
      </c>
    </row>
    <row r="16" spans="1:16" ht="28.5" x14ac:dyDescent="0.45">
      <c r="A16" s="31">
        <v>7</v>
      </c>
      <c r="B16" s="31" t="str">
        <f t="shared" si="0"/>
        <v>Q-SB4.7</v>
      </c>
      <c r="C16" s="35" t="s">
        <v>38</v>
      </c>
      <c r="D16" s="31" t="s">
        <v>57</v>
      </c>
      <c r="E16" s="32" t="s">
        <v>40</v>
      </c>
      <c r="F16" s="31" t="s">
        <v>55</v>
      </c>
      <c r="G16" s="31" t="s">
        <v>55</v>
      </c>
      <c r="H16" s="35" t="s">
        <v>55</v>
      </c>
      <c r="I16" s="32" t="s">
        <v>54</v>
      </c>
      <c r="J16" s="31" t="s">
        <v>55</v>
      </c>
      <c r="K16" s="31" t="s">
        <v>55</v>
      </c>
      <c r="L16" s="31" t="s">
        <v>55</v>
      </c>
      <c r="M16" s="31" t="s">
        <v>55</v>
      </c>
      <c r="N16" s="31" t="s">
        <v>55</v>
      </c>
      <c r="O16" s="39" t="s">
        <v>133</v>
      </c>
      <c r="P16" s="31" t="s">
        <v>134</v>
      </c>
    </row>
    <row r="17" spans="1:15" ht="28.5" x14ac:dyDescent="0.45">
      <c r="A17" s="31">
        <v>8</v>
      </c>
      <c r="B17" s="31" t="str">
        <f t="shared" si="0"/>
        <v>Q-SB4.8</v>
      </c>
      <c r="C17" s="35" t="s">
        <v>38</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08000000}"/>
  <mergeCells count="2">
    <mergeCell ref="A10:E10"/>
    <mergeCell ref="A14:E14"/>
  </mergeCells>
  <conditionalFormatting sqref="C7:C9 C11:C13 C15:C1048576">
    <cfRule type="cellIs" dxfId="265" priority="14" operator="equal">
      <formula>"WIP (see comments)"</formula>
    </cfRule>
    <cfRule type="cellIs" dxfId="264" priority="15" operator="equal">
      <formula>"Removed"</formula>
    </cfRule>
    <cfRule type="cellIs" dxfId="263" priority="16" operator="equal">
      <formula>"Updated"</formula>
    </cfRule>
    <cfRule type="cellIs" dxfId="262" priority="17" operator="equal">
      <formula>"New"</formula>
    </cfRule>
  </conditionalFormatting>
  <conditionalFormatting sqref="D7:D9 D11:D13">
    <cfRule type="cellIs" dxfId="261" priority="13" operator="equal">
      <formula>"-"</formula>
    </cfRule>
  </conditionalFormatting>
  <conditionalFormatting sqref="P15:XFD15 A11:L11 A15:N15 N11:XFD11 E16:N17 A13:B13 N13:XFD13 K12:L13 E13:J13 A7:XFD9 C12:D13 B16:C17">
    <cfRule type="cellIs" dxfId="260" priority="12" operator="equal">
      <formula>"n/a"</formula>
    </cfRule>
  </conditionalFormatting>
  <conditionalFormatting sqref="O15">
    <cfRule type="cellIs" dxfId="259" priority="11" operator="equal">
      <formula>"n/a"</formula>
    </cfRule>
  </conditionalFormatting>
  <conditionalFormatting sqref="M11 M13">
    <cfRule type="cellIs" dxfId="258" priority="10" operator="equal">
      <formula>"n/a"</formula>
    </cfRule>
  </conditionalFormatting>
  <conditionalFormatting sqref="F10:XFD10">
    <cfRule type="cellIs" dxfId="257" priority="9" operator="equal">
      <formula>"n/a"</formula>
    </cfRule>
  </conditionalFormatting>
  <conditionalFormatting sqref="F14:XFD14 A14">
    <cfRule type="cellIs" dxfId="256" priority="8" operator="equal">
      <formula>"n/a"</formula>
    </cfRule>
  </conditionalFormatting>
  <conditionalFormatting sqref="A12:B12 N12:XFD12 E12:J12">
    <cfRule type="cellIs" dxfId="255" priority="3" operator="equal">
      <formula>"n/a"</formula>
    </cfRule>
  </conditionalFormatting>
  <conditionalFormatting sqref="M12">
    <cfRule type="cellIs" dxfId="254" priority="2" operator="equal">
      <formula>"n/a"</formula>
    </cfRule>
  </conditionalFormatting>
  <conditionalFormatting sqref="A10">
    <cfRule type="cellIs" dxfId="25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 Values'!$B$5:$B$9</xm:f>
          </x14:formula1>
          <xm:sqref>C7:C9 C11:C13 C15:C1048576</xm:sqref>
        </x14:dataValidation>
        <x14:dataValidation type="list" allowBlank="1" showInputMessage="1" showErrorMessage="1" xr:uid="{00000000-0002-0000-0800-000001000000}">
          <x14:formula1>
            <xm:f>'List Values'!$A$5:$A$33</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H30"/>
  <sheetViews>
    <sheetView workbookViewId="0">
      <pane xSplit="4" ySplit="6" topLeftCell="G29" activePane="bottomRight" state="frozen"/>
      <selection pane="topRight" activeCell="E1" sqref="E1"/>
      <selection pane="bottomLeft" activeCell="A7" sqref="A7"/>
      <selection pane="bottomRight" activeCell="D28" sqref="D28"/>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29.5312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34" s="21" customFormat="1" ht="18" x14ac:dyDescent="0.45">
      <c r="A1" s="19" t="s">
        <v>7</v>
      </c>
      <c r="B1" s="27" t="s">
        <v>300</v>
      </c>
      <c r="C1" s="23"/>
      <c r="D1" s="20"/>
      <c r="F1" s="38"/>
      <c r="H1" s="25"/>
    </row>
    <row r="2" spans="1:34" s="21" customFormat="1" ht="18" x14ac:dyDescent="0.45">
      <c r="A2" s="19" t="s">
        <v>8</v>
      </c>
      <c r="B2" s="26">
        <v>3</v>
      </c>
      <c r="C2" s="25"/>
      <c r="D2" s="43" t="s">
        <v>216</v>
      </c>
      <c r="F2" s="38"/>
      <c r="H2" s="25"/>
    </row>
    <row r="3" spans="1:34" s="21" customFormat="1" ht="18" x14ac:dyDescent="0.45">
      <c r="A3" s="19" t="s">
        <v>41</v>
      </c>
      <c r="B3" s="26" t="s">
        <v>263</v>
      </c>
      <c r="C3" s="25"/>
      <c r="F3" s="38"/>
      <c r="H3" s="25"/>
    </row>
    <row r="4" spans="1:34" s="21" customFormat="1" ht="18" x14ac:dyDescent="0.45">
      <c r="A4" s="19" t="s">
        <v>9</v>
      </c>
      <c r="B4" s="21" t="s">
        <v>54</v>
      </c>
      <c r="C4" s="25"/>
      <c r="D4" s="26" t="s">
        <v>316</v>
      </c>
      <c r="F4" s="38"/>
      <c r="H4" s="25"/>
    </row>
    <row r="5" spans="1:34" s="33" customFormat="1" x14ac:dyDescent="0.45">
      <c r="C5" s="34"/>
      <c r="F5" s="31"/>
      <c r="H5" s="34"/>
    </row>
    <row r="6" spans="1:34"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34" x14ac:dyDescent="0.45">
      <c r="A7" s="31">
        <v>1</v>
      </c>
      <c r="B7" s="31" t="str">
        <f t="shared" ref="B7:B8" si="0">CONCATENATE($B$2, ".", A7)</f>
        <v>3.1</v>
      </c>
      <c r="C7" s="35" t="s">
        <v>37</v>
      </c>
      <c r="D7" s="31" t="s">
        <v>302</v>
      </c>
      <c r="E7" s="32" t="s">
        <v>273</v>
      </c>
      <c r="F7" s="31" t="s">
        <v>55</v>
      </c>
      <c r="G7" s="31" t="s">
        <v>55</v>
      </c>
      <c r="H7" s="35" t="s">
        <v>55</v>
      </c>
      <c r="I7" s="32" t="s">
        <v>54</v>
      </c>
      <c r="J7" s="31" t="s">
        <v>55</v>
      </c>
      <c r="K7" s="31" t="s">
        <v>55</v>
      </c>
      <c r="L7" s="31" t="s">
        <v>55</v>
      </c>
      <c r="M7" s="31" t="s">
        <v>55</v>
      </c>
      <c r="N7" s="31" t="s">
        <v>55</v>
      </c>
      <c r="O7" s="31" t="s">
        <v>55</v>
      </c>
      <c r="P7" s="31" t="s">
        <v>233</v>
      </c>
      <c r="Q7" s="32"/>
      <c r="R7" s="32"/>
      <c r="S7" s="32"/>
      <c r="T7" s="32"/>
      <c r="U7" s="32"/>
      <c r="V7" s="32"/>
      <c r="W7" s="32"/>
      <c r="X7" s="32"/>
      <c r="Y7" s="32"/>
      <c r="Z7" s="32"/>
      <c r="AA7" s="32"/>
      <c r="AB7" s="32"/>
      <c r="AC7" s="32"/>
      <c r="AD7" s="32"/>
      <c r="AE7" s="32"/>
      <c r="AF7" s="32"/>
      <c r="AG7" s="32"/>
      <c r="AH7" s="32"/>
    </row>
    <row r="8" spans="1:34" x14ac:dyDescent="0.45">
      <c r="A8" s="31">
        <v>2</v>
      </c>
      <c r="B8" s="31" t="str">
        <f t="shared" si="0"/>
        <v>3.2</v>
      </c>
      <c r="C8" s="35" t="s">
        <v>37</v>
      </c>
      <c r="D8" s="31" t="s">
        <v>55</v>
      </c>
      <c r="E8" s="32" t="s">
        <v>43</v>
      </c>
      <c r="F8" s="31" t="s">
        <v>55</v>
      </c>
      <c r="G8" s="31" t="s">
        <v>55</v>
      </c>
      <c r="H8" s="35" t="s">
        <v>55</v>
      </c>
      <c r="I8" s="32" t="s">
        <v>54</v>
      </c>
      <c r="J8" s="31" t="s">
        <v>55</v>
      </c>
      <c r="K8" s="31" t="s">
        <v>55</v>
      </c>
      <c r="L8" s="31" t="s">
        <v>55</v>
      </c>
      <c r="M8" s="31" t="s">
        <v>55</v>
      </c>
      <c r="N8" s="31" t="s">
        <v>55</v>
      </c>
      <c r="O8" s="31" t="s">
        <v>55</v>
      </c>
      <c r="Q8" s="32"/>
      <c r="R8" s="32"/>
      <c r="S8" s="32"/>
      <c r="T8" s="32"/>
      <c r="U8" s="32"/>
      <c r="V8" s="32"/>
      <c r="W8" s="32"/>
      <c r="X8" s="32"/>
      <c r="Y8" s="32"/>
      <c r="Z8" s="32"/>
      <c r="AA8" s="32"/>
      <c r="AB8" s="32"/>
      <c r="AC8" s="32"/>
      <c r="AD8" s="32"/>
      <c r="AE8" s="32"/>
      <c r="AF8" s="32"/>
      <c r="AG8" s="32"/>
      <c r="AH8" s="32"/>
    </row>
    <row r="9" spans="1:34" ht="85.5" x14ac:dyDescent="0.45">
      <c r="A9" s="31">
        <v>3</v>
      </c>
      <c r="B9" s="31" t="str">
        <f>CONCATENATE($B$2, ".", A9)</f>
        <v>3.3</v>
      </c>
      <c r="C9" s="35" t="s">
        <v>37</v>
      </c>
      <c r="D9" s="32" t="s">
        <v>267</v>
      </c>
      <c r="E9" s="32" t="s">
        <v>33</v>
      </c>
      <c r="F9" s="31" t="s">
        <v>312</v>
      </c>
      <c r="G9" s="31" t="s">
        <v>228</v>
      </c>
      <c r="H9" s="35" t="s">
        <v>55</v>
      </c>
      <c r="I9" s="32" t="s">
        <v>54</v>
      </c>
      <c r="J9" s="31" t="s">
        <v>227</v>
      </c>
      <c r="K9" s="31" t="s">
        <v>55</v>
      </c>
      <c r="L9" s="31" t="s">
        <v>55</v>
      </c>
      <c r="M9" s="32" t="s">
        <v>55</v>
      </c>
      <c r="N9" s="31" t="s">
        <v>55</v>
      </c>
      <c r="O9" s="31" t="s">
        <v>262</v>
      </c>
      <c r="P9" s="31" t="s">
        <v>313</v>
      </c>
      <c r="Q9" s="32"/>
      <c r="R9" s="32"/>
      <c r="S9" s="32"/>
      <c r="T9" s="32"/>
      <c r="U9" s="32"/>
      <c r="V9" s="32"/>
      <c r="W9" s="32"/>
      <c r="X9" s="32"/>
      <c r="Y9" s="32"/>
      <c r="Z9" s="32"/>
      <c r="AA9" s="32"/>
      <c r="AB9" s="32"/>
      <c r="AC9" s="32"/>
      <c r="AD9" s="32"/>
      <c r="AE9" s="32"/>
      <c r="AF9" s="32"/>
      <c r="AG9" s="32"/>
      <c r="AH9" s="32"/>
    </row>
    <row r="10" spans="1:34" ht="14.55" customHeight="1" x14ac:dyDescent="0.45">
      <c r="A10" s="44" t="s">
        <v>258</v>
      </c>
      <c r="B10" s="44"/>
      <c r="C10" s="44"/>
      <c r="D10" s="44"/>
      <c r="E10" s="44"/>
      <c r="F10" s="44"/>
      <c r="G10" s="30"/>
      <c r="H10" s="30"/>
      <c r="I10" s="30"/>
      <c r="J10" s="30"/>
      <c r="K10" s="30"/>
      <c r="L10" s="30"/>
      <c r="M10" s="30"/>
      <c r="N10" s="30"/>
      <c r="O10" s="30"/>
      <c r="P10" s="30"/>
    </row>
    <row r="11" spans="1:34" x14ac:dyDescent="0.45">
      <c r="A11" s="31">
        <v>4</v>
      </c>
      <c r="B11" s="31" t="str">
        <f t="shared" ref="B11:B24" si="1">CONCATENATE($B$2, ".", A11)</f>
        <v>3.4</v>
      </c>
      <c r="C11" s="35" t="s">
        <v>37</v>
      </c>
      <c r="D11" s="32" t="s">
        <v>259</v>
      </c>
      <c r="E11" s="32" t="s">
        <v>48</v>
      </c>
      <c r="F11" s="31" t="s">
        <v>55</v>
      </c>
      <c r="G11" s="31" t="s">
        <v>55</v>
      </c>
      <c r="H11" s="35" t="s">
        <v>55</v>
      </c>
      <c r="I11" s="32" t="s">
        <v>54</v>
      </c>
      <c r="J11" s="31" t="s">
        <v>55</v>
      </c>
      <c r="K11" s="31" t="s">
        <v>55</v>
      </c>
      <c r="L11" s="31" t="s">
        <v>55</v>
      </c>
      <c r="M11" s="32" t="s">
        <v>55</v>
      </c>
      <c r="N11" s="31" t="s">
        <v>55</v>
      </c>
      <c r="O11" s="31" t="s">
        <v>226</v>
      </c>
    </row>
    <row r="12" spans="1:34" x14ac:dyDescent="0.45">
      <c r="A12" s="31">
        <v>5</v>
      </c>
      <c r="B12" s="31" t="str">
        <f>CONCATENATE($B$2, ".", A12)</f>
        <v>3.5</v>
      </c>
      <c r="C12" s="35" t="s">
        <v>37</v>
      </c>
      <c r="D12" s="32" t="s">
        <v>260</v>
      </c>
      <c r="E12" s="32" t="s">
        <v>49</v>
      </c>
      <c r="F12" s="31" t="s">
        <v>55</v>
      </c>
      <c r="G12" s="31" t="s">
        <v>55</v>
      </c>
      <c r="H12" s="35" t="s">
        <v>55</v>
      </c>
      <c r="I12" s="32" t="s">
        <v>54</v>
      </c>
      <c r="J12" s="31" t="s">
        <v>55</v>
      </c>
      <c r="K12" s="31" t="s">
        <v>55</v>
      </c>
      <c r="L12" s="31" t="s">
        <v>55</v>
      </c>
      <c r="M12" s="32" t="s">
        <v>55</v>
      </c>
      <c r="N12" s="31" t="s">
        <v>55</v>
      </c>
    </row>
    <row r="13" spans="1:34" ht="28.5" x14ac:dyDescent="0.45">
      <c r="A13" s="32">
        <v>6</v>
      </c>
      <c r="B13" s="31" t="str">
        <f>CONCATENATE($B$2, ".", A13)</f>
        <v>3.6</v>
      </c>
      <c r="C13" s="35" t="s">
        <v>37</v>
      </c>
      <c r="D13" s="32" t="s">
        <v>304</v>
      </c>
      <c r="E13" s="32" t="s">
        <v>32</v>
      </c>
      <c r="F13" s="31" t="s">
        <v>55</v>
      </c>
      <c r="G13" s="31" t="s">
        <v>55</v>
      </c>
      <c r="H13" s="35" t="s">
        <v>55</v>
      </c>
      <c r="I13" s="32" t="s">
        <v>251</v>
      </c>
      <c r="J13" s="31" t="s">
        <v>55</v>
      </c>
      <c r="K13" s="31" t="s">
        <v>55</v>
      </c>
      <c r="L13" s="31" t="s">
        <v>55</v>
      </c>
      <c r="M13" s="32" t="s">
        <v>55</v>
      </c>
      <c r="N13" s="31" t="s">
        <v>55</v>
      </c>
      <c r="O13" s="31" t="s">
        <v>307</v>
      </c>
      <c r="P13" s="31" t="s">
        <v>308</v>
      </c>
      <c r="Q13" s="32"/>
      <c r="R13" s="32"/>
      <c r="S13" s="32"/>
      <c r="T13" s="32"/>
      <c r="U13" s="32"/>
      <c r="V13" s="32"/>
      <c r="W13" s="32"/>
      <c r="X13" s="32"/>
      <c r="Y13" s="32"/>
      <c r="Z13" s="32"/>
      <c r="AA13" s="32"/>
      <c r="AB13" s="32"/>
      <c r="AC13" s="32"/>
      <c r="AD13" s="32"/>
      <c r="AE13" s="32"/>
      <c r="AF13" s="32"/>
      <c r="AG13" s="32"/>
      <c r="AH13" s="32"/>
    </row>
    <row r="14" spans="1:34" x14ac:dyDescent="0.45">
      <c r="A14" s="44" t="s">
        <v>256</v>
      </c>
      <c r="B14" s="44"/>
      <c r="C14" s="44"/>
      <c r="D14" s="44"/>
      <c r="E14" s="44"/>
      <c r="F14" s="44"/>
      <c r="G14" s="30"/>
      <c r="H14" s="30"/>
      <c r="I14" s="30"/>
      <c r="J14" s="30"/>
      <c r="K14" s="30"/>
      <c r="L14" s="30"/>
      <c r="M14" s="30"/>
      <c r="N14" s="30"/>
      <c r="O14" s="30"/>
      <c r="P14" s="30"/>
      <c r="Q14" s="32"/>
      <c r="R14" s="32"/>
      <c r="S14" s="32"/>
      <c r="T14" s="32"/>
      <c r="U14" s="32"/>
      <c r="V14" s="32"/>
      <c r="W14" s="32"/>
      <c r="X14" s="32"/>
      <c r="Y14" s="32"/>
      <c r="Z14" s="32"/>
      <c r="AA14" s="32"/>
      <c r="AB14" s="32"/>
      <c r="AC14" s="32"/>
      <c r="AD14" s="32"/>
      <c r="AE14" s="32"/>
      <c r="AF14" s="32"/>
      <c r="AG14" s="32"/>
      <c r="AH14" s="32"/>
    </row>
    <row r="15" spans="1:34" ht="57" x14ac:dyDescent="0.45">
      <c r="A15" s="32">
        <v>7</v>
      </c>
      <c r="B15" s="31" t="str">
        <f>CONCATENATE($B$2, ".", A15)</f>
        <v>3.7</v>
      </c>
      <c r="C15" s="35" t="s">
        <v>37</v>
      </c>
      <c r="D15" s="32" t="s">
        <v>284</v>
      </c>
      <c r="E15" s="32" t="s">
        <v>59</v>
      </c>
      <c r="F15" s="31" t="s">
        <v>55</v>
      </c>
      <c r="G15" s="31" t="s">
        <v>55</v>
      </c>
      <c r="H15" s="35" t="s">
        <v>55</v>
      </c>
      <c r="I15" s="32" t="s">
        <v>251</v>
      </c>
      <c r="J15" s="31" t="s">
        <v>55</v>
      </c>
      <c r="K15" s="31" t="s">
        <v>55</v>
      </c>
      <c r="L15" s="31" t="s">
        <v>55</v>
      </c>
      <c r="M15" s="31" t="s">
        <v>55</v>
      </c>
      <c r="N15" s="31" t="s">
        <v>55</v>
      </c>
      <c r="O15" s="31" t="s">
        <v>285</v>
      </c>
      <c r="P15" s="31" t="s">
        <v>279</v>
      </c>
      <c r="Q15" s="32"/>
      <c r="R15" s="32"/>
      <c r="S15" s="32"/>
      <c r="T15" s="32"/>
      <c r="U15" s="32"/>
      <c r="V15" s="32"/>
      <c r="W15" s="32"/>
      <c r="X15" s="32"/>
      <c r="Y15" s="32"/>
      <c r="Z15" s="32"/>
      <c r="AA15" s="32"/>
      <c r="AB15" s="32"/>
      <c r="AC15" s="32"/>
      <c r="AD15" s="32"/>
      <c r="AE15" s="32"/>
      <c r="AF15" s="32"/>
      <c r="AG15" s="32"/>
      <c r="AH15" s="32"/>
    </row>
    <row r="16" spans="1:34" ht="71.25" x14ac:dyDescent="0.45">
      <c r="A16" s="32">
        <v>8</v>
      </c>
      <c r="B16" s="31" t="str">
        <f>CONCATENATE($B$2, ".", A16)</f>
        <v>3.8</v>
      </c>
      <c r="C16" s="35" t="s">
        <v>37</v>
      </c>
      <c r="D16" s="32" t="s">
        <v>219</v>
      </c>
      <c r="E16" s="32" t="s">
        <v>28</v>
      </c>
      <c r="F16" s="31" t="s">
        <v>55</v>
      </c>
      <c r="G16" s="31" t="s">
        <v>55</v>
      </c>
      <c r="H16" s="35" t="s">
        <v>55</v>
      </c>
      <c r="I16" s="32" t="s">
        <v>54</v>
      </c>
      <c r="J16" s="31" t="s">
        <v>249</v>
      </c>
      <c r="K16" s="31" t="s">
        <v>55</v>
      </c>
      <c r="L16" s="31" t="s">
        <v>55</v>
      </c>
      <c r="M16" s="31" t="s">
        <v>55</v>
      </c>
      <c r="N16" s="31" t="s">
        <v>55</v>
      </c>
      <c r="O16" s="31" t="s">
        <v>266</v>
      </c>
      <c r="Q16" s="32"/>
      <c r="R16" s="32"/>
      <c r="S16" s="32"/>
      <c r="T16" s="32"/>
      <c r="U16" s="32"/>
      <c r="V16" s="32"/>
      <c r="W16" s="32"/>
      <c r="X16" s="32"/>
      <c r="Y16" s="32"/>
      <c r="Z16" s="32"/>
      <c r="AA16" s="32"/>
      <c r="AB16" s="32"/>
      <c r="AC16" s="32"/>
      <c r="AD16" s="32"/>
      <c r="AE16" s="32"/>
      <c r="AF16" s="32"/>
      <c r="AG16" s="32"/>
      <c r="AH16" s="32"/>
    </row>
    <row r="17" spans="1:34" ht="28.5" x14ac:dyDescent="0.45">
      <c r="C17" s="35" t="s">
        <v>38</v>
      </c>
      <c r="D17" s="32" t="s">
        <v>146</v>
      </c>
      <c r="E17" s="32" t="s">
        <v>48</v>
      </c>
      <c r="F17" s="31" t="s">
        <v>55</v>
      </c>
      <c r="G17" s="31" t="s">
        <v>55</v>
      </c>
      <c r="H17" s="35" t="s">
        <v>55</v>
      </c>
      <c r="I17" s="32" t="s">
        <v>54</v>
      </c>
      <c r="J17" s="31" t="s">
        <v>55</v>
      </c>
      <c r="K17" s="31" t="s">
        <v>55</v>
      </c>
      <c r="L17" s="31" t="s">
        <v>55</v>
      </c>
      <c r="M17" s="32" t="s">
        <v>55</v>
      </c>
      <c r="N17" s="31" t="s">
        <v>55</v>
      </c>
      <c r="P17" s="31" t="s">
        <v>265</v>
      </c>
    </row>
    <row r="18" spans="1:34" x14ac:dyDescent="0.45">
      <c r="A18" s="31">
        <v>9</v>
      </c>
      <c r="B18" s="31" t="str">
        <f t="shared" si="1"/>
        <v>3.9</v>
      </c>
      <c r="C18" s="35" t="s">
        <v>37</v>
      </c>
      <c r="D18" s="32" t="s">
        <v>147</v>
      </c>
      <c r="E18" s="32" t="s">
        <v>27</v>
      </c>
      <c r="F18" s="31" t="s">
        <v>55</v>
      </c>
      <c r="G18" s="31" t="s">
        <v>55</v>
      </c>
      <c r="H18" s="35" t="s">
        <v>55</v>
      </c>
      <c r="I18" s="32" t="s">
        <v>54</v>
      </c>
      <c r="J18" s="31" t="s">
        <v>55</v>
      </c>
      <c r="K18" s="31" t="s">
        <v>55</v>
      </c>
      <c r="L18" s="31" t="s">
        <v>55</v>
      </c>
      <c r="M18" s="32" t="s">
        <v>55</v>
      </c>
      <c r="N18" s="31" t="s">
        <v>55</v>
      </c>
    </row>
    <row r="19" spans="1:34" x14ac:dyDescent="0.45">
      <c r="A19" s="31">
        <v>10</v>
      </c>
      <c r="B19" s="31" t="str">
        <f t="shared" si="1"/>
        <v>3.10</v>
      </c>
      <c r="C19" s="35" t="s">
        <v>37</v>
      </c>
      <c r="D19" s="32" t="s">
        <v>148</v>
      </c>
      <c r="E19" s="32" t="s">
        <v>59</v>
      </c>
      <c r="F19" s="31" t="s">
        <v>55</v>
      </c>
      <c r="G19" s="31" t="s">
        <v>55</v>
      </c>
      <c r="H19" s="35" t="s">
        <v>55</v>
      </c>
      <c r="I19" s="32" t="s">
        <v>54</v>
      </c>
      <c r="J19" s="31" t="s">
        <v>55</v>
      </c>
      <c r="K19" s="31" t="s">
        <v>55</v>
      </c>
      <c r="L19" s="31" t="s">
        <v>55</v>
      </c>
      <c r="M19" s="32" t="s">
        <v>55</v>
      </c>
      <c r="N19" s="31" t="s">
        <v>55</v>
      </c>
    </row>
    <row r="20" spans="1:34" ht="57" x14ac:dyDescent="0.45">
      <c r="A20" s="32">
        <v>11</v>
      </c>
      <c r="B20" s="31" t="str">
        <f t="shared" si="1"/>
        <v>3.11</v>
      </c>
      <c r="C20" s="35" t="s">
        <v>37</v>
      </c>
      <c r="D20" s="32" t="s">
        <v>194</v>
      </c>
      <c r="E20" s="32" t="s">
        <v>59</v>
      </c>
      <c r="F20" s="31" t="s">
        <v>55</v>
      </c>
      <c r="G20" s="31" t="s">
        <v>55</v>
      </c>
      <c r="H20" s="35" t="s">
        <v>55</v>
      </c>
      <c r="I20" s="32" t="s">
        <v>251</v>
      </c>
      <c r="J20" s="31" t="s">
        <v>55</v>
      </c>
      <c r="K20" s="31" t="s">
        <v>55</v>
      </c>
      <c r="L20" s="31" t="s">
        <v>55</v>
      </c>
      <c r="M20" s="32" t="s">
        <v>55</v>
      </c>
      <c r="N20" s="31" t="s">
        <v>55</v>
      </c>
      <c r="O20" s="31" t="s">
        <v>242</v>
      </c>
      <c r="P20" s="31" t="s">
        <v>279</v>
      </c>
    </row>
    <row r="21" spans="1:34" ht="57" x14ac:dyDescent="0.45">
      <c r="A21" s="32">
        <v>12</v>
      </c>
      <c r="B21" s="31" t="str">
        <f t="shared" si="1"/>
        <v>3.12</v>
      </c>
      <c r="C21" s="35" t="s">
        <v>37</v>
      </c>
      <c r="D21" s="32" t="s">
        <v>195</v>
      </c>
      <c r="E21" s="32" t="s">
        <v>59</v>
      </c>
      <c r="F21" s="31" t="s">
        <v>55</v>
      </c>
      <c r="G21" s="31" t="s">
        <v>55</v>
      </c>
      <c r="H21" s="35" t="s">
        <v>55</v>
      </c>
      <c r="I21" s="32" t="s">
        <v>251</v>
      </c>
      <c r="J21" s="31" t="s">
        <v>55</v>
      </c>
      <c r="K21" s="31" t="s">
        <v>55</v>
      </c>
      <c r="L21" s="31" t="s">
        <v>55</v>
      </c>
      <c r="M21" s="32" t="s">
        <v>55</v>
      </c>
      <c r="N21" s="31" t="s">
        <v>55</v>
      </c>
      <c r="O21" s="31" t="s">
        <v>243</v>
      </c>
      <c r="P21" s="31" t="s">
        <v>279</v>
      </c>
    </row>
    <row r="22" spans="1:34" ht="57" x14ac:dyDescent="0.45">
      <c r="A22" s="32">
        <v>13</v>
      </c>
      <c r="B22" s="31" t="str">
        <f t="shared" ref="B22:B23" si="2">CONCATENATE($B$2, ".", A22)</f>
        <v>3.13</v>
      </c>
      <c r="C22" s="35" t="s">
        <v>37</v>
      </c>
      <c r="D22" s="32" t="s">
        <v>280</v>
      </c>
      <c r="E22" s="32" t="s">
        <v>59</v>
      </c>
      <c r="F22" s="31" t="s">
        <v>55</v>
      </c>
      <c r="G22" s="31" t="s">
        <v>55</v>
      </c>
      <c r="H22" s="35" t="s">
        <v>55</v>
      </c>
      <c r="I22" s="32" t="s">
        <v>251</v>
      </c>
      <c r="J22" s="31" t="s">
        <v>55</v>
      </c>
      <c r="K22" s="31" t="s">
        <v>55</v>
      </c>
      <c r="L22" s="31" t="s">
        <v>55</v>
      </c>
      <c r="M22" s="32" t="s">
        <v>55</v>
      </c>
      <c r="N22" s="31" t="s">
        <v>55</v>
      </c>
      <c r="O22" s="31" t="s">
        <v>282</v>
      </c>
    </row>
    <row r="23" spans="1:34" ht="57" x14ac:dyDescent="0.45">
      <c r="A23" s="32">
        <v>14</v>
      </c>
      <c r="B23" s="31" t="str">
        <f t="shared" si="2"/>
        <v>3.14</v>
      </c>
      <c r="C23" s="35" t="s">
        <v>37</v>
      </c>
      <c r="D23" s="32" t="s">
        <v>281</v>
      </c>
      <c r="E23" s="32" t="s">
        <v>59</v>
      </c>
      <c r="F23" s="31" t="s">
        <v>55</v>
      </c>
      <c r="G23" s="31" t="s">
        <v>55</v>
      </c>
      <c r="H23" s="35" t="s">
        <v>55</v>
      </c>
      <c r="I23" s="32" t="s">
        <v>251</v>
      </c>
      <c r="J23" s="31" t="s">
        <v>55</v>
      </c>
      <c r="K23" s="31" t="s">
        <v>55</v>
      </c>
      <c r="L23" s="31" t="s">
        <v>55</v>
      </c>
      <c r="M23" s="32" t="s">
        <v>55</v>
      </c>
      <c r="N23" s="31" t="s">
        <v>55</v>
      </c>
      <c r="O23" s="31" t="s">
        <v>283</v>
      </c>
    </row>
    <row r="24" spans="1:34" ht="71.25" x14ac:dyDescent="0.45">
      <c r="A24" s="32">
        <v>15</v>
      </c>
      <c r="B24" s="31" t="str">
        <f t="shared" si="1"/>
        <v>3.15</v>
      </c>
      <c r="C24" s="35" t="s">
        <v>37</v>
      </c>
      <c r="D24" s="32" t="s">
        <v>236</v>
      </c>
      <c r="E24" s="32" t="s">
        <v>47</v>
      </c>
      <c r="F24" s="31" t="s">
        <v>55</v>
      </c>
      <c r="G24" s="31" t="s">
        <v>55</v>
      </c>
      <c r="H24" s="35" t="s">
        <v>55</v>
      </c>
      <c r="I24" s="32" t="s">
        <v>251</v>
      </c>
      <c r="J24" s="31" t="s">
        <v>55</v>
      </c>
      <c r="K24" s="31" t="s">
        <v>55</v>
      </c>
      <c r="L24" s="31" t="s">
        <v>55</v>
      </c>
      <c r="M24" s="32" t="s">
        <v>55</v>
      </c>
      <c r="N24" s="31" t="s">
        <v>55</v>
      </c>
      <c r="O24" s="31" t="s">
        <v>277</v>
      </c>
      <c r="Q24" s="32"/>
      <c r="R24" s="32"/>
      <c r="S24" s="32"/>
      <c r="T24" s="32"/>
      <c r="U24" s="32"/>
      <c r="V24" s="32"/>
      <c r="W24" s="32"/>
      <c r="X24" s="32"/>
      <c r="Y24" s="32"/>
      <c r="Z24" s="32"/>
      <c r="AA24" s="32"/>
      <c r="AB24" s="32"/>
      <c r="AC24" s="32"/>
      <c r="AD24" s="32"/>
      <c r="AE24" s="32"/>
      <c r="AF24" s="32"/>
      <c r="AG24" s="32"/>
      <c r="AH24" s="32"/>
    </row>
    <row r="25" spans="1:34" x14ac:dyDescent="0.45">
      <c r="A25" s="44" t="s">
        <v>257</v>
      </c>
      <c r="B25" s="44"/>
      <c r="C25" s="44"/>
      <c r="D25" s="44"/>
      <c r="E25" s="44"/>
      <c r="F25" s="44"/>
      <c r="G25" s="30"/>
      <c r="H25" s="30"/>
      <c r="I25" s="30"/>
      <c r="J25" s="30"/>
      <c r="K25" s="30"/>
      <c r="L25" s="30"/>
      <c r="M25" s="30"/>
      <c r="N25" s="30"/>
      <c r="O25" s="30"/>
      <c r="P25" s="30"/>
    </row>
    <row r="26" spans="1:34" ht="28.5" x14ac:dyDescent="0.45">
      <c r="A26" s="32">
        <v>16</v>
      </c>
      <c r="B26" s="31" t="str">
        <f>CONCATENATE($B$2, ".", A26)</f>
        <v>3.16</v>
      </c>
      <c r="C26" s="35" t="s">
        <v>37</v>
      </c>
      <c r="D26" s="32" t="s">
        <v>200</v>
      </c>
      <c r="E26" s="32" t="s">
        <v>40</v>
      </c>
      <c r="F26" s="31" t="s">
        <v>203</v>
      </c>
      <c r="G26" s="31" t="s">
        <v>55</v>
      </c>
      <c r="H26" s="35" t="s">
        <v>55</v>
      </c>
      <c r="I26" s="32" t="s">
        <v>54</v>
      </c>
      <c r="J26" s="41" t="s">
        <v>240</v>
      </c>
      <c r="K26" s="31" t="s">
        <v>55</v>
      </c>
      <c r="L26" s="31" t="s">
        <v>55</v>
      </c>
      <c r="M26" s="32" t="s">
        <v>55</v>
      </c>
      <c r="N26" s="31" t="s">
        <v>55</v>
      </c>
      <c r="O26" s="31" t="s">
        <v>299</v>
      </c>
    </row>
    <row r="27" spans="1:34" x14ac:dyDescent="0.45">
      <c r="A27" s="32">
        <v>17</v>
      </c>
      <c r="B27" s="31" t="str">
        <f>CONCATENATE($B$2, ".", A27)</f>
        <v>3.17</v>
      </c>
      <c r="C27" s="35" t="s">
        <v>37</v>
      </c>
      <c r="D27" s="32" t="s">
        <v>322</v>
      </c>
      <c r="E27" s="32" t="s">
        <v>40</v>
      </c>
      <c r="F27" s="31" t="s">
        <v>55</v>
      </c>
      <c r="G27" s="31" t="s">
        <v>55</v>
      </c>
      <c r="H27" s="35" t="s">
        <v>55</v>
      </c>
      <c r="I27" s="32" t="s">
        <v>54</v>
      </c>
      <c r="J27" s="31" t="s">
        <v>55</v>
      </c>
      <c r="K27" s="31" t="s">
        <v>55</v>
      </c>
      <c r="L27" s="31" t="s">
        <v>55</v>
      </c>
      <c r="M27" s="32" t="s">
        <v>55</v>
      </c>
      <c r="N27" s="31" t="s">
        <v>55</v>
      </c>
    </row>
    <row r="28" spans="1:34" ht="114" x14ac:dyDescent="0.45">
      <c r="A28" s="32">
        <v>18</v>
      </c>
      <c r="B28" s="31" t="str">
        <f>CONCATENATE($B$2, ".", A28)</f>
        <v>3.18</v>
      </c>
      <c r="C28" s="35" t="s">
        <v>35</v>
      </c>
      <c r="D28" s="32" t="s">
        <v>56</v>
      </c>
      <c r="E28" s="32" t="s">
        <v>40</v>
      </c>
      <c r="F28" s="31" t="s">
        <v>55</v>
      </c>
      <c r="G28" s="31" t="s">
        <v>55</v>
      </c>
      <c r="H28" s="35" t="s">
        <v>55</v>
      </c>
      <c r="I28" s="32" t="s">
        <v>54</v>
      </c>
      <c r="J28" s="31" t="s">
        <v>55</v>
      </c>
      <c r="K28" s="31" t="s">
        <v>55</v>
      </c>
      <c r="L28" s="31" t="s">
        <v>55</v>
      </c>
      <c r="M28" s="31" t="s">
        <v>324</v>
      </c>
      <c r="N28" s="31" t="s">
        <v>325</v>
      </c>
      <c r="O28" s="31" t="s">
        <v>323</v>
      </c>
    </row>
    <row r="29" spans="1:34" ht="28.5" x14ac:dyDescent="0.45">
      <c r="A29" s="31">
        <v>19</v>
      </c>
      <c r="B29" s="31" t="str">
        <f>CONCATENATE($B$2, ".", A29)</f>
        <v>3.19</v>
      </c>
      <c r="C29" s="35" t="s">
        <v>37</v>
      </c>
      <c r="D29" s="32" t="s">
        <v>57</v>
      </c>
      <c r="E29" s="32" t="s">
        <v>40</v>
      </c>
      <c r="F29" s="31" t="s">
        <v>55</v>
      </c>
      <c r="G29" s="31" t="s">
        <v>55</v>
      </c>
      <c r="H29" s="35" t="s">
        <v>55</v>
      </c>
      <c r="I29" s="32" t="s">
        <v>54</v>
      </c>
      <c r="J29" s="31" t="s">
        <v>55</v>
      </c>
      <c r="K29" s="31" t="s">
        <v>55</v>
      </c>
      <c r="L29" s="31" t="s">
        <v>55</v>
      </c>
      <c r="M29" s="32" t="s">
        <v>55</v>
      </c>
      <c r="N29" s="31" t="s">
        <v>55</v>
      </c>
      <c r="O29" s="31" t="s">
        <v>276</v>
      </c>
    </row>
    <row r="30" spans="1:34" ht="99.75" hidden="1" x14ac:dyDescent="0.45">
      <c r="C30" s="35" t="s">
        <v>38</v>
      </c>
      <c r="D30" s="42" t="s">
        <v>229</v>
      </c>
      <c r="E30" s="32" t="s">
        <v>53</v>
      </c>
      <c r="F30" s="31" t="s">
        <v>55</v>
      </c>
      <c r="G30" s="31" t="s">
        <v>55</v>
      </c>
      <c r="H30" s="35" t="s">
        <v>55</v>
      </c>
      <c r="I30" s="35" t="s">
        <v>55</v>
      </c>
      <c r="J30" s="31" t="s">
        <v>55</v>
      </c>
      <c r="K30" s="31" t="s">
        <v>55</v>
      </c>
      <c r="L30" s="31" t="s">
        <v>55</v>
      </c>
      <c r="M30" s="32" t="s">
        <v>55</v>
      </c>
      <c r="N30" s="31" t="s">
        <v>55</v>
      </c>
      <c r="O30" s="45" t="s">
        <v>261</v>
      </c>
      <c r="P30" s="31" t="s">
        <v>275</v>
      </c>
    </row>
  </sheetData>
  <autoFilter ref="A6:P6" xr:uid="{00000000-0009-0000-0000-000009000000}"/>
  <conditionalFormatting sqref="C9 C31:C1048576 C24 C16">
    <cfRule type="cellIs" dxfId="252" priority="176" operator="equal">
      <formula>"WIP (see comments)"</formula>
    </cfRule>
    <cfRule type="cellIs" dxfId="251" priority="177" operator="equal">
      <formula>"Removed"</formula>
    </cfRule>
    <cfRule type="cellIs" dxfId="250" priority="178" operator="equal">
      <formula>"Updated"</formula>
    </cfRule>
    <cfRule type="cellIs" dxfId="249" priority="179" operator="equal">
      <formula>"New"</formula>
    </cfRule>
  </conditionalFormatting>
  <conditionalFormatting sqref="D9 D19 D24 D15:D16 D13">
    <cfRule type="cellIs" dxfId="248" priority="175" operator="equal">
      <formula>"-"</formula>
    </cfRule>
  </conditionalFormatting>
  <conditionalFormatting sqref="A11 G10:XFD10 P11:XFD11 I11 P9 A9:N9 P18:P19 Q7:XFD9 Q17:XFD19 G25:P25 A18:A19 I18:I19 G24 L24:N24 A24:E24 I24 Q24:XFD24 P13 P15:XFD16 Q13:XFD14 A16:I16 A13 I13 D13:E13 A15:B15 D15:N15">
    <cfRule type="cellIs" dxfId="247" priority="174" operator="equal">
      <formula>"n/a"</formula>
    </cfRule>
  </conditionalFormatting>
  <conditionalFormatting sqref="J19:N19 A19:B19 D19:H19">
    <cfRule type="cellIs" dxfId="246" priority="112" operator="equal">
      <formula>"n/a"</formula>
    </cfRule>
  </conditionalFormatting>
  <conditionalFormatting sqref="A10">
    <cfRule type="cellIs" dxfId="245" priority="111" operator="equal">
      <formula>"n/a"</formula>
    </cfRule>
  </conditionalFormatting>
  <conditionalFormatting sqref="C11">
    <cfRule type="cellIs" dxfId="244" priority="106" operator="equal">
      <formula>"WIP (see comments)"</formula>
    </cfRule>
    <cfRule type="cellIs" dxfId="243" priority="107" operator="equal">
      <formula>"Removed"</formula>
    </cfRule>
    <cfRule type="cellIs" dxfId="242" priority="108" operator="equal">
      <formula>"Updated"</formula>
    </cfRule>
    <cfRule type="cellIs" dxfId="241" priority="109" operator="equal">
      <formula>"New"</formula>
    </cfRule>
  </conditionalFormatting>
  <conditionalFormatting sqref="D11 D18">
    <cfRule type="cellIs" dxfId="240" priority="105" operator="equal">
      <formula>"-"</formula>
    </cfRule>
  </conditionalFormatting>
  <conditionalFormatting sqref="J11:N11 A11:H11 A18:B18 J18:N18 D18:H18">
    <cfRule type="cellIs" dxfId="239" priority="104" operator="equal">
      <formula>"n/a"</formula>
    </cfRule>
  </conditionalFormatting>
  <conditionalFormatting sqref="H24">
    <cfRule type="cellIs" dxfId="238" priority="103" operator="equal">
      <formula>"n/a"</formula>
    </cfRule>
  </conditionalFormatting>
  <conditionalFormatting sqref="F24">
    <cfRule type="cellIs" dxfId="237" priority="101" operator="equal">
      <formula>"n/a"</formula>
    </cfRule>
  </conditionalFormatting>
  <conditionalFormatting sqref="J24:K24">
    <cfRule type="cellIs" dxfId="236" priority="99" operator="equal">
      <formula>"n/a"</formula>
    </cfRule>
  </conditionalFormatting>
  <conditionalFormatting sqref="A19">
    <cfRule type="cellIs" dxfId="235" priority="97" operator="equal">
      <formula>"n/a"</formula>
    </cfRule>
  </conditionalFormatting>
  <conditionalFormatting sqref="A12 P12:XFD12 I12">
    <cfRule type="cellIs" dxfId="234" priority="91" operator="equal">
      <formula>"n/a"</formula>
    </cfRule>
  </conditionalFormatting>
  <conditionalFormatting sqref="C12">
    <cfRule type="cellIs" dxfId="233" priority="87" operator="equal">
      <formula>"WIP (see comments)"</formula>
    </cfRule>
    <cfRule type="cellIs" dxfId="232" priority="88" operator="equal">
      <formula>"Removed"</formula>
    </cfRule>
    <cfRule type="cellIs" dxfId="231" priority="89" operator="equal">
      <formula>"Updated"</formula>
    </cfRule>
    <cfRule type="cellIs" dxfId="230" priority="90" operator="equal">
      <formula>"New"</formula>
    </cfRule>
  </conditionalFormatting>
  <conditionalFormatting sqref="D12">
    <cfRule type="cellIs" dxfId="229" priority="86" operator="equal">
      <formula>"-"</formula>
    </cfRule>
  </conditionalFormatting>
  <conditionalFormatting sqref="A12:H12 F13:H13 J12:N13 B13">
    <cfRule type="cellIs" dxfId="228" priority="85" operator="equal">
      <formula>"n/a"</formula>
    </cfRule>
  </conditionalFormatting>
  <conditionalFormatting sqref="G14:P14">
    <cfRule type="cellIs" dxfId="227" priority="84" operator="equal">
      <formula>"n/a"</formula>
    </cfRule>
  </conditionalFormatting>
  <conditionalFormatting sqref="C17:C19">
    <cfRule type="cellIs" dxfId="226" priority="80" operator="equal">
      <formula>"WIP (see comments)"</formula>
    </cfRule>
    <cfRule type="cellIs" dxfId="225" priority="81" operator="equal">
      <formula>"Removed"</formula>
    </cfRule>
    <cfRule type="cellIs" dxfId="224" priority="82" operator="equal">
      <formula>"Updated"</formula>
    </cfRule>
    <cfRule type="cellIs" dxfId="223" priority="83" operator="equal">
      <formula>"New"</formula>
    </cfRule>
  </conditionalFormatting>
  <conditionalFormatting sqref="D17">
    <cfRule type="cellIs" dxfId="222" priority="79" operator="equal">
      <formula>"-"</formula>
    </cfRule>
  </conditionalFormatting>
  <conditionalFormatting sqref="A17:N17 C18:C19">
    <cfRule type="cellIs" dxfId="221" priority="78" operator="equal">
      <formula>"n/a"</formula>
    </cfRule>
  </conditionalFormatting>
  <conditionalFormatting sqref="A14">
    <cfRule type="cellIs" dxfId="220" priority="77" operator="equal">
      <formula>"n/a"</formula>
    </cfRule>
  </conditionalFormatting>
  <conditionalFormatting sqref="C30">
    <cfRule type="cellIs" dxfId="219" priority="73" operator="equal">
      <formula>"WIP (see comments)"</formula>
    </cfRule>
    <cfRule type="cellIs" dxfId="218" priority="74" operator="equal">
      <formula>"Removed"</formula>
    </cfRule>
    <cfRule type="cellIs" dxfId="217" priority="75" operator="equal">
      <formula>"Updated"</formula>
    </cfRule>
    <cfRule type="cellIs" dxfId="216" priority="76" operator="equal">
      <formula>"New"</formula>
    </cfRule>
  </conditionalFormatting>
  <conditionalFormatting sqref="D30">
    <cfRule type="cellIs" dxfId="215" priority="72" operator="equal">
      <formula>"-"</formula>
    </cfRule>
  </conditionalFormatting>
  <conditionalFormatting sqref="A30:E30 G30 L30:N30">
    <cfRule type="cellIs" dxfId="214" priority="71" operator="equal">
      <formula>"n/a"</formula>
    </cfRule>
  </conditionalFormatting>
  <conditionalFormatting sqref="H30:I30">
    <cfRule type="cellIs" dxfId="213" priority="70" operator="equal">
      <formula>"n/a"</formula>
    </cfRule>
  </conditionalFormatting>
  <conditionalFormatting sqref="F30">
    <cfRule type="cellIs" dxfId="212" priority="69" operator="equal">
      <formula>"n/a"</formula>
    </cfRule>
  </conditionalFormatting>
  <conditionalFormatting sqref="J30:K30">
    <cfRule type="cellIs" dxfId="211" priority="68" operator="equal">
      <formula>"n/a"</formula>
    </cfRule>
  </conditionalFormatting>
  <conditionalFormatting sqref="J28:K29">
    <cfRule type="cellIs" dxfId="210" priority="57" operator="equal">
      <formula>"n/a"</formula>
    </cfRule>
  </conditionalFormatting>
  <conditionalFormatting sqref="C28:C29">
    <cfRule type="cellIs" dxfId="209" priority="62" operator="equal">
      <formula>"WIP (see comments)"</formula>
    </cfRule>
    <cfRule type="cellIs" dxfId="208" priority="63" operator="equal">
      <formula>"Removed"</formula>
    </cfRule>
    <cfRule type="cellIs" dxfId="207" priority="64" operator="equal">
      <formula>"Updated"</formula>
    </cfRule>
    <cfRule type="cellIs" dxfId="206" priority="65" operator="equal">
      <formula>"New"</formula>
    </cfRule>
  </conditionalFormatting>
  <conditionalFormatting sqref="D28:D29">
    <cfRule type="cellIs" dxfId="205" priority="61" operator="equal">
      <formula>"-"</formula>
    </cfRule>
  </conditionalFormatting>
  <conditionalFormatting sqref="A28:E29 G28:G29 L29:N29 I28:I29 L28">
    <cfRule type="cellIs" dxfId="204" priority="60" operator="equal">
      <formula>"n/a"</formula>
    </cfRule>
  </conditionalFormatting>
  <conditionalFormatting sqref="H28:H29">
    <cfRule type="cellIs" dxfId="203" priority="59" operator="equal">
      <formula>"n/a"</formula>
    </cfRule>
  </conditionalFormatting>
  <conditionalFormatting sqref="F28:F29">
    <cfRule type="cellIs" dxfId="202" priority="58" operator="equal">
      <formula>"n/a"</formula>
    </cfRule>
  </conditionalFormatting>
  <conditionalFormatting sqref="A25">
    <cfRule type="cellIs" dxfId="201" priority="55" operator="equal">
      <formula>"n/a"</formula>
    </cfRule>
  </conditionalFormatting>
  <conditionalFormatting sqref="C7:C9">
    <cfRule type="cellIs" dxfId="200" priority="51" operator="equal">
      <formula>"WIP (see comments)"</formula>
    </cfRule>
    <cfRule type="cellIs" dxfId="199" priority="52" operator="equal">
      <formula>"Removed"</formula>
    </cfRule>
    <cfRule type="cellIs" dxfId="198" priority="53" operator="equal">
      <formula>"Updated"</formula>
    </cfRule>
    <cfRule type="cellIs" dxfId="197" priority="54" operator="equal">
      <formula>"New"</formula>
    </cfRule>
  </conditionalFormatting>
  <conditionalFormatting sqref="D7:D8">
    <cfRule type="cellIs" dxfId="196" priority="50" operator="equal">
      <formula>"-"</formula>
    </cfRule>
  </conditionalFormatting>
  <conditionalFormatting sqref="A7:P8 C7:C9">
    <cfRule type="cellIs" dxfId="195" priority="49" operator="equal">
      <formula>"n/a"</formula>
    </cfRule>
  </conditionalFormatting>
  <conditionalFormatting sqref="C26:C27">
    <cfRule type="cellIs" dxfId="194" priority="45" operator="equal">
      <formula>"WIP (see comments)"</formula>
    </cfRule>
    <cfRule type="cellIs" dxfId="193" priority="46" operator="equal">
      <formula>"Removed"</formula>
    </cfRule>
    <cfRule type="cellIs" dxfId="192" priority="47" operator="equal">
      <formula>"Updated"</formula>
    </cfRule>
    <cfRule type="cellIs" dxfId="191" priority="48" operator="equal">
      <formula>"New"</formula>
    </cfRule>
  </conditionalFormatting>
  <conditionalFormatting sqref="D26:D27">
    <cfRule type="cellIs" dxfId="190" priority="44" operator="equal">
      <formula>"-"</formula>
    </cfRule>
  </conditionalFormatting>
  <conditionalFormatting sqref="A26:E27 G26:G27 L26:N27 I26:I27">
    <cfRule type="cellIs" dxfId="189" priority="43" operator="equal">
      <formula>"n/a"</formula>
    </cfRule>
  </conditionalFormatting>
  <conditionalFormatting sqref="H26:H27">
    <cfRule type="cellIs" dxfId="188" priority="42" operator="equal">
      <formula>"n/a"</formula>
    </cfRule>
  </conditionalFormatting>
  <conditionalFormatting sqref="F26:F27">
    <cfRule type="cellIs" dxfId="187" priority="41" operator="equal">
      <formula>"n/a"</formula>
    </cfRule>
  </conditionalFormatting>
  <conditionalFormatting sqref="J26:K27">
    <cfRule type="cellIs" dxfId="186" priority="40" operator="equal">
      <formula>"n/a"</formula>
    </cfRule>
  </conditionalFormatting>
  <conditionalFormatting sqref="L16:N16">
    <cfRule type="cellIs" dxfId="185" priority="34" operator="equal">
      <formula>"n/a"</formula>
    </cfRule>
  </conditionalFormatting>
  <conditionalFormatting sqref="J16:K16">
    <cfRule type="cellIs" dxfId="184" priority="31" operator="equal">
      <formula>"n/a"</formula>
    </cfRule>
  </conditionalFormatting>
  <conditionalFormatting sqref="P17">
    <cfRule type="cellIs" dxfId="183" priority="30" operator="equal">
      <formula>"n/a"</formula>
    </cfRule>
  </conditionalFormatting>
  <conditionalFormatting sqref="P20:XFD21">
    <cfRule type="cellIs" dxfId="182" priority="29" operator="equal">
      <formula>"n/a"</formula>
    </cfRule>
  </conditionalFormatting>
  <conditionalFormatting sqref="A20:A21">
    <cfRule type="cellIs" dxfId="181" priority="28" operator="equal">
      <formula>"n/a"</formula>
    </cfRule>
  </conditionalFormatting>
  <conditionalFormatting sqref="C20:C23">
    <cfRule type="cellIs" dxfId="180" priority="24" operator="equal">
      <formula>"WIP (see comments)"</formula>
    </cfRule>
    <cfRule type="cellIs" dxfId="179" priority="25" operator="equal">
      <formula>"Removed"</formula>
    </cfRule>
    <cfRule type="cellIs" dxfId="178" priority="26" operator="equal">
      <formula>"Updated"</formula>
    </cfRule>
    <cfRule type="cellIs" dxfId="177" priority="27" operator="equal">
      <formula>"New"</formula>
    </cfRule>
  </conditionalFormatting>
  <conditionalFormatting sqref="D20:D21">
    <cfRule type="cellIs" dxfId="176" priority="23" operator="equal">
      <formula>"-"</formula>
    </cfRule>
  </conditionalFormatting>
  <conditionalFormatting sqref="A20:N20 A21:B21 D21:N21 C20:C23">
    <cfRule type="cellIs" dxfId="175" priority="22" operator="equal">
      <formula>"n/a"</formula>
    </cfRule>
  </conditionalFormatting>
  <conditionalFormatting sqref="A20:A21">
    <cfRule type="cellIs" dxfId="174" priority="21" operator="equal">
      <formula>"n/a"</formula>
    </cfRule>
  </conditionalFormatting>
  <conditionalFormatting sqref="P22:XFD23">
    <cfRule type="cellIs" dxfId="173" priority="20" operator="equal">
      <formula>"n/a"</formula>
    </cfRule>
  </conditionalFormatting>
  <conditionalFormatting sqref="A22:A23">
    <cfRule type="cellIs" dxfId="172" priority="19" operator="equal">
      <formula>"n/a"</formula>
    </cfRule>
  </conditionalFormatting>
  <conditionalFormatting sqref="D22:D23">
    <cfRule type="cellIs" dxfId="171" priority="14" operator="equal">
      <formula>"-"</formula>
    </cfRule>
  </conditionalFormatting>
  <conditionalFormatting sqref="A22:B23 D22:N23">
    <cfRule type="cellIs" dxfId="170" priority="13" operator="equal">
      <formula>"n/a"</formula>
    </cfRule>
  </conditionalFormatting>
  <conditionalFormatting sqref="A22:A23">
    <cfRule type="cellIs" dxfId="169" priority="12" operator="equal">
      <formula>"n/a"</formula>
    </cfRule>
  </conditionalFormatting>
  <conditionalFormatting sqref="M28:N28">
    <cfRule type="cellIs" dxfId="168" priority="11" operator="equal">
      <formula>"n/a"</formula>
    </cfRule>
  </conditionalFormatting>
  <conditionalFormatting sqref="C13">
    <cfRule type="cellIs" dxfId="167" priority="7" operator="equal">
      <formula>"WIP (see comments)"</formula>
    </cfRule>
    <cfRule type="cellIs" dxfId="166" priority="8" operator="equal">
      <formula>"Removed"</formula>
    </cfRule>
    <cfRule type="cellIs" dxfId="165" priority="9" operator="equal">
      <formula>"Updated"</formula>
    </cfRule>
    <cfRule type="cellIs" dxfId="164" priority="10" operator="equal">
      <formula>"New"</formula>
    </cfRule>
  </conditionalFormatting>
  <conditionalFormatting sqref="C13">
    <cfRule type="cellIs" dxfId="163" priority="6" operator="equal">
      <formula>"n/a"</formula>
    </cfRule>
  </conditionalFormatting>
  <conditionalFormatting sqref="C15">
    <cfRule type="cellIs" dxfId="162" priority="2" operator="equal">
      <formula>"WIP (see comments)"</formula>
    </cfRule>
    <cfRule type="cellIs" dxfId="161" priority="3" operator="equal">
      <formula>"Removed"</formula>
    </cfRule>
    <cfRule type="cellIs" dxfId="160" priority="4" operator="equal">
      <formula>"Updated"</formula>
    </cfRule>
    <cfRule type="cellIs" dxfId="159" priority="5" operator="equal">
      <formula>"New"</formula>
    </cfRule>
  </conditionalFormatting>
  <conditionalFormatting sqref="C15">
    <cfRule type="cellIs" dxfId="158" priority="1" operator="equal">
      <formula>"n/a"</formula>
    </cfRule>
  </conditionalFormatting>
  <dataValidations count="1">
    <dataValidation type="list" allowBlank="1" showInputMessage="1" showErrorMessage="1" sqref="E31:E1048576" xr:uid="{00000000-0002-0000-09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'List Values'!$B$5:$B$9</xm:f>
          </x14:formula1>
          <xm:sqref>C11:C13 C26:C1048576 C7:C9 C15:C24</xm:sqref>
        </x14:dataValidation>
        <x14:dataValidation type="list" allowBlank="1" showInputMessage="1" showErrorMessage="1" xr:uid="{00000000-0002-0000-0900-000002000000}">
          <x14:formula1>
            <xm:f>'List Values'!$A$5:$A$30</xm:f>
          </x14:formula1>
          <xm:sqref>E7:E30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172</v>
      </c>
      <c r="C1" s="23"/>
      <c r="D1" s="20" t="s">
        <v>214</v>
      </c>
      <c r="F1" s="38"/>
      <c r="H1" s="25"/>
    </row>
    <row r="2" spans="1:16" s="21" customFormat="1" ht="18" x14ac:dyDescent="0.45">
      <c r="A2" s="19" t="s">
        <v>8</v>
      </c>
      <c r="B2" s="26" t="s">
        <v>171</v>
      </c>
      <c r="C2" s="25"/>
      <c r="D2" s="40"/>
      <c r="F2" s="38"/>
      <c r="H2" s="25"/>
    </row>
    <row r="3" spans="1:16" s="21" customFormat="1" ht="18" x14ac:dyDescent="0.45">
      <c r="A3" s="19" t="s">
        <v>41</v>
      </c>
      <c r="B3" s="26" t="s">
        <v>178</v>
      </c>
      <c r="C3" s="25"/>
      <c r="F3" s="38"/>
      <c r="H3" s="25"/>
    </row>
    <row r="4" spans="1:16" s="21" customFormat="1" ht="18" x14ac:dyDescent="0.45">
      <c r="A4" s="19" t="s">
        <v>9</v>
      </c>
      <c r="B4" s="26" t="s">
        <v>225</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3" si="0">CONCATENATE($B$2, ".", A7)</f>
        <v>3a.1</v>
      </c>
      <c r="C7" s="35" t="s">
        <v>38</v>
      </c>
      <c r="D7" s="32" t="s">
        <v>146</v>
      </c>
      <c r="E7" s="32" t="s">
        <v>48</v>
      </c>
      <c r="F7" s="31" t="s">
        <v>55</v>
      </c>
      <c r="G7" s="31" t="s">
        <v>55</v>
      </c>
      <c r="H7" s="35" t="s">
        <v>55</v>
      </c>
      <c r="I7" s="32" t="s">
        <v>54</v>
      </c>
      <c r="J7" s="31" t="s">
        <v>55</v>
      </c>
      <c r="K7" s="31" t="s">
        <v>55</v>
      </c>
      <c r="L7" s="31" t="s">
        <v>55</v>
      </c>
      <c r="M7" s="32" t="s">
        <v>55</v>
      </c>
      <c r="N7" s="31" t="s">
        <v>55</v>
      </c>
    </row>
    <row r="8" spans="1:16" x14ac:dyDescent="0.45">
      <c r="A8" s="31">
        <v>2</v>
      </c>
      <c r="B8" s="31" t="str">
        <f t="shared" si="0"/>
        <v>3a.2</v>
      </c>
      <c r="C8" s="35" t="s">
        <v>38</v>
      </c>
      <c r="D8" s="32" t="s">
        <v>147</v>
      </c>
      <c r="E8" s="32" t="s">
        <v>27</v>
      </c>
      <c r="F8" s="31" t="s">
        <v>55</v>
      </c>
      <c r="G8" s="31" t="s">
        <v>55</v>
      </c>
      <c r="H8" s="35" t="s">
        <v>55</v>
      </c>
      <c r="I8" s="32" t="s">
        <v>54</v>
      </c>
      <c r="J8" s="31" t="s">
        <v>55</v>
      </c>
      <c r="K8" s="31" t="s">
        <v>55</v>
      </c>
      <c r="L8" s="31" t="s">
        <v>55</v>
      </c>
      <c r="M8" s="32" t="s">
        <v>55</v>
      </c>
      <c r="N8" s="31" t="s">
        <v>55</v>
      </c>
    </row>
    <row r="9" spans="1:16" x14ac:dyDescent="0.45">
      <c r="A9" s="31">
        <v>3</v>
      </c>
      <c r="B9" s="31" t="str">
        <f t="shared" si="0"/>
        <v>3a.3</v>
      </c>
      <c r="C9" s="35" t="s">
        <v>38</v>
      </c>
      <c r="D9" s="32" t="s">
        <v>148</v>
      </c>
      <c r="E9" s="32" t="s">
        <v>27</v>
      </c>
      <c r="F9" s="31" t="s">
        <v>55</v>
      </c>
      <c r="G9" s="31" t="s">
        <v>55</v>
      </c>
      <c r="H9" s="35" t="s">
        <v>55</v>
      </c>
      <c r="I9" s="32" t="s">
        <v>54</v>
      </c>
      <c r="J9" s="31" t="s">
        <v>55</v>
      </c>
      <c r="K9" s="31" t="s">
        <v>55</v>
      </c>
      <c r="L9" s="31" t="s">
        <v>55</v>
      </c>
      <c r="M9" s="32" t="s">
        <v>55</v>
      </c>
      <c r="N9" s="31" t="s">
        <v>55</v>
      </c>
    </row>
    <row r="10" spans="1:16" x14ac:dyDescent="0.45">
      <c r="A10" s="31">
        <v>4</v>
      </c>
      <c r="B10" s="31" t="str">
        <f t="shared" si="0"/>
        <v>3a.4</v>
      </c>
      <c r="C10" s="35" t="s">
        <v>38</v>
      </c>
      <c r="D10" s="32" t="s">
        <v>152</v>
      </c>
      <c r="E10" s="32" t="s">
        <v>59</v>
      </c>
      <c r="F10" s="31" t="s">
        <v>55</v>
      </c>
      <c r="G10" s="31" t="s">
        <v>55</v>
      </c>
      <c r="H10" s="35" t="s">
        <v>55</v>
      </c>
      <c r="I10" s="32" t="s">
        <v>54</v>
      </c>
      <c r="J10" s="31" t="s">
        <v>55</v>
      </c>
      <c r="K10" s="31" t="s">
        <v>55</v>
      </c>
      <c r="L10" s="31" t="s">
        <v>55</v>
      </c>
      <c r="M10" s="32" t="s">
        <v>55</v>
      </c>
      <c r="N10" s="31" t="s">
        <v>55</v>
      </c>
    </row>
    <row r="11" spans="1:16" x14ac:dyDescent="0.45">
      <c r="A11" s="31">
        <v>5</v>
      </c>
      <c r="B11" s="31" t="str">
        <f t="shared" si="0"/>
        <v>3a.5</v>
      </c>
      <c r="C11" s="35" t="s">
        <v>38</v>
      </c>
      <c r="D11" s="32" t="s">
        <v>153</v>
      </c>
      <c r="E11" s="32" t="s">
        <v>59</v>
      </c>
      <c r="F11" s="31" t="s">
        <v>55</v>
      </c>
      <c r="G11" s="31" t="s">
        <v>55</v>
      </c>
      <c r="H11" s="35" t="s">
        <v>55</v>
      </c>
      <c r="I11" s="32" t="s">
        <v>54</v>
      </c>
      <c r="J11" s="31" t="s">
        <v>55</v>
      </c>
      <c r="K11" s="31" t="s">
        <v>55</v>
      </c>
      <c r="L11" s="31" t="s">
        <v>55</v>
      </c>
      <c r="M11" s="32" t="s">
        <v>55</v>
      </c>
      <c r="N11" s="31" t="s">
        <v>55</v>
      </c>
    </row>
    <row r="12" spans="1:16" x14ac:dyDescent="0.45">
      <c r="A12" s="31">
        <v>6</v>
      </c>
      <c r="B12" s="31" t="str">
        <f t="shared" si="0"/>
        <v>3a.6</v>
      </c>
      <c r="C12" s="35" t="s">
        <v>38</v>
      </c>
      <c r="D12" s="32" t="s">
        <v>154</v>
      </c>
      <c r="E12" s="32" t="s">
        <v>59</v>
      </c>
      <c r="F12" s="31" t="s">
        <v>55</v>
      </c>
      <c r="G12" s="31" t="s">
        <v>55</v>
      </c>
      <c r="H12" s="35" t="s">
        <v>55</v>
      </c>
      <c r="I12" s="32" t="s">
        <v>54</v>
      </c>
      <c r="J12" s="31" t="s">
        <v>55</v>
      </c>
      <c r="K12" s="31" t="s">
        <v>55</v>
      </c>
      <c r="L12" s="31" t="s">
        <v>55</v>
      </c>
      <c r="M12" s="32" t="s">
        <v>55</v>
      </c>
      <c r="N12" s="31" t="s">
        <v>55</v>
      </c>
    </row>
    <row r="13" spans="1:16" ht="28.5" x14ac:dyDescent="0.45">
      <c r="A13" s="31">
        <v>7</v>
      </c>
      <c r="B13" s="31" t="str">
        <f t="shared" si="0"/>
        <v>3a.7</v>
      </c>
      <c r="C13" s="35" t="s">
        <v>38</v>
      </c>
      <c r="D13" s="32" t="s">
        <v>159</v>
      </c>
      <c r="E13" s="32" t="s">
        <v>40</v>
      </c>
      <c r="F13" s="31" t="s">
        <v>55</v>
      </c>
      <c r="G13" s="31" t="s">
        <v>55</v>
      </c>
      <c r="H13" s="35" t="s">
        <v>55</v>
      </c>
      <c r="I13" s="32" t="s">
        <v>54</v>
      </c>
      <c r="J13" s="31" t="s">
        <v>55</v>
      </c>
      <c r="K13" s="31" t="s">
        <v>55</v>
      </c>
      <c r="L13" s="31" t="s">
        <v>55</v>
      </c>
      <c r="M13" s="31" t="s">
        <v>55</v>
      </c>
      <c r="N13" s="31" t="s">
        <v>55</v>
      </c>
      <c r="O13" s="29" t="s">
        <v>160</v>
      </c>
    </row>
  </sheetData>
  <autoFilter ref="A6:P6" xr:uid="{00000000-0009-0000-0000-00000A000000}"/>
  <conditionalFormatting sqref="C7:C1048576">
    <cfRule type="cellIs" dxfId="157" priority="18" operator="equal">
      <formula>"WIP (see comments)"</formula>
    </cfRule>
    <cfRule type="cellIs" dxfId="156" priority="19" operator="equal">
      <formula>"Removed"</formula>
    </cfRule>
    <cfRule type="cellIs" dxfId="155" priority="20" operator="equal">
      <formula>"Updated"</formula>
    </cfRule>
    <cfRule type="cellIs" dxfId="154" priority="21" operator="equal">
      <formula>"New"</formula>
    </cfRule>
  </conditionalFormatting>
  <conditionalFormatting sqref="D7 D9">
    <cfRule type="cellIs" dxfId="153" priority="17" operator="equal">
      <formula>"-"</formula>
    </cfRule>
  </conditionalFormatting>
  <conditionalFormatting sqref="P7:XFD7 A7:N7 P9:XFD13 G11:G12 L11:N12 A9:B13 E11:E12 E10:H10 I8:I12 J9:N10 D9:H9 D13:N13 C8:C13">
    <cfRule type="cellIs" dxfId="152" priority="16" operator="equal">
      <formula>"n/a"</formula>
    </cfRule>
  </conditionalFormatting>
  <conditionalFormatting sqref="O13">
    <cfRule type="cellIs" dxfId="151" priority="15" operator="equal">
      <formula>"n/a"</formula>
    </cfRule>
  </conditionalFormatting>
  <conditionalFormatting sqref="D8">
    <cfRule type="cellIs" dxfId="150" priority="10" operator="equal">
      <formula>"-"</formula>
    </cfRule>
  </conditionalFormatting>
  <conditionalFormatting sqref="A8:B8 P8:XFD8 J8:N8 D8:H8">
    <cfRule type="cellIs" dxfId="149" priority="9" operator="equal">
      <formula>"n/a"</formula>
    </cfRule>
  </conditionalFormatting>
  <conditionalFormatting sqref="H12">
    <cfRule type="cellIs" dxfId="148" priority="8" operator="equal">
      <formula>"n/a"</formula>
    </cfRule>
  </conditionalFormatting>
  <conditionalFormatting sqref="H11">
    <cfRule type="cellIs" dxfId="147" priority="7" operator="equal">
      <formula>"n/a"</formula>
    </cfRule>
  </conditionalFormatting>
  <conditionalFormatting sqref="F12">
    <cfRule type="cellIs" dxfId="146" priority="6" operator="equal">
      <formula>"n/a"</formula>
    </cfRule>
  </conditionalFormatting>
  <conditionalFormatting sqref="F11">
    <cfRule type="cellIs" dxfId="145" priority="5" operator="equal">
      <formula>"n/a"</formula>
    </cfRule>
  </conditionalFormatting>
  <conditionalFormatting sqref="J12:K12">
    <cfRule type="cellIs" dxfId="144" priority="4" operator="equal">
      <formula>"n/a"</formula>
    </cfRule>
  </conditionalFormatting>
  <conditionalFormatting sqref="J11:K11">
    <cfRule type="cellIs" dxfId="143" priority="3" operator="equal">
      <formula>"n/a"</formula>
    </cfRule>
  </conditionalFormatting>
  <conditionalFormatting sqref="D10:D12">
    <cfRule type="cellIs" dxfId="142" priority="2" operator="equal">
      <formula>"-"</formula>
    </cfRule>
  </conditionalFormatting>
  <conditionalFormatting sqref="D10:D12">
    <cfRule type="cellIs" dxfId="14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'List Values'!$B$5:$B$9</xm:f>
          </x14:formula1>
          <xm:sqref>C7:C1048576</xm:sqref>
        </x14:dataValidation>
        <x14:dataValidation type="list" allowBlank="1" showInputMessage="1" showErrorMessage="1" xr:uid="{00000000-0002-0000-0A00-000001000000}">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P36"/>
  <sheetViews>
    <sheetView workbookViewId="0">
      <pane xSplit="4" ySplit="6" topLeftCell="I7" activePane="bottomRight" state="frozen"/>
      <selection pane="topRight" activeCell="E1" sqref="E1"/>
      <selection pane="bottomLeft" activeCell="A7" sqref="A7"/>
      <selection pane="bottomRight" activeCell="D15" sqref="D15"/>
    </sheetView>
  </sheetViews>
  <sheetFormatPr defaultColWidth="9.19921875" defaultRowHeight="14.25" x14ac:dyDescent="0.45"/>
  <cols>
    <col min="1" max="1" width="14.73046875" style="31" customWidth="1"/>
    <col min="2" max="2" width="12.53125" style="31" customWidth="1"/>
    <col min="3" max="3" width="13.53125" style="35" customWidth="1"/>
    <col min="4" max="4" width="47.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180</v>
      </c>
      <c r="C1" s="23"/>
      <c r="D1" s="20"/>
      <c r="F1" s="38"/>
      <c r="H1" s="25"/>
    </row>
    <row r="2" spans="1:16" s="21" customFormat="1" ht="18" x14ac:dyDescent="0.45">
      <c r="A2" s="19" t="s">
        <v>8</v>
      </c>
      <c r="B2" s="26">
        <v>4</v>
      </c>
      <c r="C2" s="25"/>
      <c r="D2" s="26"/>
      <c r="F2" s="38"/>
      <c r="H2" s="25"/>
    </row>
    <row r="3" spans="1:16" s="21" customFormat="1" ht="18" x14ac:dyDescent="0.45">
      <c r="A3" s="19" t="s">
        <v>41</v>
      </c>
      <c r="B3" s="26" t="s">
        <v>181</v>
      </c>
      <c r="C3" s="25"/>
      <c r="D3" s="26" t="s">
        <v>316</v>
      </c>
      <c r="F3" s="38"/>
      <c r="H3" s="25"/>
    </row>
    <row r="4" spans="1:16" s="21" customFormat="1" ht="18" x14ac:dyDescent="0.45">
      <c r="A4" s="19" t="s">
        <v>9</v>
      </c>
      <c r="B4" s="21" t="s">
        <v>326</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8" si="0">CONCATENATE($B$2, ".", A7)</f>
        <v>4.1</v>
      </c>
      <c r="C7" s="35" t="s">
        <v>37</v>
      </c>
      <c r="D7" s="31" t="s">
        <v>234</v>
      </c>
      <c r="E7" s="32" t="s">
        <v>273</v>
      </c>
      <c r="F7" s="31" t="s">
        <v>55</v>
      </c>
      <c r="G7" s="31" t="s">
        <v>55</v>
      </c>
      <c r="H7" s="35" t="s">
        <v>55</v>
      </c>
      <c r="I7" s="32" t="s">
        <v>54</v>
      </c>
      <c r="J7" s="31" t="s">
        <v>55</v>
      </c>
      <c r="K7" s="31" t="s">
        <v>55</v>
      </c>
      <c r="L7" s="31" t="s">
        <v>55</v>
      </c>
      <c r="M7" s="31" t="s">
        <v>55</v>
      </c>
      <c r="N7" s="31" t="s">
        <v>55</v>
      </c>
      <c r="O7" s="31" t="s">
        <v>55</v>
      </c>
    </row>
    <row r="8" spans="1:16" x14ac:dyDescent="0.45">
      <c r="A8" s="31">
        <v>2</v>
      </c>
      <c r="B8" s="31" t="str">
        <f t="shared" si="0"/>
        <v>4.2</v>
      </c>
      <c r="C8" s="35" t="s">
        <v>37</v>
      </c>
      <c r="D8" s="31" t="s">
        <v>55</v>
      </c>
      <c r="E8" s="32" t="s">
        <v>43</v>
      </c>
      <c r="F8" s="31" t="s">
        <v>55</v>
      </c>
      <c r="G8" s="31" t="s">
        <v>55</v>
      </c>
      <c r="H8" s="35" t="s">
        <v>55</v>
      </c>
      <c r="I8" s="32" t="s">
        <v>54</v>
      </c>
      <c r="J8" s="31" t="s">
        <v>55</v>
      </c>
      <c r="K8" s="31" t="s">
        <v>55</v>
      </c>
      <c r="L8" s="31" t="s">
        <v>55</v>
      </c>
      <c r="M8" s="31" t="s">
        <v>55</v>
      </c>
      <c r="N8" s="31" t="s">
        <v>55</v>
      </c>
      <c r="O8" s="31" t="s">
        <v>55</v>
      </c>
    </row>
    <row r="9" spans="1:16" s="30" customFormat="1" ht="15" customHeight="1" x14ac:dyDescent="0.45">
      <c r="A9" s="47" t="s">
        <v>286</v>
      </c>
      <c r="B9" s="47"/>
      <c r="C9" s="47"/>
      <c r="D9" s="47"/>
      <c r="E9" s="47"/>
      <c r="F9" s="47"/>
    </row>
    <row r="10" spans="1:16" x14ac:dyDescent="0.45">
      <c r="C10" s="35" t="s">
        <v>38</v>
      </c>
      <c r="D10" s="32" t="s">
        <v>146</v>
      </c>
      <c r="E10" s="32" t="s">
        <v>48</v>
      </c>
      <c r="F10" s="31" t="s">
        <v>55</v>
      </c>
      <c r="G10" s="31" t="s">
        <v>55</v>
      </c>
      <c r="H10" s="35" t="s">
        <v>55</v>
      </c>
      <c r="I10" s="32" t="s">
        <v>54</v>
      </c>
      <c r="J10" s="31" t="s">
        <v>55</v>
      </c>
      <c r="K10" s="31" t="s">
        <v>55</v>
      </c>
      <c r="L10" s="31" t="s">
        <v>55</v>
      </c>
      <c r="M10" s="32" t="s">
        <v>55</v>
      </c>
      <c r="N10" s="31" t="s">
        <v>55</v>
      </c>
      <c r="O10" s="31" t="s">
        <v>55</v>
      </c>
    </row>
    <row r="11" spans="1:16" ht="57" x14ac:dyDescent="0.45">
      <c r="A11" s="32">
        <v>3</v>
      </c>
      <c r="B11" s="31" t="str">
        <f t="shared" ref="B11" si="1">CONCATENATE($B$2, ".", A11)</f>
        <v>4.3</v>
      </c>
      <c r="C11" s="35" t="s">
        <v>37</v>
      </c>
      <c r="D11" s="32" t="s">
        <v>284</v>
      </c>
      <c r="E11" s="32" t="s">
        <v>59</v>
      </c>
      <c r="F11" s="31" t="s">
        <v>55</v>
      </c>
      <c r="G11" s="31" t="s">
        <v>55</v>
      </c>
      <c r="H11" s="35" t="s">
        <v>55</v>
      </c>
      <c r="I11" s="32" t="s">
        <v>251</v>
      </c>
      <c r="J11" s="31" t="s">
        <v>55</v>
      </c>
      <c r="K11" s="31" t="s">
        <v>55</v>
      </c>
      <c r="L11" s="31" t="s">
        <v>55</v>
      </c>
      <c r="M11" s="31" t="s">
        <v>55</v>
      </c>
      <c r="N11" s="31" t="s">
        <v>55</v>
      </c>
      <c r="O11" s="31" t="s">
        <v>285</v>
      </c>
    </row>
    <row r="12" spans="1:16" x14ac:dyDescent="0.45">
      <c r="A12" s="31">
        <v>4</v>
      </c>
      <c r="B12" s="31" t="str">
        <f t="shared" ref="B12:B22" si="2">CONCATENATE($B$2, ".", A12)</f>
        <v>4.4</v>
      </c>
      <c r="C12" s="35" t="s">
        <v>37</v>
      </c>
      <c r="D12" s="32" t="s">
        <v>147</v>
      </c>
      <c r="E12" s="32" t="s">
        <v>59</v>
      </c>
      <c r="F12" s="31" t="s">
        <v>55</v>
      </c>
      <c r="G12" s="31" t="s">
        <v>55</v>
      </c>
      <c r="H12" s="35" t="s">
        <v>55</v>
      </c>
      <c r="I12" s="32" t="s">
        <v>54</v>
      </c>
      <c r="J12" s="31" t="s">
        <v>55</v>
      </c>
      <c r="K12" s="31" t="s">
        <v>55</v>
      </c>
      <c r="L12" s="31" t="s">
        <v>55</v>
      </c>
      <c r="M12" s="32" t="s">
        <v>55</v>
      </c>
      <c r="N12" s="31" t="s">
        <v>55</v>
      </c>
      <c r="O12" s="31" t="s">
        <v>55</v>
      </c>
    </row>
    <row r="13" spans="1:16" x14ac:dyDescent="0.45">
      <c r="A13" s="31">
        <v>5</v>
      </c>
      <c r="B13" s="31" t="str">
        <f t="shared" si="2"/>
        <v>4.5</v>
      </c>
      <c r="C13" s="35" t="s">
        <v>37</v>
      </c>
      <c r="D13" s="32" t="s">
        <v>148</v>
      </c>
      <c r="E13" s="32" t="s">
        <v>59</v>
      </c>
      <c r="F13" s="31" t="s">
        <v>55</v>
      </c>
      <c r="G13" s="31" t="s">
        <v>55</v>
      </c>
      <c r="H13" s="35" t="s">
        <v>55</v>
      </c>
      <c r="I13" s="32" t="s">
        <v>54</v>
      </c>
      <c r="J13" s="31" t="s">
        <v>55</v>
      </c>
      <c r="K13" s="31" t="s">
        <v>55</v>
      </c>
      <c r="L13" s="31" t="s">
        <v>55</v>
      </c>
      <c r="M13" s="32" t="s">
        <v>55</v>
      </c>
      <c r="N13" s="31" t="s">
        <v>55</v>
      </c>
      <c r="O13" s="31" t="s">
        <v>55</v>
      </c>
    </row>
    <row r="14" spans="1:16" ht="85.5" x14ac:dyDescent="0.45">
      <c r="A14" s="31">
        <v>6</v>
      </c>
      <c r="B14" s="31" t="str">
        <f t="shared" si="2"/>
        <v>4.6</v>
      </c>
      <c r="C14" s="35" t="s">
        <v>37</v>
      </c>
      <c r="D14" s="32" t="s">
        <v>199</v>
      </c>
      <c r="E14" s="32" t="s">
        <v>59</v>
      </c>
      <c r="F14" s="31" t="s">
        <v>55</v>
      </c>
      <c r="G14" s="31" t="s">
        <v>55</v>
      </c>
      <c r="H14" s="35" t="s">
        <v>55</v>
      </c>
      <c r="I14" s="32" t="s">
        <v>251</v>
      </c>
      <c r="J14" s="31" t="s">
        <v>55</v>
      </c>
      <c r="K14" s="31" t="s">
        <v>55</v>
      </c>
      <c r="L14" s="31" t="s">
        <v>55</v>
      </c>
      <c r="M14" s="32" t="s">
        <v>55</v>
      </c>
      <c r="N14" s="31" t="s">
        <v>55</v>
      </c>
      <c r="O14" s="31" t="s">
        <v>289</v>
      </c>
    </row>
    <row r="15" spans="1:16" ht="85.5" x14ac:dyDescent="0.45">
      <c r="A15" s="31">
        <v>7</v>
      </c>
      <c r="B15" s="31" t="str">
        <f>CONCATENATE($B$2, ".", A15)</f>
        <v>4.7</v>
      </c>
      <c r="C15" s="35" t="s">
        <v>37</v>
      </c>
      <c r="D15" s="32" t="s">
        <v>193</v>
      </c>
      <c r="E15" s="32" t="s">
        <v>59</v>
      </c>
      <c r="F15" s="31" t="s">
        <v>55</v>
      </c>
      <c r="G15" s="31" t="s">
        <v>55</v>
      </c>
      <c r="H15" s="35" t="s">
        <v>55</v>
      </c>
      <c r="I15" s="32" t="s">
        <v>251</v>
      </c>
      <c r="J15" s="31" t="s">
        <v>55</v>
      </c>
      <c r="K15" s="31" t="s">
        <v>55</v>
      </c>
      <c r="L15" s="31" t="s">
        <v>55</v>
      </c>
      <c r="M15" s="32" t="s">
        <v>55</v>
      </c>
      <c r="N15" s="31" t="s">
        <v>55</v>
      </c>
      <c r="O15" s="31" t="s">
        <v>290</v>
      </c>
    </row>
    <row r="16" spans="1:16" ht="57" x14ac:dyDescent="0.45">
      <c r="A16" s="31">
        <v>8</v>
      </c>
      <c r="B16" s="31" t="str">
        <f t="shared" ref="B16:B19" si="3">CONCATENATE($B$2, ".", A16)</f>
        <v>4.8</v>
      </c>
      <c r="C16" s="35" t="s">
        <v>37</v>
      </c>
      <c r="D16" s="32" t="s">
        <v>194</v>
      </c>
      <c r="E16" s="32" t="s">
        <v>59</v>
      </c>
      <c r="F16" s="31" t="s">
        <v>55</v>
      </c>
      <c r="G16" s="31" t="s">
        <v>55</v>
      </c>
      <c r="H16" s="35" t="s">
        <v>55</v>
      </c>
      <c r="I16" s="32" t="s">
        <v>251</v>
      </c>
      <c r="J16" s="31" t="s">
        <v>55</v>
      </c>
      <c r="K16" s="31" t="s">
        <v>55</v>
      </c>
      <c r="L16" s="31" t="s">
        <v>55</v>
      </c>
      <c r="M16" s="32" t="s">
        <v>55</v>
      </c>
      <c r="N16" s="31" t="s">
        <v>55</v>
      </c>
      <c r="O16" s="31" t="s">
        <v>242</v>
      </c>
    </row>
    <row r="17" spans="1:16" s="30" customFormat="1" ht="57" x14ac:dyDescent="0.45">
      <c r="A17" s="31">
        <v>9</v>
      </c>
      <c r="B17" s="31" t="str">
        <f t="shared" si="3"/>
        <v>4.9</v>
      </c>
      <c r="C17" s="35" t="s">
        <v>37</v>
      </c>
      <c r="D17" s="32" t="s">
        <v>195</v>
      </c>
      <c r="E17" s="32" t="s">
        <v>59</v>
      </c>
      <c r="F17" s="31" t="s">
        <v>55</v>
      </c>
      <c r="G17" s="31" t="s">
        <v>55</v>
      </c>
      <c r="H17" s="35" t="s">
        <v>55</v>
      </c>
      <c r="I17" s="32" t="s">
        <v>251</v>
      </c>
      <c r="J17" s="31" t="s">
        <v>55</v>
      </c>
      <c r="K17" s="31" t="s">
        <v>55</v>
      </c>
      <c r="L17" s="31" t="s">
        <v>55</v>
      </c>
      <c r="M17" s="32" t="s">
        <v>55</v>
      </c>
      <c r="N17" s="31" t="s">
        <v>55</v>
      </c>
      <c r="O17" s="31" t="s">
        <v>243</v>
      </c>
      <c r="P17" s="31"/>
    </row>
    <row r="18" spans="1:16" ht="57" x14ac:dyDescent="0.45">
      <c r="A18" s="32">
        <v>10</v>
      </c>
      <c r="B18" s="31" t="str">
        <f t="shared" si="3"/>
        <v>4.10</v>
      </c>
      <c r="C18" s="35" t="s">
        <v>37</v>
      </c>
      <c r="D18" s="32" t="s">
        <v>280</v>
      </c>
      <c r="E18" s="32" t="s">
        <v>59</v>
      </c>
      <c r="F18" s="31" t="s">
        <v>55</v>
      </c>
      <c r="G18" s="31" t="s">
        <v>55</v>
      </c>
      <c r="H18" s="35" t="s">
        <v>55</v>
      </c>
      <c r="I18" s="32" t="s">
        <v>251</v>
      </c>
      <c r="J18" s="31" t="s">
        <v>55</v>
      </c>
      <c r="K18" s="31" t="s">
        <v>55</v>
      </c>
      <c r="L18" s="31" t="s">
        <v>55</v>
      </c>
      <c r="M18" s="32" t="s">
        <v>55</v>
      </c>
      <c r="N18" s="31" t="s">
        <v>55</v>
      </c>
      <c r="O18" s="31" t="s">
        <v>282</v>
      </c>
    </row>
    <row r="19" spans="1:16" ht="57" x14ac:dyDescent="0.45">
      <c r="A19" s="32">
        <v>11</v>
      </c>
      <c r="B19" s="31" t="str">
        <f t="shared" si="3"/>
        <v>4.11</v>
      </c>
      <c r="C19" s="35" t="s">
        <v>37</v>
      </c>
      <c r="D19" s="32" t="s">
        <v>281</v>
      </c>
      <c r="E19" s="32" t="s">
        <v>59</v>
      </c>
      <c r="F19" s="31" t="s">
        <v>55</v>
      </c>
      <c r="G19" s="31" t="s">
        <v>55</v>
      </c>
      <c r="H19" s="35" t="s">
        <v>55</v>
      </c>
      <c r="I19" s="32" t="s">
        <v>251</v>
      </c>
      <c r="J19" s="31" t="s">
        <v>55</v>
      </c>
      <c r="K19" s="31" t="s">
        <v>55</v>
      </c>
      <c r="L19" s="31" t="s">
        <v>55</v>
      </c>
      <c r="M19" s="32" t="s">
        <v>55</v>
      </c>
      <c r="N19" s="31" t="s">
        <v>55</v>
      </c>
      <c r="O19" s="31" t="s">
        <v>283</v>
      </c>
    </row>
    <row r="20" spans="1:16" ht="85.5" x14ac:dyDescent="0.45">
      <c r="A20" s="32">
        <v>12</v>
      </c>
      <c r="B20" s="31" t="str">
        <f t="shared" si="2"/>
        <v>4.12</v>
      </c>
      <c r="C20" s="35" t="s">
        <v>37</v>
      </c>
      <c r="D20" s="32" t="s">
        <v>287</v>
      </c>
      <c r="E20" s="32" t="s">
        <v>59</v>
      </c>
      <c r="F20" s="31" t="s">
        <v>55</v>
      </c>
      <c r="G20" s="31" t="s">
        <v>55</v>
      </c>
      <c r="H20" s="35" t="s">
        <v>55</v>
      </c>
      <c r="I20" s="32" t="s">
        <v>54</v>
      </c>
      <c r="J20" s="31" t="s">
        <v>294</v>
      </c>
      <c r="K20" s="31" t="s">
        <v>55</v>
      </c>
      <c r="L20" s="31" t="s">
        <v>55</v>
      </c>
      <c r="M20" s="32" t="s">
        <v>55</v>
      </c>
      <c r="N20" s="31" t="s">
        <v>55</v>
      </c>
      <c r="O20" s="31" t="s">
        <v>295</v>
      </c>
    </row>
    <row r="21" spans="1:16" ht="28.5" x14ac:dyDescent="0.45">
      <c r="A21" s="31">
        <v>13</v>
      </c>
      <c r="B21" s="31" t="str">
        <f t="shared" si="2"/>
        <v>4.13</v>
      </c>
      <c r="C21" s="35" t="s">
        <v>37</v>
      </c>
      <c r="D21" s="32" t="s">
        <v>155</v>
      </c>
      <c r="E21" s="32" t="s">
        <v>47</v>
      </c>
      <c r="F21" s="31" t="s">
        <v>55</v>
      </c>
      <c r="G21" s="31" t="s">
        <v>55</v>
      </c>
      <c r="H21" s="35" t="s">
        <v>55</v>
      </c>
      <c r="I21" s="32" t="s">
        <v>54</v>
      </c>
      <c r="J21" s="31" t="s">
        <v>55</v>
      </c>
      <c r="K21" s="31" t="s">
        <v>55</v>
      </c>
      <c r="L21" s="31" t="s">
        <v>55</v>
      </c>
      <c r="M21" s="32" t="s">
        <v>55</v>
      </c>
      <c r="N21" s="31" t="s">
        <v>55</v>
      </c>
      <c r="O21" s="31" t="s">
        <v>315</v>
      </c>
    </row>
    <row r="22" spans="1:16" ht="85.5" x14ac:dyDescent="0.45">
      <c r="A22" s="31">
        <v>14</v>
      </c>
      <c r="B22" s="31" t="str">
        <f t="shared" si="2"/>
        <v>4.14</v>
      </c>
      <c r="C22" s="35" t="s">
        <v>37</v>
      </c>
      <c r="D22" s="42" t="s">
        <v>321</v>
      </c>
      <c r="E22" s="32" t="s">
        <v>53</v>
      </c>
      <c r="F22" s="31" t="s">
        <v>55</v>
      </c>
      <c r="G22" s="31" t="s">
        <v>55</v>
      </c>
      <c r="H22" s="35" t="s">
        <v>55</v>
      </c>
      <c r="I22" s="32" t="s">
        <v>221</v>
      </c>
      <c r="J22" s="31" t="s">
        <v>55</v>
      </c>
      <c r="K22" s="31" t="s">
        <v>55</v>
      </c>
      <c r="L22" s="31" t="s">
        <v>55</v>
      </c>
      <c r="M22" s="32" t="s">
        <v>55</v>
      </c>
      <c r="N22" s="31" t="s">
        <v>55</v>
      </c>
      <c r="O22" s="31" t="s">
        <v>319</v>
      </c>
    </row>
    <row r="23" spans="1:16" x14ac:dyDescent="0.45">
      <c r="A23" s="47" t="s">
        <v>288</v>
      </c>
      <c r="B23" s="47"/>
      <c r="C23" s="47"/>
      <c r="D23" s="47"/>
      <c r="E23" s="47"/>
      <c r="F23" s="30"/>
      <c r="G23" s="30"/>
      <c r="H23" s="30"/>
      <c r="I23" s="30"/>
      <c r="J23" s="30"/>
      <c r="K23" s="30"/>
      <c r="L23" s="30"/>
      <c r="M23" s="30"/>
      <c r="N23" s="30"/>
      <c r="O23" s="30"/>
      <c r="P23" s="30"/>
    </row>
    <row r="24" spans="1:16" ht="42.75" x14ac:dyDescent="0.45">
      <c r="A24" s="31">
        <v>15</v>
      </c>
      <c r="B24" s="31" t="str">
        <f>CONCATENATE($B$2, ".", A24)</f>
        <v>4.15</v>
      </c>
      <c r="C24" s="35" t="s">
        <v>37</v>
      </c>
      <c r="D24" s="32" t="s">
        <v>156</v>
      </c>
      <c r="E24" s="32" t="s">
        <v>34</v>
      </c>
      <c r="F24" s="31" t="s">
        <v>55</v>
      </c>
      <c r="G24" s="31" t="s">
        <v>55</v>
      </c>
      <c r="H24" s="35" t="s">
        <v>55</v>
      </c>
      <c r="I24" s="32" t="s">
        <v>54</v>
      </c>
      <c r="J24" s="31" t="s">
        <v>55</v>
      </c>
      <c r="K24" s="31" t="s">
        <v>55</v>
      </c>
      <c r="L24" s="31" t="s">
        <v>55</v>
      </c>
      <c r="M24" s="31" t="s">
        <v>55</v>
      </c>
      <c r="N24" s="31" t="s">
        <v>55</v>
      </c>
      <c r="O24" s="29" t="s">
        <v>157</v>
      </c>
    </row>
    <row r="25" spans="1:16" x14ac:dyDescent="0.45">
      <c r="A25" s="31">
        <v>16</v>
      </c>
      <c r="B25" s="31" t="str">
        <f>CONCATENATE($B$2, ".", A25)</f>
        <v>4.16</v>
      </c>
      <c r="C25" s="35" t="s">
        <v>37</v>
      </c>
      <c r="D25" s="31" t="s">
        <v>161</v>
      </c>
      <c r="E25" s="32" t="s">
        <v>32</v>
      </c>
      <c r="F25" s="31" t="s">
        <v>55</v>
      </c>
      <c r="G25" s="31" t="s">
        <v>55</v>
      </c>
      <c r="H25" s="35" t="s">
        <v>55</v>
      </c>
      <c r="I25" s="32" t="s">
        <v>54</v>
      </c>
      <c r="J25" s="31" t="s">
        <v>55</v>
      </c>
      <c r="K25" s="31" t="s">
        <v>55</v>
      </c>
      <c r="L25" s="31" t="s">
        <v>55</v>
      </c>
      <c r="M25" s="31" t="s">
        <v>55</v>
      </c>
      <c r="N25" s="31" t="s">
        <v>55</v>
      </c>
    </row>
    <row r="26" spans="1:16" ht="22.05" customHeight="1" x14ac:dyDescent="0.45">
      <c r="A26" s="31">
        <v>17</v>
      </c>
      <c r="B26" s="31" t="str">
        <f>CONCATENATE($B$2, ".", A26)</f>
        <v>4.17</v>
      </c>
      <c r="C26" s="35" t="s">
        <v>37</v>
      </c>
      <c r="D26" s="32" t="s">
        <v>305</v>
      </c>
      <c r="E26" s="32" t="s">
        <v>27</v>
      </c>
      <c r="F26" s="31" t="s">
        <v>55</v>
      </c>
      <c r="G26" s="31" t="s">
        <v>55</v>
      </c>
      <c r="H26" s="35" t="s">
        <v>55</v>
      </c>
      <c r="I26" s="32" t="s">
        <v>54</v>
      </c>
      <c r="J26" s="31" t="s">
        <v>55</v>
      </c>
      <c r="K26" s="31" t="s">
        <v>55</v>
      </c>
      <c r="L26" s="31" t="s">
        <v>55</v>
      </c>
      <c r="M26" s="31" t="s">
        <v>55</v>
      </c>
      <c r="N26" s="31" t="s">
        <v>55</v>
      </c>
    </row>
    <row r="27" spans="1:16" ht="28.5" x14ac:dyDescent="0.45">
      <c r="A27" s="31">
        <v>18</v>
      </c>
      <c r="B27" s="31" t="str">
        <f>CONCATENATE($B$2, ".", A27)</f>
        <v>4.18</v>
      </c>
      <c r="C27" s="35" t="s">
        <v>37</v>
      </c>
      <c r="D27" s="32" t="s">
        <v>306</v>
      </c>
      <c r="E27" s="32" t="s">
        <v>32</v>
      </c>
      <c r="F27" s="31" t="s">
        <v>55</v>
      </c>
      <c r="G27" s="31" t="s">
        <v>55</v>
      </c>
      <c r="H27" s="35" t="s">
        <v>55</v>
      </c>
      <c r="I27" s="32" t="s">
        <v>54</v>
      </c>
      <c r="J27" s="31" t="s">
        <v>55</v>
      </c>
      <c r="K27" s="31" t="s">
        <v>55</v>
      </c>
      <c r="L27" s="31" t="s">
        <v>55</v>
      </c>
      <c r="M27" s="31" t="s">
        <v>55</v>
      </c>
      <c r="N27" s="31" t="s">
        <v>55</v>
      </c>
    </row>
    <row r="28" spans="1:16" s="30" customFormat="1" x14ac:dyDescent="0.45">
      <c r="A28" s="47" t="s">
        <v>271</v>
      </c>
      <c r="B28" s="47"/>
      <c r="C28" s="47"/>
      <c r="D28" s="47"/>
      <c r="E28" s="47"/>
      <c r="F28" s="47"/>
    </row>
    <row r="29" spans="1:16" ht="91.5" customHeight="1" x14ac:dyDescent="0.45">
      <c r="A29" s="31">
        <v>19</v>
      </c>
      <c r="B29" s="31" t="str">
        <f t="shared" ref="B29:B33" si="4">CONCATENATE($B$2, ".", A29)</f>
        <v>4.19</v>
      </c>
      <c r="C29" s="35" t="s">
        <v>37</v>
      </c>
      <c r="D29" s="32" t="s">
        <v>147</v>
      </c>
      <c r="E29" s="32" t="s">
        <v>59</v>
      </c>
      <c r="F29" s="31" t="s">
        <v>55</v>
      </c>
      <c r="G29" s="31" t="s">
        <v>55</v>
      </c>
      <c r="H29" s="35" t="s">
        <v>55</v>
      </c>
      <c r="I29" s="32" t="s">
        <v>173</v>
      </c>
      <c r="J29" s="31" t="s">
        <v>55</v>
      </c>
      <c r="K29" s="31" t="s">
        <v>55</v>
      </c>
      <c r="L29" s="31" t="s">
        <v>55</v>
      </c>
      <c r="M29" s="32" t="s">
        <v>55</v>
      </c>
      <c r="N29" s="31" t="s">
        <v>55</v>
      </c>
    </row>
    <row r="30" spans="1:16" x14ac:dyDescent="0.45">
      <c r="A30" s="31">
        <v>20</v>
      </c>
      <c r="B30" s="31" t="str">
        <f t="shared" si="4"/>
        <v>4.20</v>
      </c>
      <c r="C30" s="35" t="s">
        <v>37</v>
      </c>
      <c r="D30" s="32" t="s">
        <v>148</v>
      </c>
      <c r="E30" s="32" t="s">
        <v>59</v>
      </c>
      <c r="F30" s="31" t="s">
        <v>55</v>
      </c>
      <c r="G30" s="31" t="s">
        <v>55</v>
      </c>
      <c r="H30" s="35" t="s">
        <v>55</v>
      </c>
      <c r="I30" s="32" t="s">
        <v>173</v>
      </c>
      <c r="J30" s="31" t="s">
        <v>55</v>
      </c>
      <c r="K30" s="31" t="s">
        <v>55</v>
      </c>
      <c r="L30" s="31" t="s">
        <v>55</v>
      </c>
      <c r="M30" s="32" t="s">
        <v>55</v>
      </c>
      <c r="N30" s="31" t="s">
        <v>55</v>
      </c>
    </row>
    <row r="31" spans="1:16" ht="28.5" x14ac:dyDescent="0.45">
      <c r="A31" s="31">
        <v>21</v>
      </c>
      <c r="B31" s="31" t="str">
        <f t="shared" si="4"/>
        <v>4.21</v>
      </c>
      <c r="C31" s="35" t="s">
        <v>37</v>
      </c>
      <c r="D31" s="32" t="s">
        <v>293</v>
      </c>
      <c r="E31" s="32" t="s">
        <v>32</v>
      </c>
      <c r="F31" s="31" t="s">
        <v>55</v>
      </c>
      <c r="G31" s="31" t="s">
        <v>55</v>
      </c>
      <c r="H31" s="35" t="s">
        <v>55</v>
      </c>
      <c r="I31" s="32" t="s">
        <v>173</v>
      </c>
      <c r="J31" s="41">
        <v>1</v>
      </c>
      <c r="K31" s="31" t="s">
        <v>55</v>
      </c>
      <c r="L31" s="31" t="s">
        <v>55</v>
      </c>
      <c r="M31" s="32" t="s">
        <v>55</v>
      </c>
      <c r="N31" s="31" t="s">
        <v>55</v>
      </c>
      <c r="O31" s="31" t="s">
        <v>296</v>
      </c>
    </row>
    <row r="32" spans="1:16" ht="28.5" x14ac:dyDescent="0.45">
      <c r="A32" s="31">
        <v>22</v>
      </c>
      <c r="B32" s="31" t="str">
        <f t="shared" si="4"/>
        <v>4.22</v>
      </c>
      <c r="C32" s="35" t="s">
        <v>37</v>
      </c>
      <c r="D32" s="32" t="s">
        <v>155</v>
      </c>
      <c r="E32" s="32" t="s">
        <v>47</v>
      </c>
      <c r="F32" s="31" t="s">
        <v>55</v>
      </c>
      <c r="G32" s="31" t="s">
        <v>55</v>
      </c>
      <c r="H32" s="35" t="s">
        <v>55</v>
      </c>
      <c r="I32" s="32" t="s">
        <v>173</v>
      </c>
      <c r="J32" s="31" t="s">
        <v>55</v>
      </c>
      <c r="K32" s="31" t="s">
        <v>55</v>
      </c>
      <c r="L32" s="31" t="s">
        <v>55</v>
      </c>
      <c r="M32" s="32" t="s">
        <v>55</v>
      </c>
      <c r="N32" s="31" t="s">
        <v>55</v>
      </c>
      <c r="O32" s="31" t="s">
        <v>314</v>
      </c>
    </row>
    <row r="33" spans="1:16" ht="85.5" x14ac:dyDescent="0.45">
      <c r="A33" s="31">
        <v>23</v>
      </c>
      <c r="B33" s="31" t="str">
        <f t="shared" si="4"/>
        <v>4.23</v>
      </c>
      <c r="C33" s="35" t="s">
        <v>37</v>
      </c>
      <c r="D33" s="42" t="s">
        <v>321</v>
      </c>
      <c r="E33" s="32" t="s">
        <v>53</v>
      </c>
      <c r="F33" s="31" t="s">
        <v>55</v>
      </c>
      <c r="G33" s="31" t="s">
        <v>55</v>
      </c>
      <c r="H33" s="35" t="s">
        <v>55</v>
      </c>
      <c r="I33" s="32" t="s">
        <v>221</v>
      </c>
      <c r="J33" s="31" t="s">
        <v>55</v>
      </c>
      <c r="K33" s="31" t="s">
        <v>55</v>
      </c>
      <c r="L33" s="31" t="s">
        <v>55</v>
      </c>
      <c r="M33" s="32" t="s">
        <v>55</v>
      </c>
      <c r="N33" s="31" t="s">
        <v>55</v>
      </c>
      <c r="O33" s="31" t="s">
        <v>319</v>
      </c>
    </row>
    <row r="34" spans="1:16" x14ac:dyDescent="0.45">
      <c r="A34" s="47" t="s">
        <v>257</v>
      </c>
      <c r="B34" s="47"/>
      <c r="C34" s="47"/>
      <c r="D34" s="47"/>
      <c r="E34" s="47"/>
      <c r="F34" s="30"/>
      <c r="G34" s="30"/>
      <c r="H34" s="30"/>
      <c r="I34" s="30"/>
      <c r="J34" s="30"/>
      <c r="K34" s="30"/>
      <c r="L34" s="30"/>
      <c r="M34" s="30"/>
      <c r="N34" s="30"/>
      <c r="O34" s="30"/>
      <c r="P34" s="30"/>
    </row>
    <row r="35" spans="1:16" ht="185.25" x14ac:dyDescent="0.45">
      <c r="A35" s="32">
        <v>24</v>
      </c>
      <c r="B35" s="31" t="str">
        <f>CONCATENATE($B$2, ".", A35)</f>
        <v>4.24</v>
      </c>
      <c r="C35" s="35" t="s">
        <v>37</v>
      </c>
      <c r="D35" s="31" t="s">
        <v>56</v>
      </c>
      <c r="E35" s="32" t="s">
        <v>40</v>
      </c>
      <c r="F35" s="31" t="s">
        <v>55</v>
      </c>
      <c r="G35" s="31" t="s">
        <v>55</v>
      </c>
      <c r="H35" s="35" t="s">
        <v>55</v>
      </c>
      <c r="I35" s="32" t="s">
        <v>54</v>
      </c>
      <c r="J35" s="31" t="s">
        <v>55</v>
      </c>
      <c r="K35" s="31" t="s">
        <v>55</v>
      </c>
      <c r="L35" s="31" t="s">
        <v>55</v>
      </c>
      <c r="M35" s="31" t="s">
        <v>291</v>
      </c>
      <c r="N35" s="31" t="s">
        <v>301</v>
      </c>
      <c r="O35" s="31" t="s">
        <v>292</v>
      </c>
    </row>
    <row r="36" spans="1:16" ht="28.5" x14ac:dyDescent="0.45">
      <c r="A36" s="31">
        <v>25</v>
      </c>
      <c r="B36" s="31" t="str">
        <f>CONCATENATE($B$2, ".", A36)</f>
        <v>4.25</v>
      </c>
      <c r="C36" s="35" t="s">
        <v>37</v>
      </c>
      <c r="D36" s="31" t="s">
        <v>57</v>
      </c>
      <c r="E36" s="32" t="s">
        <v>40</v>
      </c>
      <c r="F36" s="31" t="s">
        <v>55</v>
      </c>
      <c r="G36" s="31" t="s">
        <v>55</v>
      </c>
      <c r="H36" s="35" t="s">
        <v>55</v>
      </c>
      <c r="I36" s="32" t="s">
        <v>54</v>
      </c>
      <c r="J36" s="31" t="s">
        <v>55</v>
      </c>
      <c r="K36" s="31" t="s">
        <v>55</v>
      </c>
      <c r="L36" s="31" t="s">
        <v>55</v>
      </c>
      <c r="M36" s="31" t="s">
        <v>55</v>
      </c>
      <c r="N36" s="31" t="s">
        <v>55</v>
      </c>
      <c r="O36" s="31" t="s">
        <v>270</v>
      </c>
    </row>
  </sheetData>
  <autoFilter ref="A6:P6" xr:uid="{00000000-0009-0000-0000-00000B000000}"/>
  <mergeCells count="4">
    <mergeCell ref="A23:E23"/>
    <mergeCell ref="A9:F9"/>
    <mergeCell ref="A34:E34"/>
    <mergeCell ref="A28:F28"/>
  </mergeCells>
  <conditionalFormatting sqref="C10:C14 C24:C27 C29:C33 C35:C1048576">
    <cfRule type="cellIs" dxfId="140" priority="103" operator="equal">
      <formula>"WIP (see comments)"</formula>
    </cfRule>
    <cfRule type="cellIs" dxfId="139" priority="104" operator="equal">
      <formula>"Removed"</formula>
    </cfRule>
    <cfRule type="cellIs" dxfId="138" priority="105" operator="equal">
      <formula>"Updated"</formula>
    </cfRule>
    <cfRule type="cellIs" dxfId="137" priority="106" operator="equal">
      <formula>"New"</formula>
    </cfRule>
  </conditionalFormatting>
  <conditionalFormatting sqref="D10 D20:D21 D32 D26:D27 D29:D30 D12:D13">
    <cfRule type="cellIs" dxfId="136" priority="102" operator="equal">
      <formula>"-"</formula>
    </cfRule>
  </conditionalFormatting>
  <conditionalFormatting sqref="A24:N24 B25 E25:N25 E35:N36 B35:B36 A20:B22 F22:L22 G20:L20 Q7:XFD8 Q10:XFD11 Q14:XFD18 F23:P23 F34:P34 M20:XFD22 P33 G28:P28 P24:XFD24 A29:P29 D32:P32 A32:B32 I31 D26:P27 A26:B27 Q26:XFD28 A11:C11 A10:O10 A12:XFD13 C14 D20:E20 D21:L21 C25:C27 A30:B30 D30:P30 C30:C33">
    <cfRule type="cellIs" dxfId="135" priority="101" operator="equal">
      <formula>"n/a"</formula>
    </cfRule>
  </conditionalFormatting>
  <conditionalFormatting sqref="O24">
    <cfRule type="cellIs" dxfId="134" priority="100" operator="equal">
      <formula>"n/a"</formula>
    </cfRule>
  </conditionalFormatting>
  <conditionalFormatting sqref="G9:XFD9">
    <cfRule type="cellIs" dxfId="133" priority="98" operator="equal">
      <formula>"n/a"</formula>
    </cfRule>
  </conditionalFormatting>
  <conditionalFormatting sqref="A23">
    <cfRule type="cellIs" dxfId="132" priority="97" operator="equal">
      <formula>"n/a"</formula>
    </cfRule>
  </conditionalFormatting>
  <conditionalFormatting sqref="A9">
    <cfRule type="cellIs" dxfId="131" priority="94" operator="equal">
      <formula>"n/a"</formula>
    </cfRule>
  </conditionalFormatting>
  <conditionalFormatting sqref="A34">
    <cfRule type="cellIs" dxfId="130" priority="78" operator="equal">
      <formula>"n/a"</formula>
    </cfRule>
  </conditionalFormatting>
  <conditionalFormatting sqref="F20">
    <cfRule type="cellIs" dxfId="129" priority="77" operator="equal">
      <formula>"n/a"</formula>
    </cfRule>
  </conditionalFormatting>
  <conditionalFormatting sqref="D22">
    <cfRule type="cellIs" dxfId="128" priority="76" operator="equal">
      <formula>"-"</formula>
    </cfRule>
  </conditionalFormatting>
  <conditionalFormatting sqref="D22:E22">
    <cfRule type="cellIs" dxfId="127" priority="75" operator="equal">
      <formula>"n/a"</formula>
    </cfRule>
  </conditionalFormatting>
  <conditionalFormatting sqref="Q23:XFD23">
    <cfRule type="cellIs" dxfId="126" priority="69" operator="equal">
      <formula>"n/a"</formula>
    </cfRule>
  </conditionalFormatting>
  <conditionalFormatting sqref="A33:B33 N33 F33:L33">
    <cfRule type="cellIs" dxfId="125" priority="56" operator="equal">
      <formula>"n/a"</formula>
    </cfRule>
  </conditionalFormatting>
  <conditionalFormatting sqref="M33">
    <cfRule type="cellIs" dxfId="124" priority="55" operator="equal">
      <formula>"n/a"</formula>
    </cfRule>
  </conditionalFormatting>
  <conditionalFormatting sqref="E33">
    <cfRule type="cellIs" dxfId="123" priority="53" operator="equal">
      <formula>"n/a"</formula>
    </cfRule>
  </conditionalFormatting>
  <conditionalFormatting sqref="C35:C36">
    <cfRule type="cellIs" dxfId="122" priority="47" operator="equal">
      <formula>"n/a"</formula>
    </cfRule>
  </conditionalFormatting>
  <conditionalFormatting sqref="C7:C8">
    <cfRule type="cellIs" dxfId="121" priority="40" operator="equal">
      <formula>"WIP (see comments)"</formula>
    </cfRule>
    <cfRule type="cellIs" dxfId="120" priority="41" operator="equal">
      <formula>"Removed"</formula>
    </cfRule>
    <cfRule type="cellIs" dxfId="119" priority="42" operator="equal">
      <formula>"Updated"</formula>
    </cfRule>
    <cfRule type="cellIs" dxfId="118" priority="43" operator="equal">
      <formula>"New"</formula>
    </cfRule>
  </conditionalFormatting>
  <conditionalFormatting sqref="D7:D8">
    <cfRule type="cellIs" dxfId="117" priority="39" operator="equal">
      <formula>"-"</formula>
    </cfRule>
  </conditionalFormatting>
  <conditionalFormatting sqref="A7:P8">
    <cfRule type="cellIs" dxfId="116" priority="38" operator="equal">
      <formula>"n/a"</formula>
    </cfRule>
  </conditionalFormatting>
  <conditionalFormatting sqref="P10">
    <cfRule type="cellIs" dxfId="115" priority="37" operator="equal">
      <formula>"n/a"</formula>
    </cfRule>
  </conditionalFormatting>
  <conditionalFormatting sqref="A28">
    <cfRule type="cellIs" dxfId="114" priority="34" operator="equal">
      <formula>"n/a"</formula>
    </cfRule>
  </conditionalFormatting>
  <conditionalFormatting sqref="P14:P17">
    <cfRule type="cellIs" dxfId="113" priority="33" operator="equal">
      <formula>"n/a"</formula>
    </cfRule>
  </conditionalFormatting>
  <conditionalFormatting sqref="A14:A17">
    <cfRule type="cellIs" dxfId="112" priority="32" operator="equal">
      <formula>"n/a"</formula>
    </cfRule>
  </conditionalFormatting>
  <conditionalFormatting sqref="C15:C22">
    <cfRule type="cellIs" dxfId="111" priority="28" operator="equal">
      <formula>"WIP (see comments)"</formula>
    </cfRule>
    <cfRule type="cellIs" dxfId="110" priority="29" operator="equal">
      <formula>"Removed"</formula>
    </cfRule>
    <cfRule type="cellIs" dxfId="109" priority="30" operator="equal">
      <formula>"Updated"</formula>
    </cfRule>
    <cfRule type="cellIs" dxfId="108" priority="31" operator="equal">
      <formula>"New"</formula>
    </cfRule>
  </conditionalFormatting>
  <conditionalFormatting sqref="D14:D17">
    <cfRule type="cellIs" dxfId="107" priority="27" operator="equal">
      <formula>"-"</formula>
    </cfRule>
  </conditionalFormatting>
  <conditionalFormatting sqref="A15:N17 A14:B14 D14:N14 C18:C22">
    <cfRule type="cellIs" dxfId="106" priority="26" operator="equal">
      <formula>"n/a"</formula>
    </cfRule>
  </conditionalFormatting>
  <conditionalFormatting sqref="A14:A17">
    <cfRule type="cellIs" dxfId="105" priority="25" operator="equal">
      <formula>"n/a"</formula>
    </cfRule>
  </conditionalFormatting>
  <conditionalFormatting sqref="P18:P19">
    <cfRule type="cellIs" dxfId="104" priority="19" operator="equal">
      <formula>"n/a"</formula>
    </cfRule>
  </conditionalFormatting>
  <conditionalFormatting sqref="A18:A19">
    <cfRule type="cellIs" dxfId="103" priority="18" operator="equal">
      <formula>"n/a"</formula>
    </cfRule>
  </conditionalFormatting>
  <conditionalFormatting sqref="D18:D19">
    <cfRule type="cellIs" dxfId="102" priority="17" operator="equal">
      <formula>"-"</formula>
    </cfRule>
  </conditionalFormatting>
  <conditionalFormatting sqref="A18:B19 D18:N19">
    <cfRule type="cellIs" dxfId="101" priority="16" operator="equal">
      <formula>"n/a"</formula>
    </cfRule>
  </conditionalFormatting>
  <conditionalFormatting sqref="A18:A19">
    <cfRule type="cellIs" dxfId="100" priority="15" operator="equal">
      <formula>"n/a"</formula>
    </cfRule>
  </conditionalFormatting>
  <conditionalFormatting sqref="D31">
    <cfRule type="cellIs" dxfId="99" priority="10" operator="equal">
      <formula>"-"</formula>
    </cfRule>
  </conditionalFormatting>
  <conditionalFormatting sqref="A31:B31 G31:H31 J31:P31 D31:E31">
    <cfRule type="cellIs" dxfId="98" priority="9" operator="equal">
      <formula>"n/a"</formula>
    </cfRule>
  </conditionalFormatting>
  <conditionalFormatting sqref="F31">
    <cfRule type="cellIs" dxfId="97" priority="8" operator="equal">
      <formula>"n/a"</formula>
    </cfRule>
  </conditionalFormatting>
  <conditionalFormatting sqref="D11">
    <cfRule type="cellIs" dxfId="96" priority="7" operator="equal">
      <formula>"-"</formula>
    </cfRule>
  </conditionalFormatting>
  <conditionalFormatting sqref="P11 D11:N11">
    <cfRule type="cellIs" dxfId="95" priority="6" operator="equal">
      <formula>"n/a"</formula>
    </cfRule>
  </conditionalFormatting>
  <conditionalFormatting sqref="O33">
    <cfRule type="cellIs" dxfId="94" priority="3" operator="equal">
      <formula>"n/a"</formula>
    </cfRule>
  </conditionalFormatting>
  <conditionalFormatting sqref="D33">
    <cfRule type="cellIs" dxfId="93" priority="2" operator="equal">
      <formula>"-"</formula>
    </cfRule>
  </conditionalFormatting>
  <conditionalFormatting sqref="D33">
    <cfRule type="cellIs" dxfId="92" priority="1" operator="equal">
      <formula>"n/a"</formula>
    </cfRule>
  </conditionalFormatting>
  <dataValidations count="1">
    <dataValidation type="list" allowBlank="1" showInputMessage="1" showErrorMessage="1" sqref="E23 E34:E1048576" xr:uid="{00000000-0002-0000-0B00-000000000000}">
      <formula1>$A$5:$A$32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1000000}">
          <x14:formula1>
            <xm:f>'List Values'!$B$5:$B$9</xm:f>
          </x14:formula1>
          <xm:sqref>C7:C8 C29:C33 C10:C22 C24:C27 C35:C1048576</xm:sqref>
        </x14:dataValidation>
        <x14:dataValidation type="list" allowBlank="1" showInputMessage="1" showErrorMessage="1" xr:uid="{00000000-0002-0000-0B00-000002000000}">
          <x14:formula1>
            <xm:f>'List Values'!$A$5:$A$30</xm:f>
          </x14:formula1>
          <xm:sqref>E7:E8 E29:E33 E24:E27 E10:E22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
  <sheetViews>
    <sheetView workbookViewId="0">
      <pane ySplit="6" topLeftCell="A7" activePane="bottomLeft" state="frozen"/>
      <selection pane="bottomLeft" activeCell="C2" sqref="C2"/>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4"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66</v>
      </c>
      <c r="C1" s="23"/>
      <c r="D1" s="20" t="s">
        <v>98</v>
      </c>
      <c r="F1" s="38"/>
      <c r="H1" s="25"/>
    </row>
    <row r="2" spans="1:16" s="21" customFormat="1" ht="18" x14ac:dyDescent="0.45">
      <c r="A2" s="19" t="s">
        <v>8</v>
      </c>
      <c r="B2" s="26" t="s">
        <v>170</v>
      </c>
      <c r="C2" s="25"/>
      <c r="D2" s="26"/>
      <c r="F2" s="38"/>
      <c r="H2" s="25"/>
    </row>
    <row r="3" spans="1:16" s="21" customFormat="1" ht="18" x14ac:dyDescent="0.45">
      <c r="A3" s="19" t="s">
        <v>41</v>
      </c>
      <c r="B3" s="26"/>
      <c r="C3" s="25"/>
      <c r="D3" s="26"/>
      <c r="F3" s="38"/>
      <c r="H3" s="25"/>
    </row>
    <row r="4" spans="1:16" s="21" customFormat="1" ht="18" x14ac:dyDescent="0.45">
      <c r="A4" s="19" t="s">
        <v>9</v>
      </c>
      <c r="B4" s="21" t="s">
        <v>67</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2" si="0">CONCATENATE($B$2, ".", A7)</f>
        <v>1a.1</v>
      </c>
      <c r="C7" s="35" t="s">
        <v>39</v>
      </c>
      <c r="D7" s="31" t="s">
        <v>65</v>
      </c>
      <c r="E7" s="32" t="s">
        <v>49</v>
      </c>
      <c r="F7" s="31" t="s">
        <v>55</v>
      </c>
      <c r="G7" s="31" t="s">
        <v>55</v>
      </c>
      <c r="H7" s="35" t="s">
        <v>55</v>
      </c>
      <c r="I7" s="32" t="s">
        <v>54</v>
      </c>
      <c r="J7" s="31" t="s">
        <v>55</v>
      </c>
      <c r="K7" s="31" t="s">
        <v>55</v>
      </c>
      <c r="L7" s="31" t="s">
        <v>55</v>
      </c>
      <c r="M7" s="31" t="s">
        <v>55</v>
      </c>
      <c r="N7" s="31" t="s">
        <v>55</v>
      </c>
    </row>
    <row r="8" spans="1:16" x14ac:dyDescent="0.45">
      <c r="A8" s="31">
        <v>2</v>
      </c>
      <c r="B8" s="31" t="str">
        <f t="shared" si="0"/>
        <v>1a.2</v>
      </c>
      <c r="C8" s="35" t="s">
        <v>39</v>
      </c>
      <c r="D8" s="32" t="s">
        <v>68</v>
      </c>
      <c r="E8" s="32" t="s">
        <v>27</v>
      </c>
      <c r="F8" s="31" t="s">
        <v>55</v>
      </c>
      <c r="G8" s="31" t="s">
        <v>55</v>
      </c>
      <c r="H8" s="35" t="s">
        <v>55</v>
      </c>
      <c r="I8" s="32" t="s">
        <v>54</v>
      </c>
      <c r="J8" s="31" t="s">
        <v>55</v>
      </c>
      <c r="K8" s="31" t="s">
        <v>55</v>
      </c>
      <c r="L8" s="31" t="s">
        <v>55</v>
      </c>
      <c r="M8" s="31" t="s">
        <v>55</v>
      </c>
      <c r="N8" s="31" t="s">
        <v>55</v>
      </c>
    </row>
    <row r="9" spans="1:16" ht="28.5" x14ac:dyDescent="0.45">
      <c r="A9" s="31">
        <v>3</v>
      </c>
      <c r="B9" s="31" t="str">
        <f t="shared" si="0"/>
        <v>1a.3</v>
      </c>
      <c r="C9" s="35" t="s">
        <v>39</v>
      </c>
      <c r="D9" s="32" t="s">
        <v>69</v>
      </c>
      <c r="E9" s="32" t="s">
        <v>32</v>
      </c>
      <c r="F9" s="31" t="s">
        <v>55</v>
      </c>
      <c r="G9" s="31" t="s">
        <v>55</v>
      </c>
      <c r="H9" s="35" t="s">
        <v>55</v>
      </c>
      <c r="I9" s="32" t="s">
        <v>54</v>
      </c>
      <c r="J9" s="31" t="s">
        <v>55</v>
      </c>
      <c r="K9" s="31" t="s">
        <v>55</v>
      </c>
      <c r="L9" s="31" t="s">
        <v>55</v>
      </c>
      <c r="M9" s="31" t="s">
        <v>55</v>
      </c>
      <c r="N9" s="31" t="s">
        <v>55</v>
      </c>
    </row>
    <row r="10" spans="1:16" ht="72.75" customHeight="1" x14ac:dyDescent="0.45">
      <c r="A10" s="31">
        <v>4</v>
      </c>
      <c r="B10" s="31" t="str">
        <f t="shared" si="0"/>
        <v>1a.4</v>
      </c>
      <c r="C10" s="35" t="s">
        <v>39</v>
      </c>
      <c r="D10" s="32" t="s">
        <v>70</v>
      </c>
      <c r="E10" s="32" t="s">
        <v>31</v>
      </c>
      <c r="F10" s="31" t="s">
        <v>71</v>
      </c>
      <c r="G10" s="31" t="s">
        <v>55</v>
      </c>
      <c r="H10" s="35" t="s">
        <v>55</v>
      </c>
      <c r="I10" s="32" t="s">
        <v>54</v>
      </c>
      <c r="J10" s="31" t="s">
        <v>72</v>
      </c>
      <c r="K10" s="31" t="s">
        <v>73</v>
      </c>
      <c r="L10" s="31" t="s">
        <v>55</v>
      </c>
      <c r="M10" s="32" t="s">
        <v>74</v>
      </c>
      <c r="N10" s="31" t="s">
        <v>75</v>
      </c>
    </row>
    <row r="11" spans="1:16" ht="28.5" x14ac:dyDescent="0.45">
      <c r="A11" s="31">
        <v>5</v>
      </c>
      <c r="B11" s="31" t="str">
        <f t="shared" si="0"/>
        <v>1a.5</v>
      </c>
      <c r="C11" s="35" t="s">
        <v>39</v>
      </c>
      <c r="D11" s="32" t="s">
        <v>76</v>
      </c>
      <c r="E11" s="31" t="s">
        <v>40</v>
      </c>
      <c r="F11" s="31" t="s">
        <v>55</v>
      </c>
      <c r="G11" s="31" t="s">
        <v>55</v>
      </c>
      <c r="H11" s="35" t="s">
        <v>55</v>
      </c>
      <c r="I11" s="32" t="s">
        <v>54</v>
      </c>
      <c r="J11" s="31" t="s">
        <v>55</v>
      </c>
      <c r="K11" s="31" t="s">
        <v>55</v>
      </c>
      <c r="L11" s="31" t="s">
        <v>55</v>
      </c>
      <c r="M11" s="31" t="s">
        <v>55</v>
      </c>
      <c r="N11" s="31" t="s">
        <v>55</v>
      </c>
      <c r="O11" s="29" t="s">
        <v>78</v>
      </c>
    </row>
    <row r="12" spans="1:16" ht="28.5" x14ac:dyDescent="0.45">
      <c r="A12" s="31">
        <v>6</v>
      </c>
      <c r="B12" s="31" t="str">
        <f t="shared" si="0"/>
        <v>1a.6</v>
      </c>
      <c r="C12" s="35" t="s">
        <v>39</v>
      </c>
      <c r="D12" s="31" t="s">
        <v>77</v>
      </c>
      <c r="E12" s="31" t="s">
        <v>40</v>
      </c>
      <c r="F12" s="31" t="s">
        <v>55</v>
      </c>
      <c r="G12" s="31" t="s">
        <v>55</v>
      </c>
      <c r="H12" s="35" t="s">
        <v>55</v>
      </c>
      <c r="I12" s="32" t="s">
        <v>54</v>
      </c>
      <c r="J12" s="31" t="s">
        <v>55</v>
      </c>
      <c r="K12" s="31" t="s">
        <v>55</v>
      </c>
      <c r="L12" s="31" t="s">
        <v>55</v>
      </c>
      <c r="M12" s="31" t="s">
        <v>55</v>
      </c>
      <c r="N12" s="31" t="s">
        <v>55</v>
      </c>
      <c r="O12" s="31" t="s">
        <v>79</v>
      </c>
    </row>
  </sheetData>
  <autoFilter ref="A6:P6" xr:uid="{00000000-0009-0000-0000-00000C000000}"/>
  <conditionalFormatting sqref="C7:C1048576">
    <cfRule type="cellIs" dxfId="91" priority="9" operator="equal">
      <formula>"WIP (see comments)"</formula>
    </cfRule>
    <cfRule type="cellIs" dxfId="90" priority="10" operator="equal">
      <formula>"Removed"</formula>
    </cfRule>
    <cfRule type="cellIs" dxfId="89" priority="11" operator="equal">
      <formula>"Updated"</formula>
    </cfRule>
    <cfRule type="cellIs" dxfId="88" priority="12" operator="equal">
      <formula>"New"</formula>
    </cfRule>
  </conditionalFormatting>
  <conditionalFormatting sqref="D7:D10">
    <cfRule type="cellIs" dxfId="87" priority="4" operator="equal">
      <formula>"-"</formula>
    </cfRule>
  </conditionalFormatting>
  <conditionalFormatting sqref="P11:XFD11 A11:N11 B12 C11:C12 E12:N12 A7:XFD9 A10:L10 N10:XFD10">
    <cfRule type="cellIs" dxfId="86" priority="3" operator="equal">
      <formula>"n/a"</formula>
    </cfRule>
  </conditionalFormatting>
  <conditionalFormatting sqref="O11">
    <cfRule type="cellIs" dxfId="85" priority="2" operator="equal">
      <formula>"n/a"</formula>
    </cfRule>
  </conditionalFormatting>
  <conditionalFormatting sqref="M10">
    <cfRule type="cellIs" dxfId="8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'List Values'!$B$5:$B$9</xm:f>
          </x14:formula1>
          <xm:sqref>C7:C1048576</xm:sqref>
        </x14:dataValidation>
        <x14:dataValidation type="list" allowBlank="1" showInputMessage="1" showErrorMessage="1" xr:uid="{00000000-0002-0000-0C00-000001000000}">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80</v>
      </c>
      <c r="C1" s="23"/>
      <c r="D1" s="20" t="s">
        <v>98</v>
      </c>
      <c r="F1" s="38"/>
      <c r="H1" s="25"/>
    </row>
    <row r="2" spans="1:16" s="21" customFormat="1" ht="18" x14ac:dyDescent="0.45">
      <c r="A2" s="19" t="s">
        <v>8</v>
      </c>
      <c r="B2" s="26" t="s">
        <v>82</v>
      </c>
      <c r="C2" s="25"/>
      <c r="D2" s="26"/>
      <c r="F2" s="38"/>
      <c r="H2" s="25"/>
    </row>
    <row r="3" spans="1:16" s="21" customFormat="1" ht="18" x14ac:dyDescent="0.45">
      <c r="A3" s="19" t="s">
        <v>41</v>
      </c>
      <c r="B3" s="26"/>
      <c r="C3" s="25"/>
      <c r="D3" s="26"/>
      <c r="F3" s="38"/>
      <c r="H3" s="25"/>
    </row>
    <row r="4" spans="1:16" s="21" customFormat="1" ht="18" x14ac:dyDescent="0.45">
      <c r="A4" s="19" t="s">
        <v>9</v>
      </c>
      <c r="B4" s="21" t="s">
        <v>81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6" si="0">CONCATENATE($B$2, ".", A7)</f>
        <v>Q-P1.1</v>
      </c>
      <c r="C7" s="35" t="s">
        <v>39</v>
      </c>
      <c r="D7" s="31" t="s">
        <v>83</v>
      </c>
      <c r="E7" s="32" t="s">
        <v>49</v>
      </c>
      <c r="F7" s="31" t="s">
        <v>55</v>
      </c>
      <c r="G7" s="31" t="s">
        <v>55</v>
      </c>
      <c r="H7" s="35" t="s">
        <v>55</v>
      </c>
      <c r="I7" s="32" t="s">
        <v>54</v>
      </c>
      <c r="J7" s="31" t="s">
        <v>55</v>
      </c>
      <c r="K7" s="31" t="s">
        <v>55</v>
      </c>
      <c r="L7" s="31" t="s">
        <v>55</v>
      </c>
      <c r="M7" s="31" t="s">
        <v>55</v>
      </c>
      <c r="N7" s="31" t="s">
        <v>55</v>
      </c>
    </row>
    <row r="8" spans="1:16" ht="28.5" x14ac:dyDescent="0.45">
      <c r="A8" s="31">
        <v>2</v>
      </c>
      <c r="B8" s="31" t="str">
        <f t="shared" si="0"/>
        <v>Q-P1.2</v>
      </c>
      <c r="C8" s="35" t="s">
        <v>42</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Q-P1.3</v>
      </c>
      <c r="C9" s="35" t="s">
        <v>39</v>
      </c>
      <c r="D9" s="32" t="s">
        <v>85</v>
      </c>
      <c r="E9" s="32" t="s">
        <v>27</v>
      </c>
      <c r="F9" s="31" t="s">
        <v>55</v>
      </c>
      <c r="G9" s="31" t="s">
        <v>55</v>
      </c>
      <c r="H9" s="35" t="s">
        <v>55</v>
      </c>
      <c r="I9" s="32" t="s">
        <v>54</v>
      </c>
      <c r="J9" s="31" t="s">
        <v>55</v>
      </c>
      <c r="K9" s="31" t="s">
        <v>55</v>
      </c>
      <c r="L9" s="31" t="s">
        <v>55</v>
      </c>
      <c r="M9" s="31" t="s">
        <v>55</v>
      </c>
      <c r="N9" s="31" t="s">
        <v>55</v>
      </c>
    </row>
    <row r="10" spans="1:16" s="30" customFormat="1" x14ac:dyDescent="0.45">
      <c r="A10" s="47" t="s">
        <v>127</v>
      </c>
      <c r="B10" s="47"/>
      <c r="C10" s="47"/>
      <c r="D10" s="47"/>
      <c r="E10" s="47"/>
    </row>
    <row r="11" spans="1:16" ht="28.5" x14ac:dyDescent="0.45">
      <c r="A11" s="31">
        <v>4</v>
      </c>
      <c r="B11" s="31" t="str">
        <f t="shared" si="0"/>
        <v>Q-P1.4</v>
      </c>
      <c r="C11" s="35" t="s">
        <v>42</v>
      </c>
      <c r="D11" s="32" t="s">
        <v>88</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Q-P1.5</v>
      </c>
      <c r="C12" s="35" t="s">
        <v>42</v>
      </c>
      <c r="D12" s="32" t="s">
        <v>91</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Q-P1.6</v>
      </c>
      <c r="C13" s="35" t="s">
        <v>42</v>
      </c>
      <c r="D13" s="32" t="s">
        <v>92</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7</v>
      </c>
      <c r="B15" s="31" t="str">
        <f t="shared" si="0"/>
        <v>Q-P1.7</v>
      </c>
      <c r="C15" s="35" t="s">
        <v>39</v>
      </c>
      <c r="D15" s="32" t="s">
        <v>56</v>
      </c>
      <c r="E15" s="32" t="s">
        <v>40</v>
      </c>
      <c r="F15" s="31" t="s">
        <v>55</v>
      </c>
      <c r="G15" s="31" t="s">
        <v>55</v>
      </c>
      <c r="H15" s="35" t="s">
        <v>55</v>
      </c>
      <c r="I15" s="32" t="s">
        <v>54</v>
      </c>
      <c r="J15" s="31" t="s">
        <v>55</v>
      </c>
      <c r="K15" s="31" t="s">
        <v>55</v>
      </c>
      <c r="L15" s="31" t="s">
        <v>55</v>
      </c>
      <c r="M15" s="31" t="s">
        <v>55</v>
      </c>
      <c r="N15" s="31" t="s">
        <v>55</v>
      </c>
      <c r="O15" s="29" t="s">
        <v>93</v>
      </c>
    </row>
    <row r="16" spans="1:16" ht="28.5" x14ac:dyDescent="0.45">
      <c r="A16" s="31">
        <v>8</v>
      </c>
      <c r="B16" s="31" t="str">
        <f t="shared" si="0"/>
        <v>Q-P1.8</v>
      </c>
      <c r="C16" s="35" t="s">
        <v>39</v>
      </c>
      <c r="D16" s="31" t="s">
        <v>57</v>
      </c>
      <c r="E16" s="32" t="s">
        <v>40</v>
      </c>
      <c r="F16" s="31" t="s">
        <v>55</v>
      </c>
      <c r="G16" s="31" t="s">
        <v>55</v>
      </c>
      <c r="H16" s="35" t="s">
        <v>55</v>
      </c>
      <c r="I16" s="32" t="s">
        <v>54</v>
      </c>
      <c r="J16" s="31" t="s">
        <v>55</v>
      </c>
      <c r="K16" s="31" t="s">
        <v>55</v>
      </c>
      <c r="L16" s="31" t="s">
        <v>55</v>
      </c>
      <c r="M16" s="31" t="s">
        <v>55</v>
      </c>
      <c r="N16" s="31" t="s">
        <v>55</v>
      </c>
      <c r="O16" s="31" t="s">
        <v>94</v>
      </c>
    </row>
    <row r="17" spans="1:15" ht="28.5" x14ac:dyDescent="0.45">
      <c r="A17" s="31">
        <v>9</v>
      </c>
      <c r="B17" s="31" t="str">
        <f>CONCATENATE($B$2, ".", A17)</f>
        <v>Q-P1.9</v>
      </c>
      <c r="C17" s="35" t="s">
        <v>39</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0D000000}"/>
  <mergeCells count="2">
    <mergeCell ref="A10:E10"/>
    <mergeCell ref="A14:E14"/>
  </mergeCells>
  <conditionalFormatting sqref="C7:C9 C15:C1048576 C11:C13">
    <cfRule type="cellIs" dxfId="83" priority="9" operator="equal">
      <formula>"WIP (see comments)"</formula>
    </cfRule>
    <cfRule type="cellIs" dxfId="82" priority="10" operator="equal">
      <formula>"Removed"</formula>
    </cfRule>
    <cfRule type="cellIs" dxfId="81" priority="11" operator="equal">
      <formula>"Updated"</formula>
    </cfRule>
    <cfRule type="cellIs" dxfId="80" priority="12" operator="equal">
      <formula>"New"</formula>
    </cfRule>
  </conditionalFormatting>
  <conditionalFormatting sqref="D7 D11:D13 D9">
    <cfRule type="cellIs" dxfId="79" priority="8" operator="equal">
      <formula>"-"</formula>
    </cfRule>
  </conditionalFormatting>
  <conditionalFormatting sqref="P15:XFD15 A7:XFD7 A15:N15 N11:XFD13 B16:C17 E16:N17 A9:XFD9 A8:C8 E8:XFD8 A11:L13">
    <cfRule type="cellIs" dxfId="78" priority="7" operator="equal">
      <formula>"n/a"</formula>
    </cfRule>
  </conditionalFormatting>
  <conditionalFormatting sqref="O15">
    <cfRule type="cellIs" dxfId="77" priority="6" operator="equal">
      <formula>"n/a"</formula>
    </cfRule>
  </conditionalFormatting>
  <conditionalFormatting sqref="M11:M13">
    <cfRule type="cellIs" dxfId="76" priority="5" operator="equal">
      <formula>"n/a"</formula>
    </cfRule>
  </conditionalFormatting>
  <conditionalFormatting sqref="F10:XFD10 A10">
    <cfRule type="cellIs" dxfId="75" priority="4" operator="equal">
      <formula>"n/a"</formula>
    </cfRule>
  </conditionalFormatting>
  <conditionalFormatting sqref="F14:XFD14 A14">
    <cfRule type="cellIs" dxfId="74" priority="3" operator="equal">
      <formula>"n/a"</formula>
    </cfRule>
  </conditionalFormatting>
  <conditionalFormatting sqref="D8">
    <cfRule type="cellIs" dxfId="73" priority="2" operator="equal">
      <formula>"-"</formula>
    </cfRule>
  </conditionalFormatting>
  <conditionalFormatting sqref="D8">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'List Values'!$B$5:$B$9</xm:f>
          </x14:formula1>
          <xm:sqref>C7:C9 C15:C1048576 C11:C13</xm:sqref>
        </x14:dataValidation>
        <x14:dataValidation type="list" allowBlank="1" showInputMessage="1" showErrorMessage="1" xr:uid="{00000000-0002-0000-0D00-000001000000}">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96</v>
      </c>
      <c r="C1" s="23"/>
      <c r="D1" s="20" t="s">
        <v>98</v>
      </c>
      <c r="F1" s="38"/>
      <c r="H1" s="25"/>
    </row>
    <row r="2" spans="1:16" s="21" customFormat="1" ht="18" x14ac:dyDescent="0.45">
      <c r="A2" s="19" t="s">
        <v>8</v>
      </c>
      <c r="B2" s="26" t="s">
        <v>97</v>
      </c>
      <c r="C2" s="25"/>
      <c r="D2" s="26"/>
      <c r="F2" s="38"/>
      <c r="H2" s="25"/>
    </row>
    <row r="3" spans="1:16" s="21" customFormat="1" ht="18" x14ac:dyDescent="0.45">
      <c r="A3" s="19" t="s">
        <v>41</v>
      </c>
      <c r="B3" s="26"/>
      <c r="C3" s="25"/>
      <c r="D3" s="26"/>
      <c r="F3" s="38"/>
      <c r="H3" s="25"/>
    </row>
    <row r="4" spans="1:16" s="21" customFormat="1" ht="18" x14ac:dyDescent="0.45">
      <c r="A4" s="19" t="s">
        <v>9</v>
      </c>
      <c r="B4" s="21" t="s">
        <v>81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6" si="0">CONCATENATE($B$2, ".", A7)</f>
        <v>Q-P2.1</v>
      </c>
      <c r="C7" s="35" t="s">
        <v>39</v>
      </c>
      <c r="D7" s="31" t="s">
        <v>83</v>
      </c>
      <c r="E7" s="32" t="s">
        <v>49</v>
      </c>
      <c r="F7" s="31" t="s">
        <v>55</v>
      </c>
      <c r="G7" s="31" t="s">
        <v>55</v>
      </c>
      <c r="H7" s="35" t="s">
        <v>55</v>
      </c>
      <c r="I7" s="32" t="s">
        <v>54</v>
      </c>
      <c r="J7" s="31" t="s">
        <v>55</v>
      </c>
      <c r="K7" s="31" t="s">
        <v>55</v>
      </c>
      <c r="L7" s="31" t="s">
        <v>55</v>
      </c>
      <c r="M7" s="31" t="s">
        <v>55</v>
      </c>
      <c r="N7" s="31" t="s">
        <v>55</v>
      </c>
    </row>
    <row r="8" spans="1:16" ht="28.5" x14ac:dyDescent="0.45">
      <c r="A8" s="31">
        <v>2</v>
      </c>
      <c r="B8" s="31" t="str">
        <f t="shared" si="0"/>
        <v>Q-P2.2</v>
      </c>
      <c r="C8" s="35" t="s">
        <v>42</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Q-P2.3</v>
      </c>
      <c r="C9" s="35" t="s">
        <v>39</v>
      </c>
      <c r="D9" s="32" t="s">
        <v>100</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Q-P2.4</v>
      </c>
      <c r="C11" s="35" t="s">
        <v>42</v>
      </c>
      <c r="D11" s="32" t="s">
        <v>101</v>
      </c>
      <c r="E11" s="32" t="s">
        <v>87</v>
      </c>
      <c r="F11" s="31" t="s">
        <v>89</v>
      </c>
      <c r="G11" s="31" t="s">
        <v>55</v>
      </c>
      <c r="H11" s="35" t="s">
        <v>55</v>
      </c>
      <c r="I11" s="32" t="s">
        <v>54</v>
      </c>
      <c r="J11" s="31" t="s">
        <v>90</v>
      </c>
      <c r="K11" s="31" t="s">
        <v>73</v>
      </c>
      <c r="L11" s="31" t="s">
        <v>55</v>
      </c>
      <c r="M11" s="32" t="s">
        <v>55</v>
      </c>
      <c r="N11" s="31" t="s">
        <v>55</v>
      </c>
      <c r="O11" s="39" t="s">
        <v>95</v>
      </c>
      <c r="P11" s="31" t="s">
        <v>84</v>
      </c>
    </row>
    <row r="12" spans="1:16" ht="38.25" customHeight="1" x14ac:dyDescent="0.45">
      <c r="A12" s="31">
        <v>5</v>
      </c>
      <c r="B12" s="31" t="str">
        <f t="shared" si="0"/>
        <v>Q-P2.5</v>
      </c>
      <c r="C12" s="35" t="s">
        <v>42</v>
      </c>
      <c r="D12" s="32" t="s">
        <v>102</v>
      </c>
      <c r="E12" s="32" t="s">
        <v>87</v>
      </c>
      <c r="F12" s="31" t="s">
        <v>89</v>
      </c>
      <c r="G12" s="31" t="s">
        <v>55</v>
      </c>
      <c r="H12" s="35" t="s">
        <v>55</v>
      </c>
      <c r="I12" s="32" t="s">
        <v>54</v>
      </c>
      <c r="J12" s="31" t="s">
        <v>90</v>
      </c>
      <c r="K12" s="31" t="s">
        <v>73</v>
      </c>
      <c r="L12" s="31" t="s">
        <v>55</v>
      </c>
      <c r="M12" s="32" t="s">
        <v>55</v>
      </c>
      <c r="N12" s="31" t="s">
        <v>55</v>
      </c>
      <c r="O12" s="39" t="s">
        <v>95</v>
      </c>
      <c r="P12" s="31" t="s">
        <v>84</v>
      </c>
    </row>
    <row r="13" spans="1:16" s="30" customFormat="1" x14ac:dyDescent="0.45">
      <c r="A13" s="47"/>
      <c r="B13" s="47"/>
      <c r="C13" s="47"/>
      <c r="D13" s="47"/>
      <c r="E13" s="47"/>
    </row>
    <row r="14" spans="1:16" ht="28.5" x14ac:dyDescent="0.45">
      <c r="A14" s="31">
        <v>6</v>
      </c>
      <c r="B14" s="31" t="str">
        <f t="shared" si="0"/>
        <v>Q-P2.6</v>
      </c>
      <c r="C14" s="35" t="s">
        <v>39</v>
      </c>
      <c r="D14" s="32" t="s">
        <v>56</v>
      </c>
      <c r="E14" s="32" t="s">
        <v>40</v>
      </c>
      <c r="F14" s="31" t="s">
        <v>55</v>
      </c>
      <c r="G14" s="31" t="s">
        <v>55</v>
      </c>
      <c r="H14" s="35" t="s">
        <v>55</v>
      </c>
      <c r="I14" s="32" t="s">
        <v>54</v>
      </c>
      <c r="J14" s="31" t="s">
        <v>55</v>
      </c>
      <c r="K14" s="31" t="s">
        <v>55</v>
      </c>
      <c r="L14" s="31" t="s">
        <v>55</v>
      </c>
      <c r="M14" s="31" t="s">
        <v>55</v>
      </c>
      <c r="N14" s="31" t="s">
        <v>55</v>
      </c>
      <c r="O14" s="29" t="s">
        <v>103</v>
      </c>
    </row>
    <row r="15" spans="1:16" ht="28.5" x14ac:dyDescent="0.45">
      <c r="A15" s="31">
        <v>7</v>
      </c>
      <c r="B15" s="31" t="str">
        <f t="shared" si="0"/>
        <v>Q-P2.7</v>
      </c>
      <c r="C15" s="35" t="s">
        <v>39</v>
      </c>
      <c r="D15" s="31" t="s">
        <v>57</v>
      </c>
      <c r="E15" s="32" t="s">
        <v>40</v>
      </c>
      <c r="F15" s="31" t="s">
        <v>55</v>
      </c>
      <c r="G15" s="31" t="s">
        <v>55</v>
      </c>
      <c r="H15" s="35" t="s">
        <v>55</v>
      </c>
      <c r="I15" s="32" t="s">
        <v>54</v>
      </c>
      <c r="J15" s="31" t="s">
        <v>55</v>
      </c>
      <c r="K15" s="31" t="s">
        <v>55</v>
      </c>
      <c r="L15" s="31" t="s">
        <v>55</v>
      </c>
      <c r="M15" s="31" t="s">
        <v>55</v>
      </c>
      <c r="N15" s="31" t="s">
        <v>55</v>
      </c>
      <c r="O15" s="31" t="s">
        <v>105</v>
      </c>
    </row>
    <row r="16" spans="1:16" ht="28.5" x14ac:dyDescent="0.45">
      <c r="A16" s="31">
        <v>8</v>
      </c>
      <c r="B16" s="31" t="str">
        <f t="shared" si="0"/>
        <v>Q-P2.8</v>
      </c>
      <c r="C16" s="35" t="s">
        <v>39</v>
      </c>
      <c r="D16" s="31" t="s">
        <v>77</v>
      </c>
      <c r="E16" s="32" t="s">
        <v>40</v>
      </c>
      <c r="F16" s="31" t="s">
        <v>55</v>
      </c>
      <c r="G16" s="31" t="s">
        <v>55</v>
      </c>
      <c r="H16" s="35" t="s">
        <v>55</v>
      </c>
      <c r="I16" s="32" t="s">
        <v>54</v>
      </c>
      <c r="J16" s="31" t="s">
        <v>55</v>
      </c>
      <c r="K16" s="31" t="s">
        <v>55</v>
      </c>
      <c r="L16" s="31" t="s">
        <v>55</v>
      </c>
      <c r="M16" s="31" t="s">
        <v>55</v>
      </c>
      <c r="N16" s="31" t="s">
        <v>55</v>
      </c>
      <c r="O16" s="31" t="s">
        <v>79</v>
      </c>
    </row>
  </sheetData>
  <autoFilter ref="A6:P6" xr:uid="{00000000-0009-0000-0000-00000E000000}"/>
  <mergeCells count="2">
    <mergeCell ref="A10:E10"/>
    <mergeCell ref="A13:E13"/>
  </mergeCells>
  <conditionalFormatting sqref="C7:C9 C14:C1048576 C11:C12">
    <cfRule type="cellIs" dxfId="71" priority="8" operator="equal">
      <formula>"WIP (see comments)"</formula>
    </cfRule>
    <cfRule type="cellIs" dxfId="70" priority="9" operator="equal">
      <formula>"Removed"</formula>
    </cfRule>
    <cfRule type="cellIs" dxfId="69" priority="10" operator="equal">
      <formula>"Updated"</formula>
    </cfRule>
    <cfRule type="cellIs" dxfId="68" priority="11" operator="equal">
      <formula>"New"</formula>
    </cfRule>
  </conditionalFormatting>
  <conditionalFormatting sqref="D7:D9 D11:D12">
    <cfRule type="cellIs" dxfId="67" priority="7" operator="equal">
      <formula>"-"</formula>
    </cfRule>
  </conditionalFormatting>
  <conditionalFormatting sqref="P14:XFD14 A7:XFD9 A14:N14 N11:XFD12 B15:C16 E15:N16 A11:L12">
    <cfRule type="cellIs" dxfId="66" priority="6" operator="equal">
      <formula>"n/a"</formula>
    </cfRule>
  </conditionalFormatting>
  <conditionalFormatting sqref="O14">
    <cfRule type="cellIs" dxfId="65" priority="5" operator="equal">
      <formula>"n/a"</formula>
    </cfRule>
  </conditionalFormatting>
  <conditionalFormatting sqref="M11:M12">
    <cfRule type="cellIs" dxfId="64" priority="4" operator="equal">
      <formula>"n/a"</formula>
    </cfRule>
  </conditionalFormatting>
  <conditionalFormatting sqref="F10:XFD10">
    <cfRule type="cellIs" dxfId="63" priority="3" operator="equal">
      <formula>"n/a"</formula>
    </cfRule>
  </conditionalFormatting>
  <conditionalFormatting sqref="F13:XFD13 A13">
    <cfRule type="cellIs" dxfId="62" priority="2" operator="equal">
      <formula>"n/a"</formula>
    </cfRule>
  </conditionalFormatting>
  <conditionalFormatting sqref="A10">
    <cfRule type="cellIs" dxfId="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Values'!$B$5:$B$9</xm:f>
          </x14:formula1>
          <xm:sqref>C7:C9 C14:C1048576 C11:C12</xm:sqref>
        </x14:dataValidation>
        <x14:dataValidation type="list" allowBlank="1" showInputMessage="1" showErrorMessage="1" xr:uid="{00000000-0002-0000-0E00-000001000000}">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106</v>
      </c>
      <c r="C1" s="23"/>
      <c r="D1" s="20" t="s">
        <v>98</v>
      </c>
      <c r="F1" s="38"/>
      <c r="H1" s="25"/>
    </row>
    <row r="2" spans="1:16" s="21" customFormat="1" ht="18" x14ac:dyDescent="0.45">
      <c r="A2" s="19" t="s">
        <v>8</v>
      </c>
      <c r="B2" s="26" t="s">
        <v>107</v>
      </c>
      <c r="C2" s="25"/>
      <c r="D2" s="26"/>
      <c r="F2" s="38"/>
      <c r="H2" s="25"/>
    </row>
    <row r="3" spans="1:16" s="21" customFormat="1" ht="18" x14ac:dyDescent="0.45">
      <c r="A3" s="19" t="s">
        <v>41</v>
      </c>
      <c r="B3" s="26"/>
      <c r="C3" s="25"/>
      <c r="D3" s="26"/>
      <c r="F3" s="38"/>
      <c r="H3" s="25"/>
    </row>
    <row r="4" spans="1:16" s="21" customFormat="1" ht="18" x14ac:dyDescent="0.45">
      <c r="A4" s="19" t="s">
        <v>9</v>
      </c>
      <c r="B4" s="21" t="s">
        <v>81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Q-P3.1</v>
      </c>
      <c r="C7" s="35" t="s">
        <v>39</v>
      </c>
      <c r="D7" s="31" t="s">
        <v>83</v>
      </c>
      <c r="E7" s="32" t="s">
        <v>49</v>
      </c>
      <c r="F7" s="31" t="s">
        <v>55</v>
      </c>
      <c r="G7" s="31" t="s">
        <v>55</v>
      </c>
      <c r="H7" s="35" t="s">
        <v>55</v>
      </c>
      <c r="I7" s="32" t="s">
        <v>54</v>
      </c>
      <c r="J7" s="31" t="s">
        <v>55</v>
      </c>
      <c r="K7" s="31" t="s">
        <v>55</v>
      </c>
      <c r="L7" s="31" t="s">
        <v>55</v>
      </c>
      <c r="M7" s="31" t="s">
        <v>55</v>
      </c>
      <c r="N7" s="31" t="s">
        <v>55</v>
      </c>
    </row>
    <row r="8" spans="1:16" ht="28.5" x14ac:dyDescent="0.45">
      <c r="A8" s="31">
        <v>2</v>
      </c>
      <c r="B8" s="31" t="str">
        <f t="shared" si="0"/>
        <v>Q-P3.2</v>
      </c>
      <c r="C8" s="35" t="s">
        <v>42</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Q-P3.3</v>
      </c>
      <c r="C9" s="35" t="s">
        <v>39</v>
      </c>
      <c r="D9" s="32" t="s">
        <v>108</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Q-P3.4</v>
      </c>
      <c r="C11" s="35" t="s">
        <v>42</v>
      </c>
      <c r="D11" s="32" t="s">
        <v>109</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CONCATENATE($B$2, ".", A12)</f>
        <v>Q-P3.5</v>
      </c>
      <c r="C12" s="35" t="s">
        <v>42</v>
      </c>
      <c r="D12" s="32" t="s">
        <v>110</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Q-P3.6</v>
      </c>
      <c r="C13" s="35" t="s">
        <v>42</v>
      </c>
      <c r="D13" s="32" t="s">
        <v>111</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81.75" customHeight="1" x14ac:dyDescent="0.45">
      <c r="A15" s="31">
        <v>6</v>
      </c>
      <c r="B15" s="31" t="str">
        <f t="shared" si="0"/>
        <v>Q-P3.6</v>
      </c>
      <c r="C15" s="35" t="s">
        <v>39</v>
      </c>
      <c r="D15" s="32" t="s">
        <v>56</v>
      </c>
      <c r="E15" s="32" t="s">
        <v>40</v>
      </c>
      <c r="F15" s="31" t="s">
        <v>55</v>
      </c>
      <c r="G15" s="31" t="s">
        <v>55</v>
      </c>
      <c r="H15" s="35" t="s">
        <v>55</v>
      </c>
      <c r="I15" s="32" t="s">
        <v>54</v>
      </c>
      <c r="J15" s="31" t="s">
        <v>55</v>
      </c>
      <c r="K15" s="31" t="s">
        <v>55</v>
      </c>
      <c r="L15" s="31" t="s">
        <v>55</v>
      </c>
      <c r="M15" s="31" t="s">
        <v>55</v>
      </c>
      <c r="N15" s="31" t="s">
        <v>55</v>
      </c>
      <c r="O15" s="29" t="s">
        <v>144</v>
      </c>
    </row>
    <row r="16" spans="1:16" ht="28.5" x14ac:dyDescent="0.45">
      <c r="A16" s="31">
        <v>7</v>
      </c>
      <c r="B16" s="31" t="str">
        <f t="shared" si="0"/>
        <v>Q-P3.7</v>
      </c>
      <c r="C16" s="35" t="s">
        <v>39</v>
      </c>
      <c r="D16" s="31" t="s">
        <v>57</v>
      </c>
      <c r="E16" s="32" t="s">
        <v>40</v>
      </c>
      <c r="F16" s="31" t="s">
        <v>55</v>
      </c>
      <c r="G16" s="31" t="s">
        <v>55</v>
      </c>
      <c r="H16" s="35" t="s">
        <v>55</v>
      </c>
      <c r="I16" s="32" t="s">
        <v>54</v>
      </c>
      <c r="J16" s="31" t="s">
        <v>55</v>
      </c>
      <c r="K16" s="31" t="s">
        <v>55</v>
      </c>
      <c r="L16" s="31" t="s">
        <v>55</v>
      </c>
      <c r="M16" s="31" t="s">
        <v>55</v>
      </c>
      <c r="N16" s="31" t="s">
        <v>55</v>
      </c>
      <c r="O16" s="31" t="s">
        <v>104</v>
      </c>
    </row>
    <row r="17" spans="1:15" ht="83.25" customHeight="1" x14ac:dyDescent="0.45">
      <c r="A17" s="31">
        <v>8</v>
      </c>
      <c r="B17" s="31" t="str">
        <f t="shared" si="0"/>
        <v>Q-P3.8</v>
      </c>
      <c r="C17" s="35" t="s">
        <v>39</v>
      </c>
      <c r="D17" s="31" t="s">
        <v>77</v>
      </c>
      <c r="E17" s="32" t="s">
        <v>40</v>
      </c>
      <c r="F17" s="31" t="s">
        <v>55</v>
      </c>
      <c r="G17" s="31" t="s">
        <v>55</v>
      </c>
      <c r="H17" s="35" t="s">
        <v>55</v>
      </c>
      <c r="I17" s="32" t="s">
        <v>54</v>
      </c>
      <c r="J17" s="31" t="s">
        <v>55</v>
      </c>
      <c r="K17" s="31" t="s">
        <v>55</v>
      </c>
      <c r="L17" s="31" t="s">
        <v>55</v>
      </c>
      <c r="M17" s="31" t="s">
        <v>55</v>
      </c>
      <c r="N17" s="31" t="s">
        <v>55</v>
      </c>
      <c r="O17" s="31" t="s">
        <v>145</v>
      </c>
    </row>
  </sheetData>
  <autoFilter ref="A6:P6" xr:uid="{00000000-0009-0000-0000-00000F000000}"/>
  <mergeCells count="2">
    <mergeCell ref="A10:E10"/>
    <mergeCell ref="A14:E14"/>
  </mergeCells>
  <conditionalFormatting sqref="C7:C9 C15:C1048576 C11 C13">
    <cfRule type="cellIs" dxfId="60" priority="15" operator="equal">
      <formula>"WIP (see comments)"</formula>
    </cfRule>
    <cfRule type="cellIs" dxfId="59" priority="16" operator="equal">
      <formula>"Removed"</formula>
    </cfRule>
    <cfRule type="cellIs" dxfId="58" priority="17" operator="equal">
      <formula>"Updated"</formula>
    </cfRule>
    <cfRule type="cellIs" dxfId="57" priority="18" operator="equal">
      <formula>"New"</formula>
    </cfRule>
  </conditionalFormatting>
  <conditionalFormatting sqref="D7:D9 D11 D13">
    <cfRule type="cellIs" dxfId="56" priority="14" operator="equal">
      <formula>"-"</formula>
    </cfRule>
  </conditionalFormatting>
  <conditionalFormatting sqref="P15:XFD15 A7:XFD9 A11:L11 A15:N15 N11:XFD11 B16:C17 E16:N17 A13:J13 N13:XFD13 K12:L13">
    <cfRule type="cellIs" dxfId="55" priority="13" operator="equal">
      <formula>"n/a"</formula>
    </cfRule>
  </conditionalFormatting>
  <conditionalFormatting sqref="O15">
    <cfRule type="cellIs" dxfId="54" priority="12" operator="equal">
      <formula>"n/a"</formula>
    </cfRule>
  </conditionalFormatting>
  <conditionalFormatting sqref="M11 M13">
    <cfRule type="cellIs" dxfId="53" priority="11" operator="equal">
      <formula>"n/a"</formula>
    </cfRule>
  </conditionalFormatting>
  <conditionalFormatting sqref="F10:XFD10">
    <cfRule type="cellIs" dxfId="52" priority="10" operator="equal">
      <formula>"n/a"</formula>
    </cfRule>
  </conditionalFormatting>
  <conditionalFormatting sqref="F14:XFD14 A14">
    <cfRule type="cellIs" dxfId="51" priority="9" operator="equal">
      <formula>"n/a"</formula>
    </cfRule>
  </conditionalFormatting>
  <conditionalFormatting sqref="C12">
    <cfRule type="cellIs" dxfId="50" priority="5" operator="equal">
      <formula>"WIP (see comments)"</formula>
    </cfRule>
    <cfRule type="cellIs" dxfId="49" priority="6" operator="equal">
      <formula>"Removed"</formula>
    </cfRule>
    <cfRule type="cellIs" dxfId="48" priority="7" operator="equal">
      <formula>"Updated"</formula>
    </cfRule>
    <cfRule type="cellIs" dxfId="47" priority="8" operator="equal">
      <formula>"New"</formula>
    </cfRule>
  </conditionalFormatting>
  <conditionalFormatting sqref="D12">
    <cfRule type="cellIs" dxfId="46" priority="4" operator="equal">
      <formula>"-"</formula>
    </cfRule>
  </conditionalFormatting>
  <conditionalFormatting sqref="A12:J12 N12:XFD12">
    <cfRule type="cellIs" dxfId="45" priority="3" operator="equal">
      <formula>"n/a"</formula>
    </cfRule>
  </conditionalFormatting>
  <conditionalFormatting sqref="M12">
    <cfRule type="cellIs" dxfId="44" priority="2" operator="equal">
      <formula>"n/a"</formula>
    </cfRule>
  </conditionalFormatting>
  <conditionalFormatting sqref="A10">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Values'!$B$5:$B$9</xm:f>
          </x14:formula1>
          <xm:sqref>C7:C9 C15:C1048576 C11:C13</xm:sqref>
        </x14:dataValidation>
        <x14:dataValidation type="list" allowBlank="1" showInputMessage="1" showErrorMessage="1" xr:uid="{00000000-0002-0000-0F00-000001000000}">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6"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139</v>
      </c>
      <c r="B1" s="27" t="s">
        <v>136</v>
      </c>
      <c r="C1" s="23"/>
      <c r="D1" s="20" t="s">
        <v>138</v>
      </c>
      <c r="F1" s="38"/>
      <c r="H1" s="25"/>
    </row>
    <row r="2" spans="1:16" s="21" customFormat="1" ht="18" x14ac:dyDescent="0.45">
      <c r="A2" s="19" t="s">
        <v>8</v>
      </c>
      <c r="B2" s="26" t="s">
        <v>137</v>
      </c>
      <c r="C2" s="25"/>
      <c r="D2" s="26"/>
      <c r="F2" s="38"/>
      <c r="H2" s="25"/>
    </row>
    <row r="3" spans="1:16" s="21" customFormat="1" ht="18" x14ac:dyDescent="0.45">
      <c r="A3" s="19" t="s">
        <v>41</v>
      </c>
      <c r="B3" s="26"/>
      <c r="C3" s="25"/>
      <c r="D3" s="26"/>
      <c r="F3" s="38"/>
      <c r="H3" s="25"/>
    </row>
    <row r="4" spans="1:16" s="21" customFormat="1" ht="18" x14ac:dyDescent="0.45">
      <c r="A4" s="19" t="s">
        <v>9</v>
      </c>
      <c r="B4" s="21" t="s">
        <v>141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ht="99.75" x14ac:dyDescent="0.45">
      <c r="A7" s="31">
        <v>1</v>
      </c>
      <c r="B7" s="31" t="str">
        <f>CONCATENATE($B$2, ".", A7)</f>
        <v>P3a.1</v>
      </c>
      <c r="C7" s="35" t="s">
        <v>42</v>
      </c>
      <c r="D7" s="39" t="s">
        <v>142</v>
      </c>
      <c r="E7" s="32" t="s">
        <v>32</v>
      </c>
      <c r="F7" s="31" t="s">
        <v>55</v>
      </c>
      <c r="G7" s="31" t="s">
        <v>55</v>
      </c>
      <c r="H7" s="35" t="s">
        <v>55</v>
      </c>
      <c r="I7" s="32" t="s">
        <v>54</v>
      </c>
      <c r="J7" s="31" t="s">
        <v>55</v>
      </c>
      <c r="K7" s="31" t="s">
        <v>55</v>
      </c>
      <c r="L7" s="31" t="s">
        <v>55</v>
      </c>
      <c r="M7" s="31" t="s">
        <v>55</v>
      </c>
      <c r="N7" s="31" t="s">
        <v>55</v>
      </c>
    </row>
    <row r="8" spans="1:16" ht="42.75" x14ac:dyDescent="0.45">
      <c r="A8" s="31">
        <v>2</v>
      </c>
      <c r="B8" s="31" t="str">
        <f>CONCATENATE($B$2, ".", A8)</f>
        <v>P3a.2</v>
      </c>
      <c r="C8" s="35" t="s">
        <v>39</v>
      </c>
      <c r="D8" s="32" t="s">
        <v>140</v>
      </c>
      <c r="E8" s="32" t="s">
        <v>40</v>
      </c>
      <c r="F8" s="31" t="s">
        <v>55</v>
      </c>
      <c r="G8" s="31" t="s">
        <v>55</v>
      </c>
      <c r="H8" s="35" t="s">
        <v>55</v>
      </c>
      <c r="I8" s="32" t="s">
        <v>54</v>
      </c>
      <c r="J8" s="31" t="s">
        <v>55</v>
      </c>
      <c r="K8" s="31" t="s">
        <v>55</v>
      </c>
      <c r="L8" s="31" t="s">
        <v>55</v>
      </c>
      <c r="M8" s="31" t="s">
        <v>55</v>
      </c>
      <c r="N8" s="31" t="s">
        <v>55</v>
      </c>
      <c r="O8" s="29" t="s">
        <v>143</v>
      </c>
    </row>
  </sheetData>
  <autoFilter ref="A6:P6" xr:uid="{00000000-0009-0000-0000-000010000000}"/>
  <conditionalFormatting sqref="C7:C1048576">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D7">
    <cfRule type="cellIs" dxfId="38" priority="14" operator="equal">
      <formula>"-"</formula>
    </cfRule>
  </conditionalFormatting>
  <conditionalFormatting sqref="P8:XFD8 A7:XFD7 A8:N8">
    <cfRule type="cellIs" dxfId="37" priority="13" operator="equal">
      <formula>"n/a"</formula>
    </cfRule>
  </conditionalFormatting>
  <conditionalFormatting sqref="O8">
    <cfRule type="cellIs" dxfId="36" priority="1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Values'!$B$5:$B$9</xm:f>
          </x14:formula1>
          <xm:sqref>C7 C8:C1048576</xm:sqref>
        </x14:dataValidation>
        <x14:dataValidation type="list" allowBlank="1" showInputMessage="1" showErrorMessage="1" xr:uid="{00000000-0002-0000-1000-000001000000}">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7"/>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112</v>
      </c>
      <c r="C1" s="23"/>
      <c r="D1" s="20" t="s">
        <v>98</v>
      </c>
      <c r="F1" s="38"/>
      <c r="H1" s="25"/>
    </row>
    <row r="2" spans="1:16" s="21" customFormat="1" ht="18" x14ac:dyDescent="0.45">
      <c r="A2" s="19" t="s">
        <v>8</v>
      </c>
      <c r="B2" s="26" t="s">
        <v>113</v>
      </c>
      <c r="C2" s="25"/>
      <c r="D2" s="26"/>
      <c r="F2" s="38"/>
      <c r="H2" s="25"/>
    </row>
    <row r="3" spans="1:16" s="21" customFormat="1" ht="18" x14ac:dyDescent="0.45">
      <c r="A3" s="19" t="s">
        <v>41</v>
      </c>
      <c r="B3" s="26"/>
      <c r="C3" s="25"/>
      <c r="D3" s="26"/>
      <c r="F3" s="38"/>
      <c r="H3" s="25"/>
    </row>
    <row r="4" spans="1:16" s="21" customFormat="1" ht="18" x14ac:dyDescent="0.45">
      <c r="A4" s="19" t="s">
        <v>9</v>
      </c>
      <c r="B4" s="21" t="s">
        <v>81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Q-P4.1</v>
      </c>
      <c r="C7" s="35" t="s">
        <v>39</v>
      </c>
      <c r="D7" s="31" t="s">
        <v>83</v>
      </c>
      <c r="E7" s="32" t="s">
        <v>49</v>
      </c>
      <c r="F7" s="31" t="s">
        <v>55</v>
      </c>
      <c r="G7" s="31" t="s">
        <v>55</v>
      </c>
      <c r="H7" s="35" t="s">
        <v>55</v>
      </c>
      <c r="I7" s="32" t="s">
        <v>54</v>
      </c>
      <c r="J7" s="31" t="s">
        <v>55</v>
      </c>
      <c r="K7" s="31" t="s">
        <v>55</v>
      </c>
      <c r="L7" s="31" t="s">
        <v>55</v>
      </c>
      <c r="M7" s="31" t="s">
        <v>55</v>
      </c>
      <c r="N7" s="31" t="s">
        <v>55</v>
      </c>
    </row>
    <row r="8" spans="1:16" ht="28.5" x14ac:dyDescent="0.45">
      <c r="A8" s="31">
        <v>2</v>
      </c>
      <c r="B8" s="31" t="str">
        <f t="shared" si="0"/>
        <v>Q-P4.2</v>
      </c>
      <c r="C8" s="35" t="s">
        <v>42</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ht="28.5" x14ac:dyDescent="0.45">
      <c r="A9" s="31">
        <v>3</v>
      </c>
      <c r="B9" s="31" t="str">
        <f t="shared" si="0"/>
        <v>Q-P4.3</v>
      </c>
      <c r="C9" s="35" t="s">
        <v>39</v>
      </c>
      <c r="D9" s="32" t="s">
        <v>162</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Q-P4.4</v>
      </c>
      <c r="C11" s="35" t="s">
        <v>42</v>
      </c>
      <c r="D11" s="32" t="s">
        <v>114</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Q-P4.5</v>
      </c>
      <c r="C12" s="35" t="s">
        <v>42</v>
      </c>
      <c r="D12" s="32" t="s">
        <v>116</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Q-P4.6</v>
      </c>
      <c r="C13" s="35" t="s">
        <v>42</v>
      </c>
      <c r="D13" s="32" t="s">
        <v>115</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Q-P4.6</v>
      </c>
      <c r="C15" s="35" t="s">
        <v>39</v>
      </c>
      <c r="D15" s="32" t="s">
        <v>56</v>
      </c>
      <c r="E15" s="32" t="s">
        <v>40</v>
      </c>
      <c r="F15" s="31" t="s">
        <v>55</v>
      </c>
      <c r="G15" s="31" t="s">
        <v>55</v>
      </c>
      <c r="H15" s="35" t="s">
        <v>55</v>
      </c>
      <c r="I15" s="32" t="s">
        <v>54</v>
      </c>
      <c r="J15" s="31" t="s">
        <v>55</v>
      </c>
      <c r="K15" s="31" t="s">
        <v>55</v>
      </c>
      <c r="L15" s="31" t="s">
        <v>55</v>
      </c>
      <c r="M15" s="31" t="s">
        <v>55</v>
      </c>
      <c r="N15" s="31" t="s">
        <v>55</v>
      </c>
      <c r="O15" s="29" t="s">
        <v>117</v>
      </c>
    </row>
    <row r="16" spans="1:16" ht="28.5" x14ac:dyDescent="0.45">
      <c r="A16" s="31">
        <v>7</v>
      </c>
      <c r="B16" s="31" t="str">
        <f t="shared" si="0"/>
        <v>Q-P4.7</v>
      </c>
      <c r="C16" s="35" t="s">
        <v>39</v>
      </c>
      <c r="D16" s="31" t="s">
        <v>57</v>
      </c>
      <c r="E16" s="32" t="s">
        <v>40</v>
      </c>
      <c r="F16" s="31" t="s">
        <v>55</v>
      </c>
      <c r="G16" s="31" t="s">
        <v>55</v>
      </c>
      <c r="H16" s="35" t="s">
        <v>55</v>
      </c>
      <c r="I16" s="32" t="s">
        <v>54</v>
      </c>
      <c r="J16" s="31" t="s">
        <v>55</v>
      </c>
      <c r="K16" s="31" t="s">
        <v>55</v>
      </c>
      <c r="L16" s="31" t="s">
        <v>55</v>
      </c>
      <c r="M16" s="31" t="s">
        <v>55</v>
      </c>
      <c r="N16" s="31" t="s">
        <v>55</v>
      </c>
      <c r="O16" s="31" t="s">
        <v>118</v>
      </c>
    </row>
    <row r="17" spans="1:15" ht="28.5" x14ac:dyDescent="0.45">
      <c r="A17" s="31">
        <v>8</v>
      </c>
      <c r="B17" s="31" t="str">
        <f t="shared" si="0"/>
        <v>Q-P4.8</v>
      </c>
      <c r="C17" s="35" t="s">
        <v>39</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11000000}"/>
  <mergeCells count="2">
    <mergeCell ref="A10:E10"/>
    <mergeCell ref="A14:E14"/>
  </mergeCells>
  <conditionalFormatting sqref="C7:C9 C15:C1048576 C11 C13">
    <cfRule type="cellIs" dxfId="35" priority="15" operator="equal">
      <formula>"WIP (see comments)"</formula>
    </cfRule>
    <cfRule type="cellIs" dxfId="34" priority="16" operator="equal">
      <formula>"Removed"</formula>
    </cfRule>
    <cfRule type="cellIs" dxfId="33" priority="17" operator="equal">
      <formula>"Updated"</formula>
    </cfRule>
    <cfRule type="cellIs" dxfId="32" priority="18" operator="equal">
      <formula>"New"</formula>
    </cfRule>
  </conditionalFormatting>
  <conditionalFormatting sqref="D7:D9 D11 D13">
    <cfRule type="cellIs" dxfId="31" priority="14" operator="equal">
      <formula>"-"</formula>
    </cfRule>
  </conditionalFormatting>
  <conditionalFormatting sqref="P15:XFD15 A7:XFD9 A11:L11 A15:N15 N11:XFD11 B16:C17 E16:N17 A13:J13 N13:XFD13 K12:L13">
    <cfRule type="cellIs" dxfId="30" priority="13" operator="equal">
      <formula>"n/a"</formula>
    </cfRule>
  </conditionalFormatting>
  <conditionalFormatting sqref="O15">
    <cfRule type="cellIs" dxfId="29" priority="12" operator="equal">
      <formula>"n/a"</formula>
    </cfRule>
  </conditionalFormatting>
  <conditionalFormatting sqref="M11 M13">
    <cfRule type="cellIs" dxfId="28" priority="11" operator="equal">
      <formula>"n/a"</formula>
    </cfRule>
  </conditionalFormatting>
  <conditionalFormatting sqref="F10:XFD10">
    <cfRule type="cellIs" dxfId="27" priority="10" operator="equal">
      <formula>"n/a"</formula>
    </cfRule>
  </conditionalFormatting>
  <conditionalFormatting sqref="F14:XFD14 A14">
    <cfRule type="cellIs" dxfId="26" priority="9" operator="equal">
      <formula>"n/a"</formula>
    </cfRule>
  </conditionalFormatting>
  <conditionalFormatting sqref="C12">
    <cfRule type="cellIs" dxfId="25" priority="5" operator="equal">
      <formula>"WIP (see comments)"</formula>
    </cfRule>
    <cfRule type="cellIs" dxfId="24" priority="6" operator="equal">
      <formula>"Removed"</formula>
    </cfRule>
    <cfRule type="cellIs" dxfId="23" priority="7" operator="equal">
      <formula>"Updated"</formula>
    </cfRule>
    <cfRule type="cellIs" dxfId="22" priority="8" operator="equal">
      <formula>"New"</formula>
    </cfRule>
  </conditionalFormatting>
  <conditionalFormatting sqref="D12">
    <cfRule type="cellIs" dxfId="21" priority="4" operator="equal">
      <formula>"-"</formula>
    </cfRule>
  </conditionalFormatting>
  <conditionalFormatting sqref="A12:J12 N12:XFD12">
    <cfRule type="cellIs" dxfId="20" priority="3" operator="equal">
      <formula>"n/a"</formula>
    </cfRule>
  </conditionalFormatting>
  <conditionalFormatting sqref="M12">
    <cfRule type="cellIs" dxfId="19" priority="2" operator="equal">
      <formula>"n/a"</formula>
    </cfRule>
  </conditionalFormatting>
  <conditionalFormatting sqref="A10">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Values'!$B$5:$B$9</xm:f>
          </x14:formula1>
          <xm:sqref>C7:C9 C15:C1048576 C11:C13</xm:sqref>
        </x14:dataValidation>
        <x14:dataValidation type="list" allowBlank="1" showInputMessage="1" showErrorMessage="1" xr:uid="{00000000-0002-0000-1100-000001000000}">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7"/>
  <sheetViews>
    <sheetView workbookViewId="0">
      <pane ySplit="6" topLeftCell="A7" activePane="bottomLeft" state="frozen"/>
      <selection pane="bottomLeft" activeCell="A5" sqref="A5"/>
    </sheetView>
  </sheetViews>
  <sheetFormatPr defaultColWidth="9.19921875" defaultRowHeight="14.25" x14ac:dyDescent="0.45"/>
  <cols>
    <col min="1" max="1" width="14.73046875" style="31" customWidth="1"/>
    <col min="2" max="2" width="12.53125" style="31" customWidth="1"/>
    <col min="3" max="3" width="13.53125" style="35" customWidth="1"/>
    <col min="4" max="4" width="45.19921875" style="31" customWidth="1"/>
    <col min="5" max="5" width="28.73046875" style="31" customWidth="1"/>
    <col min="6" max="6" width="19.46484375" style="31" customWidth="1"/>
    <col min="7" max="7" width="29.265625" style="31" customWidth="1"/>
    <col min="8" max="8" width="11.53125" style="35" bestFit="1" customWidth="1"/>
    <col min="9" max="9" width="34.796875" style="31" customWidth="1"/>
    <col min="10" max="10" width="28.19921875" style="31" customWidth="1"/>
    <col min="11" max="11" width="19" style="31" customWidth="1"/>
    <col min="12" max="12" width="23" style="31" customWidth="1"/>
    <col min="13" max="13" width="29" style="31" customWidth="1"/>
    <col min="14" max="14" width="18.73046875" style="31" bestFit="1" customWidth="1"/>
    <col min="15" max="15" width="48.46484375" style="31" customWidth="1"/>
    <col min="16" max="16" width="41.796875" style="31" customWidth="1"/>
    <col min="17" max="16384" width="9.19921875" style="31"/>
  </cols>
  <sheetData>
    <row r="1" spans="1:16" s="21" customFormat="1" ht="18" x14ac:dyDescent="0.45">
      <c r="A1" s="19" t="s">
        <v>7</v>
      </c>
      <c r="B1" s="27" t="s">
        <v>119</v>
      </c>
      <c r="C1" s="23"/>
      <c r="D1" s="20" t="s">
        <v>98</v>
      </c>
      <c r="F1" s="38"/>
      <c r="H1" s="25"/>
    </row>
    <row r="2" spans="1:16" s="21" customFormat="1" ht="18" x14ac:dyDescent="0.45">
      <c r="A2" s="19" t="s">
        <v>8</v>
      </c>
      <c r="B2" s="26" t="s">
        <v>120</v>
      </c>
      <c r="C2" s="25"/>
      <c r="D2" s="26"/>
      <c r="F2" s="38"/>
      <c r="H2" s="25"/>
    </row>
    <row r="3" spans="1:16" s="21" customFormat="1" ht="18" x14ac:dyDescent="0.45">
      <c r="A3" s="19" t="s">
        <v>41</v>
      </c>
      <c r="B3" s="26"/>
      <c r="C3" s="25"/>
      <c r="D3" s="26"/>
      <c r="F3" s="38"/>
      <c r="H3" s="25"/>
    </row>
    <row r="4" spans="1:16" s="21" customFormat="1" ht="18" x14ac:dyDescent="0.45">
      <c r="A4" s="19" t="s">
        <v>9</v>
      </c>
      <c r="B4" s="21" t="s">
        <v>81</v>
      </c>
      <c r="C4" s="25"/>
      <c r="F4" s="38"/>
      <c r="H4" s="25"/>
    </row>
    <row r="5" spans="1:16" s="33" customFormat="1" x14ac:dyDescent="0.45">
      <c r="C5" s="34"/>
      <c r="F5" s="31"/>
      <c r="H5" s="34"/>
    </row>
    <row r="6" spans="1:16" s="22" customFormat="1" ht="14.65" thickBot="1" x14ac:dyDescent="0.5">
      <c r="A6" s="22" t="s">
        <v>10</v>
      </c>
      <c r="B6" s="22" t="s">
        <v>11</v>
      </c>
      <c r="C6" s="24" t="s">
        <v>25</v>
      </c>
      <c r="D6" s="22" t="s">
        <v>24</v>
      </c>
      <c r="E6" s="22" t="s">
        <v>12</v>
      </c>
      <c r="F6" s="22" t="s">
        <v>13</v>
      </c>
      <c r="G6" s="22" t="s">
        <v>14</v>
      </c>
      <c r="H6" s="24" t="s">
        <v>15</v>
      </c>
      <c r="I6" s="22" t="s">
        <v>16</v>
      </c>
      <c r="J6" s="22" t="s">
        <v>17</v>
      </c>
      <c r="K6" s="22" t="s">
        <v>18</v>
      </c>
      <c r="L6" s="22" t="s">
        <v>19</v>
      </c>
      <c r="M6" s="22" t="s">
        <v>20</v>
      </c>
      <c r="N6" s="22" t="s">
        <v>21</v>
      </c>
      <c r="O6" s="22" t="s">
        <v>22</v>
      </c>
      <c r="P6" s="22" t="s">
        <v>23</v>
      </c>
    </row>
    <row r="7" spans="1:16" x14ac:dyDescent="0.45">
      <c r="A7" s="31">
        <v>1</v>
      </c>
      <c r="B7" s="31" t="str">
        <f t="shared" ref="B7:B17" si="0">CONCATENATE($B$2, ".", A7)</f>
        <v>Q-P5.1</v>
      </c>
      <c r="C7" s="35" t="s">
        <v>39</v>
      </c>
      <c r="D7" s="31" t="s">
        <v>83</v>
      </c>
      <c r="E7" s="32" t="s">
        <v>49</v>
      </c>
      <c r="F7" s="31" t="s">
        <v>55</v>
      </c>
      <c r="G7" s="31" t="s">
        <v>55</v>
      </c>
      <c r="H7" s="35" t="s">
        <v>55</v>
      </c>
      <c r="I7" s="32" t="s">
        <v>54</v>
      </c>
      <c r="J7" s="31" t="s">
        <v>55</v>
      </c>
      <c r="K7" s="31" t="s">
        <v>55</v>
      </c>
      <c r="L7" s="31" t="s">
        <v>55</v>
      </c>
      <c r="M7" s="31" t="s">
        <v>55</v>
      </c>
      <c r="N7" s="31" t="s">
        <v>55</v>
      </c>
    </row>
    <row r="8" spans="1:16" ht="28.5" x14ac:dyDescent="0.45">
      <c r="A8" s="31">
        <v>2</v>
      </c>
      <c r="B8" s="31" t="str">
        <f t="shared" si="0"/>
        <v>Q-P5.2</v>
      </c>
      <c r="C8" s="35" t="s">
        <v>42</v>
      </c>
      <c r="D8" s="32" t="s">
        <v>99</v>
      </c>
      <c r="E8" s="32" t="s">
        <v>48</v>
      </c>
      <c r="F8" s="31" t="s">
        <v>55</v>
      </c>
      <c r="G8" s="31" t="s">
        <v>55</v>
      </c>
      <c r="H8" s="35" t="s">
        <v>55</v>
      </c>
      <c r="I8" s="32" t="s">
        <v>54</v>
      </c>
      <c r="J8" s="31" t="s">
        <v>55</v>
      </c>
      <c r="K8" s="31" t="s">
        <v>55</v>
      </c>
      <c r="L8" s="31" t="s">
        <v>55</v>
      </c>
      <c r="M8" s="31" t="s">
        <v>55</v>
      </c>
      <c r="N8" s="31" t="s">
        <v>55</v>
      </c>
      <c r="O8" s="39" t="s">
        <v>95</v>
      </c>
      <c r="P8" s="31" t="s">
        <v>84</v>
      </c>
    </row>
    <row r="9" spans="1:16" x14ac:dyDescent="0.45">
      <c r="A9" s="31">
        <v>3</v>
      </c>
      <c r="B9" s="31" t="str">
        <f t="shared" si="0"/>
        <v>Q-P5.3</v>
      </c>
      <c r="C9" s="35" t="s">
        <v>39</v>
      </c>
      <c r="D9" s="32" t="s">
        <v>121</v>
      </c>
      <c r="E9" s="32" t="s">
        <v>27</v>
      </c>
      <c r="F9" s="31" t="s">
        <v>55</v>
      </c>
      <c r="G9" s="31" t="s">
        <v>55</v>
      </c>
      <c r="H9" s="35" t="s">
        <v>55</v>
      </c>
      <c r="I9" s="32" t="s">
        <v>54</v>
      </c>
      <c r="J9" s="31" t="s">
        <v>55</v>
      </c>
      <c r="K9" s="31" t="s">
        <v>55</v>
      </c>
      <c r="L9" s="31" t="s">
        <v>55</v>
      </c>
      <c r="M9" s="31" t="s">
        <v>55</v>
      </c>
      <c r="N9" s="31" t="s">
        <v>55</v>
      </c>
    </row>
    <row r="10" spans="1:16" s="30" customFormat="1" ht="15" customHeight="1" x14ac:dyDescent="0.45">
      <c r="A10" s="47" t="s">
        <v>127</v>
      </c>
      <c r="B10" s="47"/>
      <c r="C10" s="47"/>
      <c r="D10" s="47"/>
      <c r="E10" s="47"/>
    </row>
    <row r="11" spans="1:16" ht="28.5" x14ac:dyDescent="0.45">
      <c r="A11" s="31">
        <v>4</v>
      </c>
      <c r="B11" s="31" t="str">
        <f t="shared" si="0"/>
        <v>Q-P5.4</v>
      </c>
      <c r="C11" s="35" t="s">
        <v>42</v>
      </c>
      <c r="D11" s="32" t="s">
        <v>122</v>
      </c>
      <c r="E11" s="32" t="s">
        <v>87</v>
      </c>
      <c r="F11" s="31" t="s">
        <v>89</v>
      </c>
      <c r="G11" s="31" t="s">
        <v>55</v>
      </c>
      <c r="H11" s="35" t="s">
        <v>55</v>
      </c>
      <c r="I11" s="32" t="s">
        <v>54</v>
      </c>
      <c r="J11" s="31" t="s">
        <v>90</v>
      </c>
      <c r="K11" s="31" t="s">
        <v>73</v>
      </c>
      <c r="L11" s="31" t="s">
        <v>55</v>
      </c>
      <c r="M11" s="32" t="s">
        <v>55</v>
      </c>
      <c r="N11" s="31" t="s">
        <v>55</v>
      </c>
      <c r="O11" s="39" t="s">
        <v>95</v>
      </c>
      <c r="P11" s="31" t="s">
        <v>84</v>
      </c>
    </row>
    <row r="12" spans="1:16" ht="28.5" x14ac:dyDescent="0.45">
      <c r="A12" s="31">
        <v>5</v>
      </c>
      <c r="B12" s="31" t="str">
        <f t="shared" si="0"/>
        <v>Q-P5.5</v>
      </c>
      <c r="C12" s="35" t="s">
        <v>42</v>
      </c>
      <c r="D12" s="32" t="s">
        <v>123</v>
      </c>
      <c r="E12" s="32" t="s">
        <v>87</v>
      </c>
      <c r="F12" s="31" t="s">
        <v>89</v>
      </c>
      <c r="G12" s="31" t="s">
        <v>55</v>
      </c>
      <c r="H12" s="35" t="s">
        <v>55</v>
      </c>
      <c r="I12" s="32" t="s">
        <v>54</v>
      </c>
      <c r="J12" s="31" t="s">
        <v>90</v>
      </c>
      <c r="K12" s="31" t="s">
        <v>73</v>
      </c>
      <c r="L12" s="31" t="s">
        <v>55</v>
      </c>
      <c r="M12" s="32" t="s">
        <v>55</v>
      </c>
      <c r="N12" s="31" t="s">
        <v>55</v>
      </c>
      <c r="O12" s="39" t="s">
        <v>95</v>
      </c>
      <c r="P12" s="31" t="s">
        <v>84</v>
      </c>
    </row>
    <row r="13" spans="1:16" ht="28.5" x14ac:dyDescent="0.45">
      <c r="A13" s="31">
        <v>6</v>
      </c>
      <c r="B13" s="31" t="str">
        <f t="shared" si="0"/>
        <v>Q-P5.6</v>
      </c>
      <c r="C13" s="35" t="s">
        <v>42</v>
      </c>
      <c r="D13" s="32" t="s">
        <v>124</v>
      </c>
      <c r="E13" s="32" t="s">
        <v>87</v>
      </c>
      <c r="F13" s="31" t="s">
        <v>89</v>
      </c>
      <c r="G13" s="31" t="s">
        <v>55</v>
      </c>
      <c r="H13" s="35" t="s">
        <v>55</v>
      </c>
      <c r="I13" s="32" t="s">
        <v>54</v>
      </c>
      <c r="J13" s="31" t="s">
        <v>90</v>
      </c>
      <c r="K13" s="31" t="s">
        <v>73</v>
      </c>
      <c r="L13" s="31" t="s">
        <v>55</v>
      </c>
      <c r="M13" s="32" t="s">
        <v>55</v>
      </c>
      <c r="N13" s="31" t="s">
        <v>55</v>
      </c>
      <c r="O13" s="39" t="s">
        <v>95</v>
      </c>
      <c r="P13" s="31" t="s">
        <v>84</v>
      </c>
    </row>
    <row r="14" spans="1:16" s="30" customFormat="1" x14ac:dyDescent="0.45">
      <c r="A14" s="47"/>
      <c r="B14" s="47"/>
      <c r="C14" s="47"/>
      <c r="D14" s="47"/>
      <c r="E14" s="47"/>
    </row>
    <row r="15" spans="1:16" ht="28.5" x14ac:dyDescent="0.45">
      <c r="A15" s="31">
        <v>6</v>
      </c>
      <c r="B15" s="31" t="str">
        <f t="shared" si="0"/>
        <v>Q-P5.6</v>
      </c>
      <c r="C15" s="35" t="s">
        <v>39</v>
      </c>
      <c r="D15" s="32" t="s">
        <v>56</v>
      </c>
      <c r="E15" s="32" t="s">
        <v>40</v>
      </c>
      <c r="F15" s="31" t="s">
        <v>55</v>
      </c>
      <c r="G15" s="31" t="s">
        <v>55</v>
      </c>
      <c r="H15" s="35" t="s">
        <v>55</v>
      </c>
      <c r="I15" s="32" t="s">
        <v>54</v>
      </c>
      <c r="J15" s="31" t="s">
        <v>55</v>
      </c>
      <c r="K15" s="31" t="s">
        <v>55</v>
      </c>
      <c r="L15" s="31" t="s">
        <v>55</v>
      </c>
      <c r="M15" s="31" t="s">
        <v>55</v>
      </c>
      <c r="N15" s="31" t="s">
        <v>55</v>
      </c>
      <c r="O15" s="29" t="s">
        <v>125</v>
      </c>
    </row>
    <row r="16" spans="1:16" ht="28.5" x14ac:dyDescent="0.45">
      <c r="A16" s="31">
        <v>7</v>
      </c>
      <c r="B16" s="31" t="str">
        <f t="shared" si="0"/>
        <v>Q-P5.7</v>
      </c>
      <c r="C16" s="35" t="s">
        <v>39</v>
      </c>
      <c r="D16" s="31" t="s">
        <v>57</v>
      </c>
      <c r="E16" s="32" t="s">
        <v>40</v>
      </c>
      <c r="F16" s="31" t="s">
        <v>55</v>
      </c>
      <c r="G16" s="31" t="s">
        <v>55</v>
      </c>
      <c r="H16" s="35" t="s">
        <v>55</v>
      </c>
      <c r="I16" s="32" t="s">
        <v>54</v>
      </c>
      <c r="J16" s="31" t="s">
        <v>55</v>
      </c>
      <c r="K16" s="31" t="s">
        <v>55</v>
      </c>
      <c r="L16" s="31" t="s">
        <v>55</v>
      </c>
      <c r="M16" s="31" t="s">
        <v>55</v>
      </c>
      <c r="N16" s="31" t="s">
        <v>55</v>
      </c>
      <c r="O16" s="31" t="s">
        <v>126</v>
      </c>
    </row>
    <row r="17" spans="1:15" ht="28.5" x14ac:dyDescent="0.45">
      <c r="A17" s="31">
        <v>8</v>
      </c>
      <c r="B17" s="31" t="str">
        <f t="shared" si="0"/>
        <v>Q-P5.8</v>
      </c>
      <c r="C17" s="35" t="s">
        <v>39</v>
      </c>
      <c r="D17" s="31" t="s">
        <v>77</v>
      </c>
      <c r="E17" s="32" t="s">
        <v>40</v>
      </c>
      <c r="F17" s="31" t="s">
        <v>55</v>
      </c>
      <c r="G17" s="31" t="s">
        <v>55</v>
      </c>
      <c r="H17" s="35" t="s">
        <v>55</v>
      </c>
      <c r="I17" s="32" t="s">
        <v>54</v>
      </c>
      <c r="J17" s="31" t="s">
        <v>55</v>
      </c>
      <c r="K17" s="31" t="s">
        <v>55</v>
      </c>
      <c r="L17" s="31" t="s">
        <v>55</v>
      </c>
      <c r="M17" s="31" t="s">
        <v>55</v>
      </c>
      <c r="N17" s="31" t="s">
        <v>55</v>
      </c>
      <c r="O17" s="31" t="s">
        <v>79</v>
      </c>
    </row>
  </sheetData>
  <autoFilter ref="A6:P6" xr:uid="{00000000-0009-0000-0000-000012000000}"/>
  <mergeCells count="2">
    <mergeCell ref="A10:E10"/>
    <mergeCell ref="A14:E14"/>
  </mergeCells>
  <conditionalFormatting sqref="C7:C9 C15:C1048576 C11 C13">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D7:D9 D11 D13">
    <cfRule type="cellIs" dxfId="13" priority="14" operator="equal">
      <formula>"-"</formula>
    </cfRule>
  </conditionalFormatting>
  <conditionalFormatting sqref="P15:XFD15 A7:XFD9 A11:L11 A15:N15 N11:XFD11 B16:C17 E16:N17 A13:J13 N13:XFD13 K12:L13">
    <cfRule type="cellIs" dxfId="12" priority="13" operator="equal">
      <formula>"n/a"</formula>
    </cfRule>
  </conditionalFormatting>
  <conditionalFormatting sqref="O15">
    <cfRule type="cellIs" dxfId="11" priority="12" operator="equal">
      <formula>"n/a"</formula>
    </cfRule>
  </conditionalFormatting>
  <conditionalFormatting sqref="M11 M13">
    <cfRule type="cellIs" dxfId="10" priority="11" operator="equal">
      <formula>"n/a"</formula>
    </cfRule>
  </conditionalFormatting>
  <conditionalFormatting sqref="F10:XFD10">
    <cfRule type="cellIs" dxfId="9" priority="10" operator="equal">
      <formula>"n/a"</formula>
    </cfRule>
  </conditionalFormatting>
  <conditionalFormatting sqref="F14:XFD14 A14">
    <cfRule type="cellIs" dxfId="8" priority="9" operator="equal">
      <formula>"n/a"</formula>
    </cfRule>
  </conditionalFormatting>
  <conditionalFormatting sqref="C12">
    <cfRule type="cellIs" dxfId="7" priority="5" operator="equal">
      <formula>"WIP (see comments)"</formula>
    </cfRule>
    <cfRule type="cellIs" dxfId="6" priority="6" operator="equal">
      <formula>"Removed"</formula>
    </cfRule>
    <cfRule type="cellIs" dxfId="5" priority="7" operator="equal">
      <formula>"Updated"</formula>
    </cfRule>
    <cfRule type="cellIs" dxfId="4" priority="8" operator="equal">
      <formula>"New"</formula>
    </cfRule>
  </conditionalFormatting>
  <conditionalFormatting sqref="D12">
    <cfRule type="cellIs" dxfId="3" priority="4" operator="equal">
      <formula>"-"</formula>
    </cfRule>
  </conditionalFormatting>
  <conditionalFormatting sqref="A12:J12 N12:XFD12">
    <cfRule type="cellIs" dxfId="2" priority="3" operator="equal">
      <formula>"n/a"</formula>
    </cfRule>
  </conditionalFormatting>
  <conditionalFormatting sqref="M12">
    <cfRule type="cellIs" dxfId="1" priority="2" operator="equal">
      <formula>"n/a"</formula>
    </cfRule>
  </conditionalFormatting>
  <conditionalFormatting sqref="A10">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Values'!$B$5:$B$9</xm:f>
          </x14:formula1>
          <xm:sqref>C7:C9 C15:C1048576 C11:C13</xm:sqref>
        </x14:dataValidation>
        <x14:dataValidation type="list" allowBlank="1" showInputMessage="1" showErrorMessage="1" xr:uid="{00000000-0002-0000-1200-000001000000}">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539B73-CC39-41A1-AAD6-9905A1C161B3}"/>
</file>

<file path=customXml/itemProps2.xml><?xml version="1.0" encoding="utf-8"?>
<ds:datastoreItem xmlns:ds="http://schemas.openxmlformats.org/officeDocument/2006/customXml" ds:itemID="{F80C8B34-1812-4E41-8E45-3DB43F1D8EE4}">
  <ds:schemaRefs>
    <ds:schemaRef ds:uri="http://purl.org/dc/elements/1.1/"/>
    <ds:schemaRef ds:uri="http://schemas.microsoft.com/office/2006/documentManagement/types"/>
    <ds:schemaRef ds:uri="http://purl.org/dc/dcmitype/"/>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http://schemas.microsoft.com/sharepoint/v4"/>
  </ds:schemaRefs>
</ds:datastoreItem>
</file>

<file path=customXml/itemProps3.xml><?xml version="1.0" encoding="utf-8"?>
<ds:datastoreItem xmlns:ds="http://schemas.openxmlformats.org/officeDocument/2006/customXml" ds:itemID="{FFB6E4AD-A385-4DDC-8392-81725E56A02E}">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DEPRECATED Welcome-Business</vt:lpstr>
      <vt:lpstr>OOS Question SB1</vt:lpstr>
      <vt:lpstr>OOS Question SB2</vt:lpstr>
      <vt:lpstr>2. Account Selection</vt:lpstr>
      <vt:lpstr>DEPRECATED Account Details</vt:lpstr>
      <vt:lpstr>OOS Question SB3</vt:lpstr>
      <vt:lpstr>OOS Question SB4</vt:lpstr>
      <vt:lpstr>3. Service Selection</vt:lpstr>
      <vt:lpstr>DEPRECATED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2021-09-28T22:12:21Z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