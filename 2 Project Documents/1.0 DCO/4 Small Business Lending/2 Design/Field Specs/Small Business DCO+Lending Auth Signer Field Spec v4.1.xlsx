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 Id="rId5" Type="http://schemas.microsoft.com/office/2020/02/relationships/classificationlabels" Target="docMetadata/LabelInfo.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720"/>
  <workbookPr filterPrivacy="1"/>
  <xr:revisionPtr revIDLastSave="0" documentId="13_ncr:1_{1A465E2D-4B38-46B0-8892-5EE09D784224}" xr6:coauthVersionLast="47" xr6:coauthVersionMax="47" xr10:uidLastSave="{00000000-0000-0000-0000-000000000000}"/>
  <bookViews>
    <workbookView xWindow="40920" yWindow="-120" windowWidth="38640" windowHeight="15840" tabRatio="901" xr2:uid="{00000000-000D-0000-FFFF-FFFF00000000}"/>
  </bookViews>
  <sheets>
    <sheet name="Revision Control" sheetId="1" r:id="rId1"/>
    <sheet name="List Values" sheetId="3" r:id="rId2"/>
    <sheet name="1. Entry Page" sheetId="41" r:id="rId3"/>
    <sheet name="2. Landing Page" sheetId="2" r:id="rId4"/>
    <sheet name="3. Existing Cust. Check" sheetId="42" r:id="rId5"/>
    <sheet name="DEPRECATED Okta login" sheetId="45" state="hidden" r:id="rId6"/>
    <sheet name="4. Contact Info" sheetId="5" r:id="rId7"/>
    <sheet name="4a. Mobile Verify" sheetId="35" r:id="rId8"/>
    <sheet name="5. Qualifying Questions" sheetId="9" r:id="rId9"/>
    <sheet name="6. IDScan" sheetId="11" r:id="rId10"/>
    <sheet name="7. Name &amp; Address" sheetId="12" r:id="rId11"/>
    <sheet name="DEPRECATED Address" sheetId="13" state="hidden" r:id="rId12"/>
    <sheet name="8. Birthday, SIN &amp; Occ." sheetId="14" r:id="rId13"/>
    <sheet name="9. Security Question" sheetId="43" r:id="rId14"/>
    <sheet name="10. eConsent " sheetId="48" r:id="rId15"/>
    <sheet name="10a. Lending Declined" sheetId="46" r:id="rId16"/>
    <sheet name="11. Alternate IDV" sheetId="29" r:id="rId17"/>
    <sheet name="12. Flinks" sheetId="31" r:id="rId18"/>
    <sheet name="13. Manual IDV" sheetId="36" r:id="rId19"/>
    <sheet name="14. Lending Disclosure" sheetId="47" state="hidden" r:id="rId20"/>
    <sheet name="DEPRECATED Dynamic Disclosures" sheetId="17" state="hidden" r:id="rId21"/>
    <sheet name="DEPRECATED Account Options" sheetId="18" state="hidden" r:id="rId22"/>
    <sheet name="A. Generic Error" sheetId="22" r:id="rId23"/>
    <sheet name="DEPRECATED Manual Review" sheetId="23" r:id="rId24"/>
    <sheet name="DEPRECATED Decline" sheetId="24" r:id="rId25"/>
    <sheet name="D. Cancel" sheetId="26" r:id="rId26"/>
    <sheet name="E. Save" sheetId="27" r:id="rId27"/>
    <sheet name="F. Resume" sheetId="28" r:id="rId28"/>
    <sheet name="G. Time Out" sheetId="33" r:id="rId29"/>
    <sheet name="H. Progress" sheetId="34" r:id="rId30"/>
    <sheet name="I. Previously Submitted" sheetId="37" r:id="rId31"/>
    <sheet name="J. Submission Complete" sheetId="44" r:id="rId32"/>
  </sheets>
  <externalReferences>
    <externalReference r:id="rId33"/>
    <externalReference r:id="rId34"/>
    <externalReference r:id="rId35"/>
  </externalReferences>
  <definedNames>
    <definedName name="_xlnm._FilterDatabase" localSheetId="2" hidden="1">'1. Entry Page'!$A$6:$P$6</definedName>
    <definedName name="_xlnm._FilterDatabase" localSheetId="14" hidden="1">'10. eConsent '!$A$6:$P$22</definedName>
    <definedName name="_xlnm._FilterDatabase" localSheetId="19" hidden="1">'14. Lending Disclosure'!$A$6:$P$6</definedName>
    <definedName name="_xlnm._FilterDatabase" localSheetId="7" hidden="1">'4a. Mobile Verify'!$A$6:$P$6</definedName>
    <definedName name="_xlnm._FilterDatabase" localSheetId="12" hidden="1">'8. Birthday, SIN &amp; Occ.'!$A$6:$P$13</definedName>
    <definedName name="_xlnm._FilterDatabase" localSheetId="13" hidden="1">'9. Security Question'!$A$6:$P$6</definedName>
    <definedName name="_xlnm._FilterDatabase" localSheetId="22" hidden="1">'A. Generic Error'!$A$6:$P$9</definedName>
    <definedName name="_xlnm._FilterDatabase" localSheetId="25" hidden="1">'D. Cancel'!$A$6:$P$9</definedName>
    <definedName name="_xlnm._FilterDatabase" localSheetId="21" hidden="1">'DEPRECATED Account Options'!$A$6:$P$13</definedName>
    <definedName name="_xlnm._FilterDatabase" localSheetId="24" hidden="1">'DEPRECATED Decline'!$A$6:$P$9</definedName>
    <definedName name="_xlnm._FilterDatabase" localSheetId="20" hidden="1">'DEPRECATED Dynamic Disclosures'!$A$6:$P$6</definedName>
    <definedName name="_xlnm._FilterDatabase" localSheetId="23" hidden="1">'DEPRECATED Manual Review'!$A$6:$P$9</definedName>
    <definedName name="_xlnm._FilterDatabase" localSheetId="26" hidden="1">'E. Save'!$A$6:$P$9</definedName>
    <definedName name="_xlnm._FilterDatabase" localSheetId="27" hidden="1">'F. Resume'!$A$6:$P$6</definedName>
    <definedName name="_xlnm._FilterDatabase" localSheetId="28" hidden="1">'G. Time Out'!$A$6:$P$6</definedName>
    <definedName name="_xlnm._FilterDatabase" localSheetId="29" hidden="1">'H. Progress'!$A$6:$P$6</definedName>
    <definedName name="_xlnm._FilterDatabase" localSheetId="30" hidden="1">'I. Previously Submitted'!$A$6:$P$6</definedName>
    <definedName name="_xlnm._FilterDatabase" localSheetId="31" hidden="1">'J. Submission Complete'!$A$6:$P$6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0" i="44" l="1"/>
  <c r="B15" i="46"/>
  <c r="B14" i="46"/>
  <c r="B12" i="46"/>
  <c r="B13" i="46"/>
  <c r="B11" i="46"/>
  <c r="B10" i="46"/>
  <c r="B9" i="46"/>
  <c r="B8" i="46"/>
  <c r="B7" i="46"/>
  <c r="B40" i="46"/>
  <c r="B39" i="46"/>
  <c r="B38" i="46"/>
  <c r="B11" i="42"/>
  <c r="B10" i="42"/>
  <c r="B9" i="42"/>
  <c r="B8" i="42"/>
  <c r="B7" i="42"/>
  <c r="B24" i="48"/>
  <c r="B23" i="48"/>
  <c r="B22" i="48"/>
  <c r="B21" i="48"/>
  <c r="B20" i="48"/>
  <c r="B19" i="48"/>
  <c r="B18" i="48"/>
  <c r="B17" i="48"/>
  <c r="B16" i="48"/>
  <c r="B15" i="48"/>
  <c r="B14" i="48"/>
  <c r="B13" i="48"/>
  <c r="B12" i="48"/>
  <c r="B11" i="48"/>
  <c r="B10" i="48"/>
  <c r="B9" i="48"/>
  <c r="B8" i="48"/>
  <c r="B7" i="48"/>
  <c r="B21" i="2" l="1"/>
  <c r="B11" i="2"/>
  <c r="B15" i="29" l="1"/>
  <c r="B14" i="29"/>
  <c r="B20" i="2" l="1"/>
  <c r="B16" i="2"/>
  <c r="B9" i="31" l="1"/>
  <c r="B10" i="47" l="1"/>
  <c r="B9" i="47"/>
  <c r="B8" i="47"/>
  <c r="B7" i="47"/>
  <c r="B12" i="43" l="1"/>
  <c r="B13" i="43"/>
  <c r="B12" i="45"/>
  <c r="B11" i="45" l="1"/>
  <c r="B10" i="45"/>
  <c r="B9" i="45"/>
  <c r="B8" i="45"/>
  <c r="B7" i="45"/>
  <c r="B8" i="2" l="1"/>
  <c r="B7" i="44" l="1"/>
  <c r="B8" i="44"/>
  <c r="B12" i="44"/>
  <c r="B11" i="44"/>
  <c r="B9" i="44"/>
  <c r="B11" i="43"/>
  <c r="B10" i="43"/>
  <c r="B9" i="43"/>
  <c r="B8" i="43"/>
  <c r="B7" i="43"/>
  <c r="B11" i="17"/>
  <c r="B10" i="17"/>
  <c r="B12" i="17"/>
  <c r="B9" i="2"/>
  <c r="B7" i="22"/>
  <c r="B8" i="22"/>
  <c r="B9" i="22"/>
  <c r="B10" i="22"/>
  <c r="B14" i="2"/>
  <c r="B25" i="2"/>
  <c r="B26" i="2"/>
  <c r="B13" i="2"/>
  <c r="B23" i="2"/>
  <c r="B22" i="2"/>
  <c r="B15" i="9"/>
  <c r="B16" i="9"/>
  <c r="B17" i="9"/>
  <c r="B14" i="9"/>
  <c r="B11" i="12"/>
  <c r="B40" i="12"/>
  <c r="B39" i="12"/>
  <c r="B37" i="12"/>
  <c r="B36" i="12"/>
  <c r="B35" i="12"/>
  <c r="B34" i="12"/>
  <c r="B33" i="12"/>
  <c r="B32" i="12"/>
  <c r="B31" i="12"/>
  <c r="B30" i="12"/>
  <c r="B28" i="12"/>
  <c r="B27" i="12"/>
  <c r="B26" i="12"/>
  <c r="B25" i="12"/>
  <c r="B24" i="12"/>
  <c r="B23" i="12"/>
  <c r="B22" i="12"/>
  <c r="B21" i="12"/>
  <c r="B19" i="12"/>
  <c r="B18" i="12"/>
  <c r="B17" i="12"/>
  <c r="B16" i="12"/>
  <c r="B15" i="12"/>
  <c r="B14" i="12"/>
  <c r="B13" i="12"/>
  <c r="B12" i="5"/>
  <c r="B13" i="5"/>
  <c r="B10" i="13"/>
  <c r="B18" i="2"/>
  <c r="B17" i="2"/>
  <c r="B12" i="31"/>
  <c r="B11" i="31"/>
  <c r="B10" i="37"/>
  <c r="B9" i="37"/>
  <c r="B8" i="37"/>
  <c r="B7" i="37"/>
  <c r="B7" i="36"/>
  <c r="B8" i="36"/>
  <c r="B10" i="18"/>
  <c r="B9" i="18"/>
  <c r="B11" i="14"/>
  <c r="B12" i="29"/>
  <c r="B9" i="36"/>
  <c r="B9" i="29"/>
  <c r="B13" i="29"/>
  <c r="B11" i="29"/>
  <c r="B10" i="29"/>
  <c r="B8" i="29"/>
  <c r="B7" i="29"/>
  <c r="B13" i="11"/>
  <c r="B12" i="11"/>
  <c r="B7" i="34"/>
  <c r="B10" i="33"/>
  <c r="B8" i="33"/>
  <c r="B9" i="33"/>
  <c r="B7" i="33"/>
  <c r="B10" i="31"/>
  <c r="B11" i="28"/>
  <c r="B10" i="28"/>
  <c r="B9" i="28"/>
  <c r="B8" i="28"/>
  <c r="B7" i="28"/>
  <c r="B9" i="17"/>
  <c r="B8" i="17"/>
  <c r="B7" i="17"/>
  <c r="B10" i="5"/>
  <c r="B8" i="31"/>
  <c r="B7" i="31"/>
  <c r="B15" i="11"/>
  <c r="B14" i="11"/>
  <c r="B11" i="11"/>
  <c r="B10" i="11"/>
  <c r="B9" i="11"/>
  <c r="B8" i="11"/>
  <c r="B7" i="11"/>
  <c r="B26" i="13"/>
  <c r="B25" i="13"/>
  <c r="B10" i="27"/>
  <c r="B7" i="27"/>
  <c r="B9" i="27"/>
  <c r="B8" i="27"/>
  <c r="B7" i="26"/>
  <c r="B9" i="26"/>
  <c r="B8" i="26"/>
  <c r="B10" i="24"/>
  <c r="B7" i="24"/>
  <c r="B9" i="24"/>
  <c r="B8" i="24"/>
  <c r="B7" i="23"/>
  <c r="B9" i="23"/>
  <c r="B8" i="23"/>
  <c r="B12" i="9"/>
  <c r="B11" i="9"/>
  <c r="B10" i="9"/>
  <c r="B9" i="9"/>
  <c r="B11" i="18"/>
  <c r="B13" i="18"/>
  <c r="B12" i="18"/>
  <c r="B8" i="18"/>
  <c r="B7" i="18"/>
  <c r="B12" i="14"/>
  <c r="B13" i="14"/>
  <c r="B10" i="14"/>
  <c r="B9" i="14"/>
  <c r="B8" i="14"/>
  <c r="B7" i="14"/>
  <c r="B35" i="13"/>
  <c r="B34" i="13"/>
  <c r="B33" i="13"/>
  <c r="B32" i="13"/>
  <c r="B31" i="13"/>
  <c r="B30" i="13"/>
  <c r="B29" i="13"/>
  <c r="B28" i="13"/>
  <c r="B24" i="13"/>
  <c r="B23" i="13"/>
  <c r="B22" i="13"/>
  <c r="B21" i="13"/>
  <c r="B20" i="13"/>
  <c r="B19" i="13"/>
  <c r="B17" i="13"/>
  <c r="B16" i="13"/>
  <c r="B15" i="13"/>
  <c r="B14" i="13"/>
  <c r="B13" i="13"/>
  <c r="B12" i="13"/>
  <c r="B37" i="13"/>
  <c r="B38" i="13"/>
  <c r="B11" i="13"/>
  <c r="B8" i="13"/>
  <c r="B7" i="13"/>
  <c r="B10" i="12"/>
  <c r="B9" i="12"/>
  <c r="B8" i="12"/>
  <c r="B7" i="12"/>
  <c r="B7" i="9"/>
  <c r="B8" i="9"/>
  <c r="B11" i="5"/>
  <c r="B9" i="5"/>
  <c r="B8" i="5"/>
  <c r="B7" i="5"/>
  <c r="B29" i="2"/>
  <c r="B10" i="2"/>
  <c r="B27" i="2"/>
  <c r="B28" i="2"/>
  <c r="B7" i="2"/>
</calcChain>
</file>

<file path=xl/sharedStrings.xml><?xml version="1.0" encoding="utf-8"?>
<sst xmlns="http://schemas.openxmlformats.org/spreadsheetml/2006/main" count="3464" uniqueCount="605">
  <si>
    <t>Small Business Digital Client Onboarding (DCO) - Authorized Signer Form</t>
  </si>
  <si>
    <t>Field Specification - Revision Control Form</t>
  </si>
  <si>
    <t>Document Version</t>
  </si>
  <si>
    <t>Revision Date</t>
  </si>
  <si>
    <t>Change Summary</t>
  </si>
  <si>
    <t>Updated by</t>
  </si>
  <si>
    <t>Approved by</t>
  </si>
  <si>
    <t>0.1</t>
  </si>
  <si>
    <t>Cloned for use with Small Business DCO</t>
  </si>
  <si>
    <t>Ian Hicks</t>
  </si>
  <si>
    <t>1.0 WIP</t>
  </si>
  <si>
    <t>Initial review of reusable pages from personal (co-app):
1. Entry page
6. ID Scan
9. Birthday &amp; SIN</t>
  </si>
  <si>
    <t>Christina Mullin</t>
  </si>
  <si>
    <t>1.1 WIP</t>
  </si>
  <si>
    <t>Additional reusable pages identified from personal (co-app):
4. Contact Info
4a. Mobile Verify
7. Name &amp; Address (combined page, based on separate personal name and address pages)
Renumbered Birthday &amp; SIN page to (8) due to deprecated address page.</t>
  </si>
  <si>
    <t>1.2 WIP</t>
  </si>
  <si>
    <t>Additional reusable pages identified from personal (co-app):
5. Qualifying Questions
10. eConsent
11. Alternate IDV
12. Flinks
13. Manual IDV</t>
  </si>
  <si>
    <t>1.3 WIP</t>
  </si>
  <si>
    <t>Additional reusable pages identified from personal (co-app):
A. Generic Error
B. Manual Review
C. Decline
D. Cancel
E. Save
F. Resume
G. Time Out
H. Progress
Pages reviewed/updated for verbiage by Connie S.
1. Entry Page
4. Contact Info
4a. Mobile Verify
6. IDScan
7. Name &amp; Address
8. Birthday, SIN &amp; Occupation</t>
  </si>
  <si>
    <t>1.4 WIP</t>
  </si>
  <si>
    <t>Updates for development in Sprint 6:
3. Existing Customer Check</t>
  </si>
  <si>
    <t>1.5 WIP</t>
  </si>
  <si>
    <t>Updates for Sprint 8 and later:
- CWBSB-481 (tab 9) new page for Security Question (consistent with similar page in main SB DCO form).
- CWBSB-486 added debit card question to 10. eConsent page (CWBSB-72), consistent with main SB DCO form.
- Updated 7. Name &amp; Address (CWBSB-64) name fields to include all allowable characters for consistency.
- Reinstated C. Decline (CWBSB-237) and D. Cancel (CWBSB-238) pages as these (standard) pages will be required based on confirmed decision logic.
- Deprecated Dynamic Disclosures (confirmed with legal there are no T&amp;C/disclosures required for Auth Signers, other than debit card which is in the eConsent page).
- Added J. Submission Complete modal page (CWBSB-522) as termination page for end of Auth Signer flow</t>
  </si>
  <si>
    <t>1.6 WIP</t>
  </si>
  <si>
    <r>
      <t xml:space="preserve">2. Landing page updated to clarify treatment for auth signer names (bug CWBSB-568)
Updated field types to include "Step name" (above Progress Bar) following navigation decision, with updated wording as reviewed by Connie and DCO/UX teams.
Updated all wording per Connie's review.
Linked verbiage update stories for modal pages used across both main and Auth Signer forms (A. Generic Error, D. Cancel, E. Save, F. Resume, I. Previously Submitted, J. Submission Complete).
Deprecated C. Manual Review as no decisioning to generate this page in Auth Signer form.
</t>
    </r>
    <r>
      <rPr>
        <b/>
        <sz val="10"/>
        <color theme="1"/>
        <rFont val="Calibri"/>
        <family val="2"/>
        <scheme val="minor"/>
      </rPr>
      <t>Note:</t>
    </r>
    <r>
      <rPr>
        <sz val="10"/>
        <color theme="1"/>
        <rFont val="Calibri"/>
        <family val="2"/>
        <scheme val="minor"/>
      </rPr>
      <t xml:space="preserve"> all pages complete in this version except 3. Existing Customer Check, 5. Qualifying Questions, 10. eConsent, 13. Manual IDV</t>
    </r>
  </si>
  <si>
    <t>1.7 WIP</t>
  </si>
  <si>
    <t>2. Landing page updated to include quantity on selected accounts section (bug CWBSB-669).
7. Name &amp; address - corrected spec to remove extra "what's your address" heading, left in error (bug CWBSB-725).
Updated 1. Entry Page and 4a. Mobile Verify to refer to tab F. Resume, as these pages use the standard "Resume" modal.
Added 3a. Okta Login for new page where Okta widget will be exposed via iFrame, for self-identified existing clients to log in/authenticate.
Note: yellow tabs denote pages with future content updates needed (e.g. hyperlinks, contact numbers) that may be unknown at present.</t>
  </si>
  <si>
    <t>2.0
(+Lending)</t>
  </si>
  <si>
    <t>Initial version to include added Small Business Lending scope:
10. eConsent (include consent for 'hard' credit check, lending agreement, updated navigation logic)
10a. Lending Declined (net new page)
Text/verbiage updates throughout, following full team review and alignment with main applicant form.
11. Alternate IDV - added modal to prevent back navigation (also in new Lending Declined page) - see CWBSB-934.
Added URL for linked form to 10. eConsent (Business Debit Card &amp; PIN Agreement).
Updated J. Submission Complete with wording to advise email will follow re: online banking access.
12. Flinks - added paragraph to align with new Flinks guidance from Privacy on Motive/Personal DCO.
Deprecated C. Decline page as all decisioning (apart from lending) is in the main SB form.
Deprecated 3a. Okta Login - no JM page is required for this function, as solution will redirect to Okta then return to JM after login.
Note: yellow tabs denote 'in progress' pages with updates pending.</t>
  </si>
  <si>
    <t>Ian Hicks
Lorraine McLeod
Candyse Watkinson
Connie Smart
Sandra Murillo Paz
Kelvin Fernando</t>
  </si>
  <si>
    <t>Christina Mullin
Stacy Schmidt</t>
  </si>
  <si>
    <t>2.1</t>
  </si>
  <si>
    <t>Modified 4. Contact Info as email address cannot be edited in Auth Signer form (JM limitation - bug CWBSB-1011, page update story CWBSB-1022).
Updated lending agreement verbiage in 10. eConsent for consistency with main applicant form.</t>
  </si>
  <si>
    <t>2.2</t>
  </si>
  <si>
    <t>Updated text content in 10a. Lending Declined following Sprint 16 demo.</t>
  </si>
  <si>
    <t>2.3</t>
  </si>
  <si>
    <r>
      <t xml:space="preserve">Updated business rules for 'Back' button in 4. Contact Info due to technical limitation (CWBSB-985).
Final copy updates in 3. Existing Customer Check, J. Submission Complete
Updated 10. eConsent to reflect agreed solution for auth signers (incl. rate/amount and acknowledgment of LOC conditions).
Added URL for digital lending agreement to 10. eConsent.
</t>
    </r>
    <r>
      <rPr>
        <b/>
        <sz val="10"/>
        <color theme="1"/>
        <rFont val="Calibri"/>
        <family val="2"/>
        <scheme val="minor"/>
      </rPr>
      <t>UX/DBX consistency updates:</t>
    </r>
    <r>
      <rPr>
        <sz val="10"/>
        <color theme="1"/>
        <rFont val="Calibri"/>
        <family val="2"/>
        <scheme val="minor"/>
      </rPr>
      <t xml:space="preserve">
(1) Modified references to "digital banking" to use sentence case in
2. Landing Page
(2) Replaced references to "sign into" with "log into" in
11. Alternate IDV</t>
    </r>
  </si>
  <si>
    <t>Stacy Schmidt</t>
  </si>
  <si>
    <t>4.0</t>
  </si>
  <si>
    <t>Corrected typo in page 10. eConsent (defect CWBSB-1305)
New major version (4.0 to match main/applicant spec) for existing clients/add products (authenticated path). Note updates apply only if existing client is adding a line of credit.
2. Landing Page
3. Existing Customer Check (TBC)
10. eConsent
10a. Lending Declined
J. Submission Complete (modal)</t>
  </si>
  <si>
    <t>Ian Hicks
Candyse Watkinson
Kelvin Fernando</t>
  </si>
  <si>
    <t>4.1</t>
  </si>
  <si>
    <t>Further updates made to the following pages
2. Landing Page- Updated business rules and added new line for LOC
3. Existing Customer Check - Wording update to make it consistent with the main applicant spec 
10. eConsent - Updated business rules verbiage.
10a. Lending Declined - Updated the fields and added 'exit' button.
J. Submission Complete (modal) - updated to display to new-to-bank only</t>
  </si>
  <si>
    <t>Manny Ine</t>
  </si>
  <si>
    <t>Small Business Digital Client Onboarding (DCO)</t>
  </si>
  <si>
    <t>Field Specification - List Values</t>
  </si>
  <si>
    <t>Field Type</t>
  </si>
  <si>
    <t>Field Status</t>
  </si>
  <si>
    <t>Button</t>
  </si>
  <si>
    <t>New</t>
  </si>
  <si>
    <t>Checkbox</t>
  </si>
  <si>
    <t>No Change</t>
  </si>
  <si>
    <t>Checkbox Group</t>
  </si>
  <si>
    <t>Removed</t>
  </si>
  <si>
    <t>Confirmation Message (modal)</t>
  </si>
  <si>
    <t>Updated</t>
  </si>
  <si>
    <t>Date Picker</t>
  </si>
  <si>
    <t>WIP (see comments)</t>
  </si>
  <si>
    <t>Drop-down list</t>
  </si>
  <si>
    <t>Dynamic text</t>
  </si>
  <si>
    <t>Flinks IDV Widget</t>
  </si>
  <si>
    <t>Google reCAPTCHA</t>
  </si>
  <si>
    <t>ID Scan Control</t>
  </si>
  <si>
    <t>Image</t>
  </si>
  <si>
    <t>Progress Bar</t>
  </si>
  <si>
    <t>Step name (above progress bar)</t>
  </si>
  <si>
    <t>Percentage complete value (progress bar)</t>
  </si>
  <si>
    <t>Radio button group</t>
  </si>
  <si>
    <t>Section (footer)</t>
  </si>
  <si>
    <t>Section (heading)</t>
  </si>
  <si>
    <t>Section (sub-heading)</t>
  </si>
  <si>
    <t>Static text with hyperlink</t>
  </si>
  <si>
    <t>Static text</t>
  </si>
  <si>
    <t>Static text with parameter(s)</t>
  </si>
  <si>
    <t>Text field</t>
  </si>
  <si>
    <t>Text field (masked input)</t>
  </si>
  <si>
    <t>Text field (with suggestions)</t>
  </si>
  <si>
    <t>Timer</t>
  </si>
  <si>
    <t>Page Name</t>
  </si>
  <si>
    <t>Entry Page</t>
  </si>
  <si>
    <t>Uses standard Resume modal</t>
  </si>
  <si>
    <t>Page ID</t>
  </si>
  <si>
    <t>Story ID</t>
  </si>
  <si>
    <t>CWBSB-60</t>
  </si>
  <si>
    <t>See F. Resume (CWBSB-240)</t>
  </si>
  <si>
    <t>Visibility</t>
  </si>
  <si>
    <t>Always</t>
  </si>
  <si>
    <t>ID</t>
  </si>
  <si>
    <t>Field ID</t>
  </si>
  <si>
    <t>Status</t>
  </si>
  <si>
    <t>Caption</t>
  </si>
  <si>
    <t>Type</t>
  </si>
  <si>
    <t>Permitted Data</t>
  </si>
  <si>
    <t>Inline Help</t>
  </si>
  <si>
    <t>Length</t>
  </si>
  <si>
    <t>Display</t>
  </si>
  <si>
    <t>Default Value</t>
  </si>
  <si>
    <t>Mandatory</t>
  </si>
  <si>
    <t>Mandatory Message</t>
  </si>
  <si>
    <t>Validation Rule/Regex</t>
  </si>
  <si>
    <t>Validation Message</t>
  </si>
  <si>
    <t>Business Rules</t>
  </si>
  <si>
    <t>Comments/Questions</t>
  </si>
  <si>
    <t>Welcome…</t>
  </si>
  <si>
    <t>We just sent a 4-7 digit token to your mobile number. Please enter it below to continue with your application.</t>
  </si>
  <si>
    <t>n/a</t>
  </si>
  <si>
    <t>Resend Token</t>
  </si>
  <si>
    <t>Continue</t>
  </si>
  <si>
    <t>Landing Page</t>
  </si>
  <si>
    <t>Summary will need to include complementary products, applicant and other auth signers</t>
  </si>
  <si>
    <t>CWBSB-</t>
  </si>
  <si>
    <t>CWBSB-61</t>
  </si>
  <si>
    <t>Always show to all new authorised signers and existing authorised signers when  adding a line of credit</t>
  </si>
  <si>
    <t>Text/verbiage updates CWBSB-279</t>
  </si>
  <si>
    <t>About your application</t>
  </si>
  <si>
    <t xml:space="preserve">Hello &lt;&lt;auth signer first name&gt;&gt; </t>
  </si>
  <si>
    <t>Insert first name of Authorized Signer as indicated by &lt;&lt;&gt;&gt;tags</t>
  </si>
  <si>
    <t>We need some information about you! You've been identifed as an authorized signer on an application to open the business account(s) and complementary products listed below on behalf of &lt;&lt;business legal name&gt;&gt;.</t>
  </si>
  <si>
    <t>Always (see business rules)</t>
  </si>
  <si>
    <t xml:space="preserve">Insert business legal name as indicated by &lt;&lt;&gt;&gt; tags. This should always show for a new to bank business customer.
</t>
  </si>
  <si>
    <t xml:space="preserve">We need your consent.  You've been identifed as an authorized signer on an application to open the products listed below on behalf of &lt;&lt;business legal name&gt;&gt;. </t>
  </si>
  <si>
    <t xml:space="preserve">Insert business legal name as indicated by &lt;&lt;&gt;&gt; tags. This should always show for existing clients.
</t>
  </si>
  <si>
    <t>Card section - list applicant and any other individuals with Authorized Signer role</t>
  </si>
  <si>
    <t>You and these other individuals will have signing and transactional authority for the new account(s).</t>
  </si>
  <si>
    <t>Conditional (see Business Rules)</t>
  </si>
  <si>
    <t>Display this section for all individuals with Authorized Signer role (see CWBSB-43).
Hide section only if individual does NOT have Authorized Signer role.</t>
  </si>
  <si>
    <t>&lt;&lt;applicant fname&gt;&gt; &lt;&lt;applicant lname&gt;&gt;
&lt;&lt;auth signer fname&gt;&gt; &lt;&lt;auth signer lname&gt;&gt;
&lt;&lt;auth signer fname&gt;&gt; &lt;&lt;auth signer lname&gt;&gt;
&lt;&lt;auth signer fname&gt;&gt; &lt;&lt;auth signer lname&gt;&gt;</t>
  </si>
  <si>
    <r>
      <t xml:space="preserve">Always include name of applicant (from main SB DCO form) in &lt;&lt;applicant fname&gt;&gt; &lt;&lt;applicant lname&gt;&gt; fields.
Include names of Authorized Signers </t>
    </r>
    <r>
      <rPr>
        <u/>
        <sz val="11"/>
        <color theme="1"/>
        <rFont val="Calibri"/>
        <family val="2"/>
        <scheme val="minor"/>
      </rPr>
      <t>other than</t>
    </r>
    <r>
      <rPr>
        <sz val="11"/>
        <color theme="1"/>
        <rFont val="Calibri"/>
        <family val="2"/>
        <scheme val="minor"/>
      </rPr>
      <t xml:space="preserve"> the "signed in" individual only if applicable (omit if no other auth signers).
Insert names in &lt;&lt;&gt;&gt; tagged fields if applicable.</t>
    </r>
  </si>
  <si>
    <r>
      <t xml:space="preserve">Needs to include Applicant and Auth Signers </t>
    </r>
    <r>
      <rPr>
        <u/>
        <sz val="11"/>
        <color theme="1"/>
        <rFont val="Calibri"/>
        <family val="2"/>
        <scheme val="minor"/>
      </rPr>
      <t>other than</t>
    </r>
    <r>
      <rPr>
        <sz val="11"/>
        <color theme="1"/>
        <rFont val="Calibri"/>
        <family val="2"/>
        <scheme val="minor"/>
      </rPr>
      <t xml:space="preserve"> the "signed in" individual (bug CWBSB-568)</t>
    </r>
  </si>
  <si>
    <t>Display product list (accounts) - repeat for each account selected in the primary application form (Omit if no account is selected)</t>
  </si>
  <si>
    <t>Your account(s)</t>
  </si>
  <si>
    <t xml:space="preserve">
Conditional  (see business rules)</t>
  </si>
  <si>
    <t>Omit if no account is selected or new line of credit is not linked to account.</t>
  </si>
  <si>
    <t>&lt;&lt;product catalogue.product name&gt;&gt; (&lt;&lt;quantity&gt;&gt;)</t>
  </si>
  <si>
    <t>Product name for this product .
IF &gt;1 instance of the same product was selected, insert quantity in parentheses (&lt;&lt;quantity&gt;&gt;). Valid values are whole numbers 2 or 3.
Do not repeat product name/description.
ELSE IF only 1 instance of a product is selected, omit  (&lt;&lt;quantity&gt;&gt;)
Omit if no account is selected or new line of credit is not linked to account.</t>
  </si>
  <si>
    <t>Updated with quantity to address bug CWBSB-669</t>
  </si>
  <si>
    <t>&lt;&lt;product catalogue.product tag-line&gt;&gt;</t>
  </si>
  <si>
    <t>Conditional  (see business rules)</t>
  </si>
  <si>
    <t>Product tag-line (short description) for this product card.
Omit if no account is selected or new line of credit is not linked to account.</t>
  </si>
  <si>
    <t>Display solutions list (complementary products - may include business line of credit) for each complementary product selected in the primary application form</t>
  </si>
  <si>
    <t>Your solution(s)</t>
  </si>
  <si>
    <t>Conditional-see business rules</t>
  </si>
  <si>
    <t>Line of Credit 
can be accessible from &lt;&lt;DEMAND ACCOUNT&gt;&gt;</t>
  </si>
  <si>
    <t>Display if customer has line of credit</t>
  </si>
  <si>
    <t>&lt;&lt;complementary product name&gt;&gt;</t>
  </si>
  <si>
    <r>
      <t xml:space="preserve">Insert product name element for each Complementary Product selected (from the main SB DCO form).
</t>
    </r>
    <r>
      <rPr>
        <b/>
        <sz val="11"/>
        <color theme="1"/>
        <rFont val="Calibri"/>
        <family val="2"/>
        <scheme val="minor"/>
      </rPr>
      <t>Note:</t>
    </r>
    <r>
      <rPr>
        <sz val="11"/>
        <color theme="1"/>
        <rFont val="Calibri"/>
        <family val="2"/>
        <scheme val="minor"/>
      </rPr>
      <t xml:space="preserve"> may include business line of credit product.
Omit section if no Complementary Products selected.</t>
    </r>
  </si>
  <si>
    <t>Needs to include all complementary products selected.
This section may include business line of credit product.</t>
  </si>
  <si>
    <t>&lt;&lt;complementary product tag-line&gt;&gt;</t>
  </si>
  <si>
    <t>Insert tag-line (short description) element for each Complementary Product selected (from the main SB DCO form).
Omit section if no Complementary Products selected.</t>
  </si>
  <si>
    <t>End product list (If existing customer, then omit this section)</t>
  </si>
  <si>
    <t>Digital banking</t>
  </si>
  <si>
    <t>If existing customer, then omit</t>
  </si>
  <si>
    <r>
      <t xml:space="preserve">Manage payments and receivables electronically via
- </t>
    </r>
    <r>
      <rPr>
        <i/>
        <sz val="11"/>
        <color theme="1"/>
        <rFont val="Calibri"/>
        <family val="2"/>
        <scheme val="minor"/>
      </rPr>
      <t>Interac</t>
    </r>
    <r>
      <rPr>
        <sz val="11"/>
        <color theme="1"/>
        <rFont val="Calibri"/>
        <family val="2"/>
        <scheme val="minor"/>
      </rPr>
      <t xml:space="preserve"> e-Transfer (including Request Money)
- Bill payments
- Government (tax) payment and filing
- Remote deposit capture</t>
    </r>
  </si>
  <si>
    <t>Ready to get started? Here's what you'll need:</t>
  </si>
  <si>
    <t>1. Your personal details
2. Optionally, your Social Insurance Number and drivers license
3. About 10 minutes of your time</t>
  </si>
  <si>
    <t>Next</t>
  </si>
  <si>
    <t>On click, navigate to "Existing Customer Check" page CWBSB-245</t>
  </si>
  <si>
    <t>Existing Customer Check</t>
  </si>
  <si>
    <t>This leads to the "authenticated path" if individual is an existing client</t>
  </si>
  <si>
    <t>CWBSB-245</t>
  </si>
  <si>
    <t>New-to-bank business entity only</t>
  </si>
  <si>
    <t>Text/verbiage updates CWBSB-616</t>
  </si>
  <si>
    <t>Let's get started</t>
  </si>
  <si>
    <t>Are you already a CWB client?</t>
  </si>
  <si>
    <t>A) No
B) Yes</t>
  </si>
  <si>
    <t>A) No</t>
  </si>
  <si>
    <t>Yes</t>
  </si>
  <si>
    <t>On click
IF radio button 3.3 = "No", navigate to the "Contact Info" page (CWBSB-166);
ELSE IF radio button 3.3 = "Yes" initiate redirect to OKTA (on return from Okta, 'Contact Info' page CWBSB-166 will load)</t>
  </si>
  <si>
    <t>Back</t>
  </si>
  <si>
    <t>On click, navigate to the "Auth Signer Landing Page" (CWBSB-61)</t>
  </si>
  <si>
    <t>Okta Login</t>
  </si>
  <si>
    <t>DEPRECATED</t>
  </si>
  <si>
    <t>3a</t>
  </si>
  <si>
    <t>CWBSB-577</t>
  </si>
  <si>
    <t>Deprecated - no JM page for this function as solution will redirect to Okta, then return to JM.</t>
  </si>
  <si>
    <t>Log in to continue</t>
  </si>
  <si>
    <t>Please enter your CWB digital banking username and password to continue.</t>
  </si>
  <si>
    <t>(no caption) Okta widget, presented in an iFrame</t>
  </si>
  <si>
    <t>Third Party Widget (e.g. Codat, Flinks)</t>
  </si>
  <si>
    <t>Contact Info</t>
  </si>
  <si>
    <t>CWBSB-166</t>
  </si>
  <si>
    <t>Text/verbiage updates CWBSB-172</t>
  </si>
  <si>
    <t>Contacting you</t>
  </si>
  <si>
    <t>Wording review - updated (CS)</t>
  </si>
  <si>
    <r>
      <t xml:space="preserve">We'll use this information to communicate with you about this application on an ongoing basis, in accordance with our </t>
    </r>
    <r>
      <rPr>
        <u/>
        <sz val="11"/>
        <color theme="1"/>
        <rFont val="Calibri"/>
        <family val="2"/>
        <scheme val="minor"/>
      </rPr>
      <t>privacy statement</t>
    </r>
    <r>
      <rPr>
        <sz val="11"/>
        <color theme="1"/>
        <rFont val="Calibri"/>
        <family val="2"/>
        <scheme val="minor"/>
      </rPr>
      <t>.</t>
    </r>
  </si>
  <si>
    <t>Hyperlink to the following URL:
https://www.cwb.com/about-us/privacy</t>
  </si>
  <si>
    <t>Updated text due to change to email address field - see below.</t>
  </si>
  <si>
    <t>Email address</t>
  </si>
  <si>
    <t>Pre-fill - email address provided by applicant and NON-EDITABLE</t>
  </si>
  <si>
    <t>54 characters</t>
  </si>
  <si>
    <t>Pre-fill auth signer e-mail address as provided by primary applicant.</t>
  </si>
  <si>
    <t>Field is pre-filled and must be NON-EDITABLE, so no mandatory validation required.</t>
  </si>
  <si>
    <t>Updated to a non-editable field due to JM limitation (email address is linked to the transaction); removed inline help as not possible to associate info icon with a disabled/non-editable field.
Bug CWBSB-1011 / page update story CWBSB-1022.</t>
  </si>
  <si>
    <t>Mobile phone number</t>
  </si>
  <si>
    <t>Pre-fill - mobile# provided by applicant. Numbers, spaces, dashes, parentheses</t>
  </si>
  <si>
    <t>To proceed, we'll send you a one-time code to verify your number.</t>
  </si>
  <si>
    <t>A) 10 digits
B) 14 incl. spaces, dashes, parentheses</t>
  </si>
  <si>
    <t>Pre-fill auth signer mobile number as provided by primary applicant.</t>
  </si>
  <si>
    <t>Please provide a valid mobile phone number.</t>
  </si>
  <si>
    <t>North American Numbering Plan (NANP) format:
"NXX-NXX-XXXX" 
or "(NXX) NXX-XXXX", 
where N is 2 to 9, and X is 0 to 9.</t>
  </si>
  <si>
    <t>Reviewed/updated verbiage (Connie S.)
- Inline Help, validation message, mandatory message</t>
  </si>
  <si>
    <t>On click, apply the following conditional logic:
A) If the mobile number has not been verified (user changed their number), navigate to Auth Signer "Mobile Verify" page CWBSB-167
B) If the mobile number has been verified or is the same one originally provided by the primary applicant, navigate to "Qualifying Questions" page CWBSB-63</t>
  </si>
  <si>
    <t>Conditional - see business rules.</t>
  </si>
  <si>
    <t>IF page is loaded following redirect to/from Okta (existing client has either authenticated or cancelled out of Okta process), 'Back' button will not be present.
ELSE if page is loaded after selecting 'No' in Existing Customer Check page, on click, navigate back to "Existing Customer Check" page CWBSB-245</t>
  </si>
  <si>
    <t>7/8 - modified logic to handle scenario where client has gone out to Okta and returned to form. In this case, it will be new transaction, so 'Back' navigation is not possible and 'Back' button should not be shown on page.</t>
  </si>
  <si>
    <t>Mobile Verification Page</t>
  </si>
  <si>
    <t>4a</t>
  </si>
  <si>
    <t>CWBSB-167</t>
  </si>
  <si>
    <t>Please verify your mobile device</t>
  </si>
  <si>
    <t>We just sent a 4-7 digit token to your mobile number.  Please enter it below to continue with your application.
If you take a break from this application, we'll send a one-time password to your mobile phone, so that you may resume later.</t>
  </si>
  <si>
    <t>&lt;&lt;no caption&gt;&gt;</t>
  </si>
  <si>
    <t>Qualifying Questions</t>
  </si>
  <si>
    <t>CWBSB-63</t>
  </si>
  <si>
    <t>Text/verbiage updates for SB CWBSB-222</t>
  </si>
  <si>
    <t>Before we continue, we need to confirm that you meet the following required conditions to open a CWB business account:
You are:</t>
  </si>
  <si>
    <t>- At least 18 years of age</t>
  </si>
  <si>
    <t>We are unable to open accounts online for individuals under 18 years of age.</t>
  </si>
  <si>
    <t>- A resident of Canada</t>
  </si>
  <si>
    <t>We are only able to open accounts for residents of Canada.</t>
  </si>
  <si>
    <t>Changed to "resident of Canada" instead of "tax resident" (tax residency not required for auth signers).</t>
  </si>
  <si>
    <t>- Not a resident of Quebec</t>
  </si>
  <si>
    <t>We are unable to open accounts for residents of Quebec.</t>
  </si>
  <si>
    <t>- Not required to file taxes in any country other than Canada</t>
  </si>
  <si>
    <t>This may include being a citizen of another country or having dual citizenship.</t>
  </si>
  <si>
    <t>Removed for Small Business use: tax residency is not required for authorized signers on a business account.</t>
  </si>
  <si>
    <t xml:space="preserve">- Not opening the account(s) for use by, or benefit of a third party </t>
  </si>
  <si>
    <t>CWB is unable to open an account that will be used by, or on behalf of, anyone other than the named account holder.</t>
  </si>
  <si>
    <t>Yes, I meet all of the above criteria</t>
  </si>
  <si>
    <t>A) Checked
B) Unchecked</t>
  </si>
  <si>
    <t>Unchecked</t>
  </si>
  <si>
    <r>
      <t xml:space="preserve">You must confirm you meet all of the conditions to proceed. For more information, please contact CWB at </t>
    </r>
    <r>
      <rPr>
        <u/>
        <sz val="11"/>
        <rFont val="Calibri"/>
        <family val="2"/>
        <scheme val="minor"/>
      </rPr>
      <t>1.833.456.7900</t>
    </r>
    <r>
      <rPr>
        <sz val="11"/>
        <rFont val="Calibri"/>
        <family val="2"/>
        <scheme val="minor"/>
      </rPr>
      <t>.</t>
    </r>
  </si>
  <si>
    <t>Hyperlink phone number (click/tap to call)
See Next (5.9) for navigation logic.</t>
  </si>
  <si>
    <t>On click,
IF check box 5.8 is unchecked, display mandatory message and remain on page;
ELSE if check box 5.8 is checked, navigate to "ID Scan" page (CWBSB-62)</t>
  </si>
  <si>
    <t>On click, navigate back to "Contact Info" page (CWBSB-166)</t>
  </si>
  <si>
    <t>ID Scan Form</t>
  </si>
  <si>
    <t>CWBSB-62</t>
  </si>
  <si>
    <t>Text/verbiage updates for SB CWBSB-97</t>
  </si>
  <si>
    <t>A convenient option</t>
  </si>
  <si>
    <t>We can scan the back of your driver's licence to quickly fill in your personal information. Upload an image or skip this step if you wish to fill in this information yourself.</t>
  </si>
  <si>
    <t>Reviewed/updated verbiage (Connie S.)
- Caption</t>
  </si>
  <si>
    <t>Yes
(see business logic)</t>
  </si>
  <si>
    <t>Please scan/upload an image of your driver's license, or click "skip this step" to proceed.</t>
  </si>
  <si>
    <t>This is the on-page IDScan control that manages image uploading, scanning, and preview.
Mandatory field: before leaving the page, users must either complete an ID scan using this control, or opt out using the skip checkbox.</t>
  </si>
  <si>
    <t>Or skip this step</t>
  </si>
  <si>
    <t>B) Unchecked</t>
  </si>
  <si>
    <t>Mandatory field: before leaving the page, users must either check this box or complete an ID scan/upload using the IDScan control.</t>
  </si>
  <si>
    <t>[Sample barcode instruction text]</t>
  </si>
  <si>
    <t>[Sample barcode image]</t>
  </si>
  <si>
    <t>On click, navigate to "Name &amp; Address" page (CWBSB-64)</t>
  </si>
  <si>
    <t>On click, navigate to "Qualifying Questions" page (CWBSB-63)</t>
  </si>
  <si>
    <t>Name &amp; Address</t>
  </si>
  <si>
    <t>Combined page, based on personal/Motive Name and Address pages</t>
  </si>
  <si>
    <t>CWBSB-64</t>
  </si>
  <si>
    <t>Text/verbiage updates CWBSB-173</t>
  </si>
  <si>
    <t>About you</t>
  </si>
  <si>
    <t>Wording review-updated (CS)</t>
  </si>
  <si>
    <t>First name</t>
  </si>
  <si>
    <t>Alphanumeric, spaces and special characters including ‘ ( ) + , - . / : ? &amp;</t>
  </si>
  <si>
    <t>If IDScan returned results, use the scanned first name. Otherwise leave blank.</t>
  </si>
  <si>
    <t>Please tell us your first name.</t>
  </si>
  <si>
    <t>Pre-populate this field with IDScan data 
OR
Auth Signer first name as entered in the primary applicant form</t>
  </si>
  <si>
    <t>Updated to include all allowable characters for consistency. Elaborated pre-fill info (will populate name based on main form).</t>
  </si>
  <si>
    <t>Last name</t>
  </si>
  <si>
    <t>If IDScan returned results, use the scanned last name. Otherwise leave blank.</t>
  </si>
  <si>
    <t>Please tell us your last name.</t>
  </si>
  <si>
    <t>What is your address?</t>
  </si>
  <si>
    <t>Not needed - this is in field 7.6 (correction - bug CWBSB-725)</t>
  </si>
  <si>
    <t>Home (resides at) address section</t>
  </si>
  <si>
    <t>What is your home address?</t>
  </si>
  <si>
    <t>If IDScan returned results, use the scanned address. Otherwise leave blank.</t>
  </si>
  <si>
    <t>Yes, if not in manual address mode</t>
  </si>
  <si>
    <t>Please tell us your physical address.</t>
  </si>
  <si>
    <t>If specified address is a Quebec address then
"Sorry, but we are unable to offer banking services to residents of Quebec at this time."</t>
  </si>
  <si>
    <t>Pre-populate this field with IDScan data if it's available.
Use Canada Post Address Verification API to provide suggestions for typed addresses.
A) Do not include PO boxes in API response
B) Include Quebec addresses in API response</t>
  </si>
  <si>
    <t>Wording review - updated mandatory message (Connie S.)</t>
  </si>
  <si>
    <t>Street number</t>
  </si>
  <si>
    <t>Only if manual address mode is enabled on field 7.6 (current address).</t>
  </si>
  <si>
    <t>Empty</t>
  </si>
  <si>
    <t>Yes, if using manual address mode</t>
  </si>
  <si>
    <t>Please provide a street number.</t>
  </si>
  <si>
    <t>Street name</t>
  </si>
  <si>
    <t>Please provide a street name.</t>
  </si>
  <si>
    <t>Unit</t>
  </si>
  <si>
    <t>no</t>
  </si>
  <si>
    <t>City</t>
  </si>
  <si>
    <t>Please provide a city name.</t>
  </si>
  <si>
    <t>Province</t>
  </si>
  <si>
    <t>Enumerated list</t>
  </si>
  <si>
    <t>Please select a province.</t>
  </si>
  <si>
    <t>Value must come from a drop down list of valid Canadian provinces. Must not be Quebec.</t>
  </si>
  <si>
    <t>If value = "Quebec" then
"Sorry, but we are unable to offer banking services to residents of Quebec at this time."</t>
  </si>
  <si>
    <t>Postal code</t>
  </si>
  <si>
    <t>Canadian Postal Code (see DCO standards doc)</t>
  </si>
  <si>
    <t>Please provide a postal code.</t>
  </si>
  <si>
    <t>Canadian postal code - refer to DCO Standards doc</t>
  </si>
  <si>
    <t>Please provide a valid Canadian postal code.</t>
  </si>
  <si>
    <t>Wording review - updated mandatory message (Connie S.)
Apply standard treatment/validation for Canadian postal code, per Standards doc.</t>
  </si>
  <si>
    <t>Previous address section</t>
  </si>
  <si>
    <t>Have you lived at this address for more than 2 years?</t>
  </si>
  <si>
    <t>A) Yes
B) No</t>
  </si>
  <si>
    <t>Progressive reveal (after previous questions answered)</t>
  </si>
  <si>
    <t>No Selection</t>
  </si>
  <si>
    <t>Please tell us whether you've lived at your current address for more than 2 years.</t>
  </si>
  <si>
    <t>What was your previous home address?</t>
  </si>
  <si>
    <t>Only if radio button 7.13 is "No".</t>
  </si>
  <si>
    <t>Yes, if radio button 7.13 is "No", and not in manual address mode.</t>
  </si>
  <si>
    <t>Please tell us your previous physical address.</t>
  </si>
  <si>
    <t>Use Canada Post Address Verification API to provide suggestions for typed addresses.
A) Do not include PO boxes in API response
B) Include Quebec addresses in API response</t>
  </si>
  <si>
    <t>Only if radio button 7.13 is "No", and manual address mode is enabled on field 7.14 (previous address).</t>
  </si>
  <si>
    <t>Value must come from a drop down list of valid Canadian provinces. Note: "Quebec" is a valid selection for previous address.</t>
  </si>
  <si>
    <t>Mailing address section</t>
  </si>
  <si>
    <t>Is your mailing address the same as your home address?</t>
  </si>
  <si>
    <t>Please tell us whether your mailing address matches your home address.</t>
  </si>
  <si>
    <t>What is your mailing address?</t>
  </si>
  <si>
    <t>Only if radio button 7.21 is "No".</t>
  </si>
  <si>
    <t>Yes, if radio button 7.21 is "No", and not in manual address mode.</t>
  </si>
  <si>
    <t>Please tell us your mailing address.</t>
  </si>
  <si>
    <t>Use Canada Post Address Verification API to provide suggestions for typed addresses.
A) Include PO boxes in API response
B) Include Quebec addresses in API response</t>
  </si>
  <si>
    <t>Only if radio button 7.21 is "No", and manual address mode is enabled on field 7.22 (mailing address).</t>
  </si>
  <si>
    <t>No</t>
  </si>
  <si>
    <t>Street name or P.O. box</t>
  </si>
  <si>
    <t xml:space="preserve">Please provide a street name or P.O. box number. </t>
  </si>
  <si>
    <t>Value must come from a drop down list of valid Canadian provinces. Note: "Quebec" is a valid selection for mailing address.</t>
  </si>
  <si>
    <t>On click, navigate to "Auth Signer Birthday, SIN &amp; Occupation" page (CWBSB-71)</t>
  </si>
  <si>
    <t>On click, navigate to "Auth Signer ID Scan" page (CWBSB-62)</t>
  </si>
  <si>
    <t>Address</t>
  </si>
  <si>
    <t>Combined with Name for Small Business - see CWBSB-64 previous tab</t>
  </si>
  <si>
    <t>N/A</t>
  </si>
  <si>
    <t>Step 6: What's your address?</t>
  </si>
  <si>
    <t xml:space="preserve"> </t>
  </si>
  <si>
    <t>Do you live at the same address as &lt;&lt;Primary applicant F.Name&gt;&gt; &lt;&lt;Primary applicant L.Name&gt;&gt;?
(&lt;&lt;Primary applicant address&gt;&gt;)</t>
  </si>
  <si>
    <t>Birthday, SIN &amp; Occupation</t>
  </si>
  <si>
    <t>CWBSB-71</t>
  </si>
  <si>
    <t>Text/verbiage updates CWBSB-98</t>
  </si>
  <si>
    <t>Birthday (MM/DD/YYYY)</t>
  </si>
  <si>
    <t>Date</t>
  </si>
  <si>
    <t>We use this information to verify your identity, and that you are at least 18 years of age.</t>
  </si>
  <si>
    <t>none</t>
  </si>
  <si>
    <t>Please tell us your birthday.</t>
  </si>
  <si>
    <t>Applicant must be over 18 years of age.</t>
  </si>
  <si>
    <t>Sorry, we are unable to provide banking services to individuals under the age of 18.</t>
  </si>
  <si>
    <t>Applicants must be over the age of 18 to proceed with the DCO process.</t>
  </si>
  <si>
    <t>Social Insurance Number (SIN)</t>
  </si>
  <si>
    <t>Numeric</t>
  </si>
  <si>
    <t>We use this information to verify your identity. Providing your SIN is optional.</t>
  </si>
  <si>
    <t>Must match the format: 
###-###-###
Number provided must pass Luhn (Mod 10) Algorithm validation.</t>
  </si>
  <si>
    <t>The SIN you provided is not valid. Please provide a valid SIN.</t>
  </si>
  <si>
    <t>Occupation</t>
  </si>
  <si>
    <t>Alphanumeric</t>
  </si>
  <si>
    <t>Your occupation helps us to identify you and secure your account.</t>
  </si>
  <si>
    <t>None</t>
  </si>
  <si>
    <t>Please tell us your current occupation.</t>
  </si>
  <si>
    <t>Text must be a valid entry in the Canadian National Occupancy Classification (NOC) list.</t>
  </si>
  <si>
    <t>Text typed into this field should be used to search the NOC list in real time.  As the user types, relevant NOC list suggestions should appear in a drop-down list.
The data stored as part of this selection should be the numeric NOC (code), not the text-based occupation description.</t>
  </si>
  <si>
    <t>On click, navigate to "Security Question" page (CWBSB-481)</t>
  </si>
  <si>
    <t>Corrected navigation</t>
  </si>
  <si>
    <t>Security Question (Contact Log)</t>
  </si>
  <si>
    <t>CWBSB-481</t>
  </si>
  <si>
    <t>Text/verbiage updates CWBSB-647</t>
  </si>
  <si>
    <t>Security question</t>
  </si>
  <si>
    <t>If you ever need to contact a CWB representative about your business account(s), we may use this question to help confirm your identity and secure your account.</t>
  </si>
  <si>
    <t>Choose your security question</t>
  </si>
  <si>
    <t>A) What was your favourite restaurant in college or university?
B) What is your father's middle name?
C) In what city was your mother born? 
D) What is the first name of your oldest nephew?
E) What was the name of your first pet?
F) What was the colour of your first car?</t>
  </si>
  <si>
    <t>Please choose a security question.</t>
  </si>
  <si>
    <t>Answer your security question</t>
  </si>
  <si>
    <t>Please provide an answer to your security question.</t>
  </si>
  <si>
    <t>Use this field after the creation of the T24 CIF, to create a new record in CR.CONTACT.LOG with the following values:
A) CONTACT.CLIENT = [CIF for new client]
B) CONTACT.TYPE = "NOTES"
C) CONTACT.STATUS = "NEW"
D) CONTACT.DESC = "Security Question"
E) CONTACT.NOTES = [Field value]
F) CONTACT.CHANNEL = "EMAIL"
G) CONTACT. DATE = [Date of the application]</t>
  </si>
  <si>
    <t>On click, navigate back to 'Birthday, SIN and Occupation' page CWBSB-71</t>
  </si>
  <si>
    <t>On click, navigate to 'eConsent' page CWBSB-72</t>
  </si>
  <si>
    <t>eConsent</t>
  </si>
  <si>
    <t>CWBSB-72</t>
  </si>
  <si>
    <t>Lending updates CWBSB-826</t>
  </si>
  <si>
    <t>Addition of debit card question, move check box CWBSB-486</t>
  </si>
  <si>
    <t>Always Show</t>
  </si>
  <si>
    <t>Text/verbiage updates - CWBSB-223</t>
  </si>
  <si>
    <t>With your permission…</t>
  </si>
  <si>
    <t>Do you need a business debit card?</t>
  </si>
  <si>
    <t>If your new business account(s) will only require one person to authorize a transaction, you can request a debit card for in-person transactions and ATM access.</t>
  </si>
  <si>
    <t>Conditional - see business rules</t>
  </si>
  <si>
    <t>No selection</t>
  </si>
  <si>
    <t>Please confirm whether you require a business debit card.</t>
  </si>
  <si>
    <t>For new-to-bank only customers</t>
  </si>
  <si>
    <t>Revolving line of credit</t>
  </si>
  <si>
    <t>Insert only if application includes a business lending (Line of Credit) product.</t>
  </si>
  <si>
    <r>
      <t xml:space="preserve">The line of credit interest rate is based upon our </t>
    </r>
    <r>
      <rPr>
        <u/>
        <sz val="11"/>
        <color theme="1"/>
        <rFont val="Calibri"/>
        <family val="2"/>
        <scheme val="minor"/>
      </rPr>
      <t>Prime Rate</t>
    </r>
    <r>
      <rPr>
        <sz val="11"/>
        <color theme="1"/>
        <rFont val="Calibri"/>
        <family val="2"/>
        <scheme val="minor"/>
      </rPr>
      <t>. Our Prime Rate is subject to change from time to time without notice. Minimum payment is
based on the calculated interest amount on the outstanding balance every month.
If approved for a line of credit, the amount will be between $10,000 and $50,000 at a variable interest rate of Prime Rate plus &lt;&lt;rate tier 1&gt;&gt;% to &lt;&lt;rate tier
3&gt;&gt;%.</t>
    </r>
  </si>
  <si>
    <t>Insert only if application includes a business lending (Line of Credit) product.
Hyperlink underlined text to the following URL (open in new tab/window):
https://www.cwbank.com/en/personal/investing/products/gics/gic-rates#CWB-Prime-rate
Insert interest rate tiers from product catalogue as indicated by &lt;&lt;&gt;&gt; tagged fields.</t>
  </si>
  <si>
    <t>Do you wish to continue your application including the revolving line of credit?</t>
  </si>
  <si>
    <t>A) Yes
B) No, continue the application but remove the line of credit</t>
  </si>
  <si>
    <t>Please make a selection to continue.</t>
  </si>
  <si>
    <t>Insert only if application includes a business lending (Line of Credit) product. 
Selection required.
IF 'Yes', reveal the following:
10.7 through 10.9, 10.11 through 10.14, 10.15 (only if debit card selection 10.3 = YES), 10.16.
ELSE IF 'No', reveal the following:
10.7 through 10.10, 10.12 through 10.14, 10.15 (only if debit card selection 10.3 = YES)
AND line of credit product must be removed from the application on page exit;
AND generate "LOC removed" email.</t>
  </si>
  <si>
    <t>For the purposes of this application, CWB will:</t>
  </si>
  <si>
    <t>Always (progressive reveal)</t>
  </si>
  <si>
    <t>- Collect and maintain the information submitted in this application.</t>
  </si>
  <si>
    <t>We require this information to open your new account.</t>
  </si>
  <si>
    <t>- Use your information to confirm your identity.</t>
  </si>
  <si>
    <t>We will use third party sources to validate and confirm the information you submitted.</t>
  </si>
  <si>
    <t>- Obtain credit bureau information about you for the purposes of opening an account.</t>
  </si>
  <si>
    <t>We will use a deposit inquiry credit score for opening your account.</t>
  </si>
  <si>
    <t>Conditional-see business rules (progressive reveal)</t>
  </si>
  <si>
    <r>
      <t xml:space="preserve">Reveal only if application DOES NOT include a business lending (Line of Credit) product.
</t>
    </r>
    <r>
      <rPr>
        <b/>
        <sz val="11"/>
        <color theme="1"/>
        <rFont val="Calibri"/>
        <family val="2"/>
        <scheme val="minor"/>
      </rPr>
      <t>Note</t>
    </r>
    <r>
      <rPr>
        <sz val="11"/>
        <color theme="1"/>
        <rFont val="Calibri"/>
        <family val="2"/>
        <scheme val="minor"/>
      </rPr>
      <t>: this text will also apply if the original application included business lending, but the lending product was subsequently declined due to inadequate credit bureau score.</t>
    </r>
  </si>
  <si>
    <t>- Obtain credit bureau information about you for the purposes of the account(s) you have requested and this loan application.
Note: This information helps us assess your business' eligibility for a loan from CWB, including your ability to meet the payment obligations of the loan. This consent will be considered valid from the date of this agreement until the loan has been paid in full.</t>
  </si>
  <si>
    <t>Because you are applying for a business lending product, we need to obtain a full credit report on you and any other individuals who will be Authorized Signers for your business.</t>
  </si>
  <si>
    <r>
      <t xml:space="preserve">- Use third party service providers to obtain and validate your personal information.
                                                                                                                                                                                                                                                                For more information about how we Use and protect your information, please view our </t>
    </r>
    <r>
      <rPr>
        <u/>
        <sz val="11"/>
        <color theme="1"/>
        <rFont val="Calibri"/>
        <family val="2"/>
        <scheme val="minor"/>
      </rPr>
      <t>privacy statement</t>
    </r>
    <r>
      <rPr>
        <sz val="11"/>
        <color theme="1"/>
        <rFont val="Calibri"/>
        <family val="2"/>
        <scheme val="minor"/>
      </rPr>
      <t>.</t>
    </r>
  </si>
  <si>
    <t>Hyperlink underlined text to the following URL:
https://www.cwb.com/about-us/privacy
(open in new browser tab)</t>
  </si>
  <si>
    <t>I, &lt;&lt;first name&gt;&gt; &lt;&lt;last name&gt;&gt;:</t>
  </si>
  <si>
    <t>Please confirm your agreement.</t>
  </si>
  <si>
    <t>Insert authorized signer first and last name in &lt;&lt;&gt;&gt; tagged fields.
Users must check this box to proceed with their application.</t>
  </si>
  <si>
    <t>Understand that by continuing I consent to the collection and use of my information as described above.</t>
  </si>
  <si>
    <t>Static text (bulleted)</t>
  </si>
  <si>
    <r>
      <t xml:space="preserve">Have read and accept the conditions set out in the </t>
    </r>
    <r>
      <rPr>
        <u/>
        <sz val="11"/>
        <color theme="1"/>
        <rFont val="Calibri"/>
        <family val="2"/>
        <scheme val="minor"/>
      </rPr>
      <t>Business Debit Card and PIN Agreement</t>
    </r>
    <r>
      <rPr>
        <sz val="11"/>
        <color theme="1"/>
        <rFont val="Calibri"/>
        <family val="2"/>
        <scheme val="minor"/>
      </rPr>
      <t>.</t>
    </r>
  </si>
  <si>
    <t>Static text with hyperlink (bulleted)</t>
  </si>
  <si>
    <t>Reveal only if radio button 10.3 selection = "Yes".
For new-to-bank only customers.
Hyperlink underlined text to this URL:
https://www.cwbank.com/-/media/Documents/BusinessDCOForms/4007 Business Debit Card+PIN Agreement.pdf
(open in new browser tab)</t>
  </si>
  <si>
    <r>
      <t xml:space="preserve">Agree to CWB’s </t>
    </r>
    <r>
      <rPr>
        <u/>
        <sz val="11"/>
        <color theme="1"/>
        <rFont val="Calibri"/>
        <family val="2"/>
        <scheme val="minor"/>
      </rPr>
      <t>Digital Lending Agreement</t>
    </r>
    <r>
      <rPr>
        <sz val="11"/>
        <color theme="1"/>
        <rFont val="Calibri"/>
        <family val="2"/>
        <scheme val="minor"/>
      </rPr>
      <t>. I understand that this document outlines the conditions for the Loan (if approved) and specifies what I am and am not permitted to do while this agreement is in effect.</t>
    </r>
  </si>
  <si>
    <r>
      <t xml:space="preserve">Reveal only if radio button 10.6 selection = "Yes".
Hyperlink underlined text to this URL:
</t>
    </r>
    <r>
      <rPr>
        <sz val="11"/>
        <rFont val="Calibri"/>
        <family val="2"/>
        <scheme val="minor"/>
      </rPr>
      <t>http://www.cwbank.com/digital-lending-agreement</t>
    </r>
    <r>
      <rPr>
        <sz val="11"/>
        <color theme="1"/>
        <rFont val="Calibri"/>
        <family val="2"/>
        <scheme val="minor"/>
      </rPr>
      <t xml:space="preserve">
(open in new browser tab)</t>
    </r>
  </si>
  <si>
    <t>On click, start IDV/Fraud Check procedures.
IF business lending product in application
THEN call full Equifax ('hard' credit check) service
ELSE IF no business lending product in application
THEN call Equifax deposit check ('soft' credit check) service.
IF primary IDV successful
AND business lending product in application
AND credit score &gt;=600
OR IF no business lending product in application
THEN close/submit Auth Signer form and display 'Submission Complete' modal page CWBSB-522.
ELSE IF business lending product in application
AND credit score &lt;600
THEN navigate to 'Lending Declined' CWBSB-881.
IF primary IDV fails
AND business lending product in application
AND credit score &gt;=600
OR no business lending product in application
THEN navigate to Alternate IDV page CWBSB-228
ELSE IF business lending product in application
AND credit score &lt;600
THEN navigate to 'Lending Declined' CWBSB-881.</t>
  </si>
  <si>
    <t>On click, navigate back to "Security Question" page CWBSB-481
If existing customer, navigate back to ''Exisiting Customer Check'' page</t>
  </si>
  <si>
    <t>Lending Declined (NEW - added for SB lending)</t>
  </si>
  <si>
    <t>10a</t>
  </si>
  <si>
    <t>CWBSB-881</t>
  </si>
  <si>
    <t>Conditional - only show if business lending product was selected and auth signer personal bureau criteria FAILED</t>
  </si>
  <si>
    <t>Your business lending application</t>
  </si>
  <si>
    <t>Looks like, at this time, we are unable to approve your application for business lending.</t>
  </si>
  <si>
    <t>You may continue with your application for a business account and/or any services you've selected.</t>
  </si>
  <si>
    <r>
      <t xml:space="preserve">Conditional:
</t>
    </r>
    <r>
      <rPr>
        <b/>
        <sz val="11"/>
        <rFont val="Calibri"/>
        <family val="2"/>
        <scheme val="minor"/>
      </rPr>
      <t>New-to-bank flow</t>
    </r>
    <r>
      <rPr>
        <sz val="11"/>
        <rFont val="Calibri"/>
        <family val="2"/>
        <scheme val="minor"/>
      </rPr>
      <t xml:space="preserve"> - always display (new application requires a chequing account).
</t>
    </r>
    <r>
      <rPr>
        <b/>
        <sz val="11"/>
        <rFont val="Calibri"/>
        <family val="2"/>
        <scheme val="minor"/>
      </rPr>
      <t>Existing client (authenticated)</t>
    </r>
    <r>
      <rPr>
        <sz val="11"/>
        <rFont val="Calibri"/>
        <family val="2"/>
        <scheme val="minor"/>
      </rPr>
      <t xml:space="preserve"> - only display if application includes &gt;=1 additional product (account or complementary products/service).</t>
    </r>
  </si>
  <si>
    <r>
      <t xml:space="preserve">For more information, or if you need to talk to us, please call 1.833.456.7900 or send an email to </t>
    </r>
    <r>
      <rPr>
        <u/>
        <sz val="11"/>
        <rFont val="Calibri"/>
        <family val="2"/>
        <scheme val="minor"/>
      </rPr>
      <t>business-onboarding@cwbank.com</t>
    </r>
    <r>
      <rPr>
        <sz val="11"/>
        <rFont val="Calibri"/>
        <family val="2"/>
        <scheme val="minor"/>
      </rPr>
      <t>.</t>
    </r>
  </si>
  <si>
    <t>Hyperlink phone number (click/tap to call);
hyperlink email address (mailto)</t>
  </si>
  <si>
    <t xml:space="preserve">Display only if adding LOC plus another account.
Navigate to 'Submission Complete' modal page CWBSB-522
AND generate Lending Declined email (CWBSB-883) to applicant and any authorized signers with application status of "in progress" or "complete".
</t>
  </si>
  <si>
    <t>Exit</t>
  </si>
  <si>
    <t>Conditional: show only for authenticated path, and only if no other products selected.
On click, close the Journey Manager form.</t>
  </si>
  <si>
    <t>New-to-bank flow only.
Display modal confirmation 10a.6 - see CWBSB-934 and CWB design kit for back navigation details.</t>
  </si>
  <si>
    <r>
      <t xml:space="preserve">If you go back, you will lose the information you have already entered and you'll need to start again.
</t>
    </r>
    <r>
      <rPr>
        <u/>
        <sz val="11"/>
        <color theme="1"/>
        <rFont val="Calibri"/>
        <family val="2"/>
        <scheme val="minor"/>
      </rPr>
      <t>Continue my application
Start over</t>
    </r>
  </si>
  <si>
    <t>IF selection = 'Continue my application', close modal
AND IF primary IDV successful
THEN close/submit Auth Signer form and display 'Submission Complete' modal page CWBSB-522.
ELSE IF primary IDV fails
THEN navigate to Alternate IDV page CWBSB-228
ELSE IF selection = 'Start over', set form status to withdrawn/cancelled, display 'Cancel' modal page (CWBSB-238) and generate 'Withdrawn' email notification (CWBSB-135) to applicant and other authorized signers.</t>
  </si>
  <si>
    <t>Navigate to 'Submission Complete' modal page CWBSB-522
AND generate Lending Declined email (CWBSB-883) to applicant and any authorized signers with application status of "in progress" or "complete".</t>
  </si>
  <si>
    <t>Display modal confirmation 10a.6 - see CWBSB-934 and CWB design kit for back navigation details.</t>
  </si>
  <si>
    <t>Alternate IDV Selection</t>
  </si>
  <si>
    <t>CWBSB-228</t>
  </si>
  <si>
    <t>Text/verbiage updates CWBSB-635</t>
  </si>
  <si>
    <t>Only visible when primary IDV fails</t>
  </si>
  <si>
    <t>We were unable to verify some of your personal information. To protect your identity, we need a little help from you. Please choose one of the methods below to continue.</t>
  </si>
  <si>
    <t>Wording review - updated caption (Connie S.)</t>
  </si>
  <si>
    <t>I'd like to log into my other bank or financial institution to verify my identity.</t>
  </si>
  <si>
    <t>Please select your preferred method of identity verification</t>
  </si>
  <si>
    <t>Mandatory field.
The user must select one of the radio buttons from this group.</t>
  </si>
  <si>
    <t>Final wording review - change "sign into" to "log into" per DBX/UX guidelines.</t>
  </si>
  <si>
    <t>I'd like to provide CWB with additional proof of my identity.</t>
  </si>
  <si>
    <t>By choosing this option, you will have to provide additional documents to CWB to complete your online application. This will require you to send copies of documents to be verified by CWB.
Are you sure you want to do this?
Yes, I'm sure                            No, go back</t>
  </si>
  <si>
    <t>After the user clicks "Next", if radio button 11.5 has been selected.</t>
  </si>
  <si>
    <t>If the user selects radio button 11.5 and clicks "Next", this text should be displayed in a modal confirmation box (pop-up or overlay, for example).  
The confirmation should include the two buttons underlined in the caption column.  
Clicking "Yes, I'm sure" should navigate the user to the next page in the journey flow (Manual IDV page).
 Clicking "No, go back" should cancel the navigation action, and return the user to the Alternate IDV page (this page).</t>
  </si>
  <si>
    <t>On click, navigate to one of the following pages, based on the user's radio button selection:
A) "Flinks" page (CWBSB-229)
B) "Manual IDV" (CWBSB-230)</t>
  </si>
  <si>
    <t>Display modal confirmation 11.9 - see CWBSB-934 and CWB design kit for back navigation details.</t>
  </si>
  <si>
    <t>IF selection = 'Continue my application', close modal and remain on page.
ELSE IF selection = 'Start over', set form status to withdrawn/cancelled, display 'Cancel' modal page (CWBSB-238) and generate 'Withdrawn' email notification (CWBSB-135) to applicant and other authorized signers.</t>
  </si>
  <si>
    <t>Flinks IDV</t>
  </si>
  <si>
    <t>CWBSB-229</t>
  </si>
  <si>
    <t>Text/verbiage updates CWBSB-903</t>
  </si>
  <si>
    <t>Choosing this option will temporarily transfer you to a third party application of our service provider, Flinks. Any activities or information (including passwords) within this application will be governed by Flinks’ terms and conditions and will not be visible or accessible to CWB.</t>
  </si>
  <si>
    <t>Added paragraph to align with new Flinks guidance from Privacy on Motive/Personal DCO.</t>
  </si>
  <si>
    <t>This is the Flinks widget that manages identity verification.
Mandatory field: before leaving the page, users must complete the Flinks IDV process.</t>
  </si>
  <si>
    <t>On click
Close/submit Auth Signer form and display 'Submission Complete' modal page CWBSB-522.</t>
  </si>
  <si>
    <t>Only when a response has not been received from the Flinks service.
Hide button when response arrives.</t>
  </si>
  <si>
    <t>On Click...
Navigate back to the Alternate IDV page (CWBSB-228)</t>
  </si>
  <si>
    <t>Manual IDV</t>
  </si>
  <si>
    <t>CWBSB-230</t>
  </si>
  <si>
    <t>Text/verbiage updates CWBSB-636</t>
  </si>
  <si>
    <t>Only for users that select Manual IDV on the Alternate IDV page</t>
  </si>
  <si>
    <t>Display "Email Envelope.svg"</t>
  </si>
  <si>
    <t>Refer to CWB design kit for image assets</t>
  </si>
  <si>
    <t>No change</t>
  </si>
  <si>
    <t>To complete your application</t>
  </si>
  <si>
    <r>
      <t xml:space="preserve">Please send one of the following documents to </t>
    </r>
    <r>
      <rPr>
        <u/>
        <sz val="11"/>
        <color theme="1"/>
        <rFont val="Calibri"/>
        <family val="2"/>
        <scheme val="minor"/>
      </rPr>
      <t>business-onboarding@cwbank.com</t>
    </r>
    <r>
      <rPr>
        <sz val="11"/>
        <color theme="1"/>
        <rFont val="Calibri"/>
        <family val="2"/>
        <scheme val="minor"/>
      </rPr>
      <t xml:space="preserve"> (only original electronic copies will be accepted):
- Credit Card Statement
- Bank Account Statement
- Loan Account Statement
- Utility Bill (for example, electricity, water, telecommunications)
The above information and additional instructions will be sent to the e-mail address you provided with your application. If you have any questions, please contact us at </t>
    </r>
    <r>
      <rPr>
        <u/>
        <sz val="11"/>
        <color theme="1"/>
        <rFont val="Calibri"/>
        <family val="2"/>
        <scheme val="minor"/>
      </rPr>
      <t>1.833.456.7900</t>
    </r>
    <r>
      <rPr>
        <sz val="11"/>
        <color theme="1"/>
        <rFont val="Calibri"/>
        <family val="2"/>
        <scheme val="minor"/>
      </rPr>
      <t>.</t>
    </r>
  </si>
  <si>
    <t>The email address should by hyperlinked (mailto link); phone number should be hyperlinked (click/tap to call).</t>
  </si>
  <si>
    <t>Conditional - display only if lending product in application AND auth signer has passed credit check criteria</t>
  </si>
  <si>
    <t>Our fine print</t>
  </si>
  <si>
    <r>
      <t xml:space="preserve">As an Authorized Signer for &lt;&lt;business legal name&gt;&gt;, I &lt;&lt;First Name&gt;&gt; &lt;&lt;Last Name&gt;&gt;, have read and agree to </t>
    </r>
    <r>
      <rPr>
        <u/>
        <sz val="11"/>
        <color theme="1"/>
        <rFont val="Calibri"/>
        <family val="2"/>
        <scheme val="minor"/>
      </rPr>
      <t>CWB's digital lending terms and conditions</t>
    </r>
    <r>
      <rPr>
        <sz val="11"/>
        <color theme="1"/>
        <rFont val="Calibri"/>
        <family val="2"/>
        <scheme val="minor"/>
      </rPr>
      <t>.</t>
    </r>
  </si>
  <si>
    <t>Please confirm your agreement to the lending terms and conditions.</t>
  </si>
  <si>
    <r>
      <t xml:space="preserve">Hyperlink underlined text to lending agreement URL:
</t>
    </r>
    <r>
      <rPr>
        <sz val="11"/>
        <color rgb="FFFF0000"/>
        <rFont val="Calibri"/>
        <family val="2"/>
        <scheme val="minor"/>
      </rPr>
      <t>https://www.cwbank.com/</t>
    </r>
  </si>
  <si>
    <t>Hyperlink location for new lending agreement to be confirmed</t>
  </si>
  <si>
    <t>On click, close/submit authorized signer form and navigate to 'Submission Complete' modal page CWBSB-521</t>
  </si>
  <si>
    <t>Dynamic Disclosures</t>
  </si>
  <si>
    <t>CWBSB-73</t>
  </si>
  <si>
    <t>Review language</t>
  </si>
  <si>
    <t>As an Authorized Signer for &lt;&lt;business legal name&gt;&gt;, I &lt;&lt;First Name&gt;&gt; &lt;&lt;Last Name&gt;&gt;, have read and agree to these terms and conditions:</t>
  </si>
  <si>
    <t>CWB Business Account Agreement</t>
  </si>
  <si>
    <t>Hyperlink to URL: TBD
Open in new window</t>
  </si>
  <si>
    <t>URL to be confirmed</t>
  </si>
  <si>
    <t>By submission of this application, I certify that I understand and agree to the agreements listed.</t>
  </si>
  <si>
    <t>Please check the box to agree to the terms and conditions provided.</t>
  </si>
  <si>
    <t>Users must check this box to proceed with their application.</t>
  </si>
  <si>
    <t>Final language to be confirmed</t>
  </si>
  <si>
    <t>On click, start account provisioning</t>
  </si>
  <si>
    <t>19.17</t>
  </si>
  <si>
    <t>On behalf of the business entity named above, I certify this information</t>
  </si>
  <si>
    <t>Please check the box to confirm your agreement.</t>
  </si>
  <si>
    <t>If box is unchecked and user clicks "Next", remain on page and display mandatory message</t>
  </si>
  <si>
    <t>Account Options</t>
  </si>
  <si>
    <t>DEPRECATED - not required for Auth Signer</t>
  </si>
  <si>
    <t>CWBSB-246</t>
  </si>
  <si>
    <t>Almost there</t>
  </si>
  <si>
    <t>Choose your security question:</t>
  </si>
  <si>
    <t xml:space="preserve">A) What was your favorite restaurant in college or university?
B) What is your father's middle name?
C) In what city was your mother born? 
D) What is the first name of your oldest nephew?
E) What was the name of your first pet?
F) What was the color of your first car?
</t>
  </si>
  <si>
    <t xml:space="preserve">If you ever need to contact a CWB Business representative, we may use this question to help confirm your identity and secure your account. </t>
  </si>
  <si>
    <t>Security question moved to its own page - see tab 9 (CWBSB-481)</t>
  </si>
  <si>
    <t>Answer your security question:</t>
  </si>
  <si>
    <t xml:space="preserve">Only if a value has been selected in the question selection drop-down (field 11.5). </t>
  </si>
  <si>
    <t>Use this field after the creation of the T24 CIF, to create a new record in CR.CONTACT.LOG with the following values:
A) CONTACT.CLIENT = [CIF for new client]
B) CONTACT.TYPE = "NOTES"
C) CONTACT.STATUS = "NEW"
D) CONTACT.DESC = "Security Question"
E) CONTACT.NOTES = [Field value]
F) CONTACT.CHANNEL = "EMAIL"
G) CONTACT. DATE = [Date of the application]</t>
  </si>
  <si>
    <t>Do you need a debit card?</t>
  </si>
  <si>
    <r>
      <t xml:space="preserve">You won't need a debit card for online banking, but you will need one to use an ATM or make </t>
    </r>
    <r>
      <rPr>
        <i/>
        <sz val="11"/>
        <color theme="1"/>
        <rFont val="Calibri"/>
        <family val="2"/>
        <scheme val="minor"/>
      </rPr>
      <t>Interac</t>
    </r>
    <r>
      <rPr>
        <sz val="11"/>
        <color theme="1"/>
        <rFont val="Calibri"/>
        <family val="2"/>
        <scheme val="minor"/>
      </rPr>
      <t xml:space="preserve"> purchases.
If you choose "yes", we'll mail your card via Canada Post.</t>
    </r>
  </si>
  <si>
    <t>Only if the user's product selection includes a chequing and/or savings account.</t>
  </si>
  <si>
    <t>"Yes", if the user is applying for a chequing account.
"No", otherwise.</t>
  </si>
  <si>
    <t>On click, navigate to the "eConsent" page.</t>
  </si>
  <si>
    <t>On click, navigate back to the "Birthday &amp; SIN" page</t>
  </si>
  <si>
    <t>Generic Error Message</t>
  </si>
  <si>
    <t>A</t>
  </si>
  <si>
    <t>CWBSB-235</t>
  </si>
  <si>
    <t>Text/verbiage updates CWBSB-92 (note this story is in the main SB DCO form Epic CWBSB-1)</t>
  </si>
  <si>
    <t>As Required (in response to unexpected errors)</t>
  </si>
  <si>
    <t>Display standard generic error image</t>
  </si>
  <si>
    <t>See CWB design system for image assets.</t>
  </si>
  <si>
    <t>Something went wrong</t>
  </si>
  <si>
    <t>We weren't able to process your application.</t>
  </si>
  <si>
    <r>
      <t xml:space="preserve">For assistance, please email </t>
    </r>
    <r>
      <rPr>
        <u/>
        <sz val="11"/>
        <rFont val="Calibri"/>
        <family val="2"/>
        <scheme val="minor"/>
      </rPr>
      <t>business-onboarding@cwbank.com</t>
    </r>
    <r>
      <rPr>
        <sz val="11"/>
        <rFont val="Calibri"/>
        <family val="2"/>
        <scheme val="minor"/>
      </rPr>
      <t>, and we will be happy to help you complete your application.</t>
    </r>
  </si>
  <si>
    <t>The email address should by hyperlinked ("mailto" link) - see DCO standards document</t>
  </si>
  <si>
    <t>Manual Review Message</t>
  </si>
  <si>
    <t>Deprecated - no decisioning in Auth Signer form to generate this screen</t>
  </si>
  <si>
    <t>B</t>
  </si>
  <si>
    <t>CWBSB-236</t>
  </si>
  <si>
    <t>Display standard manual review image</t>
  </si>
  <si>
    <t>We're reviewing your application.</t>
  </si>
  <si>
    <t>Please check your email for some next steps, or contact a CWB Business team member at business-onboarding@cwbank.com.</t>
  </si>
  <si>
    <t>The email address should be hyperlinked ("mailto" link) - see DCO standards doc.</t>
  </si>
  <si>
    <t>Decline Message</t>
  </si>
  <si>
    <t>Deprecated: decisioning (apart from lending) is done in the main form</t>
  </si>
  <si>
    <t>C</t>
  </si>
  <si>
    <t>CWBSB-237</t>
  </si>
  <si>
    <t>As Required</t>
  </si>
  <si>
    <t>Thank you for applying</t>
  </si>
  <si>
    <t>Unfortunately, we are unable to approve your application at this time.</t>
  </si>
  <si>
    <t xml:space="preserve">You are welcome to reapply to CWB in six months. </t>
  </si>
  <si>
    <t>Cancel Message</t>
  </si>
  <si>
    <t>D</t>
  </si>
  <si>
    <t>CWBSB-238</t>
  </si>
  <si>
    <t>Text/verbiage updates CWBSB-213 (note this story is in the main SB DCO form Epic CWBSB-1)</t>
  </si>
  <si>
    <t>As Required (in response to a user-initiated cancellation)</t>
  </si>
  <si>
    <t>Display standard cancel image</t>
  </si>
  <si>
    <t>We're sorry to see you go</t>
  </si>
  <si>
    <r>
      <t xml:space="preserve">We've cancelled your application, but if you change your mind, please email us at </t>
    </r>
    <r>
      <rPr>
        <u/>
        <sz val="11"/>
        <color theme="1"/>
        <rFont val="Calibri"/>
        <family val="2"/>
        <scheme val="minor"/>
      </rPr>
      <t>business-onboarding@cwbank.com</t>
    </r>
    <r>
      <rPr>
        <sz val="11"/>
        <color theme="1"/>
        <rFont val="Calibri"/>
        <family val="2"/>
        <scheme val="minor"/>
      </rPr>
      <t>.</t>
    </r>
  </si>
  <si>
    <t>Format email address as Mailto link - see DCO standards doc.</t>
  </si>
  <si>
    <t>Save Message</t>
  </si>
  <si>
    <t>E</t>
  </si>
  <si>
    <t>CWBSB-239</t>
  </si>
  <si>
    <t>Text/verbiage updates CWBSB-177 (note this story is in the main SB DCO form Epic CWBSB-1)</t>
  </si>
  <si>
    <t>As Required (in response to a user-initiated save)</t>
  </si>
  <si>
    <t>Display standard save image</t>
  </si>
  <si>
    <t>Your application is safe with us</t>
  </si>
  <si>
    <t>We have saved your information so you can resume where you left off.</t>
  </si>
  <si>
    <t>Please check your email for instructions for resuming your application.</t>
  </si>
  <si>
    <t>Resume Page</t>
  </si>
  <si>
    <t>Also used for 1. Entry Page and 4a. Mobile Verify</t>
  </si>
  <si>
    <t>F</t>
  </si>
  <si>
    <t>CWBSB-240</t>
  </si>
  <si>
    <t>Text/verbiage updates CWBSB-178 (note this story is in the main SB DCO form Epic CWBSB-1)</t>
  </si>
  <si>
    <t>As Required (in response to a user-initiated application resume)</t>
  </si>
  <si>
    <t>Please verify your device</t>
  </si>
  <si>
    <t>We just sent a 4-7 digit code to your mobile number. Please enter it below to continue with your application.</t>
  </si>
  <si>
    <t>Note: generic wording required in heading and main paragraph as this resume page is also used for initial invitation to Auth Signers.</t>
  </si>
  <si>
    <t>Enter your code</t>
  </si>
  <si>
    <t>Note: label "Enter your code" is shown as hint text within the field itself - see CWB design kit.</t>
  </si>
  <si>
    <t>Resend code</t>
  </si>
  <si>
    <t>On click, resend token to mobile number.</t>
  </si>
  <si>
    <t>On click, validate token, and resume application.</t>
  </si>
  <si>
    <t>Application Time Out Page</t>
  </si>
  <si>
    <t>G</t>
  </si>
  <si>
    <t>CWBSB-241</t>
  </si>
  <si>
    <t>As Required (in response to a user inactivity)</t>
  </si>
  <si>
    <t>Your application is going to expire in</t>
  </si>
  <si>
    <t>&lt;&lt;Countdown timer - m:ss &gt;&gt;</t>
  </si>
  <si>
    <t>Display the time remaining until application expiry,  using the format m:ss (example: 1:07).</t>
  </si>
  <si>
    <t>Continue with your application to keep things moving</t>
  </si>
  <si>
    <t>On click, close the time out page, and return the user to the page they were working on when the time out event occurred.</t>
  </si>
  <si>
    <t>Verification Progress Page</t>
  </si>
  <si>
    <t>H</t>
  </si>
  <si>
    <t>CWBSB-244</t>
  </si>
  <si>
    <t>As Required (in response to system processing)</t>
  </si>
  <si>
    <r>
      <rPr>
        <strike/>
        <sz val="11"/>
        <color theme="1"/>
        <rFont val="Calibri"/>
        <family val="2"/>
        <scheme val="minor"/>
      </rPr>
      <t>Display image "CWB Loading Triangles.gif".</t>
    </r>
    <r>
      <rPr>
        <sz val="11"/>
        <color theme="1"/>
        <rFont val="Calibri"/>
        <family val="2"/>
        <scheme val="minor"/>
      </rPr>
      <t xml:space="preserve">
Refer to the CWB Design System for image asset. (CWB loading" gif - new shards image with text)</t>
    </r>
  </si>
  <si>
    <t>Previously Submitted Page</t>
  </si>
  <si>
    <t>I</t>
  </si>
  <si>
    <t>CWBSB-242</t>
  </si>
  <si>
    <t>Text/verbiage updates CWBSB-95 (note this story is in the main SB DCO form Epic CWBSB-1)</t>
  </si>
  <si>
    <t>As Required (in response to a user trying to access a previously submitted application)</t>
  </si>
  <si>
    <t>Submission complete</t>
  </si>
  <si>
    <r>
      <t>You have already submitted an application.
For assistance, please e-mail CWB at</t>
    </r>
    <r>
      <rPr>
        <u/>
        <sz val="11"/>
        <rFont val="Calibri"/>
        <family val="2"/>
        <scheme val="minor"/>
      </rPr>
      <t xml:space="preserve"> business-onboarding@cwbank.com</t>
    </r>
    <r>
      <rPr>
        <sz val="11"/>
        <rFont val="Calibri"/>
        <family val="2"/>
        <scheme val="minor"/>
      </rPr>
      <t>.
Your reference number is:</t>
    </r>
  </si>
  <si>
    <t>The email address should by hyperlinked ("mailto" link) - see DCO standards doc.</t>
  </si>
  <si>
    <t>&lt;&lt;Application Number&gt;&gt;</t>
  </si>
  <si>
    <t>Please include this number in any inquiries about your application.</t>
  </si>
  <si>
    <t>Submission Complete Page</t>
  </si>
  <si>
    <t>J</t>
  </si>
  <si>
    <t>CWBSB-522</t>
  </si>
  <si>
    <t>Text/verbiage updates CWBSB-533 (note this story is in the main SB DCO form Epic CWBSB-1)</t>
  </si>
  <si>
    <t>(no caption)</t>
  </si>
  <si>
    <t>Insert standard submission complete image</t>
  </si>
  <si>
    <t>Refer to CWB design system for image asset</t>
  </si>
  <si>
    <t>Submission complete.</t>
  </si>
  <si>
    <r>
      <t xml:space="preserve">Thank you for completing your application. You will receive an email with instructions for setting up online access to your CWB account(s) when the business application is approved.
If you need any assistance, please contact a CWB Business Team member at </t>
    </r>
    <r>
      <rPr>
        <u/>
        <sz val="11"/>
        <rFont val="Calibri"/>
        <family val="2"/>
        <scheme val="minor"/>
      </rPr>
      <t>business-onboarding@cwbank.com</t>
    </r>
    <r>
      <rPr>
        <sz val="11"/>
        <rFont val="Calibri"/>
        <family val="2"/>
        <scheme val="minor"/>
      </rPr>
      <t>.
Your reference number is:</t>
    </r>
  </si>
  <si>
    <t>Display to New-to-bank only.
The email address should by hyperlinked ("mailto" link) - see DCO standards doc.</t>
  </si>
  <si>
    <r>
      <t xml:space="preserve">Thank you for completing your application. 
If you need any assistance, please contact a CWB Business Team member at </t>
    </r>
    <r>
      <rPr>
        <u/>
        <sz val="11"/>
        <rFont val="Calibri"/>
        <family val="2"/>
        <scheme val="minor"/>
      </rPr>
      <t>business-onboarding@cwbank.com</t>
    </r>
    <r>
      <rPr>
        <sz val="11"/>
        <rFont val="Calibri"/>
        <family val="2"/>
        <scheme val="minor"/>
      </rPr>
      <t>.
Your reference number is:</t>
    </r>
  </si>
  <si>
    <t>Display to Existing clients only.
The email address should by hyperlinked ("mailto" link) - see DCO standards doc.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</si>
</sst>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9">
    <font>
      <sz val="11"/>
      <color theme="1"/>
      <name val="Calibri"/>
      <family val="2"/>
      <scheme val="minor"/>
    </font>
    <font>
      <b/>
      <sz val="11"/>
      <color theme="1"/>
      <name val="Calibri"/>
      <family val="2"/>
      <scheme val="minor"/>
    </font>
    <font>
      <b/>
      <sz val="14"/>
      <color theme="1"/>
      <name val="Calibri"/>
      <family val="2"/>
      <scheme val="minor"/>
    </font>
    <font>
      <sz val="10"/>
      <color theme="1"/>
      <name val="Calibri"/>
      <family val="2"/>
      <scheme val="minor"/>
    </font>
    <font>
      <sz val="14"/>
      <color theme="1"/>
      <name val="Calibri"/>
      <family val="2"/>
      <scheme val="minor"/>
    </font>
    <font>
      <sz val="14"/>
      <name val="Calibri"/>
      <family val="2"/>
      <scheme val="minor"/>
    </font>
    <font>
      <sz val="14"/>
      <color rgb="FFFF0000"/>
      <name val="Calibri"/>
      <family val="2"/>
      <scheme val="minor"/>
    </font>
    <font>
      <u/>
      <sz val="11"/>
      <color theme="1"/>
      <name val="Calibri"/>
      <family val="2"/>
      <scheme val="minor"/>
    </font>
    <font>
      <sz val="11"/>
      <name val="Calibri"/>
      <family val="2"/>
      <scheme val="minor"/>
    </font>
    <font>
      <b/>
      <sz val="11"/>
      <color theme="0" tint="-4.9989318521683403E-2"/>
      <name val="Calibri"/>
      <family val="2"/>
      <scheme val="minor"/>
    </font>
    <font>
      <strike/>
      <sz val="11"/>
      <color theme="1"/>
      <name val="Calibri"/>
      <family val="2"/>
      <scheme val="minor"/>
    </font>
    <font>
      <u/>
      <sz val="11"/>
      <color theme="10"/>
      <name val="Calibri"/>
      <family val="2"/>
      <scheme val="minor"/>
    </font>
    <font>
      <i/>
      <sz val="11"/>
      <color theme="1"/>
      <name val="Calibri"/>
      <family val="2"/>
      <scheme val="minor"/>
    </font>
    <font>
      <b/>
      <sz val="10"/>
      <color theme="1"/>
      <name val="Calibri"/>
      <family val="2"/>
      <scheme val="minor"/>
    </font>
    <font>
      <strike/>
      <sz val="14"/>
      <color theme="1"/>
      <name val="Calibri"/>
      <family val="2"/>
      <scheme val="minor"/>
    </font>
    <font>
      <sz val="11"/>
      <color rgb="FFFF0000"/>
      <name val="Calibri"/>
      <family val="2"/>
      <scheme val="minor"/>
    </font>
    <font>
      <u/>
      <sz val="11"/>
      <name val="Calibri"/>
      <family val="2"/>
      <scheme val="minor"/>
    </font>
    <font>
      <sz val="8"/>
      <name val="Calibri"/>
      <family val="2"/>
      <scheme val="minor"/>
    </font>
    <font>
      <b/>
      <sz val="11"/>
      <name val="Calibri"/>
      <family val="2"/>
      <scheme val="minor"/>
    </font>
  </fonts>
  <fills count="8">
    <fill>
      <patternFill patternType="none"/>
    </fill>
    <fill>
      <patternFill patternType="gray125"/>
    </fill>
    <fill>
      <patternFill patternType="solid">
        <fgColor theme="4" tint="0.39997558519241921"/>
        <bgColor indexed="64"/>
      </patternFill>
    </fill>
    <fill>
      <patternFill patternType="solid">
        <fgColor theme="2" tint="-9.9978637043366805E-2"/>
        <bgColor indexed="64"/>
      </patternFill>
    </fill>
    <fill>
      <patternFill patternType="solid">
        <fgColor theme="4" tint="0.59999389629810485"/>
        <bgColor indexed="64"/>
      </patternFill>
    </fill>
    <fill>
      <patternFill patternType="solid">
        <fgColor theme="1" tint="0.34998626667073579"/>
        <bgColor indexed="64"/>
      </patternFill>
    </fill>
    <fill>
      <patternFill patternType="solid">
        <fgColor theme="7" tint="0.39997558519241921"/>
        <bgColor indexed="64"/>
      </patternFill>
    </fill>
    <fill>
      <patternFill patternType="solid">
        <fgColor rgb="FF00B050"/>
        <bgColor indexed="64"/>
      </patternFill>
    </fill>
  </fills>
  <borders count="22">
    <border>
      <left/>
      <right/>
      <top/>
      <bottom/>
      <diagonal/>
    </border>
    <border>
      <left style="medium">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right/>
      <top/>
      <bottom style="medium">
        <color auto="1"/>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style="thin">
        <color auto="1"/>
      </left>
      <right style="medium">
        <color auto="1"/>
      </right>
      <top style="thin">
        <color auto="1"/>
      </top>
      <bottom/>
      <diagonal/>
    </border>
    <border>
      <left style="thin">
        <color auto="1"/>
      </left>
      <right/>
      <top style="medium">
        <color auto="1"/>
      </top>
      <bottom style="medium">
        <color auto="1"/>
      </bottom>
      <diagonal/>
    </border>
    <border>
      <left style="thin">
        <color auto="1"/>
      </left>
      <right/>
      <top style="medium">
        <color auto="1"/>
      </top>
      <bottom style="thin">
        <color auto="1"/>
      </bottom>
      <diagonal/>
    </border>
    <border>
      <left style="thin">
        <color auto="1"/>
      </left>
      <right/>
      <top style="thin">
        <color auto="1"/>
      </top>
      <bottom style="thin">
        <color auto="1"/>
      </bottom>
      <diagonal/>
    </border>
    <border>
      <left style="thin">
        <color auto="1"/>
      </left>
      <right/>
      <top style="thin">
        <color auto="1"/>
      </top>
      <bottom/>
      <diagonal/>
    </border>
    <border>
      <left style="medium">
        <color auto="1"/>
      </left>
      <right style="thin">
        <color auto="1"/>
      </right>
      <top/>
      <bottom style="medium">
        <color auto="1"/>
      </bottom>
      <diagonal/>
    </border>
    <border>
      <left style="thin">
        <color auto="1"/>
      </left>
      <right style="thin">
        <color auto="1"/>
      </right>
      <top/>
      <bottom style="medium">
        <color auto="1"/>
      </bottom>
      <diagonal/>
    </border>
    <border>
      <left style="thin">
        <color auto="1"/>
      </left>
      <right/>
      <top/>
      <bottom style="medium">
        <color auto="1"/>
      </bottom>
      <diagonal/>
    </border>
    <border>
      <left style="thin">
        <color auto="1"/>
      </left>
      <right style="medium">
        <color auto="1"/>
      </right>
      <top/>
      <bottom style="medium">
        <color auto="1"/>
      </bottom>
      <diagonal/>
    </border>
  </borders>
  <cellStyleXfs count="2">
    <xf numFmtId="0" fontId="0" fillId="0" borderId="0"/>
    <xf numFmtId="0" fontId="11" fillId="0" borderId="0" applyNumberFormat="0" applyFill="0" applyBorder="0" applyAlignment="0" applyProtection="0"/>
  </cellStyleXfs>
  <cellXfs count="75">
    <xf numFmtId="0" fontId="0" fillId="0" borderId="0" xfId="0"/>
    <xf numFmtId="0" fontId="2" fillId="2" borderId="0" xfId="0" applyFont="1" applyFill="1" applyAlignment="1">
      <alignment vertical="center"/>
    </xf>
    <xf numFmtId="0" fontId="1" fillId="2" borderId="0" xfId="0" applyFont="1" applyFill="1" applyAlignment="1">
      <alignment vertical="center" wrapText="1"/>
    </xf>
    <xf numFmtId="0" fontId="1" fillId="2" borderId="0" xfId="0" applyFont="1" applyFill="1" applyAlignment="1">
      <alignment vertical="center"/>
    </xf>
    <xf numFmtId="0" fontId="0" fillId="0" borderId="0" xfId="0" applyAlignment="1">
      <alignment vertical="center"/>
    </xf>
    <xf numFmtId="0" fontId="0" fillId="0" borderId="0" xfId="0" applyAlignment="1">
      <alignment vertical="center" wrapText="1"/>
    </xf>
    <xf numFmtId="0" fontId="1" fillId="3" borderId="1" xfId="0" applyFont="1" applyFill="1" applyBorder="1" applyAlignment="1">
      <alignment horizontal="center" vertical="center"/>
    </xf>
    <xf numFmtId="0" fontId="1" fillId="3" borderId="3" xfId="0" applyFont="1" applyFill="1" applyBorder="1" applyAlignment="1">
      <alignment horizontal="center" vertical="center"/>
    </xf>
    <xf numFmtId="0" fontId="1" fillId="3" borderId="3" xfId="0" applyFont="1" applyFill="1" applyBorder="1" applyAlignment="1">
      <alignment vertical="center" wrapText="1"/>
    </xf>
    <xf numFmtId="0" fontId="1" fillId="3" borderId="2" xfId="0" applyFont="1" applyFill="1" applyBorder="1" applyAlignment="1">
      <alignment horizontal="center" vertical="center"/>
    </xf>
    <xf numFmtId="0" fontId="1" fillId="0" borderId="0" xfId="0" applyFont="1" applyAlignment="1">
      <alignment vertical="center"/>
    </xf>
    <xf numFmtId="49" fontId="0" fillId="0" borderId="4" xfId="0" applyNumberFormat="1" applyBorder="1" applyAlignment="1">
      <alignment horizontal="center" vertical="center"/>
    </xf>
    <xf numFmtId="164" fontId="0" fillId="0" borderId="5" xfId="0" applyNumberFormat="1" applyBorder="1" applyAlignment="1">
      <alignment horizontal="center" vertical="center"/>
    </xf>
    <xf numFmtId="0" fontId="3" fillId="0" borderId="5" xfId="0" applyFont="1" applyBorder="1" applyAlignment="1">
      <alignment vertical="center" wrapText="1"/>
    </xf>
    <xf numFmtId="49" fontId="0" fillId="0" borderId="7" xfId="0" applyNumberFormat="1" applyBorder="1" applyAlignment="1">
      <alignment horizontal="center" vertical="center"/>
    </xf>
    <xf numFmtId="164" fontId="0" fillId="0" borderId="8" xfId="0" applyNumberFormat="1" applyBorder="1" applyAlignment="1">
      <alignment horizontal="center" vertical="center"/>
    </xf>
    <xf numFmtId="0" fontId="3" fillId="0" borderId="8" xfId="0" quotePrefix="1" applyFont="1" applyBorder="1" applyAlignment="1">
      <alignment vertical="center" wrapText="1"/>
    </xf>
    <xf numFmtId="0" fontId="0" fillId="0" borderId="9" xfId="0" applyBorder="1" applyAlignment="1">
      <alignment horizontal="center" vertical="center"/>
    </xf>
    <xf numFmtId="0" fontId="0" fillId="0" borderId="5" xfId="0" applyBorder="1" applyAlignment="1">
      <alignment horizontal="center" vertical="center"/>
    </xf>
    <xf numFmtId="0" fontId="0" fillId="0" borderId="6" xfId="0" applyBorder="1" applyAlignment="1">
      <alignment horizontal="center" vertical="center" wrapText="1"/>
    </xf>
    <xf numFmtId="0" fontId="0" fillId="0" borderId="8" xfId="0" applyBorder="1" applyAlignment="1">
      <alignment horizontal="center" vertical="center" wrapText="1"/>
    </xf>
    <xf numFmtId="0" fontId="1" fillId="0" borderId="0" xfId="0" applyFont="1"/>
    <xf numFmtId="0" fontId="2" fillId="0" borderId="0" xfId="0" applyFont="1" applyAlignment="1">
      <alignment vertical="center"/>
    </xf>
    <xf numFmtId="0" fontId="6" fillId="0" borderId="0" xfId="0" applyFont="1" applyAlignment="1">
      <alignment vertical="center"/>
    </xf>
    <xf numFmtId="0" fontId="4" fillId="0" borderId="0" xfId="0" applyFont="1" applyAlignment="1">
      <alignment vertical="center"/>
    </xf>
    <xf numFmtId="0" fontId="1" fillId="4" borderId="10" xfId="0" applyFont="1" applyFill="1" applyBorder="1" applyAlignment="1">
      <alignment vertical="center" wrapText="1"/>
    </xf>
    <xf numFmtId="0" fontId="6" fillId="0" borderId="0" xfId="0" applyFont="1" applyAlignment="1">
      <alignment horizontal="center" vertical="center"/>
    </xf>
    <xf numFmtId="0" fontId="1" fillId="4" borderId="10" xfId="0" applyFont="1" applyFill="1" applyBorder="1" applyAlignment="1">
      <alignment horizontal="center" vertical="center" wrapText="1"/>
    </xf>
    <xf numFmtId="0" fontId="0" fillId="0" borderId="0" xfId="0" applyAlignment="1">
      <alignment horizontal="center" vertical="center" wrapText="1"/>
    </xf>
    <xf numFmtId="0" fontId="4" fillId="0" borderId="0" xfId="0" applyFont="1" applyAlignment="1">
      <alignment horizontal="center" vertical="center"/>
    </xf>
    <xf numFmtId="0" fontId="4" fillId="0" borderId="0" xfId="0" applyFont="1" applyAlignment="1">
      <alignment horizontal="left" vertical="center"/>
    </xf>
    <xf numFmtId="0" fontId="0" fillId="0" borderId="0" xfId="0" applyAlignment="1">
      <alignment horizontal="center" vertical="center"/>
    </xf>
    <xf numFmtId="0" fontId="5" fillId="0" borderId="0" xfId="0" applyFont="1" applyAlignment="1">
      <alignment vertical="center"/>
    </xf>
    <xf numFmtId="0" fontId="0" fillId="0" borderId="0" xfId="0" applyAlignment="1">
      <alignment horizontal="left" vertical="center" wrapText="1"/>
    </xf>
    <xf numFmtId="0" fontId="0" fillId="0" borderId="0" xfId="0" applyAlignment="1">
      <alignment vertical="top" wrapText="1"/>
    </xf>
    <xf numFmtId="0" fontId="0" fillId="0" borderId="0" xfId="0" quotePrefix="1" applyAlignment="1">
      <alignment vertical="center" wrapText="1"/>
    </xf>
    <xf numFmtId="0" fontId="8" fillId="0" borderId="0" xfId="0" applyFont="1" applyAlignment="1">
      <alignment vertical="center" wrapText="1"/>
    </xf>
    <xf numFmtId="0" fontId="8" fillId="0" borderId="0" xfId="0" applyFont="1" applyAlignment="1">
      <alignment horizontal="center" vertical="center" wrapText="1"/>
    </xf>
    <xf numFmtId="49" fontId="0" fillId="0" borderId="11" xfId="0" applyNumberFormat="1" applyBorder="1" applyAlignment="1">
      <alignment horizontal="center" vertical="center"/>
    </xf>
    <xf numFmtId="164" fontId="0" fillId="0" borderId="12" xfId="0" applyNumberFormat="1" applyBorder="1" applyAlignment="1">
      <alignment horizontal="center" vertical="center"/>
    </xf>
    <xf numFmtId="0" fontId="3" fillId="0" borderId="12" xfId="0" applyFont="1" applyBorder="1" applyAlignment="1">
      <alignment vertical="center" wrapText="1"/>
    </xf>
    <xf numFmtId="0" fontId="0" fillId="0" borderId="12" xfId="0" applyBorder="1" applyAlignment="1">
      <alignment horizontal="center" vertical="center"/>
    </xf>
    <xf numFmtId="0" fontId="0" fillId="0" borderId="13" xfId="0" applyBorder="1" applyAlignment="1">
      <alignment horizontal="center" vertical="center"/>
    </xf>
    <xf numFmtId="0" fontId="1" fillId="2" borderId="10" xfId="0" applyFont="1" applyFill="1" applyBorder="1" applyAlignment="1">
      <alignment vertical="center" wrapText="1"/>
    </xf>
    <xf numFmtId="0" fontId="1" fillId="2" borderId="10" xfId="0" applyFont="1" applyFill="1" applyBorder="1" applyAlignment="1">
      <alignment horizontal="center" vertical="center" wrapText="1"/>
    </xf>
    <xf numFmtId="0" fontId="9" fillId="5" borderId="0" xfId="0" applyFont="1" applyFill="1" applyAlignment="1">
      <alignment vertical="center" wrapText="1"/>
    </xf>
    <xf numFmtId="0" fontId="0" fillId="6" borderId="0" xfId="0" applyFill="1" applyAlignment="1">
      <alignment vertical="center" wrapText="1"/>
    </xf>
    <xf numFmtId="0" fontId="6" fillId="0" borderId="0" xfId="0" applyFont="1" applyAlignment="1">
      <alignment horizontal="left" vertical="center"/>
    </xf>
    <xf numFmtId="0" fontId="8" fillId="0" borderId="0" xfId="0" applyFont="1" applyAlignment="1">
      <alignment vertical="top" wrapText="1"/>
    </xf>
    <xf numFmtId="0" fontId="9" fillId="5" borderId="0" xfId="0" applyFont="1" applyFill="1" applyAlignment="1">
      <alignment horizontal="left" vertical="center"/>
    </xf>
    <xf numFmtId="0" fontId="14" fillId="0" borderId="0" xfId="0" applyFont="1" applyAlignment="1">
      <alignment horizontal="left" vertical="center"/>
    </xf>
    <xf numFmtId="0" fontId="11" fillId="0" borderId="0" xfId="1" applyAlignment="1">
      <alignment horizontal="left" vertical="center"/>
    </xf>
    <xf numFmtId="0" fontId="10" fillId="0" borderId="0" xfId="0" applyFont="1" applyAlignment="1">
      <alignment vertical="center" wrapText="1"/>
    </xf>
    <xf numFmtId="0" fontId="10" fillId="0" borderId="0" xfId="0" applyFont="1" applyAlignment="1">
      <alignment vertical="top" wrapText="1"/>
    </xf>
    <xf numFmtId="0" fontId="5" fillId="7" borderId="0" xfId="0" applyFont="1" applyFill="1" applyAlignment="1">
      <alignment vertical="center"/>
    </xf>
    <xf numFmtId="0" fontId="5" fillId="7" borderId="0" xfId="0" applyFont="1" applyFill="1" applyAlignment="1">
      <alignment horizontal="center" vertical="center"/>
    </xf>
    <xf numFmtId="0" fontId="1" fillId="3" borderId="14" xfId="0" applyFont="1" applyFill="1" applyBorder="1" applyAlignment="1">
      <alignment horizontal="center" vertical="center"/>
    </xf>
    <xf numFmtId="0" fontId="0" fillId="0" borderId="15" xfId="0" applyBorder="1" applyAlignment="1">
      <alignment horizontal="center" vertical="center"/>
    </xf>
    <xf numFmtId="0" fontId="0" fillId="0" borderId="16" xfId="0" applyBorder="1" applyAlignment="1">
      <alignment horizontal="center" vertical="center" wrapText="1"/>
    </xf>
    <xf numFmtId="0" fontId="0" fillId="0" borderId="17" xfId="0" applyBorder="1" applyAlignment="1">
      <alignment horizontal="center" vertical="center"/>
    </xf>
    <xf numFmtId="49" fontId="0" fillId="0" borderId="18" xfId="0" applyNumberFormat="1" applyBorder="1" applyAlignment="1">
      <alignment horizontal="center" vertical="center" wrapText="1"/>
    </xf>
    <xf numFmtId="164" fontId="0" fillId="0" borderId="19" xfId="0" applyNumberFormat="1" applyBorder="1" applyAlignment="1">
      <alignment horizontal="center" vertical="center"/>
    </xf>
    <xf numFmtId="0" fontId="3" fillId="0" borderId="19" xfId="0" applyFont="1" applyBorder="1" applyAlignment="1">
      <alignment vertical="center" wrapText="1"/>
    </xf>
    <xf numFmtId="0" fontId="0" fillId="0" borderId="19" xfId="0" applyBorder="1" applyAlignment="1">
      <alignment horizontal="center" vertical="center" wrapText="1"/>
    </xf>
    <xf numFmtId="0" fontId="0" fillId="0" borderId="20" xfId="0" applyBorder="1" applyAlignment="1">
      <alignment horizontal="center" vertical="center" wrapText="1"/>
    </xf>
    <xf numFmtId="0" fontId="0" fillId="0" borderId="21" xfId="0" applyBorder="1" applyAlignment="1">
      <alignment horizontal="center" vertical="center"/>
    </xf>
    <xf numFmtId="49" fontId="0" fillId="0" borderId="7" xfId="0" applyNumberFormat="1" applyBorder="1" applyAlignment="1">
      <alignment horizontal="center" vertical="center" wrapText="1"/>
    </xf>
    <xf numFmtId="0" fontId="3" fillId="0" borderId="8" xfId="0" applyFont="1" applyBorder="1" applyAlignment="1">
      <alignment vertical="center" wrapText="1"/>
    </xf>
    <xf numFmtId="0" fontId="0" fillId="0" borderId="9" xfId="0" applyBorder="1" applyAlignment="1">
      <alignment horizontal="center" vertical="center" wrapText="1"/>
    </xf>
    <xf numFmtId="0" fontId="0" fillId="0" borderId="0" xfId="0" applyAlignment="1">
      <alignment horizontal="center" vertical="center" wrapText="1"/>
    </xf>
    <xf numFmtId="0" fontId="8" fillId="0" borderId="0" xfId="0" applyFont="1" applyAlignment="1">
      <alignment horizontal="center" vertical="center" wrapText="1"/>
    </xf>
    <xf numFmtId="0" fontId="9" fillId="5" borderId="0" xfId="0" applyFont="1" applyFill="1" applyAlignment="1">
      <alignment horizontal="left" vertical="center" wrapText="1"/>
    </xf>
    <xf numFmtId="0" fontId="5" fillId="0" borderId="0" xfId="0" applyFont="1" applyAlignment="1">
      <alignment horizontal="left" vertical="center"/>
    </xf>
    <xf numFmtId="0" fontId="8" fillId="0" borderId="0" xfId="0" applyFont="1" applyAlignment="1">
      <alignment vertical="center" wrapText="1"/>
    </xf>
    <xf numFmtId="0" fontId="0" fillId="0" borderId="0" xfId="0" applyAlignment="1">
      <alignment horizontal="left" vertical="center" wrapText="1"/>
    </xf>
  </cellXfs>
  <cellStyles count="2">
    <cellStyle name="Hyperlink" xfId="1" builtinId="8"/>
    <cellStyle name="Normal" xfId="0" builtinId="0"/>
  </cellStyles>
  <dxfs count="555">
    <dxf>
      <font>
        <color theme="0" tint="-0.34998626667073579"/>
      </font>
    </dxf>
    <dxf>
      <font>
        <color rgb="FF9C0006"/>
      </font>
      <fill>
        <patternFill>
          <bgColor rgb="FFFFC7CE"/>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rgb="FF9C0006"/>
      </font>
      <fill>
        <patternFill>
          <bgColor rgb="FFFFC7CE"/>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rgb="FF9C0006"/>
      </font>
      <fill>
        <patternFill>
          <bgColor rgb="FFFFC7CE"/>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rgb="FF9C0006"/>
      </font>
      <fill>
        <patternFill>
          <bgColor rgb="FFFFC7CE"/>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rgb="FF9C0006"/>
      </font>
      <fill>
        <patternFill>
          <bgColor rgb="FFFFC7CE"/>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rgb="FF9C0006"/>
      </font>
      <fill>
        <patternFill>
          <bgColor rgb="FFFFC7CE"/>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rgb="FF9C0006"/>
      </font>
      <fill>
        <patternFill>
          <bgColor rgb="FFFFC7CE"/>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rgb="FF9C0006"/>
      </font>
      <fill>
        <patternFill>
          <bgColor rgb="FFFFC7CE"/>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rgb="FF9C0006"/>
      </font>
      <fill>
        <patternFill>
          <bgColor rgb="FFFFC7CE"/>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rgb="FF9C0006"/>
      </font>
      <fill>
        <patternFill>
          <bgColor rgb="FFFFC7CE"/>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rgb="FF9C0006"/>
      </font>
      <fill>
        <patternFill>
          <bgColor rgb="FFFFC7CE"/>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rgb="FF9C0006"/>
      </font>
      <fill>
        <patternFill>
          <bgColor rgb="FFFFC7CE"/>
        </patternFill>
      </fill>
    </dxf>
    <dxf>
      <font>
        <color theme="0" tint="-0.34998626667073579"/>
      </font>
    </dxf>
    <dxf>
      <font>
        <color rgb="FF9C0006"/>
      </font>
      <fill>
        <patternFill>
          <bgColor rgb="FFFFC7CE"/>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rgb="FF9C0006"/>
      </font>
      <fill>
        <patternFill>
          <bgColor rgb="FFFFC7CE"/>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rgb="FF9C0006"/>
      </font>
      <fill>
        <patternFill>
          <bgColor rgb="FFFFC7CE"/>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rgb="FF9C0006"/>
      </font>
      <fill>
        <patternFill>
          <bgColor rgb="FFFFC7CE"/>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rgb="FF9C0006"/>
      </font>
      <fill>
        <patternFill>
          <bgColor rgb="FFFFC7CE"/>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rgb="FF9C0006"/>
      </font>
      <fill>
        <patternFill>
          <bgColor rgb="FFFFC7CE"/>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rgb="FF9C0006"/>
      </font>
      <fill>
        <patternFill>
          <bgColor rgb="FFFFC7CE"/>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theme="0" tint="-0.24994659260841701"/>
        </patternFill>
      </fill>
    </dxf>
    <dxf>
      <font>
        <color theme="0" tint="-4.9989318521683403E-2"/>
      </font>
      <fill>
        <patternFill>
          <bgColor theme="1" tint="0.24994659260841701"/>
        </patternFill>
      </fill>
    </dxf>
    <dxf>
      <fill>
        <patternFill>
          <bgColor rgb="FFFF7C80"/>
        </patternFill>
      </fill>
    </dxf>
    <dxf>
      <fill>
        <patternFill>
          <bgColor rgb="FFFFC000"/>
        </patternFill>
      </fill>
    </dxf>
    <dxf>
      <fill>
        <patternFill>
          <bgColor rgb="FF92D050"/>
        </patternFill>
      </fill>
    </dxf>
    <dxf>
      <fill>
        <patternFill>
          <bgColor theme="0" tint="-0.14996795556505021"/>
        </patternFill>
      </fill>
    </dxf>
    <dxf>
      <font>
        <color theme="0" tint="-4.9989318521683403E-2"/>
      </font>
      <fill>
        <patternFill>
          <bgColor theme="1" tint="0.24994659260841701"/>
        </patternFill>
      </fill>
    </dxf>
    <dxf>
      <fill>
        <patternFill>
          <bgColor theme="0" tint="-0.24994659260841701"/>
        </patternFill>
      </fill>
    </dxf>
    <dxf>
      <font>
        <color theme="0" tint="-4.9989318521683403E-2"/>
      </font>
      <fill>
        <patternFill>
          <bgColor theme="1" tint="0.24994659260841701"/>
        </patternFill>
      </fill>
    </dxf>
    <dxf>
      <fill>
        <patternFill>
          <bgColor rgb="FFFF7C80"/>
        </patternFill>
      </fill>
    </dxf>
    <dxf>
      <fill>
        <patternFill>
          <bgColor rgb="FFFFC000"/>
        </patternFill>
      </fill>
    </dxf>
    <dxf>
      <fill>
        <patternFill>
          <bgColor rgb="FF92D050"/>
        </patternFill>
      </fill>
    </dxf>
    <dxf>
      <fill>
        <patternFill>
          <bgColor theme="0" tint="-0.14996795556505021"/>
        </patternFill>
      </fill>
    </dxf>
    <dxf>
      <font>
        <color theme="0" tint="-4.9989318521683403E-2"/>
      </font>
      <fill>
        <patternFill>
          <bgColor theme="1" tint="0.2499465926084170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calcChain" Target="calcChain.xml"/><Relationship Id="rId21" Type="http://schemas.openxmlformats.org/officeDocument/2006/relationships/worksheet" Target="worksheets/sheet21.xml"/><Relationship Id="rId34" Type="http://schemas.openxmlformats.org/officeDocument/2006/relationships/externalLink" Target="externalLinks/externalLink2.xml"/><Relationship Id="rId42" Type="http://schemas.openxmlformats.org/officeDocument/2006/relationships/customXml" Target="../customXml/item3.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styles" Target="styles.xml"/><Relationship Id="rId40"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3.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1.xml"/><Relationship Id="rId38"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hicksi\Documents\Small%20Business%20DCO\Field%20Specs\Small%20Business%20DCO%20Small%20Business%20Form%20Field%20Spec%20v0.1%20WIP.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hicksi\Documents\Small%20Business%20DCO\Field%20Specs\Current\Small%20Business%20DCO%20Funding%20Form%20Field%20Spec%20v1.1%20WIP.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sp.cwb.local/projects/pmo2/Digital%20Program/Digital%20Program%20SharePoint/2%20Digital%20Client%20Onboarding/4%20Small%20Business%20Lending/2%20Design/Field%20Specs/Small%20Business%20DCO%20SmallBiz%20Field%20Spec%20v3.0-LENDING%20DRAF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 Value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 Values"/>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 Values"/>
    </sheetNames>
    <sheetDataSet>
      <sheetData sheetId="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20"/>
  <sheetViews>
    <sheetView tabSelected="1" zoomScaleNormal="100" workbookViewId="0">
      <pane ySplit="2" topLeftCell="A16" activePane="bottomLeft" state="frozen"/>
      <selection pane="bottomLeft" activeCell="C25" sqref="C25"/>
    </sheetView>
  </sheetViews>
  <sheetFormatPr defaultRowHeight="14.25"/>
  <cols>
    <col min="1" max="1" width="19.85546875" customWidth="1"/>
    <col min="2" max="2" width="18.7109375" bestFit="1" customWidth="1"/>
    <col min="3" max="3" width="67.5703125" customWidth="1"/>
    <col min="4" max="6" width="21.5703125" customWidth="1"/>
    <col min="7" max="7" width="20.140625" customWidth="1"/>
  </cols>
  <sheetData>
    <row r="1" spans="1:16" s="1" customFormat="1" ht="18">
      <c r="A1" s="1" t="s">
        <v>0</v>
      </c>
      <c r="B1" s="2"/>
      <c r="C1" s="2"/>
      <c r="D1" s="2"/>
      <c r="E1" s="2"/>
      <c r="F1" s="2"/>
      <c r="G1" s="3"/>
      <c r="H1" s="2"/>
      <c r="I1" s="3"/>
      <c r="J1" s="3"/>
      <c r="K1" s="3"/>
      <c r="L1" s="2"/>
      <c r="M1" s="2"/>
      <c r="N1" s="2"/>
      <c r="O1" s="2"/>
      <c r="P1" s="2"/>
    </row>
    <row r="2" spans="1:16" s="1" customFormat="1" ht="18">
      <c r="A2" s="1" t="s">
        <v>1</v>
      </c>
      <c r="B2" s="2"/>
      <c r="C2" s="2"/>
      <c r="D2" s="2"/>
      <c r="E2" s="2"/>
      <c r="F2" s="2"/>
      <c r="G2" s="3"/>
      <c r="H2" s="2"/>
      <c r="I2" s="3"/>
      <c r="J2" s="3"/>
      <c r="K2" s="3"/>
      <c r="L2" s="2"/>
      <c r="M2" s="2"/>
      <c r="N2" s="2"/>
      <c r="O2" s="2"/>
      <c r="P2" s="2"/>
    </row>
    <row r="3" spans="1:16" s="4" customFormat="1">
      <c r="C3" s="5"/>
    </row>
    <row r="4" spans="1:16" ht="14.65" thickBot="1"/>
    <row r="5" spans="1:16" s="10" customFormat="1" ht="14.65" thickBot="1">
      <c r="A5" s="6" t="s">
        <v>2</v>
      </c>
      <c r="B5" s="7" t="s">
        <v>3</v>
      </c>
      <c r="C5" s="8" t="s">
        <v>4</v>
      </c>
      <c r="D5" s="7" t="s">
        <v>5</v>
      </c>
      <c r="E5" s="56"/>
      <c r="F5" s="9" t="s">
        <v>6</v>
      </c>
    </row>
    <row r="6" spans="1:16" s="4" customFormat="1" ht="15" customHeight="1">
      <c r="A6" s="11" t="s">
        <v>7</v>
      </c>
      <c r="B6" s="12">
        <v>44026</v>
      </c>
      <c r="C6" s="13" t="s">
        <v>8</v>
      </c>
      <c r="D6" s="18" t="s">
        <v>9</v>
      </c>
      <c r="E6" s="57"/>
      <c r="F6" s="19"/>
    </row>
    <row r="7" spans="1:16" s="4" customFormat="1" ht="52.5">
      <c r="A7" s="14" t="s">
        <v>10</v>
      </c>
      <c r="B7" s="15">
        <v>44036</v>
      </c>
      <c r="C7" s="16" t="s">
        <v>11</v>
      </c>
      <c r="D7" s="20" t="s">
        <v>9</v>
      </c>
      <c r="E7" s="58"/>
      <c r="F7" s="17" t="s">
        <v>12</v>
      </c>
    </row>
    <row r="8" spans="1:16" s="4" customFormat="1" ht="65.650000000000006">
      <c r="A8" s="14" t="s">
        <v>13</v>
      </c>
      <c r="B8" s="15">
        <v>44056</v>
      </c>
      <c r="C8" s="16" t="s">
        <v>14</v>
      </c>
      <c r="D8" s="20" t="s">
        <v>9</v>
      </c>
      <c r="E8" s="58"/>
      <c r="F8" s="17" t="s">
        <v>12</v>
      </c>
    </row>
    <row r="9" spans="1:16" s="4" customFormat="1" ht="78.75">
      <c r="A9" s="14" t="s">
        <v>15</v>
      </c>
      <c r="B9" s="15">
        <v>44085</v>
      </c>
      <c r="C9" s="16" t="s">
        <v>16</v>
      </c>
      <c r="D9" s="20" t="s">
        <v>9</v>
      </c>
      <c r="E9" s="58"/>
      <c r="F9" s="17"/>
    </row>
    <row r="10" spans="1:16" s="4" customFormat="1" ht="210">
      <c r="A10" s="14" t="s">
        <v>17</v>
      </c>
      <c r="B10" s="15">
        <v>44134</v>
      </c>
      <c r="C10" s="16" t="s">
        <v>18</v>
      </c>
      <c r="D10" s="20" t="s">
        <v>9</v>
      </c>
      <c r="E10" s="58"/>
      <c r="F10" s="17"/>
    </row>
    <row r="11" spans="1:16" s="4" customFormat="1" ht="26.25">
      <c r="A11" s="14" t="s">
        <v>19</v>
      </c>
      <c r="B11" s="15">
        <v>44218</v>
      </c>
      <c r="C11" s="16" t="s">
        <v>20</v>
      </c>
      <c r="D11" s="20" t="s">
        <v>9</v>
      </c>
      <c r="E11" s="58"/>
      <c r="F11" s="17"/>
    </row>
    <row r="12" spans="1:16" s="4" customFormat="1" ht="170.65">
      <c r="A12" s="14" t="s">
        <v>21</v>
      </c>
      <c r="B12" s="15">
        <v>44239</v>
      </c>
      <c r="C12" s="16" t="s">
        <v>22</v>
      </c>
      <c r="D12" s="20" t="s">
        <v>9</v>
      </c>
      <c r="E12" s="58"/>
      <c r="F12" s="17"/>
    </row>
    <row r="13" spans="1:16" s="4" customFormat="1" ht="131.25">
      <c r="A13" s="14" t="s">
        <v>23</v>
      </c>
      <c r="B13" s="15">
        <v>44267</v>
      </c>
      <c r="C13" s="16" t="s">
        <v>24</v>
      </c>
      <c r="D13" s="20" t="s">
        <v>9</v>
      </c>
      <c r="E13" s="58"/>
      <c r="F13" s="17"/>
    </row>
    <row r="14" spans="1:16" s="4" customFormat="1" ht="131.25">
      <c r="A14" s="38" t="s">
        <v>25</v>
      </c>
      <c r="B14" s="39">
        <v>44295</v>
      </c>
      <c r="C14" s="40" t="s">
        <v>26</v>
      </c>
      <c r="D14" s="41" t="s">
        <v>9</v>
      </c>
      <c r="E14" s="59"/>
      <c r="F14" s="42"/>
    </row>
    <row r="15" spans="1:16" s="4" customFormat="1" ht="236.25">
      <c r="A15" s="66" t="s">
        <v>27</v>
      </c>
      <c r="B15" s="15">
        <v>44344</v>
      </c>
      <c r="C15" s="67" t="s">
        <v>28</v>
      </c>
      <c r="D15" s="20" t="s">
        <v>9</v>
      </c>
      <c r="E15" s="58" t="s">
        <v>29</v>
      </c>
      <c r="F15" s="68" t="s">
        <v>30</v>
      </c>
    </row>
    <row r="16" spans="1:16" ht="85.5">
      <c r="A16" s="66" t="s">
        <v>31</v>
      </c>
      <c r="B16" s="15">
        <v>44365</v>
      </c>
      <c r="C16" s="67" t="s">
        <v>32</v>
      </c>
      <c r="D16" s="20" t="s">
        <v>9</v>
      </c>
      <c r="E16" s="58" t="s">
        <v>29</v>
      </c>
      <c r="F16" s="17"/>
    </row>
    <row r="17" spans="1:6" ht="85.5">
      <c r="A17" s="66" t="s">
        <v>33</v>
      </c>
      <c r="B17" s="15">
        <v>44370</v>
      </c>
      <c r="C17" s="67" t="s">
        <v>34</v>
      </c>
      <c r="D17" s="20" t="s">
        <v>9</v>
      </c>
      <c r="E17" s="58" t="s">
        <v>29</v>
      </c>
      <c r="F17" s="17"/>
    </row>
    <row r="18" spans="1:6" ht="144.4">
      <c r="A18" s="66" t="s">
        <v>35</v>
      </c>
      <c r="B18" s="15">
        <v>44397</v>
      </c>
      <c r="C18" s="67" t="s">
        <v>36</v>
      </c>
      <c r="D18" s="20" t="s">
        <v>9</v>
      </c>
      <c r="E18" s="58" t="s">
        <v>29</v>
      </c>
      <c r="F18" s="17" t="s">
        <v>37</v>
      </c>
    </row>
    <row r="19" spans="1:6" ht="121.9" customHeight="1" thickBot="1">
      <c r="A19" s="60" t="s">
        <v>38</v>
      </c>
      <c r="B19" s="61">
        <v>44453</v>
      </c>
      <c r="C19" s="62" t="s">
        <v>39</v>
      </c>
      <c r="D19" s="63" t="s">
        <v>9</v>
      </c>
      <c r="E19" s="64" t="s">
        <v>40</v>
      </c>
      <c r="F19" s="65"/>
    </row>
    <row r="20" spans="1:6" ht="111.4" customHeight="1" thickBot="1">
      <c r="A20" s="60" t="s">
        <v>41</v>
      </c>
      <c r="B20" s="61">
        <v>44467</v>
      </c>
      <c r="C20" s="62" t="s">
        <v>42</v>
      </c>
      <c r="D20" s="63" t="s">
        <v>43</v>
      </c>
      <c r="E20" s="64" t="s">
        <v>40</v>
      </c>
      <c r="F20" s="65"/>
    </row>
  </sheetData>
  <phoneticPr fontId="17" type="noConversion"/>
  <conditionalFormatting sqref="I1:J2">
    <cfRule type="cellIs" dxfId="554" priority="10" operator="equal">
      <formula>"Not Applicable"</formula>
    </cfRule>
    <cfRule type="cellIs" dxfId="553" priority="11" operator="equal">
      <formula>"4 - Future Initiative (out of scope)"</formula>
    </cfRule>
    <cfRule type="cellIs" dxfId="552" priority="12" operator="equal">
      <formula>"3 - Desirable (Nice To Have)"</formula>
    </cfRule>
    <cfRule type="cellIs" dxfId="551" priority="13" operator="equal">
      <formula>"2 - Recommended (Best Practice)"</formula>
    </cfRule>
    <cfRule type="cellIs" dxfId="550" priority="14" operator="equal">
      <formula>"1 - Mandatory (Must Have)"</formula>
    </cfRule>
  </conditionalFormatting>
  <conditionalFormatting sqref="G1:G2">
    <cfRule type="cellIs" dxfId="549" priority="8" operator="equal">
      <formula>"Non-functional"</formula>
    </cfRule>
    <cfRule type="cellIs" dxfId="548" priority="9" operator="equal">
      <formula>"Functional"</formula>
    </cfRule>
  </conditionalFormatting>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29"/>
  <sheetViews>
    <sheetView workbookViewId="0">
      <selection activeCell="A30" sqref="A30"/>
    </sheetView>
  </sheetViews>
  <sheetFormatPr defaultRowHeight="14.25"/>
  <cols>
    <col min="1" max="1" width="47.28515625" bestFit="1" customWidth="1"/>
    <col min="2" max="2" width="25.5703125" customWidth="1"/>
  </cols>
  <sheetData>
    <row r="1" spans="1:15" s="1" customFormat="1" ht="18">
      <c r="A1" s="1" t="s">
        <v>44</v>
      </c>
      <c r="B1" s="2"/>
      <c r="C1" s="2"/>
      <c r="D1" s="2"/>
      <c r="E1" s="2"/>
      <c r="F1" s="3"/>
      <c r="G1" s="2"/>
      <c r="H1" s="3"/>
      <c r="I1" s="3"/>
      <c r="J1" s="3"/>
      <c r="K1" s="2"/>
      <c r="L1" s="2"/>
      <c r="M1" s="2"/>
      <c r="N1" s="2"/>
      <c r="O1" s="2"/>
    </row>
    <row r="2" spans="1:15" s="1" customFormat="1" ht="18">
      <c r="A2" s="1" t="s">
        <v>45</v>
      </c>
      <c r="B2" s="2"/>
      <c r="C2" s="2"/>
      <c r="D2" s="2"/>
      <c r="E2" s="2"/>
      <c r="F2" s="3"/>
      <c r="G2" s="2"/>
      <c r="H2" s="3"/>
      <c r="I2" s="3"/>
      <c r="J2" s="3"/>
      <c r="K2" s="2"/>
      <c r="L2" s="2"/>
      <c r="M2" s="2"/>
      <c r="N2" s="2"/>
      <c r="O2" s="2"/>
    </row>
    <row r="4" spans="1:15" s="21" customFormat="1">
      <c r="A4" s="21" t="s">
        <v>46</v>
      </c>
      <c r="B4" s="21" t="s">
        <v>47</v>
      </c>
    </row>
    <row r="5" spans="1:15">
      <c r="A5" t="s">
        <v>48</v>
      </c>
      <c r="B5" t="s">
        <v>49</v>
      </c>
    </row>
    <row r="6" spans="1:15">
      <c r="A6" t="s">
        <v>50</v>
      </c>
      <c r="B6" t="s">
        <v>51</v>
      </c>
    </row>
    <row r="7" spans="1:15">
      <c r="A7" t="s">
        <v>52</v>
      </c>
      <c r="B7" t="s">
        <v>53</v>
      </c>
    </row>
    <row r="8" spans="1:15">
      <c r="A8" t="s">
        <v>54</v>
      </c>
      <c r="B8" t="s">
        <v>55</v>
      </c>
    </row>
    <row r="9" spans="1:15">
      <c r="A9" t="s">
        <v>56</v>
      </c>
      <c r="B9" t="s">
        <v>57</v>
      </c>
    </row>
    <row r="10" spans="1:15">
      <c r="A10" t="s">
        <v>58</v>
      </c>
    </row>
    <row r="11" spans="1:15">
      <c r="A11" t="s">
        <v>59</v>
      </c>
    </row>
    <row r="12" spans="1:15">
      <c r="A12" t="s">
        <v>60</v>
      </c>
    </row>
    <row r="13" spans="1:15">
      <c r="A13" t="s">
        <v>61</v>
      </c>
    </row>
    <row r="14" spans="1:15">
      <c r="A14" t="s">
        <v>62</v>
      </c>
    </row>
    <row r="15" spans="1:15">
      <c r="A15" t="s">
        <v>63</v>
      </c>
    </row>
    <row r="16" spans="1:15">
      <c r="A16" t="s">
        <v>64</v>
      </c>
    </row>
    <row r="17" spans="1:1">
      <c r="A17" t="s">
        <v>65</v>
      </c>
    </row>
    <row r="18" spans="1:1">
      <c r="A18" t="s">
        <v>66</v>
      </c>
    </row>
    <row r="19" spans="1:1">
      <c r="A19" t="s">
        <v>67</v>
      </c>
    </row>
    <row r="20" spans="1:1">
      <c r="A20" t="s">
        <v>68</v>
      </c>
    </row>
    <row r="21" spans="1:1">
      <c r="A21" t="s">
        <v>69</v>
      </c>
    </row>
    <row r="22" spans="1:1">
      <c r="A22" t="s">
        <v>70</v>
      </c>
    </row>
    <row r="23" spans="1:1">
      <c r="A23" t="s">
        <v>71</v>
      </c>
    </row>
    <row r="24" spans="1:1">
      <c r="A24" t="s">
        <v>72</v>
      </c>
    </row>
    <row r="25" spans="1:1">
      <c r="A25" t="s">
        <v>73</v>
      </c>
    </row>
    <row r="26" spans="1:1">
      <c r="A26" t="s">
        <v>74</v>
      </c>
    </row>
    <row r="27" spans="1:1">
      <c r="A27" t="s">
        <v>75</v>
      </c>
    </row>
    <row r="28" spans="1:1">
      <c r="A28" t="s">
        <v>76</v>
      </c>
    </row>
    <row r="29" spans="1:1">
      <c r="A29" t="s">
        <v>77</v>
      </c>
    </row>
  </sheetData>
  <sortState xmlns:xlrd2="http://schemas.microsoft.com/office/spreadsheetml/2017/richdata2" ref="A5:A15">
    <sortCondition ref="A16"/>
  </sortState>
  <conditionalFormatting sqref="H1:I2">
    <cfRule type="cellIs" dxfId="547" priority="3" operator="equal">
      <formula>"Not Applicable"</formula>
    </cfRule>
    <cfRule type="cellIs" dxfId="546" priority="4" operator="equal">
      <formula>"4 - Future Initiative (out of scope)"</formula>
    </cfRule>
    <cfRule type="cellIs" dxfId="545" priority="5" operator="equal">
      <formula>"3 - Desirable (Nice To Have)"</formula>
    </cfRule>
    <cfRule type="cellIs" dxfId="544" priority="6" operator="equal">
      <formula>"2 - Recommended (Best Practice)"</formula>
    </cfRule>
    <cfRule type="cellIs" dxfId="543" priority="7" operator="equal">
      <formula>"1 - Mandatory (Must Have)"</formula>
    </cfRule>
  </conditionalFormatting>
  <conditionalFormatting sqref="F1:F2">
    <cfRule type="cellIs" dxfId="542" priority="1" operator="equal">
      <formula>"Non-functional"</formula>
    </cfRule>
    <cfRule type="cellIs" dxfId="541" priority="2" operator="equal">
      <formula>"Functional"</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P11"/>
  <sheetViews>
    <sheetView workbookViewId="0">
      <pane xSplit="4" ySplit="6" topLeftCell="E7" activePane="bottomRight" state="frozen"/>
      <selection pane="bottomRight" activeCell="D3" sqref="D3"/>
      <selection pane="bottomLeft" activeCell="A7" sqref="A7"/>
      <selection pane="topRight" activeCell="E1" sqref="E1"/>
    </sheetView>
  </sheetViews>
  <sheetFormatPr defaultColWidth="9.140625" defaultRowHeight="14.25"/>
  <cols>
    <col min="1" max="1" width="14.7109375" style="5" customWidth="1"/>
    <col min="2" max="2" width="12.5703125" style="5" customWidth="1"/>
    <col min="3" max="3" width="13" style="28" customWidth="1"/>
    <col min="4" max="4" width="45.140625" style="5" customWidth="1"/>
    <col min="5" max="5" width="28.7109375" style="5" customWidth="1"/>
    <col min="6" max="6" width="37" style="5" customWidth="1"/>
    <col min="7" max="7" width="29.28515625" style="5" customWidth="1"/>
    <col min="8" max="8" width="11.5703125" style="28" bestFit="1" customWidth="1"/>
    <col min="9" max="9" width="34.85546875" style="5" customWidth="1"/>
    <col min="10" max="10" width="28.140625" style="5" customWidth="1"/>
    <col min="11" max="11" width="14" style="5" customWidth="1"/>
    <col min="12" max="12" width="23" style="5" customWidth="1"/>
    <col min="13" max="13" width="29" style="5" customWidth="1"/>
    <col min="14" max="14" width="18.7109375" style="5" bestFit="1" customWidth="1"/>
    <col min="15" max="15" width="48.42578125" style="5" customWidth="1"/>
    <col min="16" max="16" width="41.85546875" style="5" customWidth="1"/>
    <col min="17" max="16384" width="9.140625" style="5"/>
  </cols>
  <sheetData>
    <row r="1" spans="1:16" s="24" customFormat="1" ht="18">
      <c r="A1" s="22" t="s">
        <v>78</v>
      </c>
      <c r="B1" s="32" t="s">
        <v>79</v>
      </c>
      <c r="C1" s="26"/>
      <c r="D1" s="23" t="s">
        <v>80</v>
      </c>
      <c r="H1" s="29"/>
    </row>
    <row r="2" spans="1:16" s="24" customFormat="1" ht="18">
      <c r="A2" s="22" t="s">
        <v>81</v>
      </c>
      <c r="B2" s="30">
        <v>1</v>
      </c>
      <c r="C2" s="29"/>
      <c r="D2" s="30"/>
      <c r="H2" s="29"/>
    </row>
    <row r="3" spans="1:16" s="24" customFormat="1" ht="18">
      <c r="A3" s="22" t="s">
        <v>82</v>
      </c>
      <c r="B3" s="50" t="s">
        <v>83</v>
      </c>
      <c r="C3" s="29"/>
      <c r="D3" s="51" t="s">
        <v>84</v>
      </c>
      <c r="H3" s="29"/>
    </row>
    <row r="4" spans="1:16" s="24" customFormat="1" ht="18">
      <c r="A4" s="22" t="s">
        <v>85</v>
      </c>
      <c r="B4" s="24" t="s">
        <v>86</v>
      </c>
      <c r="C4" s="29"/>
      <c r="H4" s="29"/>
    </row>
    <row r="5" spans="1:16" s="4" customFormat="1">
      <c r="C5" s="31"/>
      <c r="H5" s="31"/>
    </row>
    <row r="6" spans="1:16" s="25" customFormat="1" ht="14.65" thickBot="1">
      <c r="A6" s="25" t="s">
        <v>87</v>
      </c>
      <c r="B6" s="25" t="s">
        <v>88</v>
      </c>
      <c r="C6" s="27" t="s">
        <v>89</v>
      </c>
      <c r="D6" s="25" t="s">
        <v>90</v>
      </c>
      <c r="E6" s="25" t="s">
        <v>91</v>
      </c>
      <c r="F6" s="25" t="s">
        <v>92</v>
      </c>
      <c r="G6" s="25" t="s">
        <v>93</v>
      </c>
      <c r="H6" s="27" t="s">
        <v>94</v>
      </c>
      <c r="I6" s="25" t="s">
        <v>95</v>
      </c>
      <c r="J6" s="25" t="s">
        <v>96</v>
      </c>
      <c r="K6" s="25" t="s">
        <v>97</v>
      </c>
      <c r="L6" s="25" t="s">
        <v>98</v>
      </c>
      <c r="M6" s="25" t="s">
        <v>99</v>
      </c>
      <c r="N6" s="25" t="s">
        <v>100</v>
      </c>
      <c r="O6" s="25" t="s">
        <v>101</v>
      </c>
      <c r="P6" s="25" t="s">
        <v>102</v>
      </c>
    </row>
    <row r="7" spans="1:16">
      <c r="D7" s="52" t="s">
        <v>103</v>
      </c>
    </row>
    <row r="8" spans="1:16" ht="28.5">
      <c r="D8" s="53" t="s">
        <v>104</v>
      </c>
    </row>
    <row r="9" spans="1:16">
      <c r="D9" s="52" t="s">
        <v>105</v>
      </c>
    </row>
    <row r="10" spans="1:16">
      <c r="D10" s="52" t="s">
        <v>106</v>
      </c>
    </row>
    <row r="11" spans="1:16">
      <c r="D11" s="52" t="s">
        <v>107</v>
      </c>
    </row>
  </sheetData>
  <autoFilter ref="A6:P6" xr:uid="{00000000-0009-0000-0000-000002000000}"/>
  <conditionalFormatting sqref="C7:C1048576">
    <cfRule type="cellIs" dxfId="540" priority="19" operator="equal">
      <formula>"WIP (see comments)"</formula>
    </cfRule>
    <cfRule type="cellIs" dxfId="539" priority="20" operator="equal">
      <formula>"Removed"</formula>
    </cfRule>
    <cfRule type="cellIs" dxfId="538" priority="21" operator="equal">
      <formula>"Updated"</formula>
    </cfRule>
    <cfRule type="cellIs" dxfId="537" priority="22" operator="equal">
      <formula>"New"</formula>
    </cfRule>
  </conditionalFormatting>
  <conditionalFormatting sqref="A12:XFD1048576 A4:XFD6 A1:C3 C8:C11 E1:XFD3">
    <cfRule type="cellIs" dxfId="536" priority="18" operator="equal">
      <formula>"n/a"</formula>
    </cfRule>
  </conditionalFormatting>
  <conditionalFormatting sqref="D8:D9">
    <cfRule type="cellIs" dxfId="535" priority="17" operator="equal">
      <formula>"-"</formula>
    </cfRule>
  </conditionalFormatting>
  <conditionalFormatting sqref="A8:B9 D9:XFD9 D8:O8 Q8:XFD8">
    <cfRule type="cellIs" dxfId="534" priority="16" operator="equal">
      <formula>"n/a"</formula>
    </cfRule>
  </conditionalFormatting>
  <conditionalFormatting sqref="A7:XFD7">
    <cfRule type="cellIs" dxfId="533" priority="11" operator="equal">
      <formula>"n/a"</formula>
    </cfRule>
  </conditionalFormatting>
  <conditionalFormatting sqref="A11:B11 D11:XFD11">
    <cfRule type="cellIs" dxfId="532" priority="10" operator="equal">
      <formula>"n/a"</formula>
    </cfRule>
  </conditionalFormatting>
  <conditionalFormatting sqref="A10:B10 D10:XFD10">
    <cfRule type="cellIs" dxfId="531" priority="9" operator="equal">
      <formula>"n/a"</formula>
    </cfRule>
  </conditionalFormatting>
  <conditionalFormatting sqref="P8">
    <cfRule type="cellIs" dxfId="530" priority="2" operator="equal">
      <formula>"n/a"</formula>
    </cfRule>
  </conditionalFormatting>
  <conditionalFormatting sqref="D1:D3">
    <cfRule type="cellIs" dxfId="529" priority="1" operator="equal">
      <formula>"n/a"</formula>
    </cfRule>
  </conditionalFormatting>
  <dataValidations count="1">
    <dataValidation type="list" allowBlank="1" showInputMessage="1" showErrorMessage="1" sqref="E8:E1048576" xr:uid="{00000000-0002-0000-0200-000000000000}">
      <formula1>$A$5:$A$29</formula1>
    </dataValidation>
  </dataValidations>
  <hyperlinks>
    <hyperlink ref="D3" location="'F. Resume'!A1" display="See F. Resume (CWBSB-240)" xr:uid="{00000000-0004-0000-0200-000000000000}"/>
  </hyperlink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200-000001000000}">
          <x14:formula1>
            <xm:f>'List Values'!$A$5:$A$31</xm:f>
          </x14:formula1>
          <xm:sqref>E7</xm:sqref>
        </x14:dataValidation>
        <x14:dataValidation type="list" allowBlank="1" showInputMessage="1" showErrorMessage="1" xr:uid="{00000000-0002-0000-0200-000002000000}">
          <x14:formula1>
            <xm:f>'List Values'!$B$5:$B$13</xm:f>
          </x14:formula1>
          <xm:sqref>C7:C1048576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FF00"/>
  </sheetPr>
  <dimension ref="A1:P33"/>
  <sheetViews>
    <sheetView zoomScaleNormal="100" workbookViewId="0">
      <pane xSplit="4" ySplit="6" topLeftCell="E18" activePane="bottomRight" state="frozen"/>
      <selection pane="bottomRight" activeCell="D28" sqref="D28"/>
      <selection pane="bottomLeft" activeCell="A7" sqref="A7"/>
      <selection pane="topRight" activeCell="E1" sqref="E1"/>
    </sheetView>
  </sheetViews>
  <sheetFormatPr defaultColWidth="9.140625" defaultRowHeight="14.25"/>
  <cols>
    <col min="1" max="1" width="14.7109375" style="5" customWidth="1"/>
    <col min="2" max="2" width="12.5703125" style="5" customWidth="1"/>
    <col min="3" max="3" width="13" style="28" customWidth="1"/>
    <col min="4" max="4" width="75.85546875" style="5" customWidth="1"/>
    <col min="5" max="5" width="28.7109375" style="5" customWidth="1"/>
    <col min="6" max="6" width="14.5703125" style="5" bestFit="1" customWidth="1"/>
    <col min="7" max="7" width="17.7109375" style="5" customWidth="1"/>
    <col min="8" max="8" width="9.140625" style="5"/>
    <col min="9" max="9" width="34.85546875" style="5" customWidth="1"/>
    <col min="10" max="10" width="13.28515625" style="5" bestFit="1" customWidth="1"/>
    <col min="11" max="11" width="10.7109375" style="5" bestFit="1" customWidth="1"/>
    <col min="12" max="12" width="19.28515625" style="5" bestFit="1" customWidth="1"/>
    <col min="13" max="13" width="21.140625" style="5" bestFit="1" customWidth="1"/>
    <col min="14" max="14" width="18.7109375" style="5" bestFit="1" customWidth="1"/>
    <col min="15" max="15" width="48.42578125" style="5" customWidth="1"/>
    <col min="16" max="16" width="41.85546875" style="5" customWidth="1"/>
    <col min="17" max="16384" width="9.140625" style="5"/>
  </cols>
  <sheetData>
    <row r="1" spans="1:16" s="24" customFormat="1" ht="18">
      <c r="A1" s="22" t="s">
        <v>78</v>
      </c>
      <c r="B1" s="32" t="s">
        <v>108</v>
      </c>
      <c r="C1" s="26"/>
      <c r="D1" s="23"/>
    </row>
    <row r="2" spans="1:16" s="24" customFormat="1" ht="18">
      <c r="A2" s="22" t="s">
        <v>81</v>
      </c>
      <c r="B2" s="30">
        <v>2</v>
      </c>
      <c r="C2" s="29"/>
      <c r="D2" s="30" t="s">
        <v>109</v>
      </c>
    </row>
    <row r="3" spans="1:16" s="24" customFormat="1" ht="18">
      <c r="A3" s="22" t="s">
        <v>82</v>
      </c>
      <c r="B3" s="30" t="s">
        <v>110</v>
      </c>
      <c r="C3" s="29"/>
      <c r="E3" s="30" t="s">
        <v>111</v>
      </c>
    </row>
    <row r="4" spans="1:16" s="24" customFormat="1" ht="18">
      <c r="A4" s="22" t="s">
        <v>85</v>
      </c>
      <c r="B4" s="24" t="s">
        <v>112</v>
      </c>
      <c r="C4" s="29"/>
      <c r="D4" s="30"/>
      <c r="E4" s="30" t="s">
        <v>113</v>
      </c>
    </row>
    <row r="5" spans="1:16" s="4" customFormat="1">
      <c r="C5" s="31"/>
    </row>
    <row r="6" spans="1:16" s="25" customFormat="1" ht="14.65" thickBot="1">
      <c r="A6" s="25" t="s">
        <v>87</v>
      </c>
      <c r="B6" s="25" t="s">
        <v>88</v>
      </c>
      <c r="C6" s="27" t="s">
        <v>89</v>
      </c>
      <c r="D6" s="25" t="s">
        <v>90</v>
      </c>
      <c r="E6" s="25" t="s">
        <v>91</v>
      </c>
      <c r="F6" s="25" t="s">
        <v>92</v>
      </c>
      <c r="G6" s="25" t="s">
        <v>93</v>
      </c>
      <c r="H6" s="25" t="s">
        <v>94</v>
      </c>
      <c r="I6" s="25" t="s">
        <v>95</v>
      </c>
      <c r="J6" s="25" t="s">
        <v>96</v>
      </c>
      <c r="K6" s="25" t="s">
        <v>97</v>
      </c>
      <c r="L6" s="25" t="s">
        <v>98</v>
      </c>
      <c r="M6" s="25" t="s">
        <v>99</v>
      </c>
      <c r="N6" s="25" t="s">
        <v>100</v>
      </c>
      <c r="O6" s="25" t="s">
        <v>101</v>
      </c>
      <c r="P6" s="25" t="s">
        <v>102</v>
      </c>
    </row>
    <row r="7" spans="1:16">
      <c r="A7" s="5">
        <v>1</v>
      </c>
      <c r="B7" s="5" t="str">
        <f>CONCATENATE($B$2, ".", A7)</f>
        <v>2.1</v>
      </c>
      <c r="C7" s="28" t="s">
        <v>51</v>
      </c>
      <c r="D7" s="5" t="s">
        <v>114</v>
      </c>
      <c r="E7" s="5" t="s">
        <v>65</v>
      </c>
      <c r="F7" s="5" t="s">
        <v>105</v>
      </c>
      <c r="G7" s="5" t="s">
        <v>105</v>
      </c>
      <c r="H7" s="5" t="s">
        <v>105</v>
      </c>
      <c r="I7" s="5" t="s">
        <v>86</v>
      </c>
      <c r="J7" s="5" t="s">
        <v>105</v>
      </c>
      <c r="K7" s="5" t="s">
        <v>105</v>
      </c>
      <c r="L7" s="5" t="s">
        <v>105</v>
      </c>
      <c r="M7" s="5" t="s">
        <v>105</v>
      </c>
      <c r="N7" s="5" t="s">
        <v>105</v>
      </c>
    </row>
    <row r="8" spans="1:16">
      <c r="A8" s="5">
        <v>2</v>
      </c>
      <c r="B8" s="5" t="str">
        <f>CONCATENATE($B$2, ".", A8)</f>
        <v>2.2</v>
      </c>
      <c r="C8" s="28" t="s">
        <v>51</v>
      </c>
      <c r="D8" s="5" t="s">
        <v>105</v>
      </c>
      <c r="E8" s="5" t="s">
        <v>64</v>
      </c>
      <c r="F8" s="5" t="s">
        <v>105</v>
      </c>
      <c r="G8" s="5" t="s">
        <v>105</v>
      </c>
      <c r="H8" s="5" t="s">
        <v>105</v>
      </c>
      <c r="I8" s="5" t="s">
        <v>86</v>
      </c>
      <c r="J8" s="5" t="s">
        <v>105</v>
      </c>
      <c r="K8" s="5" t="s">
        <v>105</v>
      </c>
      <c r="L8" s="5" t="s">
        <v>105</v>
      </c>
      <c r="M8" s="5" t="s">
        <v>105</v>
      </c>
      <c r="N8" s="5" t="s">
        <v>105</v>
      </c>
      <c r="O8" s="5" t="s">
        <v>105</v>
      </c>
    </row>
    <row r="9" spans="1:16" ht="28.5">
      <c r="A9" s="5">
        <v>3</v>
      </c>
      <c r="B9" s="5" t="str">
        <f>CONCATENATE($B$2, ".", A9)</f>
        <v>2.3</v>
      </c>
      <c r="C9" s="28" t="s">
        <v>51</v>
      </c>
      <c r="D9" s="5" t="s">
        <v>115</v>
      </c>
      <c r="E9" s="5" t="s">
        <v>73</v>
      </c>
      <c r="F9" s="5" t="s">
        <v>105</v>
      </c>
      <c r="G9" s="5" t="s">
        <v>105</v>
      </c>
      <c r="H9" s="5" t="s">
        <v>105</v>
      </c>
      <c r="I9" s="5" t="s">
        <v>86</v>
      </c>
      <c r="J9" s="5" t="s">
        <v>105</v>
      </c>
      <c r="K9" s="5" t="s">
        <v>105</v>
      </c>
      <c r="L9" s="5" t="s">
        <v>105</v>
      </c>
      <c r="M9" s="5" t="s">
        <v>105</v>
      </c>
      <c r="N9" s="5" t="s">
        <v>105</v>
      </c>
      <c r="O9" s="5" t="s">
        <v>116</v>
      </c>
    </row>
    <row r="10" spans="1:16" ht="128.25" customHeight="1">
      <c r="A10" s="5">
        <v>4</v>
      </c>
      <c r="B10" s="5" t="str">
        <f>CONCATENATE($B$2, ".", A10)</f>
        <v>2.4</v>
      </c>
      <c r="C10" s="28" t="s">
        <v>55</v>
      </c>
      <c r="D10" s="5" t="s">
        <v>117</v>
      </c>
      <c r="E10" s="5" t="s">
        <v>73</v>
      </c>
      <c r="F10" s="5" t="s">
        <v>105</v>
      </c>
      <c r="G10" s="5" t="s">
        <v>105</v>
      </c>
      <c r="H10" s="5" t="s">
        <v>105</v>
      </c>
      <c r="I10" s="5" t="s">
        <v>118</v>
      </c>
      <c r="J10" s="5" t="s">
        <v>105</v>
      </c>
      <c r="K10" s="5" t="s">
        <v>105</v>
      </c>
      <c r="L10" s="5" t="s">
        <v>105</v>
      </c>
      <c r="M10" s="5" t="s">
        <v>105</v>
      </c>
      <c r="N10" s="5" t="s">
        <v>105</v>
      </c>
      <c r="O10" s="5" t="s">
        <v>119</v>
      </c>
    </row>
    <row r="11" spans="1:16" ht="128.25" customHeight="1">
      <c r="A11" s="5">
        <v>5</v>
      </c>
      <c r="B11" s="5" t="str">
        <f>CONCATENATE($B$2, ".", A11)</f>
        <v>2.5</v>
      </c>
      <c r="C11" s="28" t="s">
        <v>55</v>
      </c>
      <c r="D11" s="5" t="s">
        <v>120</v>
      </c>
      <c r="E11" s="5" t="s">
        <v>73</v>
      </c>
      <c r="F11" s="5" t="s">
        <v>105</v>
      </c>
      <c r="G11" s="5" t="s">
        <v>105</v>
      </c>
      <c r="H11" s="5" t="s">
        <v>105</v>
      </c>
      <c r="I11" s="5" t="s">
        <v>118</v>
      </c>
      <c r="J11" s="5" t="s">
        <v>105</v>
      </c>
      <c r="K11" s="5" t="s">
        <v>105</v>
      </c>
      <c r="L11" s="5" t="s">
        <v>105</v>
      </c>
      <c r="M11" s="5" t="s">
        <v>105</v>
      </c>
      <c r="N11" s="5" t="s">
        <v>105</v>
      </c>
      <c r="O11" s="5" t="s">
        <v>121</v>
      </c>
    </row>
    <row r="12" spans="1:16" s="45" customFormat="1" ht="14.65" customHeight="1">
      <c r="A12" s="49" t="s">
        <v>122</v>
      </c>
      <c r="B12" s="49"/>
      <c r="C12" s="49"/>
      <c r="D12" s="49"/>
      <c r="E12" s="49"/>
    </row>
    <row r="13" spans="1:16" ht="60" customHeight="1">
      <c r="A13" s="5">
        <v>6</v>
      </c>
      <c r="B13" s="5" t="str">
        <f>CONCATENATE($B$2, ".", A13)</f>
        <v>2.6</v>
      </c>
      <c r="C13" s="28" t="s">
        <v>51</v>
      </c>
      <c r="D13" s="5" t="s">
        <v>123</v>
      </c>
      <c r="E13" s="5" t="s">
        <v>70</v>
      </c>
      <c r="F13" s="5" t="s">
        <v>105</v>
      </c>
      <c r="G13" s="5" t="s">
        <v>105</v>
      </c>
      <c r="H13" s="5" t="s">
        <v>105</v>
      </c>
      <c r="I13" s="5" t="s">
        <v>124</v>
      </c>
      <c r="J13" s="5" t="s">
        <v>105</v>
      </c>
      <c r="K13" s="5" t="s">
        <v>105</v>
      </c>
      <c r="L13" s="5" t="s">
        <v>105</v>
      </c>
      <c r="M13" s="5" t="s">
        <v>105</v>
      </c>
      <c r="N13" s="5" t="s">
        <v>105</v>
      </c>
      <c r="O13" s="5" t="s">
        <v>125</v>
      </c>
    </row>
    <row r="14" spans="1:16" ht="128.25" customHeight="1">
      <c r="A14" s="5">
        <v>7</v>
      </c>
      <c r="B14" s="5" t="str">
        <f>CONCATENATE($B$2, ".", A14)</f>
        <v>2.7</v>
      </c>
      <c r="C14" s="28" t="s">
        <v>51</v>
      </c>
      <c r="D14" s="5" t="s">
        <v>126</v>
      </c>
      <c r="E14" s="5" t="s">
        <v>59</v>
      </c>
      <c r="F14" s="5" t="s">
        <v>105</v>
      </c>
      <c r="G14" s="5" t="s">
        <v>105</v>
      </c>
      <c r="H14" s="5" t="s">
        <v>105</v>
      </c>
      <c r="I14" s="5" t="s">
        <v>124</v>
      </c>
      <c r="J14" s="5" t="s">
        <v>105</v>
      </c>
      <c r="K14" s="5" t="s">
        <v>105</v>
      </c>
      <c r="L14" s="5" t="s">
        <v>105</v>
      </c>
      <c r="M14" s="5" t="s">
        <v>105</v>
      </c>
      <c r="N14" s="5" t="s">
        <v>105</v>
      </c>
      <c r="O14" s="5" t="s">
        <v>127</v>
      </c>
      <c r="P14" s="5" t="s">
        <v>128</v>
      </c>
    </row>
    <row r="15" spans="1:16" s="45" customFormat="1" ht="14.65" customHeight="1">
      <c r="A15" s="49" t="s">
        <v>129</v>
      </c>
      <c r="B15" s="49"/>
      <c r="C15" s="49"/>
      <c r="D15" s="49"/>
      <c r="E15" s="49"/>
    </row>
    <row r="16" spans="1:16" ht="28.5">
      <c r="A16" s="5">
        <v>8</v>
      </c>
      <c r="B16" s="5" t="str">
        <f>CONCATENATE($B$2, ".", A16)</f>
        <v>2.8</v>
      </c>
      <c r="C16" s="28" t="s">
        <v>55</v>
      </c>
      <c r="D16" s="5" t="s">
        <v>130</v>
      </c>
      <c r="E16" s="5" t="s">
        <v>70</v>
      </c>
      <c r="F16" s="5" t="s">
        <v>105</v>
      </c>
      <c r="G16" s="5" t="s">
        <v>105</v>
      </c>
      <c r="H16" s="5" t="s">
        <v>105</v>
      </c>
      <c r="I16" s="5" t="s">
        <v>131</v>
      </c>
      <c r="J16" s="5" t="s">
        <v>105</v>
      </c>
      <c r="K16" s="5" t="s">
        <v>105</v>
      </c>
      <c r="L16" s="5" t="s">
        <v>105</v>
      </c>
      <c r="M16" s="5" t="s">
        <v>105</v>
      </c>
      <c r="N16" s="5" t="s">
        <v>105</v>
      </c>
      <c r="O16" s="5" t="s">
        <v>132</v>
      </c>
    </row>
    <row r="17" spans="1:16" ht="128.25">
      <c r="A17" s="5">
        <v>9</v>
      </c>
      <c r="B17" s="5" t="str">
        <f>CONCATENATE($B$2, ".", A17)</f>
        <v>2.9</v>
      </c>
      <c r="C17" s="28" t="s">
        <v>55</v>
      </c>
      <c r="D17" s="5" t="s">
        <v>133</v>
      </c>
      <c r="E17" s="5" t="s">
        <v>59</v>
      </c>
      <c r="F17" s="5" t="s">
        <v>105</v>
      </c>
      <c r="G17" s="5" t="s">
        <v>105</v>
      </c>
      <c r="H17" s="5" t="s">
        <v>105</v>
      </c>
      <c r="I17" s="5" t="s">
        <v>131</v>
      </c>
      <c r="J17" s="5" t="s">
        <v>105</v>
      </c>
      <c r="K17" s="5" t="s">
        <v>105</v>
      </c>
      <c r="L17" s="5" t="s">
        <v>105</v>
      </c>
      <c r="M17" s="5" t="s">
        <v>105</v>
      </c>
      <c r="N17" s="5" t="s">
        <v>105</v>
      </c>
      <c r="O17" s="5" t="s">
        <v>134</v>
      </c>
      <c r="P17" s="5" t="s">
        <v>135</v>
      </c>
    </row>
    <row r="18" spans="1:16" ht="54.75" customHeight="1">
      <c r="A18" s="5">
        <v>10</v>
      </c>
      <c r="B18" s="5" t="str">
        <f>CONCATENATE($B$2, ".", A18)</f>
        <v>2.10</v>
      </c>
      <c r="C18" s="28" t="s">
        <v>55</v>
      </c>
      <c r="D18" s="5" t="s">
        <v>136</v>
      </c>
      <c r="E18" s="5" t="s">
        <v>59</v>
      </c>
      <c r="F18" s="5" t="s">
        <v>105</v>
      </c>
      <c r="G18" s="5" t="s">
        <v>105</v>
      </c>
      <c r="H18" s="5" t="s">
        <v>105</v>
      </c>
      <c r="I18" s="5" t="s">
        <v>137</v>
      </c>
      <c r="J18" s="5" t="s">
        <v>105</v>
      </c>
      <c r="K18" s="5" t="s">
        <v>105</v>
      </c>
      <c r="L18" s="5" t="s">
        <v>105</v>
      </c>
      <c r="M18" s="5" t="s">
        <v>105</v>
      </c>
      <c r="N18" s="5" t="s">
        <v>105</v>
      </c>
      <c r="O18" s="5" t="s">
        <v>138</v>
      </c>
    </row>
    <row r="19" spans="1:16" s="45" customFormat="1">
      <c r="A19" s="49" t="s">
        <v>139</v>
      </c>
      <c r="B19" s="49"/>
      <c r="C19" s="49"/>
      <c r="D19" s="49"/>
      <c r="E19" s="49"/>
    </row>
    <row r="20" spans="1:16">
      <c r="A20" s="5">
        <v>11</v>
      </c>
      <c r="B20" s="5" t="str">
        <f>CONCATENATE($B$2, ".", A20)</f>
        <v>2.11</v>
      </c>
      <c r="C20" s="28" t="s">
        <v>51</v>
      </c>
      <c r="D20" s="5" t="s">
        <v>140</v>
      </c>
      <c r="E20" s="5" t="s">
        <v>70</v>
      </c>
      <c r="F20" s="5" t="s">
        <v>105</v>
      </c>
      <c r="G20" s="5" t="s">
        <v>105</v>
      </c>
      <c r="H20" s="5" t="s">
        <v>105</v>
      </c>
      <c r="I20" s="5" t="s">
        <v>141</v>
      </c>
      <c r="J20" s="5" t="s">
        <v>105</v>
      </c>
      <c r="K20" s="5" t="s">
        <v>105</v>
      </c>
      <c r="L20" s="5" t="s">
        <v>105</v>
      </c>
      <c r="M20" s="5" t="s">
        <v>105</v>
      </c>
      <c r="N20" s="5" t="s">
        <v>105</v>
      </c>
    </row>
    <row r="21" spans="1:16" ht="28.5">
      <c r="A21" s="5">
        <v>12</v>
      </c>
      <c r="B21" s="5" t="str">
        <f>CONCATENATE($B$2, ".", A21)</f>
        <v>2.12</v>
      </c>
      <c r="C21" s="28" t="s">
        <v>49</v>
      </c>
      <c r="D21" s="5" t="s">
        <v>142</v>
      </c>
      <c r="E21" s="5" t="s">
        <v>59</v>
      </c>
      <c r="F21" s="5" t="s">
        <v>105</v>
      </c>
      <c r="G21" s="5" t="s">
        <v>105</v>
      </c>
      <c r="H21" s="5" t="s">
        <v>105</v>
      </c>
      <c r="I21" s="5" t="s">
        <v>141</v>
      </c>
      <c r="J21" s="5" t="s">
        <v>105</v>
      </c>
      <c r="K21" s="5" t="s">
        <v>105</v>
      </c>
      <c r="L21" s="5" t="s">
        <v>105</v>
      </c>
      <c r="M21" s="5" t="s">
        <v>105</v>
      </c>
      <c r="N21" s="5" t="s">
        <v>105</v>
      </c>
      <c r="O21" s="5" t="s">
        <v>143</v>
      </c>
    </row>
    <row r="22" spans="1:16" ht="57">
      <c r="A22" s="5">
        <v>13</v>
      </c>
      <c r="B22" s="5" t="str">
        <f>CONCATENATE($B$2, ".", A22)</f>
        <v>2.13</v>
      </c>
      <c r="C22" s="28" t="s">
        <v>51</v>
      </c>
      <c r="D22" s="5" t="s">
        <v>144</v>
      </c>
      <c r="E22" s="5" t="s">
        <v>59</v>
      </c>
      <c r="F22" s="5" t="s">
        <v>105</v>
      </c>
      <c r="G22" s="5" t="s">
        <v>105</v>
      </c>
      <c r="H22" s="5" t="s">
        <v>105</v>
      </c>
      <c r="I22" s="5" t="s">
        <v>141</v>
      </c>
      <c r="J22" s="5" t="s">
        <v>105</v>
      </c>
      <c r="K22" s="5" t="s">
        <v>105</v>
      </c>
      <c r="L22" s="5" t="s">
        <v>105</v>
      </c>
      <c r="M22" s="5" t="s">
        <v>105</v>
      </c>
      <c r="N22" s="5" t="s">
        <v>105</v>
      </c>
      <c r="O22" s="5" t="s">
        <v>145</v>
      </c>
      <c r="P22" s="5" t="s">
        <v>146</v>
      </c>
    </row>
    <row r="23" spans="1:16" ht="57">
      <c r="A23" s="5">
        <v>14</v>
      </c>
      <c r="B23" s="5" t="str">
        <f>CONCATENATE($B$2, ".", A23)</f>
        <v>2.14</v>
      </c>
      <c r="C23" s="28" t="s">
        <v>51</v>
      </c>
      <c r="D23" s="5" t="s">
        <v>147</v>
      </c>
      <c r="E23" s="5" t="s">
        <v>59</v>
      </c>
      <c r="F23" s="5" t="s">
        <v>105</v>
      </c>
      <c r="G23" s="5" t="s">
        <v>105</v>
      </c>
      <c r="H23" s="5" t="s">
        <v>105</v>
      </c>
      <c r="I23" s="5" t="s">
        <v>141</v>
      </c>
      <c r="J23" s="5" t="s">
        <v>105</v>
      </c>
      <c r="K23" s="5" t="s">
        <v>105</v>
      </c>
      <c r="L23" s="5" t="s">
        <v>105</v>
      </c>
      <c r="M23" s="5" t="s">
        <v>105</v>
      </c>
      <c r="N23" s="5" t="s">
        <v>105</v>
      </c>
      <c r="O23" s="5" t="s">
        <v>148</v>
      </c>
    </row>
    <row r="24" spans="1:16" s="45" customFormat="1">
      <c r="A24" s="49" t="s">
        <v>149</v>
      </c>
      <c r="B24" s="49"/>
      <c r="C24" s="49"/>
      <c r="D24" s="49"/>
      <c r="E24" s="49"/>
    </row>
    <row r="25" spans="1:16">
      <c r="A25" s="5">
        <v>14</v>
      </c>
      <c r="B25" s="5" t="str">
        <f>CONCATENATE($B$2, ".", A25)</f>
        <v>2.14</v>
      </c>
      <c r="C25" s="28" t="s">
        <v>55</v>
      </c>
      <c r="D25" s="5" t="s">
        <v>150</v>
      </c>
      <c r="E25" s="5" t="s">
        <v>70</v>
      </c>
      <c r="F25" s="5" t="s">
        <v>105</v>
      </c>
      <c r="G25" s="5" t="s">
        <v>105</v>
      </c>
      <c r="H25" s="5" t="s">
        <v>105</v>
      </c>
      <c r="I25" s="5" t="s">
        <v>141</v>
      </c>
      <c r="J25" s="5" t="s">
        <v>105</v>
      </c>
      <c r="K25" s="5" t="s">
        <v>105</v>
      </c>
      <c r="L25" s="5" t="s">
        <v>105</v>
      </c>
      <c r="M25" s="5" t="s">
        <v>105</v>
      </c>
      <c r="N25" s="5" t="s">
        <v>105</v>
      </c>
      <c r="O25" s="5" t="s">
        <v>151</v>
      </c>
    </row>
    <row r="26" spans="1:16" ht="71.25">
      <c r="A26" s="5">
        <v>15</v>
      </c>
      <c r="B26" s="5" t="str">
        <f>CONCATENATE($B$2, ".", A26)</f>
        <v>2.15</v>
      </c>
      <c r="C26" s="28" t="s">
        <v>55</v>
      </c>
      <c r="D26" s="5" t="s">
        <v>152</v>
      </c>
      <c r="E26" s="5" t="s">
        <v>72</v>
      </c>
      <c r="F26" s="5" t="s">
        <v>105</v>
      </c>
      <c r="G26" s="5" t="s">
        <v>105</v>
      </c>
      <c r="H26" s="5" t="s">
        <v>105</v>
      </c>
      <c r="I26" s="5" t="s">
        <v>141</v>
      </c>
      <c r="J26" s="5" t="s">
        <v>105</v>
      </c>
      <c r="K26" s="5" t="s">
        <v>105</v>
      </c>
      <c r="L26" s="5" t="s">
        <v>105</v>
      </c>
      <c r="M26" s="5" t="s">
        <v>105</v>
      </c>
      <c r="N26" s="5" t="s">
        <v>105</v>
      </c>
      <c r="O26" s="5" t="s">
        <v>151</v>
      </c>
    </row>
    <row r="27" spans="1:16" ht="27" customHeight="1">
      <c r="A27" s="5">
        <v>16</v>
      </c>
      <c r="B27" s="5" t="str">
        <f>CONCATENATE($B$2, ".", A27)</f>
        <v>2.16</v>
      </c>
      <c r="C27" s="28" t="s">
        <v>55</v>
      </c>
      <c r="D27" s="5" t="s">
        <v>153</v>
      </c>
      <c r="E27" s="5" t="s">
        <v>70</v>
      </c>
      <c r="F27" s="5" t="s">
        <v>105</v>
      </c>
      <c r="G27" s="5" t="s">
        <v>105</v>
      </c>
      <c r="H27" s="5" t="s">
        <v>105</v>
      </c>
      <c r="I27" s="5" t="s">
        <v>141</v>
      </c>
      <c r="J27" s="5" t="s">
        <v>105</v>
      </c>
      <c r="K27" s="5" t="s">
        <v>105</v>
      </c>
      <c r="L27" s="5" t="s">
        <v>105</v>
      </c>
      <c r="M27" s="5" t="s">
        <v>105</v>
      </c>
      <c r="N27" s="5" t="s">
        <v>105</v>
      </c>
      <c r="O27" s="5" t="s">
        <v>151</v>
      </c>
    </row>
    <row r="28" spans="1:16" ht="66.75" customHeight="1">
      <c r="A28" s="5">
        <v>17</v>
      </c>
      <c r="B28" s="5" t="str">
        <f>CONCATENATE($B$2, ".", A28)</f>
        <v>2.17</v>
      </c>
      <c r="C28" s="28" t="s">
        <v>55</v>
      </c>
      <c r="D28" s="5" t="s">
        <v>154</v>
      </c>
      <c r="E28" s="5" t="s">
        <v>72</v>
      </c>
      <c r="F28" s="5" t="s">
        <v>105</v>
      </c>
      <c r="G28" s="5" t="s">
        <v>105</v>
      </c>
      <c r="H28" s="5" t="s">
        <v>105</v>
      </c>
      <c r="I28" s="5" t="s">
        <v>141</v>
      </c>
      <c r="J28" s="5" t="s">
        <v>105</v>
      </c>
      <c r="K28" s="5" t="s">
        <v>105</v>
      </c>
      <c r="L28" s="5" t="s">
        <v>105</v>
      </c>
      <c r="M28" s="5" t="s">
        <v>105</v>
      </c>
      <c r="N28" s="5" t="s">
        <v>105</v>
      </c>
      <c r="O28" s="5" t="s">
        <v>151</v>
      </c>
    </row>
    <row r="29" spans="1:16" ht="28.5">
      <c r="A29" s="5">
        <v>18</v>
      </c>
      <c r="B29" s="5" t="str">
        <f>CONCATENATE($B$2, ".", A29)</f>
        <v>2.18</v>
      </c>
      <c r="C29" s="28" t="s">
        <v>51</v>
      </c>
      <c r="D29" s="5" t="s">
        <v>155</v>
      </c>
      <c r="E29" s="5" t="s">
        <v>48</v>
      </c>
      <c r="F29" s="5" t="s">
        <v>105</v>
      </c>
      <c r="G29" s="5" t="s">
        <v>105</v>
      </c>
      <c r="H29" s="5" t="s">
        <v>105</v>
      </c>
      <c r="I29" s="5" t="s">
        <v>86</v>
      </c>
      <c r="J29" s="5" t="s">
        <v>105</v>
      </c>
      <c r="K29" s="5" t="s">
        <v>105</v>
      </c>
      <c r="L29" s="5" t="s">
        <v>105</v>
      </c>
      <c r="M29" s="5" t="s">
        <v>105</v>
      </c>
      <c r="N29" s="5" t="s">
        <v>105</v>
      </c>
      <c r="O29" s="5" t="s">
        <v>156</v>
      </c>
    </row>
    <row r="33" spans="4:4">
      <c r="D33" s="35"/>
    </row>
  </sheetData>
  <conditionalFormatting sqref="C13:C14 C7 C30:C1048576 C16:C18 C9:C11">
    <cfRule type="cellIs" dxfId="528" priority="52" operator="equal">
      <formula>"WIP (see comments)"</formula>
    </cfRule>
    <cfRule type="cellIs" dxfId="527" priority="53" operator="equal">
      <formula>"Removed"</formula>
    </cfRule>
    <cfRule type="cellIs" dxfId="526" priority="54" operator="equal">
      <formula>"Updated"</formula>
    </cfRule>
    <cfRule type="cellIs" dxfId="525" priority="55" operator="equal">
      <formula>"New"</formula>
    </cfRule>
  </conditionalFormatting>
  <conditionalFormatting sqref="A1:C1 E1:XFD1 A2:XFD2 A3:C3 A13:XFD14 A30:XFD32 A4:XFD7 P8:XFD8 A8:B8 A27:B29 D29:XFD29 E3:XFD3 A9:XFD11 A16:XFD18 D22:H23 D21 D27:H28 P27:XFD28 A34:XFD1048576 A33:C33 E33:XFD33 J27:N28">
    <cfRule type="cellIs" dxfId="524" priority="51" operator="equal">
      <formula>"n/a"</formula>
    </cfRule>
  </conditionalFormatting>
  <conditionalFormatting sqref="F15:XFD15 A15">
    <cfRule type="cellIs" dxfId="523" priority="50" operator="equal">
      <formula>"n/a"</formula>
    </cfRule>
  </conditionalFormatting>
  <conditionalFormatting sqref="F12:XFD12 A12">
    <cfRule type="cellIs" dxfId="522" priority="49" operator="equal">
      <formula>"n/a"</formula>
    </cfRule>
  </conditionalFormatting>
  <conditionalFormatting sqref="D1">
    <cfRule type="cellIs" dxfId="521" priority="47" operator="equal">
      <formula>"n/a"</formula>
    </cfRule>
  </conditionalFormatting>
  <conditionalFormatting sqref="E4">
    <cfRule type="cellIs" dxfId="520" priority="46" operator="equal">
      <formula>"n/a"</formula>
    </cfRule>
  </conditionalFormatting>
  <conditionalFormatting sqref="J22:XFD23 A25:B26 D25:E26 B20:B23 O25:XFD26">
    <cfRule type="cellIs" dxfId="519" priority="41" operator="equal">
      <formula>"n/a"</formula>
    </cfRule>
  </conditionalFormatting>
  <conditionalFormatting sqref="F19:XFD19 A19">
    <cfRule type="cellIs" dxfId="518" priority="40" operator="equal">
      <formula>"n/a"</formula>
    </cfRule>
  </conditionalFormatting>
  <conditionalFormatting sqref="F25:H26 J25:N26">
    <cfRule type="cellIs" dxfId="517" priority="38" operator="equal">
      <formula>"n/a"</formula>
    </cfRule>
  </conditionalFormatting>
  <conditionalFormatting sqref="F24:XFD24 A24">
    <cfRule type="cellIs" dxfId="516" priority="36" operator="equal">
      <formula>"n/a"</formula>
    </cfRule>
  </conditionalFormatting>
  <conditionalFormatting sqref="C8">
    <cfRule type="cellIs" dxfId="515" priority="27" operator="equal">
      <formula>"WIP (see comments)"</formula>
    </cfRule>
    <cfRule type="cellIs" dxfId="514" priority="28" operator="equal">
      <formula>"Removed"</formula>
    </cfRule>
    <cfRule type="cellIs" dxfId="513" priority="29" operator="equal">
      <formula>"Updated"</formula>
    </cfRule>
    <cfRule type="cellIs" dxfId="512" priority="30" operator="equal">
      <formula>"New"</formula>
    </cfRule>
  </conditionalFormatting>
  <conditionalFormatting sqref="C8:O8">
    <cfRule type="cellIs" dxfId="511" priority="26" operator="equal">
      <formula>"n/a"</formula>
    </cfRule>
  </conditionalFormatting>
  <conditionalFormatting sqref="I21:I23 D20:XFD20 D21 F21:XFD21 A20:A23">
    <cfRule type="cellIs" dxfId="510" priority="21" operator="equal">
      <formula>"n/a"</formula>
    </cfRule>
  </conditionalFormatting>
  <conditionalFormatting sqref="C20:C23">
    <cfRule type="cellIs" dxfId="509" priority="17" operator="equal">
      <formula>"WIP (see comments)"</formula>
    </cfRule>
    <cfRule type="cellIs" dxfId="508" priority="18" operator="equal">
      <formula>"Removed"</formula>
    </cfRule>
    <cfRule type="cellIs" dxfId="507" priority="19" operator="equal">
      <formula>"Updated"</formula>
    </cfRule>
    <cfRule type="cellIs" dxfId="506" priority="20" operator="equal">
      <formula>"New"</formula>
    </cfRule>
  </conditionalFormatting>
  <conditionalFormatting sqref="C20:C23">
    <cfRule type="cellIs" dxfId="505" priority="16" operator="equal">
      <formula>"n/a"</formula>
    </cfRule>
  </conditionalFormatting>
  <conditionalFormatting sqref="C25:C29">
    <cfRule type="cellIs" dxfId="504" priority="7" operator="equal">
      <formula>"WIP (see comments)"</formula>
    </cfRule>
    <cfRule type="cellIs" dxfId="503" priority="8" operator="equal">
      <formula>"Removed"</formula>
    </cfRule>
    <cfRule type="cellIs" dxfId="502" priority="9" operator="equal">
      <formula>"Updated"</formula>
    </cfRule>
    <cfRule type="cellIs" dxfId="501" priority="10" operator="equal">
      <formula>"New"</formula>
    </cfRule>
  </conditionalFormatting>
  <conditionalFormatting sqref="C25:C29">
    <cfRule type="cellIs" dxfId="500" priority="6" operator="equal">
      <formula>"n/a"</formula>
    </cfRule>
  </conditionalFormatting>
  <conditionalFormatting sqref="E21">
    <cfRule type="cellIs" dxfId="499" priority="5" operator="equal">
      <formula>"n/a"</formula>
    </cfRule>
  </conditionalFormatting>
  <conditionalFormatting sqref="I25:I26">
    <cfRule type="cellIs" dxfId="498" priority="4" operator="equal">
      <formula>"n/a"</formula>
    </cfRule>
  </conditionalFormatting>
  <conditionalFormatting sqref="O27:O28">
    <cfRule type="cellIs" dxfId="497" priority="3" operator="equal">
      <formula>"n/a"</formula>
    </cfRule>
  </conditionalFormatting>
  <conditionalFormatting sqref="D33">
    <cfRule type="cellIs" dxfId="496" priority="2" operator="equal">
      <formula>"n/a"</formula>
    </cfRule>
  </conditionalFormatting>
  <conditionalFormatting sqref="I27:I28">
    <cfRule type="cellIs" dxfId="495" priority="1" operator="equal">
      <formula>"n/a"</formula>
    </cfRule>
  </conditionalFormatting>
  <dataValidations count="2">
    <dataValidation type="list" allowBlank="1" showInputMessage="1" showErrorMessage="1" sqref="C7 C30:C1048576 C9:C11" xr:uid="{00000000-0002-0000-0300-000000000000}">
      <formula1>$B$5:$B$15</formula1>
    </dataValidation>
    <dataValidation type="list" allowBlank="1" showInputMessage="1" showErrorMessage="1" sqref="E30:E1048576" xr:uid="{00000000-0002-0000-0300-000001000000}">
      <formula1>$A$5:$A$30</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300-000002000000}">
          <x14:formula1>
            <xm:f>'List Values'!$B$5:$B$14</xm:f>
          </x14:formula1>
          <xm:sqref>C13:C14 C16:C18 C20:C23 C25:C29</xm:sqref>
        </x14:dataValidation>
        <x14:dataValidation type="list" allowBlank="1" showInputMessage="1" showErrorMessage="1" xr:uid="{00000000-0002-0000-0300-000003000000}">
          <x14:formula1>
            <xm:f>'List Values'!$B$5:$B$9</xm:f>
          </x14:formula1>
          <xm:sqref>C8</xm:sqref>
        </x14:dataValidation>
        <x14:dataValidation type="list" allowBlank="1" showInputMessage="1" showErrorMessage="1" xr:uid="{00000000-0002-0000-0300-000004000000}">
          <x14:formula1>
            <xm:f>'List Values'!$A$5:$A$29</xm:f>
          </x14:formula1>
          <xm:sqref>E7:E29</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FF00"/>
  </sheetPr>
  <dimension ref="A1:P11"/>
  <sheetViews>
    <sheetView zoomScaleNormal="100" workbookViewId="0">
      <pane xSplit="4" ySplit="6" topLeftCell="H7" activePane="bottomRight" state="frozen"/>
      <selection pane="bottomRight" activeCell="M15" sqref="M15"/>
      <selection pane="bottomLeft" activeCell="A7" sqref="A7"/>
      <selection pane="topRight" activeCell="E1" sqref="E1"/>
    </sheetView>
  </sheetViews>
  <sheetFormatPr defaultColWidth="9.140625" defaultRowHeight="14.25"/>
  <cols>
    <col min="1" max="1" width="14.7109375" style="5" customWidth="1"/>
    <col min="2" max="2" width="12.5703125" style="5" customWidth="1"/>
    <col min="3" max="3" width="16.140625" style="28" customWidth="1"/>
    <col min="4" max="4" width="45.140625" style="5" customWidth="1"/>
    <col min="5" max="5" width="28.7109375" style="5" customWidth="1"/>
    <col min="6" max="6" width="17" style="5" customWidth="1"/>
    <col min="7" max="7" width="17.7109375" style="5" customWidth="1"/>
    <col min="8" max="8" width="27.85546875" style="5" customWidth="1"/>
    <col min="9" max="9" width="34.85546875" style="5" customWidth="1"/>
    <col min="10" max="10" width="13.28515625" style="5" bestFit="1" customWidth="1"/>
    <col min="11" max="11" width="10.7109375" style="5" bestFit="1" customWidth="1"/>
    <col min="12" max="12" width="19.28515625" style="5" bestFit="1" customWidth="1"/>
    <col min="13" max="13" width="29" style="5" customWidth="1"/>
    <col min="14" max="14" width="18.7109375" style="5" bestFit="1" customWidth="1"/>
    <col min="15" max="15" width="48.42578125" style="5" customWidth="1"/>
    <col min="16" max="16" width="41.85546875" style="5" customWidth="1"/>
    <col min="17" max="16384" width="9.140625" style="5"/>
  </cols>
  <sheetData>
    <row r="1" spans="1:16" s="24" customFormat="1" ht="18">
      <c r="A1" s="22" t="s">
        <v>78</v>
      </c>
      <c r="B1" s="32" t="s">
        <v>157</v>
      </c>
      <c r="C1" s="26"/>
      <c r="D1" s="23"/>
    </row>
    <row r="2" spans="1:16" s="24" customFormat="1" ht="18">
      <c r="A2" s="22" t="s">
        <v>81</v>
      </c>
      <c r="B2" s="30">
        <v>3</v>
      </c>
      <c r="C2" s="29"/>
      <c r="D2" s="30" t="s">
        <v>158</v>
      </c>
    </row>
    <row r="3" spans="1:16" s="24" customFormat="1" ht="18">
      <c r="A3" s="22" t="s">
        <v>82</v>
      </c>
      <c r="B3" s="30" t="s">
        <v>159</v>
      </c>
      <c r="C3" s="29"/>
    </row>
    <row r="4" spans="1:16" s="24" customFormat="1" ht="18">
      <c r="A4" s="22" t="s">
        <v>85</v>
      </c>
      <c r="B4" s="24" t="s">
        <v>160</v>
      </c>
      <c r="C4" s="29"/>
      <c r="D4" s="23"/>
      <c r="E4" s="30" t="s">
        <v>161</v>
      </c>
    </row>
    <row r="5" spans="1:16" s="4" customFormat="1">
      <c r="C5" s="31"/>
    </row>
    <row r="6" spans="1:16" s="25" customFormat="1" ht="14.65" thickBot="1">
      <c r="A6" s="25" t="s">
        <v>87</v>
      </c>
      <c r="B6" s="25" t="s">
        <v>88</v>
      </c>
      <c r="C6" s="27" t="s">
        <v>89</v>
      </c>
      <c r="D6" s="25" t="s">
        <v>90</v>
      </c>
      <c r="E6" s="25" t="s">
        <v>91</v>
      </c>
      <c r="F6" s="25" t="s">
        <v>92</v>
      </c>
      <c r="G6" s="25" t="s">
        <v>93</v>
      </c>
      <c r="H6" s="25" t="s">
        <v>94</v>
      </c>
      <c r="I6" s="25" t="s">
        <v>95</v>
      </c>
      <c r="J6" s="25" t="s">
        <v>96</v>
      </c>
      <c r="K6" s="25" t="s">
        <v>97</v>
      </c>
      <c r="L6" s="25" t="s">
        <v>98</v>
      </c>
      <c r="M6" s="25" t="s">
        <v>99</v>
      </c>
      <c r="N6" s="25" t="s">
        <v>100</v>
      </c>
      <c r="O6" s="25" t="s">
        <v>101</v>
      </c>
      <c r="P6" s="25" t="s">
        <v>102</v>
      </c>
    </row>
    <row r="7" spans="1:16">
      <c r="A7" s="5">
        <v>1</v>
      </c>
      <c r="B7" s="5" t="str">
        <f t="shared" ref="B7:B11" si="0">CONCATENATE($B$2, ".", A7)</f>
        <v>3.1</v>
      </c>
      <c r="C7" s="28" t="s">
        <v>51</v>
      </c>
      <c r="D7" s="5" t="s">
        <v>162</v>
      </c>
      <c r="E7" s="5" t="s">
        <v>65</v>
      </c>
      <c r="F7" s="5" t="s">
        <v>105</v>
      </c>
      <c r="G7" s="5" t="s">
        <v>105</v>
      </c>
      <c r="H7" s="5" t="s">
        <v>105</v>
      </c>
      <c r="I7" s="5" t="s">
        <v>86</v>
      </c>
      <c r="J7" s="5" t="s">
        <v>105</v>
      </c>
      <c r="K7" s="5" t="s">
        <v>105</v>
      </c>
      <c r="L7" s="5" t="s">
        <v>105</v>
      </c>
      <c r="M7" s="5" t="s">
        <v>105</v>
      </c>
      <c r="N7" s="5" t="s">
        <v>105</v>
      </c>
      <c r="O7" s="5" t="s">
        <v>105</v>
      </c>
    </row>
    <row r="8" spans="1:16">
      <c r="A8" s="5">
        <v>2</v>
      </c>
      <c r="B8" s="5" t="str">
        <f t="shared" si="0"/>
        <v>3.2</v>
      </c>
      <c r="C8" s="28" t="s">
        <v>51</v>
      </c>
      <c r="D8" s="5" t="s">
        <v>105</v>
      </c>
      <c r="E8" s="5" t="s">
        <v>64</v>
      </c>
      <c r="F8" s="5" t="s">
        <v>105</v>
      </c>
      <c r="G8" s="5" t="s">
        <v>105</v>
      </c>
      <c r="H8" s="5" t="s">
        <v>105</v>
      </c>
      <c r="I8" s="5" t="s">
        <v>86</v>
      </c>
      <c r="J8" s="5" t="s">
        <v>105</v>
      </c>
      <c r="K8" s="5" t="s">
        <v>105</v>
      </c>
      <c r="L8" s="5" t="s">
        <v>105</v>
      </c>
      <c r="M8" s="5" t="s">
        <v>105</v>
      </c>
      <c r="N8" s="5" t="s">
        <v>105</v>
      </c>
      <c r="O8" s="5" t="s">
        <v>105</v>
      </c>
    </row>
    <row r="9" spans="1:16" ht="28.5">
      <c r="A9" s="5">
        <v>3</v>
      </c>
      <c r="B9" s="5" t="str">
        <f t="shared" si="0"/>
        <v>3.3</v>
      </c>
      <c r="C9" s="28" t="s">
        <v>55</v>
      </c>
      <c r="D9" s="5" t="s">
        <v>163</v>
      </c>
      <c r="E9" s="5" t="s">
        <v>67</v>
      </c>
      <c r="F9" s="5" t="s">
        <v>164</v>
      </c>
      <c r="G9" s="5" t="s">
        <v>105</v>
      </c>
      <c r="H9" s="5" t="s">
        <v>105</v>
      </c>
      <c r="I9" s="5" t="s">
        <v>86</v>
      </c>
      <c r="J9" s="5" t="s">
        <v>165</v>
      </c>
      <c r="K9" s="5" t="s">
        <v>166</v>
      </c>
      <c r="L9" s="5" t="s">
        <v>105</v>
      </c>
      <c r="M9" s="5" t="s">
        <v>105</v>
      </c>
      <c r="N9" s="5" t="s">
        <v>105</v>
      </c>
      <c r="O9" s="5" t="s">
        <v>105</v>
      </c>
    </row>
    <row r="10" spans="1:16" ht="85.5">
      <c r="A10" s="5">
        <v>4</v>
      </c>
      <c r="B10" s="5" t="str">
        <f>CONCATENATE($B$2, ".", A10)</f>
        <v>3.4</v>
      </c>
      <c r="C10" s="28" t="s">
        <v>51</v>
      </c>
      <c r="D10" s="5" t="s">
        <v>155</v>
      </c>
      <c r="E10" s="5" t="s">
        <v>48</v>
      </c>
      <c r="F10" s="5" t="s">
        <v>105</v>
      </c>
      <c r="G10" s="5" t="s">
        <v>105</v>
      </c>
      <c r="H10" s="5" t="s">
        <v>105</v>
      </c>
      <c r="I10" s="5" t="s">
        <v>86</v>
      </c>
      <c r="J10" s="5" t="s">
        <v>105</v>
      </c>
      <c r="K10" s="5" t="s">
        <v>105</v>
      </c>
      <c r="L10" s="5" t="s">
        <v>105</v>
      </c>
      <c r="M10" s="5" t="s">
        <v>105</v>
      </c>
      <c r="N10" s="5" t="s">
        <v>105</v>
      </c>
      <c r="O10" s="5" t="s">
        <v>167</v>
      </c>
    </row>
    <row r="11" spans="1:16" ht="28.5">
      <c r="A11" s="5">
        <v>5</v>
      </c>
      <c r="B11" s="5" t="str">
        <f t="shared" si="0"/>
        <v>3.5</v>
      </c>
      <c r="C11" s="28" t="s">
        <v>51</v>
      </c>
      <c r="D11" s="5" t="s">
        <v>168</v>
      </c>
      <c r="E11" s="5" t="s">
        <v>48</v>
      </c>
      <c r="F11" s="5" t="s">
        <v>105</v>
      </c>
      <c r="G11" s="5" t="s">
        <v>105</v>
      </c>
      <c r="H11" s="5" t="s">
        <v>105</v>
      </c>
      <c r="I11" s="5" t="s">
        <v>86</v>
      </c>
      <c r="J11" s="5" t="s">
        <v>105</v>
      </c>
      <c r="K11" s="5" t="s">
        <v>105</v>
      </c>
      <c r="L11" s="5" t="s">
        <v>105</v>
      </c>
      <c r="M11" s="5" t="s">
        <v>105</v>
      </c>
      <c r="N11" s="5" t="s">
        <v>105</v>
      </c>
      <c r="O11" s="5" t="s">
        <v>169</v>
      </c>
    </row>
  </sheetData>
  <conditionalFormatting sqref="C12:C1048576">
    <cfRule type="cellIs" dxfId="494" priority="20" operator="equal">
      <formula>"WIP (see comments)"</formula>
    </cfRule>
    <cfRule type="cellIs" dxfId="493" priority="21" operator="equal">
      <formula>"Removed"</formula>
    </cfRule>
    <cfRule type="cellIs" dxfId="492" priority="22" operator="equal">
      <formula>"Updated"</formula>
    </cfRule>
    <cfRule type="cellIs" dxfId="491" priority="23" operator="equal">
      <formula>"New"</formula>
    </cfRule>
  </conditionalFormatting>
  <conditionalFormatting sqref="A1:C1 E1:XFD1 A2:XFD2 F3:XFD3 A3:C3 A4:XFD6 A12:XFD1048576">
    <cfRule type="cellIs" dxfId="490" priority="19" operator="equal">
      <formula>"n/a"</formula>
    </cfRule>
  </conditionalFormatting>
  <conditionalFormatting sqref="D1">
    <cfRule type="cellIs" dxfId="489" priority="17" operator="equal">
      <formula>"n/a"</formula>
    </cfRule>
  </conditionalFormatting>
  <conditionalFormatting sqref="C7:C11">
    <cfRule type="cellIs" dxfId="488" priority="2" operator="equal">
      <formula>"WIP (see comments)"</formula>
    </cfRule>
    <cfRule type="cellIs" dxfId="487" priority="3" operator="equal">
      <formula>"Removed"</formula>
    </cfRule>
    <cfRule type="cellIs" dxfId="486" priority="4" operator="equal">
      <formula>"Updated"</formula>
    </cfRule>
    <cfRule type="cellIs" dxfId="485" priority="5" operator="equal">
      <formula>"New"</formula>
    </cfRule>
  </conditionalFormatting>
  <conditionalFormatting sqref="A7:XFD11">
    <cfRule type="cellIs" dxfId="484" priority="1" operator="equal">
      <formula>"n/a"</formula>
    </cfRule>
  </conditionalFormatting>
  <dataValidations count="1">
    <dataValidation type="list" allowBlank="1" showInputMessage="1" showErrorMessage="1" sqref="C12:C1048576" xr:uid="{00000000-0002-0000-0400-000000000000}">
      <formula1>$B$5:$B$9</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400-000001000000}">
          <x14:formula1>
            <xm:f>'C:\Users\hicksi\Documents\Small Business DCO\Field Specs\[Small Business DCO Small Business Form Field Spec v0.1 WIP.xlsx]List Values'!#REF!</xm:f>
          </x14:formula1>
          <xm:sqref>E12:E1048576</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0" tint="-0.499984740745262"/>
  </sheetPr>
  <dimension ref="A1:P12"/>
  <sheetViews>
    <sheetView zoomScaleNormal="100" workbookViewId="0">
      <pane xSplit="4" ySplit="6" topLeftCell="E7" activePane="bottomRight" state="frozen"/>
      <selection pane="bottomRight" activeCell="D9" sqref="D9"/>
      <selection pane="bottomLeft" activeCell="A7" sqref="A7"/>
      <selection pane="topRight" activeCell="E1" sqref="E1"/>
    </sheetView>
  </sheetViews>
  <sheetFormatPr defaultColWidth="9.140625" defaultRowHeight="14.25"/>
  <cols>
    <col min="1" max="1" width="14.7109375" style="5" customWidth="1"/>
    <col min="2" max="2" width="12.5703125" style="5" customWidth="1"/>
    <col min="3" max="3" width="16.140625" style="28" customWidth="1"/>
    <col min="4" max="4" width="45.140625" style="5" customWidth="1"/>
    <col min="5" max="5" width="28.7109375" style="5" customWidth="1"/>
    <col min="6" max="6" width="17" style="5" customWidth="1"/>
    <col min="7" max="7" width="21.28515625" style="5" customWidth="1"/>
    <col min="8" max="8" width="27.85546875" style="5" customWidth="1"/>
    <col min="9" max="9" width="34.85546875" style="5" customWidth="1"/>
    <col min="10" max="10" width="13.28515625" style="5" bestFit="1" customWidth="1"/>
    <col min="11" max="11" width="10.7109375" style="5" bestFit="1" customWidth="1"/>
    <col min="12" max="12" width="19.28515625" style="5" bestFit="1" customWidth="1"/>
    <col min="13" max="13" width="29" style="5" customWidth="1"/>
    <col min="14" max="14" width="18.7109375" style="5" bestFit="1" customWidth="1"/>
    <col min="15" max="15" width="48.42578125" style="5" customWidth="1"/>
    <col min="16" max="16" width="41.85546875" style="5" customWidth="1"/>
    <col min="17" max="16384" width="9.140625" style="5"/>
  </cols>
  <sheetData>
    <row r="1" spans="1:16" s="24" customFormat="1" ht="18">
      <c r="A1" s="22" t="s">
        <v>78</v>
      </c>
      <c r="B1" s="32" t="s">
        <v>170</v>
      </c>
      <c r="C1" s="26" t="s">
        <v>171</v>
      </c>
      <c r="D1" s="23"/>
    </row>
    <row r="2" spans="1:16" s="24" customFormat="1" ht="18">
      <c r="A2" s="22" t="s">
        <v>81</v>
      </c>
      <c r="B2" s="30" t="s">
        <v>172</v>
      </c>
      <c r="C2" s="29"/>
      <c r="D2" s="30"/>
    </row>
    <row r="3" spans="1:16" s="24" customFormat="1" ht="18">
      <c r="A3" s="22" t="s">
        <v>82</v>
      </c>
      <c r="B3" s="50" t="s">
        <v>173</v>
      </c>
      <c r="C3" s="30"/>
      <c r="D3" s="30"/>
    </row>
    <row r="4" spans="1:16" s="24" customFormat="1" ht="18">
      <c r="A4" s="22" t="s">
        <v>85</v>
      </c>
      <c r="B4" s="24" t="s">
        <v>174</v>
      </c>
      <c r="C4" s="29"/>
    </row>
    <row r="5" spans="1:16" s="4" customFormat="1">
      <c r="C5" s="31"/>
    </row>
    <row r="6" spans="1:16" s="25" customFormat="1" ht="14.65" thickBot="1">
      <c r="A6" s="25" t="s">
        <v>87</v>
      </c>
      <c r="B6" s="25" t="s">
        <v>88</v>
      </c>
      <c r="C6" s="27" t="s">
        <v>89</v>
      </c>
      <c r="D6" s="25" t="s">
        <v>90</v>
      </c>
      <c r="E6" s="25" t="s">
        <v>91</v>
      </c>
      <c r="F6" s="25" t="s">
        <v>92</v>
      </c>
      <c r="G6" s="25" t="s">
        <v>93</v>
      </c>
      <c r="H6" s="25" t="s">
        <v>94</v>
      </c>
      <c r="I6" s="25" t="s">
        <v>95</v>
      </c>
      <c r="J6" s="25" t="s">
        <v>96</v>
      </c>
      <c r="K6" s="25" t="s">
        <v>97</v>
      </c>
      <c r="L6" s="25" t="s">
        <v>98</v>
      </c>
      <c r="M6" s="25" t="s">
        <v>99</v>
      </c>
      <c r="N6" s="25" t="s">
        <v>100</v>
      </c>
      <c r="O6" s="25" t="s">
        <v>101</v>
      </c>
      <c r="P6" s="25" t="s">
        <v>102</v>
      </c>
    </row>
    <row r="7" spans="1:16">
      <c r="A7" s="5">
        <v>1</v>
      </c>
      <c r="B7" s="5" t="str">
        <f t="shared" ref="B7:B11" si="0">CONCATENATE($B$2, ".", A7)</f>
        <v>3a.1</v>
      </c>
      <c r="C7" s="28" t="s">
        <v>53</v>
      </c>
      <c r="D7" s="5" t="s">
        <v>175</v>
      </c>
      <c r="E7" s="5" t="s">
        <v>65</v>
      </c>
    </row>
    <row r="8" spans="1:16">
      <c r="A8" s="5">
        <v>2</v>
      </c>
      <c r="B8" s="5" t="str">
        <f t="shared" si="0"/>
        <v>3a.2</v>
      </c>
      <c r="C8" s="28" t="s">
        <v>53</v>
      </c>
      <c r="D8" s="5" t="s">
        <v>105</v>
      </c>
      <c r="E8" s="5" t="s">
        <v>64</v>
      </c>
    </row>
    <row r="9" spans="1:16" ht="168" customHeight="1">
      <c r="A9" s="5">
        <v>3</v>
      </c>
      <c r="B9" s="5" t="str">
        <f t="shared" si="0"/>
        <v>3a.3</v>
      </c>
      <c r="C9" s="28" t="s">
        <v>53</v>
      </c>
      <c r="D9" s="5" t="s">
        <v>176</v>
      </c>
      <c r="E9" s="5" t="s">
        <v>72</v>
      </c>
    </row>
    <row r="10" spans="1:16" ht="28.5">
      <c r="A10" s="5">
        <v>4</v>
      </c>
      <c r="B10" s="5" t="str">
        <f>CONCATENATE($B$2, ".", A10)</f>
        <v>3a.4</v>
      </c>
      <c r="C10" s="28" t="s">
        <v>53</v>
      </c>
      <c r="D10" s="5" t="s">
        <v>177</v>
      </c>
      <c r="E10" s="5" t="s">
        <v>178</v>
      </c>
    </row>
    <row r="11" spans="1:16">
      <c r="A11" s="5">
        <v>5</v>
      </c>
      <c r="B11" s="5" t="str">
        <f t="shared" si="0"/>
        <v>3a.5</v>
      </c>
      <c r="C11" s="28" t="s">
        <v>53</v>
      </c>
      <c r="D11" s="5" t="s">
        <v>155</v>
      </c>
      <c r="E11" s="5" t="s">
        <v>48</v>
      </c>
    </row>
    <row r="12" spans="1:16">
      <c r="A12" s="5">
        <v>6</v>
      </c>
      <c r="B12" s="5" t="str">
        <f t="shared" ref="B12" si="1">CONCATENATE($B$2, ".", A12)</f>
        <v>3a.6</v>
      </c>
      <c r="C12" s="28" t="s">
        <v>53</v>
      </c>
      <c r="D12" s="5" t="s">
        <v>168</v>
      </c>
      <c r="E12" s="5" t="s">
        <v>48</v>
      </c>
    </row>
  </sheetData>
  <conditionalFormatting sqref="C7:C1048576">
    <cfRule type="cellIs" dxfId="483" priority="5" operator="equal">
      <formula>"WIP (see comments)"</formula>
    </cfRule>
    <cfRule type="cellIs" dxfId="482" priority="6" operator="equal">
      <formula>"Removed"</formula>
    </cfRule>
    <cfRule type="cellIs" dxfId="481" priority="7" operator="equal">
      <formula>"Updated"</formula>
    </cfRule>
    <cfRule type="cellIs" dxfId="480" priority="8" operator="equal">
      <formula>"New"</formula>
    </cfRule>
  </conditionalFormatting>
  <conditionalFormatting sqref="A1:C1 E1:XFD1 A2:XFD3 A4 C4:XFD4 A5:XFD1048576">
    <cfRule type="cellIs" dxfId="479" priority="4" operator="equal">
      <formula>"n/a"</formula>
    </cfRule>
  </conditionalFormatting>
  <conditionalFormatting sqref="D1">
    <cfRule type="cellIs" dxfId="478" priority="3" operator="equal">
      <formula>"n/a"</formula>
    </cfRule>
  </conditionalFormatting>
  <conditionalFormatting sqref="B4">
    <cfRule type="cellIs" dxfId="477" priority="1" operator="equal">
      <formula>"n/a"</formula>
    </cfRule>
  </conditionalFormatting>
  <dataValidations count="1">
    <dataValidation type="list" allowBlank="1" showInputMessage="1" showErrorMessage="1" sqref="C13:C1048576" xr:uid="{00000000-0002-0000-0500-000000000000}">
      <formula1>$B$5:$B$10</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500-000001000000}">
          <x14:formula1>
            <xm:f>'List Values'!$A$5:$A$29</xm:f>
          </x14:formula1>
          <xm:sqref>E7:E12</xm:sqref>
        </x14:dataValidation>
        <x14:dataValidation type="list" allowBlank="1" showInputMessage="1" showErrorMessage="1" xr:uid="{00000000-0002-0000-0500-000002000000}">
          <x14:formula1>
            <xm:f>'List Values'!$B$5:$B$9</xm:f>
          </x14:formula1>
          <xm:sqref>C7:C12</xm:sqref>
        </x14:dataValidation>
        <x14:dataValidation type="list" allowBlank="1" showInputMessage="1" showErrorMessage="1" xr:uid="{00000000-0002-0000-0500-000003000000}">
          <x14:formula1>
            <xm:f>'C:\Users\hicksi\Documents\Small Business DCO\Field Specs\[Small Business DCO Small Business Form Field Spec v0.1 WIP.xlsx]List Values'!#REF!</xm:f>
          </x14:formula1>
          <xm:sqref>E13:E1048576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P13"/>
  <sheetViews>
    <sheetView workbookViewId="0">
      <pane xSplit="4" ySplit="6" topLeftCell="E7" activePane="bottomRight" state="frozen"/>
      <selection pane="bottomRight" activeCell="A7" sqref="A7"/>
      <selection pane="bottomLeft" activeCell="A7" sqref="A7"/>
      <selection pane="topRight" activeCell="E1" sqref="E1"/>
    </sheetView>
  </sheetViews>
  <sheetFormatPr defaultColWidth="9.140625" defaultRowHeight="14.25"/>
  <cols>
    <col min="1" max="1" width="14.7109375" style="5" customWidth="1"/>
    <col min="2" max="2" width="12.5703125" style="5" customWidth="1"/>
    <col min="3" max="3" width="13" style="28" customWidth="1"/>
    <col min="4" max="4" width="45.140625" style="5" customWidth="1"/>
    <col min="5" max="5" width="28.7109375" style="5" customWidth="1"/>
    <col min="6" max="6" width="17" style="5" customWidth="1"/>
    <col min="7" max="7" width="17.7109375" style="5" customWidth="1"/>
    <col min="8" max="8" width="27.85546875" style="5" customWidth="1"/>
    <col min="9" max="9" width="34.85546875" style="5" customWidth="1"/>
    <col min="10" max="10" width="23.42578125" style="5" customWidth="1"/>
    <col min="11" max="11" width="10.7109375" style="5" bestFit="1" customWidth="1"/>
    <col min="12" max="12" width="19.28515625" style="5" bestFit="1" customWidth="1"/>
    <col min="13" max="13" width="29" style="5" customWidth="1"/>
    <col min="14" max="14" width="18.7109375" style="5" bestFit="1" customWidth="1"/>
    <col min="15" max="15" width="48.42578125" style="5" customWidth="1"/>
    <col min="16" max="16" width="41.85546875" style="5" customWidth="1"/>
    <col min="17" max="16384" width="9.140625" style="5"/>
  </cols>
  <sheetData>
    <row r="1" spans="1:16" s="24" customFormat="1" ht="18">
      <c r="A1" s="22" t="s">
        <v>78</v>
      </c>
      <c r="B1" s="32" t="s">
        <v>179</v>
      </c>
      <c r="C1" s="26"/>
      <c r="D1" s="23"/>
    </row>
    <row r="2" spans="1:16" s="24" customFormat="1" ht="18">
      <c r="A2" s="22" t="s">
        <v>81</v>
      </c>
      <c r="B2" s="30">
        <v>4</v>
      </c>
      <c r="C2" s="29"/>
      <c r="D2" s="30"/>
    </row>
    <row r="3" spans="1:16" s="24" customFormat="1" ht="18">
      <c r="A3" s="22" t="s">
        <v>82</v>
      </c>
      <c r="B3" s="30" t="s">
        <v>180</v>
      </c>
      <c r="C3" s="29"/>
      <c r="D3" s="30" t="s">
        <v>181</v>
      </c>
    </row>
    <row r="4" spans="1:16" s="24" customFormat="1" ht="18">
      <c r="A4" s="22" t="s">
        <v>85</v>
      </c>
      <c r="B4" s="24" t="s">
        <v>160</v>
      </c>
      <c r="C4" s="29"/>
    </row>
    <row r="5" spans="1:16" s="4" customFormat="1">
      <c r="C5" s="31"/>
    </row>
    <row r="6" spans="1:16" s="43" customFormat="1" ht="14.65" thickBot="1">
      <c r="A6" s="43" t="s">
        <v>87</v>
      </c>
      <c r="B6" s="43" t="s">
        <v>88</v>
      </c>
      <c r="C6" s="44" t="s">
        <v>89</v>
      </c>
      <c r="D6" s="43" t="s">
        <v>90</v>
      </c>
      <c r="E6" s="43" t="s">
        <v>91</v>
      </c>
      <c r="F6" s="43" t="s">
        <v>92</v>
      </c>
      <c r="G6" s="43" t="s">
        <v>93</v>
      </c>
      <c r="H6" s="43" t="s">
        <v>94</v>
      </c>
      <c r="I6" s="43" t="s">
        <v>95</v>
      </c>
      <c r="J6" s="43" t="s">
        <v>96</v>
      </c>
      <c r="K6" s="43" t="s">
        <v>97</v>
      </c>
      <c r="L6" s="43" t="s">
        <v>98</v>
      </c>
      <c r="M6" s="43" t="s">
        <v>99</v>
      </c>
      <c r="N6" s="43" t="s">
        <v>100</v>
      </c>
      <c r="O6" s="43" t="s">
        <v>101</v>
      </c>
      <c r="P6" s="43" t="s">
        <v>102</v>
      </c>
    </row>
    <row r="7" spans="1:16">
      <c r="A7" s="5">
        <v>1</v>
      </c>
      <c r="B7" s="5" t="str">
        <f t="shared" ref="B7:B11" si="0">CONCATENATE($B$2, ".", A7)</f>
        <v>4.1</v>
      </c>
      <c r="C7" s="28" t="s">
        <v>51</v>
      </c>
      <c r="D7" s="5" t="s">
        <v>182</v>
      </c>
      <c r="E7" s="5" t="s">
        <v>65</v>
      </c>
      <c r="F7" s="5" t="s">
        <v>105</v>
      </c>
      <c r="G7" s="5" t="s">
        <v>105</v>
      </c>
      <c r="H7" s="5" t="s">
        <v>105</v>
      </c>
      <c r="I7" s="5" t="s">
        <v>86</v>
      </c>
      <c r="J7" s="5" t="s">
        <v>105</v>
      </c>
      <c r="K7" s="5" t="s">
        <v>105</v>
      </c>
      <c r="L7" s="5" t="s">
        <v>105</v>
      </c>
      <c r="M7" s="5" t="s">
        <v>105</v>
      </c>
      <c r="N7" s="5" t="s">
        <v>105</v>
      </c>
      <c r="O7" s="5" t="s">
        <v>105</v>
      </c>
      <c r="P7" s="5" t="s">
        <v>183</v>
      </c>
    </row>
    <row r="8" spans="1:16">
      <c r="A8" s="5">
        <v>2</v>
      </c>
      <c r="B8" s="5" t="str">
        <f t="shared" si="0"/>
        <v>4.2</v>
      </c>
      <c r="C8" s="28" t="s">
        <v>51</v>
      </c>
      <c r="D8" s="5" t="s">
        <v>105</v>
      </c>
      <c r="E8" s="5" t="s">
        <v>64</v>
      </c>
      <c r="F8" s="5" t="s">
        <v>105</v>
      </c>
      <c r="G8" s="5" t="s">
        <v>105</v>
      </c>
      <c r="H8" s="5" t="s">
        <v>105</v>
      </c>
      <c r="I8" s="5" t="s">
        <v>86</v>
      </c>
      <c r="J8" s="5" t="s">
        <v>105</v>
      </c>
      <c r="K8" s="5" t="s">
        <v>105</v>
      </c>
      <c r="L8" s="5" t="s">
        <v>105</v>
      </c>
      <c r="M8" s="5" t="s">
        <v>105</v>
      </c>
      <c r="N8" s="5" t="s">
        <v>105</v>
      </c>
      <c r="O8" s="5" t="s">
        <v>105</v>
      </c>
    </row>
    <row r="9" spans="1:16" ht="100.5" customHeight="1">
      <c r="A9" s="5">
        <v>3</v>
      </c>
      <c r="B9" s="5" t="str">
        <f t="shared" si="0"/>
        <v>4.3</v>
      </c>
      <c r="C9" s="28" t="s">
        <v>51</v>
      </c>
      <c r="D9" s="5" t="s">
        <v>184</v>
      </c>
      <c r="E9" s="5" t="s">
        <v>71</v>
      </c>
      <c r="F9" s="5" t="s">
        <v>105</v>
      </c>
      <c r="G9" s="5" t="s">
        <v>105</v>
      </c>
      <c r="H9" s="5" t="s">
        <v>105</v>
      </c>
      <c r="I9" s="5" t="s">
        <v>86</v>
      </c>
      <c r="J9" s="5" t="s">
        <v>105</v>
      </c>
      <c r="K9" s="5" t="s">
        <v>105</v>
      </c>
      <c r="L9" s="5" t="s">
        <v>105</v>
      </c>
      <c r="M9" s="5" t="s">
        <v>105</v>
      </c>
      <c r="N9" s="5" t="s">
        <v>105</v>
      </c>
      <c r="O9" s="5" t="s">
        <v>185</v>
      </c>
      <c r="P9" s="5" t="s">
        <v>186</v>
      </c>
    </row>
    <row r="10" spans="1:16" ht="132.6" customHeight="1">
      <c r="A10" s="5">
        <v>4</v>
      </c>
      <c r="B10" s="5" t="str">
        <f t="shared" si="0"/>
        <v>4.4</v>
      </c>
      <c r="C10" s="28" t="s">
        <v>51</v>
      </c>
      <c r="D10" s="5" t="s">
        <v>187</v>
      </c>
      <c r="E10" s="5" t="s">
        <v>74</v>
      </c>
      <c r="F10" s="5" t="s">
        <v>188</v>
      </c>
      <c r="G10" s="5" t="s">
        <v>105</v>
      </c>
      <c r="H10" s="5" t="s">
        <v>189</v>
      </c>
      <c r="I10" s="5" t="s">
        <v>86</v>
      </c>
      <c r="J10" s="5" t="s">
        <v>190</v>
      </c>
      <c r="K10" s="5" t="s">
        <v>105</v>
      </c>
      <c r="L10" s="5" t="s">
        <v>105</v>
      </c>
      <c r="M10" s="5" t="s">
        <v>105</v>
      </c>
      <c r="N10" s="5" t="s">
        <v>105</v>
      </c>
      <c r="O10" s="5" t="s">
        <v>191</v>
      </c>
      <c r="P10" s="5" t="s">
        <v>192</v>
      </c>
    </row>
    <row r="11" spans="1:16" ht="149.25" customHeight="1">
      <c r="A11" s="5">
        <v>5</v>
      </c>
      <c r="B11" s="5" t="str">
        <f t="shared" si="0"/>
        <v>4.5</v>
      </c>
      <c r="C11" s="28" t="s">
        <v>51</v>
      </c>
      <c r="D11" s="5" t="s">
        <v>193</v>
      </c>
      <c r="E11" s="5" t="s">
        <v>74</v>
      </c>
      <c r="F11" s="5" t="s">
        <v>194</v>
      </c>
      <c r="G11" s="5" t="s">
        <v>195</v>
      </c>
      <c r="H11" s="5" t="s">
        <v>196</v>
      </c>
      <c r="I11" s="5" t="s">
        <v>86</v>
      </c>
      <c r="J11" s="5" t="s">
        <v>197</v>
      </c>
      <c r="K11" s="5" t="s">
        <v>166</v>
      </c>
      <c r="L11" s="5" t="s">
        <v>198</v>
      </c>
      <c r="M11" s="5" t="s">
        <v>199</v>
      </c>
      <c r="N11" s="5" t="s">
        <v>198</v>
      </c>
      <c r="O11" s="5" t="s">
        <v>105</v>
      </c>
      <c r="P11" s="5" t="s">
        <v>200</v>
      </c>
    </row>
    <row r="12" spans="1:16" ht="156.75" customHeight="1">
      <c r="A12" s="5">
        <v>6</v>
      </c>
      <c r="B12" s="5" t="str">
        <f t="shared" ref="B12:B13" si="1">CONCATENATE($B$2, ".", A12)</f>
        <v>4.6</v>
      </c>
      <c r="C12" s="28" t="s">
        <v>51</v>
      </c>
      <c r="D12" s="5" t="s">
        <v>155</v>
      </c>
      <c r="E12" s="5" t="s">
        <v>48</v>
      </c>
      <c r="F12" s="5" t="s">
        <v>105</v>
      </c>
      <c r="G12" s="5" t="s">
        <v>105</v>
      </c>
      <c r="H12" s="5" t="s">
        <v>105</v>
      </c>
      <c r="I12" s="5" t="s">
        <v>86</v>
      </c>
      <c r="J12" s="5" t="s">
        <v>105</v>
      </c>
      <c r="K12" s="5" t="s">
        <v>105</v>
      </c>
      <c r="L12" s="5" t="s">
        <v>105</v>
      </c>
      <c r="M12" s="5" t="s">
        <v>105</v>
      </c>
      <c r="N12" s="5" t="s">
        <v>105</v>
      </c>
      <c r="O12" s="5" t="s">
        <v>201</v>
      </c>
    </row>
    <row r="13" spans="1:16" ht="96" customHeight="1">
      <c r="A13" s="5">
        <v>7</v>
      </c>
      <c r="B13" s="5" t="str">
        <f t="shared" si="1"/>
        <v>4.7</v>
      </c>
      <c r="C13" s="28" t="s">
        <v>51</v>
      </c>
      <c r="D13" s="5" t="s">
        <v>168</v>
      </c>
      <c r="E13" s="5" t="s">
        <v>48</v>
      </c>
      <c r="F13" s="5" t="s">
        <v>105</v>
      </c>
      <c r="G13" s="5" t="s">
        <v>105</v>
      </c>
      <c r="H13" s="5" t="s">
        <v>105</v>
      </c>
      <c r="I13" s="5" t="s">
        <v>202</v>
      </c>
      <c r="J13" s="5" t="s">
        <v>105</v>
      </c>
      <c r="K13" s="5" t="s">
        <v>105</v>
      </c>
      <c r="L13" s="5" t="s">
        <v>105</v>
      </c>
      <c r="M13" s="5" t="s">
        <v>105</v>
      </c>
      <c r="N13" s="5" t="s">
        <v>105</v>
      </c>
      <c r="O13" s="5" t="s">
        <v>203</v>
      </c>
      <c r="P13" s="5" t="s">
        <v>204</v>
      </c>
    </row>
  </sheetData>
  <conditionalFormatting sqref="C7:C1048576">
    <cfRule type="cellIs" dxfId="476" priority="26" operator="equal">
      <formula>"WIP (see comments)"</formula>
    </cfRule>
    <cfRule type="cellIs" dxfId="475" priority="27" operator="equal">
      <formula>"Removed"</formula>
    </cfRule>
    <cfRule type="cellIs" dxfId="474" priority="28" operator="equal">
      <formula>"Updated"</formula>
    </cfRule>
    <cfRule type="cellIs" dxfId="473" priority="29" operator="equal">
      <formula>"New"</formula>
    </cfRule>
  </conditionalFormatting>
  <conditionalFormatting sqref="A2:XFD9 A11:F11 Q10:XFD11 A1:C1 E1:XFD1 A12:XFD12 H11:N11 K10:N10 A14:XFD1048576 A13:O13 Q13:XFD13 C9:C13">
    <cfRule type="cellIs" dxfId="472" priority="17" operator="equal">
      <formula>"n/a"</formula>
    </cfRule>
  </conditionalFormatting>
  <conditionalFormatting sqref="A10:B10 D10:J10 P11 O10:P10">
    <cfRule type="cellIs" dxfId="471" priority="12" operator="equal">
      <formula>"n/a"</formula>
    </cfRule>
  </conditionalFormatting>
  <conditionalFormatting sqref="O11">
    <cfRule type="cellIs" dxfId="470" priority="11" operator="equal">
      <formula>"n/a"</formula>
    </cfRule>
  </conditionalFormatting>
  <conditionalFormatting sqref="D1">
    <cfRule type="cellIs" dxfId="469" priority="9" operator="equal">
      <formula>"n/a"</formula>
    </cfRule>
  </conditionalFormatting>
  <conditionalFormatting sqref="G11">
    <cfRule type="cellIs" dxfId="468" priority="2" operator="equal">
      <formula>"n/a"</formula>
    </cfRule>
  </conditionalFormatting>
  <conditionalFormatting sqref="P13">
    <cfRule type="cellIs" dxfId="467" priority="1" operator="equal">
      <formula>"n/a"</formula>
    </cfRule>
  </conditionalFormatting>
  <dataValidations count="2">
    <dataValidation type="list" allowBlank="1" showInputMessage="1" showErrorMessage="1" sqref="E14:E1048576" xr:uid="{00000000-0002-0000-0600-000000000000}">
      <formula1>$A$5:$A$30</formula1>
    </dataValidation>
    <dataValidation type="list" allowBlank="1" showInputMessage="1" showErrorMessage="1" sqref="C14:C1048576" xr:uid="{00000000-0002-0000-0600-000001000000}">
      <formula1>$B$5:$B$13</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600-000002000000}">
          <x14:formula1>
            <xm:f>'List Values'!$A$5:$A$30</xm:f>
          </x14:formula1>
          <xm:sqref>E7:E13</xm:sqref>
        </x14:dataValidation>
        <x14:dataValidation type="list" allowBlank="1" showInputMessage="1" showErrorMessage="1" xr:uid="{00000000-0002-0000-0600-000003000000}">
          <x14:formula1>
            <xm:f>'List Values'!$B$5:$B$13</xm:f>
          </x14:formula1>
          <xm:sqref>C7:C13</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P12"/>
  <sheetViews>
    <sheetView workbookViewId="0">
      <pane xSplit="4" ySplit="6" topLeftCell="M7" activePane="bottomRight" state="frozen"/>
      <selection pane="bottomRight" activeCell="A7" sqref="A7"/>
      <selection pane="bottomLeft" activeCell="A7" sqref="A7"/>
      <selection pane="topRight" activeCell="E1" sqref="E1"/>
    </sheetView>
  </sheetViews>
  <sheetFormatPr defaultColWidth="9.140625" defaultRowHeight="14.25"/>
  <cols>
    <col min="1" max="1" width="14.7109375" style="5" customWidth="1"/>
    <col min="2" max="2" width="12.5703125" style="5" customWidth="1"/>
    <col min="3" max="3" width="18.5703125" style="28" customWidth="1"/>
    <col min="4" max="4" width="45.140625" style="5" customWidth="1"/>
    <col min="5" max="5" width="28.7109375" style="5" customWidth="1"/>
    <col min="6" max="6" width="37" style="5" customWidth="1"/>
    <col min="7" max="7" width="29.28515625" style="5" customWidth="1"/>
    <col min="8" max="8" width="11.5703125" style="28" bestFit="1" customWidth="1"/>
    <col min="9" max="9" width="34.85546875" style="5" customWidth="1"/>
    <col min="10" max="10" width="28.140625" style="5" customWidth="1"/>
    <col min="11" max="11" width="14" style="5" customWidth="1"/>
    <col min="12" max="12" width="23" style="5" customWidth="1"/>
    <col min="13" max="13" width="29" style="5" customWidth="1"/>
    <col min="14" max="14" width="18.7109375" style="5" bestFit="1" customWidth="1"/>
    <col min="15" max="15" width="48.42578125" style="5" customWidth="1"/>
    <col min="16" max="16" width="41.85546875" style="5" customWidth="1"/>
    <col min="17" max="16384" width="9.140625" style="5"/>
  </cols>
  <sheetData>
    <row r="1" spans="1:16" s="24" customFormat="1" ht="18">
      <c r="A1" s="22" t="s">
        <v>78</v>
      </c>
      <c r="B1" s="32" t="s">
        <v>205</v>
      </c>
      <c r="C1" s="26"/>
      <c r="D1" s="23" t="s">
        <v>80</v>
      </c>
      <c r="H1" s="29"/>
    </row>
    <row r="2" spans="1:16" s="24" customFormat="1" ht="18">
      <c r="A2" s="22" t="s">
        <v>81</v>
      </c>
      <c r="B2" s="30" t="s">
        <v>206</v>
      </c>
      <c r="C2" s="29"/>
      <c r="D2" s="30"/>
      <c r="H2" s="29"/>
    </row>
    <row r="3" spans="1:16" s="24" customFormat="1" ht="18">
      <c r="A3" s="22" t="s">
        <v>82</v>
      </c>
      <c r="B3" s="50" t="s">
        <v>207</v>
      </c>
      <c r="C3" s="29"/>
      <c r="D3" s="51" t="s">
        <v>84</v>
      </c>
      <c r="H3" s="29"/>
    </row>
    <row r="4" spans="1:16" s="24" customFormat="1" ht="18">
      <c r="A4" s="22" t="s">
        <v>85</v>
      </c>
      <c r="C4" s="29"/>
      <c r="H4" s="29"/>
    </row>
    <row r="5" spans="1:16" s="4" customFormat="1">
      <c r="C5" s="31"/>
      <c r="H5" s="31"/>
    </row>
    <row r="6" spans="1:16" s="25" customFormat="1" ht="14.65" thickBot="1">
      <c r="A6" s="25" t="s">
        <v>87</v>
      </c>
      <c r="B6" s="25" t="s">
        <v>88</v>
      </c>
      <c r="C6" s="27" t="s">
        <v>89</v>
      </c>
      <c r="D6" s="25" t="s">
        <v>90</v>
      </c>
      <c r="E6" s="25" t="s">
        <v>91</v>
      </c>
      <c r="F6" s="25" t="s">
        <v>92</v>
      </c>
      <c r="G6" s="25" t="s">
        <v>93</v>
      </c>
      <c r="H6" s="27" t="s">
        <v>94</v>
      </c>
      <c r="I6" s="25" t="s">
        <v>95</v>
      </c>
      <c r="J6" s="25" t="s">
        <v>96</v>
      </c>
      <c r="K6" s="25" t="s">
        <v>97</v>
      </c>
      <c r="L6" s="25" t="s">
        <v>98</v>
      </c>
      <c r="M6" s="25" t="s">
        <v>99</v>
      </c>
      <c r="N6" s="25" t="s">
        <v>100</v>
      </c>
      <c r="O6" s="25" t="s">
        <v>101</v>
      </c>
      <c r="P6" s="25" t="s">
        <v>102</v>
      </c>
    </row>
    <row r="7" spans="1:16">
      <c r="D7" s="52" t="s">
        <v>208</v>
      </c>
    </row>
    <row r="8" spans="1:16" ht="105.75" customHeight="1">
      <c r="D8" s="53" t="s">
        <v>209</v>
      </c>
    </row>
    <row r="9" spans="1:16">
      <c r="D9" s="53" t="s">
        <v>210</v>
      </c>
    </row>
    <row r="10" spans="1:16">
      <c r="D10" s="52" t="s">
        <v>106</v>
      </c>
    </row>
    <row r="11" spans="1:16">
      <c r="D11" s="52" t="s">
        <v>107</v>
      </c>
    </row>
    <row r="12" spans="1:16">
      <c r="D12" s="52" t="s">
        <v>168</v>
      </c>
    </row>
  </sheetData>
  <autoFilter ref="A6:P6" xr:uid="{00000000-0009-0000-0000-000007000000}"/>
  <conditionalFormatting sqref="C7:C1048576">
    <cfRule type="cellIs" dxfId="466" priority="21" operator="equal">
      <formula>"WIP (see comments)"</formula>
    </cfRule>
    <cfRule type="cellIs" dxfId="465" priority="22" operator="equal">
      <formula>"Removed"</formula>
    </cfRule>
    <cfRule type="cellIs" dxfId="464" priority="23" operator="equal">
      <formula>"Updated"</formula>
    </cfRule>
    <cfRule type="cellIs" dxfId="463" priority="24" operator="equal">
      <formula>"New"</formula>
    </cfRule>
  </conditionalFormatting>
  <conditionalFormatting sqref="A1:XFD6 A13:XFD1048576 C8:C12">
    <cfRule type="cellIs" dxfId="462" priority="20" operator="equal">
      <formula>"n/a"</formula>
    </cfRule>
  </conditionalFormatting>
  <conditionalFormatting sqref="D8:D9">
    <cfRule type="cellIs" dxfId="461" priority="19" operator="equal">
      <formula>"-"</formula>
    </cfRule>
  </conditionalFormatting>
  <conditionalFormatting sqref="A8:B9 D8:XFD9">
    <cfRule type="cellIs" dxfId="460" priority="18" operator="equal">
      <formula>"n/a"</formula>
    </cfRule>
  </conditionalFormatting>
  <conditionalFormatting sqref="A7:XFD7">
    <cfRule type="cellIs" dxfId="459" priority="13" operator="equal">
      <formula>"n/a"</formula>
    </cfRule>
  </conditionalFormatting>
  <conditionalFormatting sqref="A11:B11 D11:N11 P11:XFD11">
    <cfRule type="cellIs" dxfId="458" priority="12" operator="equal">
      <formula>"n/a"</formula>
    </cfRule>
  </conditionalFormatting>
  <conditionalFormatting sqref="A10:B10 D10:XFD10">
    <cfRule type="cellIs" dxfId="457" priority="11" operator="equal">
      <formula>"n/a"</formula>
    </cfRule>
  </conditionalFormatting>
  <conditionalFormatting sqref="A12:B12 D12:XFD12">
    <cfRule type="cellIs" dxfId="456" priority="2" operator="equal">
      <formula>"n/a"</formula>
    </cfRule>
  </conditionalFormatting>
  <conditionalFormatting sqref="O11">
    <cfRule type="cellIs" dxfId="455" priority="1" operator="equal">
      <formula>"n/a"</formula>
    </cfRule>
  </conditionalFormatting>
  <dataValidations count="3">
    <dataValidation type="list" allowBlank="1" showInputMessage="1" showErrorMessage="1" sqref="C13:C1048576" xr:uid="{00000000-0002-0000-0700-000000000000}">
      <formula1>$B$5:$B$12</formula1>
    </dataValidation>
    <dataValidation type="list" allowBlank="1" showInputMessage="1" showErrorMessage="1" sqref="E10 E12:E1048576" xr:uid="{00000000-0002-0000-0700-000001000000}">
      <formula1>$A$5:$A$26</formula1>
    </dataValidation>
    <dataValidation type="list" allowBlank="1" showInputMessage="1" showErrorMessage="1" sqref="E11" xr:uid="{00000000-0002-0000-0700-000002000000}">
      <formula1>$A$5:$A$27</formula1>
    </dataValidation>
  </dataValidations>
  <hyperlinks>
    <hyperlink ref="D3" location="'F. Resume'!A1" display="See F. Resume (CWBSB-240)" xr:uid="{00000000-0004-0000-0700-000000000000}"/>
  </hyperlink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700-000003000000}">
          <x14:formula1>
            <xm:f>'List Values'!$B$5:$B$13</xm:f>
          </x14:formula1>
          <xm:sqref>C7:C12</xm:sqref>
        </x14:dataValidation>
        <x14:dataValidation type="list" allowBlank="1" showInputMessage="1" showErrorMessage="1" xr:uid="{00000000-0002-0000-0700-000004000000}">
          <x14:formula1>
            <xm:f>'List Values'!$A$5:$A$30</xm:f>
          </x14:formula1>
          <xm:sqref>E7:E9</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P17"/>
  <sheetViews>
    <sheetView workbookViewId="0">
      <pane xSplit="4" ySplit="6" topLeftCell="E7" activePane="bottomRight" state="frozen"/>
      <selection pane="bottomRight" activeCell="A7" sqref="A7"/>
      <selection pane="bottomLeft" activeCell="A7" sqref="A7"/>
      <selection pane="topRight" activeCell="E1" sqref="E1"/>
    </sheetView>
  </sheetViews>
  <sheetFormatPr defaultColWidth="9.140625" defaultRowHeight="14.25"/>
  <cols>
    <col min="1" max="1" width="14.7109375" style="5" customWidth="1"/>
    <col min="2" max="2" width="12.5703125" style="5" customWidth="1"/>
    <col min="3" max="3" width="13" style="28" customWidth="1"/>
    <col min="4" max="4" width="45.140625" style="5" customWidth="1"/>
    <col min="5" max="5" width="28.7109375" style="5" customWidth="1"/>
    <col min="6" max="6" width="17" style="5" customWidth="1"/>
    <col min="7" max="7" width="29.28515625" style="5" customWidth="1"/>
    <col min="8" max="8" width="27.85546875" style="5" customWidth="1"/>
    <col min="9" max="9" width="34.85546875" style="5" customWidth="1"/>
    <col min="10" max="10" width="28.140625" style="5" customWidth="1"/>
    <col min="11" max="11" width="10.7109375" style="5" bestFit="1" customWidth="1"/>
    <col min="12" max="12" width="23" style="5" customWidth="1"/>
    <col min="13" max="13" width="29" style="5" customWidth="1"/>
    <col min="14" max="14" width="18.7109375" style="5" bestFit="1" customWidth="1"/>
    <col min="15" max="15" width="48.42578125" style="5" customWidth="1"/>
    <col min="16" max="16" width="41.85546875" style="5" customWidth="1"/>
    <col min="17" max="16384" width="9.140625" style="5"/>
  </cols>
  <sheetData>
    <row r="1" spans="1:16" s="24" customFormat="1" ht="18">
      <c r="A1" s="22" t="s">
        <v>78</v>
      </c>
      <c r="B1" s="32" t="s">
        <v>211</v>
      </c>
      <c r="C1" s="26"/>
      <c r="D1" s="23"/>
    </row>
    <row r="2" spans="1:16" s="24" customFormat="1" ht="18">
      <c r="A2" s="22" t="s">
        <v>81</v>
      </c>
      <c r="B2" s="30">
        <v>5</v>
      </c>
      <c r="C2" s="29"/>
      <c r="D2" s="30"/>
    </row>
    <row r="3" spans="1:16" s="24" customFormat="1" ht="18">
      <c r="A3" s="22" t="s">
        <v>82</v>
      </c>
      <c r="B3" s="30" t="s">
        <v>212</v>
      </c>
      <c r="C3" s="29"/>
      <c r="D3" s="30" t="s">
        <v>213</v>
      </c>
    </row>
    <row r="4" spans="1:16" s="24" customFormat="1" ht="18">
      <c r="A4" s="22" t="s">
        <v>85</v>
      </c>
      <c r="B4" s="24" t="s">
        <v>160</v>
      </c>
      <c r="C4" s="29"/>
    </row>
    <row r="5" spans="1:16" s="4" customFormat="1">
      <c r="C5" s="31"/>
    </row>
    <row r="6" spans="1:16" s="43" customFormat="1" ht="14.65" thickBot="1">
      <c r="A6" s="43" t="s">
        <v>87</v>
      </c>
      <c r="B6" s="43" t="s">
        <v>88</v>
      </c>
      <c r="C6" s="44" t="s">
        <v>89</v>
      </c>
      <c r="D6" s="43" t="s">
        <v>90</v>
      </c>
      <c r="E6" s="43" t="s">
        <v>91</v>
      </c>
      <c r="F6" s="43" t="s">
        <v>92</v>
      </c>
      <c r="G6" s="43" t="s">
        <v>93</v>
      </c>
      <c r="H6" s="43" t="s">
        <v>94</v>
      </c>
      <c r="I6" s="43" t="s">
        <v>95</v>
      </c>
      <c r="J6" s="43" t="s">
        <v>96</v>
      </c>
      <c r="K6" s="43" t="s">
        <v>97</v>
      </c>
      <c r="L6" s="43" t="s">
        <v>98</v>
      </c>
      <c r="M6" s="43" t="s">
        <v>99</v>
      </c>
      <c r="N6" s="43" t="s">
        <v>100</v>
      </c>
      <c r="O6" s="43" t="s">
        <v>101</v>
      </c>
      <c r="P6" s="43" t="s">
        <v>102</v>
      </c>
    </row>
    <row r="7" spans="1:16">
      <c r="A7" s="5">
        <v>1</v>
      </c>
      <c r="B7" s="5" t="str">
        <f>CONCATENATE($B$2, ".", A7)</f>
        <v>5.1</v>
      </c>
      <c r="C7" s="28" t="s">
        <v>51</v>
      </c>
      <c r="D7" s="5" t="s">
        <v>162</v>
      </c>
      <c r="E7" s="5" t="s">
        <v>65</v>
      </c>
      <c r="F7" s="5" t="s">
        <v>105</v>
      </c>
      <c r="G7" s="5" t="s">
        <v>105</v>
      </c>
      <c r="H7" s="5" t="s">
        <v>105</v>
      </c>
      <c r="I7" s="5" t="s">
        <v>86</v>
      </c>
      <c r="J7" s="5" t="s">
        <v>105</v>
      </c>
      <c r="K7" s="5" t="s">
        <v>105</v>
      </c>
      <c r="L7" s="5" t="s">
        <v>105</v>
      </c>
      <c r="M7" s="5" t="s">
        <v>105</v>
      </c>
      <c r="N7" s="5" t="s">
        <v>105</v>
      </c>
      <c r="O7" s="5" t="s">
        <v>105</v>
      </c>
      <c r="P7" s="5" t="s">
        <v>183</v>
      </c>
    </row>
    <row r="8" spans="1:16">
      <c r="A8" s="5">
        <v>2</v>
      </c>
      <c r="B8" s="5" t="str">
        <f t="shared" ref="B8:B12" si="0">CONCATENATE($B$2, ".", A8)</f>
        <v>5.2</v>
      </c>
      <c r="C8" s="28" t="s">
        <v>51</v>
      </c>
      <c r="D8" s="5" t="s">
        <v>105</v>
      </c>
      <c r="E8" s="5" t="s">
        <v>64</v>
      </c>
      <c r="F8" s="5" t="s">
        <v>105</v>
      </c>
      <c r="G8" s="5" t="s">
        <v>105</v>
      </c>
      <c r="H8" s="5" t="s">
        <v>105</v>
      </c>
      <c r="I8" s="5" t="s">
        <v>86</v>
      </c>
      <c r="J8" s="5" t="s">
        <v>105</v>
      </c>
      <c r="K8" s="5" t="s">
        <v>105</v>
      </c>
      <c r="L8" s="5" t="s">
        <v>105</v>
      </c>
      <c r="M8" s="5" t="s">
        <v>105</v>
      </c>
      <c r="N8" s="5" t="s">
        <v>105</v>
      </c>
      <c r="O8" s="5" t="s">
        <v>105</v>
      </c>
    </row>
    <row r="9" spans="1:16" ht="84.75" customHeight="1">
      <c r="A9" s="5">
        <v>3</v>
      </c>
      <c r="B9" s="5" t="str">
        <f t="shared" si="0"/>
        <v>5.3</v>
      </c>
      <c r="C9" s="28" t="s">
        <v>51</v>
      </c>
      <c r="D9" s="5" t="s">
        <v>214</v>
      </c>
      <c r="E9" s="5" t="s">
        <v>72</v>
      </c>
      <c r="F9" s="5" t="s">
        <v>105</v>
      </c>
      <c r="G9" s="5" t="s">
        <v>105</v>
      </c>
      <c r="H9" s="5" t="s">
        <v>105</v>
      </c>
      <c r="I9" s="5" t="s">
        <v>86</v>
      </c>
      <c r="J9" s="5" t="s">
        <v>105</v>
      </c>
      <c r="K9" s="5" t="s">
        <v>105</v>
      </c>
      <c r="L9" s="5" t="s">
        <v>105</v>
      </c>
      <c r="M9" s="5" t="s">
        <v>105</v>
      </c>
      <c r="N9" s="5" t="s">
        <v>105</v>
      </c>
      <c r="O9" s="5" t="s">
        <v>105</v>
      </c>
    </row>
    <row r="10" spans="1:16" ht="53.25" customHeight="1">
      <c r="A10" s="5">
        <v>4</v>
      </c>
      <c r="B10" s="5" t="str">
        <f t="shared" si="0"/>
        <v>5.4</v>
      </c>
      <c r="C10" s="28" t="s">
        <v>51</v>
      </c>
      <c r="D10" s="35" t="s">
        <v>215</v>
      </c>
      <c r="E10" s="5" t="s">
        <v>72</v>
      </c>
      <c r="F10" s="5" t="s">
        <v>105</v>
      </c>
      <c r="G10" s="5" t="s">
        <v>216</v>
      </c>
      <c r="H10" s="5" t="s">
        <v>105</v>
      </c>
      <c r="I10" s="5" t="s">
        <v>86</v>
      </c>
      <c r="J10" s="5" t="s">
        <v>105</v>
      </c>
      <c r="K10" s="5" t="s">
        <v>105</v>
      </c>
      <c r="L10" s="5" t="s">
        <v>105</v>
      </c>
      <c r="M10" s="5" t="s">
        <v>105</v>
      </c>
      <c r="N10" s="5" t="s">
        <v>105</v>
      </c>
      <c r="O10" s="5" t="s">
        <v>105</v>
      </c>
    </row>
    <row r="11" spans="1:16" ht="42.75">
      <c r="A11" s="5">
        <v>5</v>
      </c>
      <c r="B11" s="5" t="str">
        <f t="shared" si="0"/>
        <v>5.5</v>
      </c>
      <c r="C11" s="28" t="s">
        <v>51</v>
      </c>
      <c r="D11" s="35" t="s">
        <v>217</v>
      </c>
      <c r="E11" s="5" t="s">
        <v>72</v>
      </c>
      <c r="F11" s="5" t="s">
        <v>105</v>
      </c>
      <c r="G11" s="5" t="s">
        <v>218</v>
      </c>
      <c r="H11" s="5" t="s">
        <v>105</v>
      </c>
      <c r="I11" s="5" t="s">
        <v>86</v>
      </c>
      <c r="J11" s="5" t="s">
        <v>105</v>
      </c>
      <c r="K11" s="5" t="s">
        <v>105</v>
      </c>
      <c r="L11" s="5" t="s">
        <v>105</v>
      </c>
      <c r="M11" s="5" t="s">
        <v>105</v>
      </c>
      <c r="N11" s="5" t="s">
        <v>105</v>
      </c>
      <c r="O11" s="5" t="s">
        <v>105</v>
      </c>
      <c r="P11" s="5" t="s">
        <v>219</v>
      </c>
    </row>
    <row r="12" spans="1:16" ht="28.5">
      <c r="A12" s="5">
        <v>6</v>
      </c>
      <c r="B12" s="5" t="str">
        <f t="shared" si="0"/>
        <v>5.6</v>
      </c>
      <c r="C12" s="28" t="s">
        <v>51</v>
      </c>
      <c r="D12" s="35" t="s">
        <v>220</v>
      </c>
      <c r="E12" s="5" t="s">
        <v>72</v>
      </c>
      <c r="F12" s="5" t="s">
        <v>105</v>
      </c>
      <c r="G12" s="5" t="s">
        <v>221</v>
      </c>
      <c r="H12" s="5" t="s">
        <v>105</v>
      </c>
      <c r="I12" s="5" t="s">
        <v>86</v>
      </c>
      <c r="J12" s="5" t="s">
        <v>105</v>
      </c>
      <c r="K12" s="5" t="s">
        <v>105</v>
      </c>
      <c r="L12" s="5" t="s">
        <v>105</v>
      </c>
      <c r="M12" s="5" t="s">
        <v>105</v>
      </c>
      <c r="N12" s="5" t="s">
        <v>105</v>
      </c>
      <c r="O12" s="5" t="s">
        <v>105</v>
      </c>
    </row>
    <row r="13" spans="1:16" ht="95.25" hidden="1" customHeight="1">
      <c r="C13" s="28" t="s">
        <v>53</v>
      </c>
      <c r="D13" s="35" t="s">
        <v>222</v>
      </c>
      <c r="E13" s="5" t="s">
        <v>72</v>
      </c>
      <c r="F13" s="5" t="s">
        <v>105</v>
      </c>
      <c r="G13" s="5" t="s">
        <v>223</v>
      </c>
      <c r="H13" s="5" t="s">
        <v>105</v>
      </c>
      <c r="I13" s="5" t="s">
        <v>86</v>
      </c>
      <c r="J13" s="5" t="s">
        <v>105</v>
      </c>
      <c r="K13" s="5" t="s">
        <v>105</v>
      </c>
      <c r="L13" s="5" t="s">
        <v>105</v>
      </c>
      <c r="M13" s="5" t="s">
        <v>105</v>
      </c>
      <c r="N13" s="5" t="s">
        <v>105</v>
      </c>
      <c r="O13" s="5" t="s">
        <v>105</v>
      </c>
      <c r="P13" s="5" t="s">
        <v>224</v>
      </c>
    </row>
    <row r="14" spans="1:16" ht="95.25" customHeight="1">
      <c r="A14" s="5">
        <v>7</v>
      </c>
      <c r="B14" s="5" t="str">
        <f t="shared" ref="B14" si="1">CONCATENATE($B$2, ".", A14)</f>
        <v>5.7</v>
      </c>
      <c r="C14" s="28" t="s">
        <v>51</v>
      </c>
      <c r="D14" s="35" t="s">
        <v>225</v>
      </c>
      <c r="E14" s="5" t="s">
        <v>72</v>
      </c>
      <c r="F14" s="5" t="s">
        <v>105</v>
      </c>
      <c r="G14" s="5" t="s">
        <v>226</v>
      </c>
      <c r="H14" s="33" t="s">
        <v>105</v>
      </c>
      <c r="I14" s="5" t="s">
        <v>86</v>
      </c>
      <c r="J14" s="5" t="s">
        <v>105</v>
      </c>
      <c r="K14" s="5" t="s">
        <v>105</v>
      </c>
      <c r="L14" s="5" t="s">
        <v>105</v>
      </c>
      <c r="M14" s="5" t="s">
        <v>105</v>
      </c>
      <c r="N14" s="5" t="s">
        <v>105</v>
      </c>
      <c r="O14" s="5" t="s">
        <v>105</v>
      </c>
    </row>
    <row r="15" spans="1:16" ht="142.5" customHeight="1">
      <c r="A15" s="5">
        <v>8</v>
      </c>
      <c r="B15" s="5" t="str">
        <f t="shared" ref="B15:B17" si="2">CONCATENATE($B$2, ".", A15)</f>
        <v>5.8</v>
      </c>
      <c r="C15" s="28" t="s">
        <v>51</v>
      </c>
      <c r="D15" s="5" t="s">
        <v>227</v>
      </c>
      <c r="E15" s="5" t="s">
        <v>50</v>
      </c>
      <c r="F15" s="5" t="s">
        <v>228</v>
      </c>
      <c r="G15" s="5" t="s">
        <v>105</v>
      </c>
      <c r="H15" s="5" t="s">
        <v>105</v>
      </c>
      <c r="I15" s="5" t="s">
        <v>86</v>
      </c>
      <c r="J15" s="5" t="s">
        <v>229</v>
      </c>
      <c r="K15" s="5" t="s">
        <v>166</v>
      </c>
      <c r="L15" s="5" t="s">
        <v>230</v>
      </c>
      <c r="M15" s="5" t="s">
        <v>105</v>
      </c>
      <c r="N15" s="5" t="s">
        <v>105</v>
      </c>
      <c r="O15" s="5" t="s">
        <v>231</v>
      </c>
    </row>
    <row r="16" spans="1:16" ht="71.25">
      <c r="A16" s="5">
        <v>9</v>
      </c>
      <c r="B16" s="5" t="str">
        <f t="shared" si="2"/>
        <v>5.9</v>
      </c>
      <c r="C16" s="28" t="s">
        <v>51</v>
      </c>
      <c r="D16" s="5" t="s">
        <v>155</v>
      </c>
      <c r="E16" s="5" t="s">
        <v>48</v>
      </c>
      <c r="F16" s="5" t="s">
        <v>105</v>
      </c>
      <c r="G16" s="5" t="s">
        <v>105</v>
      </c>
      <c r="H16" s="5" t="s">
        <v>105</v>
      </c>
      <c r="I16" s="5" t="s">
        <v>86</v>
      </c>
      <c r="J16" s="5" t="s">
        <v>105</v>
      </c>
      <c r="K16" s="5" t="s">
        <v>105</v>
      </c>
      <c r="L16" s="5" t="s">
        <v>105</v>
      </c>
      <c r="M16" s="5" t="s">
        <v>105</v>
      </c>
      <c r="N16" s="5" t="s">
        <v>105</v>
      </c>
      <c r="O16" s="5" t="s">
        <v>232</v>
      </c>
    </row>
    <row r="17" spans="1:15">
      <c r="A17" s="5">
        <v>10</v>
      </c>
      <c r="B17" s="5" t="str">
        <f t="shared" si="2"/>
        <v>5.10</v>
      </c>
      <c r="C17" s="28" t="s">
        <v>51</v>
      </c>
      <c r="D17" s="5" t="s">
        <v>168</v>
      </c>
      <c r="E17" s="5" t="s">
        <v>48</v>
      </c>
      <c r="F17" s="5" t="s">
        <v>105</v>
      </c>
      <c r="G17" s="5" t="s">
        <v>105</v>
      </c>
      <c r="H17" s="5" t="s">
        <v>105</v>
      </c>
      <c r="I17" s="5" t="s">
        <v>86</v>
      </c>
      <c r="J17" s="5" t="s">
        <v>105</v>
      </c>
      <c r="K17" s="5" t="s">
        <v>105</v>
      </c>
      <c r="L17" s="5" t="s">
        <v>105</v>
      </c>
      <c r="M17" s="5" t="s">
        <v>105</v>
      </c>
      <c r="N17" s="5" t="s">
        <v>105</v>
      </c>
      <c r="O17" s="5" t="s">
        <v>233</v>
      </c>
    </row>
  </sheetData>
  <conditionalFormatting sqref="C18:C1048576 C7:C15">
    <cfRule type="cellIs" dxfId="454" priority="57" operator="equal">
      <formula>"WIP (see comments)"</formula>
    </cfRule>
    <cfRule type="cellIs" dxfId="453" priority="58" operator="equal">
      <formula>"Removed"</formula>
    </cfRule>
    <cfRule type="cellIs" dxfId="452" priority="59" operator="equal">
      <formula>"Updated"</formula>
    </cfRule>
    <cfRule type="cellIs" dxfId="451" priority="60" operator="equal">
      <formula>"New"</formula>
    </cfRule>
  </conditionalFormatting>
  <conditionalFormatting sqref="C7:C15">
    <cfRule type="cellIs" dxfId="450" priority="49" operator="equal">
      <formula>"WIP (see comments)"</formula>
    </cfRule>
    <cfRule type="cellIs" dxfId="449" priority="50" operator="equal">
      <formula>"Removed"</formula>
    </cfRule>
    <cfRule type="cellIs" dxfId="448" priority="51" operator="equal">
      <formula>"Updated"</formula>
    </cfRule>
    <cfRule type="cellIs" dxfId="447" priority="52" operator="equal">
      <formula>"New"</formula>
    </cfRule>
  </conditionalFormatting>
  <conditionalFormatting sqref="A18:XFD1048576 P14:XFD14 D15:XFD17 A1:C1 E1:XFD1 A2:XFD2 A4:XFD13 A3:C3 E3:XFD3 C14:C15">
    <cfRule type="cellIs" dxfId="446" priority="44" operator="equal">
      <formula>"n/a"</formula>
    </cfRule>
  </conditionalFormatting>
  <conditionalFormatting sqref="C16:C17">
    <cfRule type="cellIs" dxfId="445" priority="21" operator="equal">
      <formula>"WIP (see comments)"</formula>
    </cfRule>
    <cfRule type="cellIs" dxfId="444" priority="22" operator="equal">
      <formula>"Removed"</formula>
    </cfRule>
    <cfRule type="cellIs" dxfId="443" priority="23" operator="equal">
      <formula>"Updated"</formula>
    </cfRule>
    <cfRule type="cellIs" dxfId="442" priority="24" operator="equal">
      <formula>"New"</formula>
    </cfRule>
  </conditionalFormatting>
  <conditionalFormatting sqref="D14:O14">
    <cfRule type="cellIs" dxfId="441" priority="38" operator="equal">
      <formula>"n/a"</formula>
    </cfRule>
  </conditionalFormatting>
  <conditionalFormatting sqref="C16:C17">
    <cfRule type="cellIs" dxfId="440" priority="25" operator="equal">
      <formula>"WIP (see comments)"</formula>
    </cfRule>
    <cfRule type="cellIs" dxfId="439" priority="26" operator="equal">
      <formula>"Removed"</formula>
    </cfRule>
    <cfRule type="cellIs" dxfId="438" priority="27" operator="equal">
      <formula>"Updated"</formula>
    </cfRule>
    <cfRule type="cellIs" dxfId="437" priority="28" operator="equal">
      <formula>"New"</formula>
    </cfRule>
  </conditionalFormatting>
  <conditionalFormatting sqref="C16:C17">
    <cfRule type="cellIs" dxfId="436" priority="20" operator="equal">
      <formula>"n/a"</formula>
    </cfRule>
  </conditionalFormatting>
  <conditionalFormatting sqref="D1">
    <cfRule type="cellIs" dxfId="435" priority="9" operator="equal">
      <formula>"n/a"</formula>
    </cfRule>
  </conditionalFormatting>
  <conditionalFormatting sqref="D3">
    <cfRule type="cellIs" dxfId="434" priority="8" operator="equal">
      <formula>"n/a"</formula>
    </cfRule>
  </conditionalFormatting>
  <conditionalFormatting sqref="A14:B17">
    <cfRule type="cellIs" dxfId="433" priority="7" operator="equal">
      <formula>"n/a"</formula>
    </cfRule>
  </conditionalFormatting>
  <dataValidations count="2">
    <dataValidation type="list" allowBlank="1" showInputMessage="1" showErrorMessage="1" sqref="E18:E1048576" xr:uid="{00000000-0002-0000-0800-000000000000}">
      <formula1>$A$5:$A$30</formula1>
    </dataValidation>
    <dataValidation type="list" allowBlank="1" showInputMessage="1" showErrorMessage="1" sqref="C18:C1048576" xr:uid="{00000000-0002-0000-0800-000001000000}">
      <formula1>$B$5:$B$13</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800-000002000000}">
          <x14:formula1>
            <xm:f>'List Values'!$A$5:$A$30</xm:f>
          </x14:formula1>
          <xm:sqref>E7:E17</xm:sqref>
        </x14:dataValidation>
        <x14:dataValidation type="list" allowBlank="1" showInputMessage="1" showErrorMessage="1" xr:uid="{00000000-0002-0000-0800-000003000000}">
          <x14:formula1>
            <xm:f>'List Values'!$B$5:$B$13</xm:f>
          </x14:formula1>
          <xm:sqref>C7:C17</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P15"/>
  <sheetViews>
    <sheetView workbookViewId="0">
      <pane xSplit="4" ySplit="6" topLeftCell="E7" activePane="bottomRight" state="frozen"/>
      <selection pane="bottomRight" activeCell="B4" sqref="B4"/>
      <selection pane="bottomLeft" activeCell="A7" sqref="A7"/>
      <selection pane="topRight" activeCell="E1" sqref="E1"/>
    </sheetView>
  </sheetViews>
  <sheetFormatPr defaultColWidth="9.140625" defaultRowHeight="14.25"/>
  <cols>
    <col min="1" max="1" width="14.7109375" style="5" customWidth="1"/>
    <col min="2" max="2" width="12.5703125" style="5" customWidth="1"/>
    <col min="3" max="3" width="13" style="28" customWidth="1"/>
    <col min="4" max="4" width="45.140625" style="5" customWidth="1"/>
    <col min="5" max="5" width="28.7109375" style="5" customWidth="1"/>
    <col min="6" max="6" width="17" style="5" customWidth="1"/>
    <col min="7" max="7" width="29.28515625" style="5" customWidth="1"/>
    <col min="8" max="8" width="27.85546875" style="5" customWidth="1"/>
    <col min="9" max="9" width="34.85546875" style="5" customWidth="1"/>
    <col min="10" max="10" width="28.140625" style="5" customWidth="1"/>
    <col min="11" max="11" width="17.28515625" style="5" customWidth="1"/>
    <col min="12" max="12" width="23" style="5" customWidth="1"/>
    <col min="13" max="13" width="29" style="5" customWidth="1"/>
    <col min="14" max="14" width="18.7109375" style="5" bestFit="1" customWidth="1"/>
    <col min="15" max="15" width="48.42578125" style="5" customWidth="1"/>
    <col min="16" max="16" width="41.85546875" style="5" customWidth="1"/>
    <col min="17" max="16384" width="9.140625" style="5"/>
  </cols>
  <sheetData>
    <row r="1" spans="1:16" s="24" customFormat="1" ht="18">
      <c r="A1" s="22" t="s">
        <v>78</v>
      </c>
      <c r="B1" s="32" t="s">
        <v>234</v>
      </c>
      <c r="C1" s="26"/>
      <c r="D1" s="23"/>
    </row>
    <row r="2" spans="1:16" s="24" customFormat="1" ht="18">
      <c r="A2" s="22" t="s">
        <v>81</v>
      </c>
      <c r="B2" s="30">
        <v>6</v>
      </c>
      <c r="C2" s="29"/>
      <c r="D2" s="30"/>
    </row>
    <row r="3" spans="1:16" s="24" customFormat="1" ht="18">
      <c r="A3" s="22" t="s">
        <v>82</v>
      </c>
      <c r="B3" s="30" t="s">
        <v>235</v>
      </c>
      <c r="C3" s="29"/>
      <c r="D3" s="30" t="s">
        <v>236</v>
      </c>
    </row>
    <row r="4" spans="1:16" s="24" customFormat="1" ht="18">
      <c r="A4" s="22" t="s">
        <v>85</v>
      </c>
      <c r="B4" s="24" t="s">
        <v>160</v>
      </c>
      <c r="C4" s="29"/>
    </row>
    <row r="5" spans="1:16" s="4" customFormat="1">
      <c r="C5" s="31"/>
    </row>
    <row r="6" spans="1:16" s="25" customFormat="1" ht="14.65" thickBot="1">
      <c r="A6" s="25" t="s">
        <v>87</v>
      </c>
      <c r="B6" s="25" t="s">
        <v>88</v>
      </c>
      <c r="C6" s="27" t="s">
        <v>89</v>
      </c>
      <c r="D6" s="25" t="s">
        <v>90</v>
      </c>
      <c r="E6" s="25" t="s">
        <v>91</v>
      </c>
      <c r="F6" s="25" t="s">
        <v>92</v>
      </c>
      <c r="G6" s="25" t="s">
        <v>93</v>
      </c>
      <c r="H6" s="25" t="s">
        <v>94</v>
      </c>
      <c r="I6" s="25" t="s">
        <v>95</v>
      </c>
      <c r="J6" s="25" t="s">
        <v>96</v>
      </c>
      <c r="K6" s="25" t="s">
        <v>97</v>
      </c>
      <c r="L6" s="25" t="s">
        <v>98</v>
      </c>
      <c r="M6" s="25" t="s">
        <v>99</v>
      </c>
      <c r="N6" s="25" t="s">
        <v>100</v>
      </c>
      <c r="O6" s="25" t="s">
        <v>101</v>
      </c>
      <c r="P6" s="25" t="s">
        <v>102</v>
      </c>
    </row>
    <row r="7" spans="1:16" s="36" customFormat="1">
      <c r="A7" s="36">
        <v>1</v>
      </c>
      <c r="B7" s="36" t="str">
        <f>CONCATENATE($B$2, ".", A7)</f>
        <v>6.1</v>
      </c>
      <c r="C7" s="37" t="s">
        <v>51</v>
      </c>
      <c r="D7" s="36" t="s">
        <v>237</v>
      </c>
      <c r="E7" s="36" t="s">
        <v>65</v>
      </c>
      <c r="F7" s="36" t="s">
        <v>105</v>
      </c>
      <c r="G7" s="36" t="s">
        <v>105</v>
      </c>
      <c r="H7" s="36" t="s">
        <v>105</v>
      </c>
      <c r="I7" s="36" t="s">
        <v>86</v>
      </c>
      <c r="J7" s="36" t="s">
        <v>105</v>
      </c>
      <c r="K7" s="36" t="s">
        <v>105</v>
      </c>
      <c r="L7" s="36" t="s">
        <v>105</v>
      </c>
      <c r="M7" s="36" t="s">
        <v>105</v>
      </c>
      <c r="N7" s="36" t="s">
        <v>105</v>
      </c>
      <c r="O7" s="36" t="s">
        <v>105</v>
      </c>
      <c r="P7" s="36" t="s">
        <v>183</v>
      </c>
    </row>
    <row r="8" spans="1:16" s="36" customFormat="1">
      <c r="A8" s="36">
        <v>2</v>
      </c>
      <c r="B8" s="36" t="str">
        <f t="shared" ref="B8:B13" si="0">CONCATENATE($B$2, ".", A8)</f>
        <v>6.2</v>
      </c>
      <c r="C8" s="37" t="s">
        <v>51</v>
      </c>
      <c r="D8" s="36" t="s">
        <v>105</v>
      </c>
      <c r="E8" s="36" t="s">
        <v>64</v>
      </c>
      <c r="F8" s="36" t="s">
        <v>105</v>
      </c>
      <c r="G8" s="36" t="s">
        <v>105</v>
      </c>
      <c r="H8" s="36" t="s">
        <v>105</v>
      </c>
      <c r="I8" s="36" t="s">
        <v>86</v>
      </c>
      <c r="J8" s="36" t="s">
        <v>105</v>
      </c>
      <c r="K8" s="36" t="s">
        <v>105</v>
      </c>
      <c r="L8" s="36" t="s">
        <v>105</v>
      </c>
      <c r="M8" s="36" t="s">
        <v>105</v>
      </c>
      <c r="N8" s="36" t="s">
        <v>105</v>
      </c>
      <c r="O8" s="36" t="s">
        <v>105</v>
      </c>
    </row>
    <row r="9" spans="1:16" s="36" customFormat="1" ht="84.75" customHeight="1">
      <c r="A9" s="36">
        <v>3</v>
      </c>
      <c r="B9" s="36" t="str">
        <f t="shared" si="0"/>
        <v>6.3</v>
      </c>
      <c r="C9" s="37" t="s">
        <v>51</v>
      </c>
      <c r="D9" s="36" t="s">
        <v>238</v>
      </c>
      <c r="E9" s="36" t="s">
        <v>72</v>
      </c>
      <c r="F9" s="36" t="s">
        <v>105</v>
      </c>
      <c r="G9" s="36" t="s">
        <v>105</v>
      </c>
      <c r="H9" s="36" t="s">
        <v>105</v>
      </c>
      <c r="I9" s="36" t="s">
        <v>86</v>
      </c>
      <c r="J9" s="36" t="s">
        <v>105</v>
      </c>
      <c r="K9" s="36" t="s">
        <v>105</v>
      </c>
      <c r="L9" s="36" t="s">
        <v>105</v>
      </c>
      <c r="M9" s="36" t="s">
        <v>105</v>
      </c>
      <c r="N9" s="36" t="s">
        <v>105</v>
      </c>
      <c r="O9" s="36" t="s">
        <v>105</v>
      </c>
      <c r="P9" s="36" t="s">
        <v>239</v>
      </c>
    </row>
    <row r="10" spans="1:16" ht="99" customHeight="1">
      <c r="A10" s="5">
        <v>4</v>
      </c>
      <c r="B10" s="36" t="str">
        <f t="shared" si="0"/>
        <v>6.4</v>
      </c>
      <c r="C10" s="37" t="s">
        <v>51</v>
      </c>
      <c r="D10" s="5" t="s">
        <v>105</v>
      </c>
      <c r="E10" s="5" t="s">
        <v>62</v>
      </c>
      <c r="F10" s="36" t="s">
        <v>105</v>
      </c>
      <c r="G10" s="36" t="s">
        <v>105</v>
      </c>
      <c r="H10" s="36" t="s">
        <v>105</v>
      </c>
      <c r="I10" s="36" t="s">
        <v>86</v>
      </c>
      <c r="J10" s="36" t="s">
        <v>105</v>
      </c>
      <c r="K10" s="69" t="s">
        <v>240</v>
      </c>
      <c r="L10" s="70" t="s">
        <v>241</v>
      </c>
      <c r="M10" s="36" t="s">
        <v>105</v>
      </c>
      <c r="N10" s="36" t="s">
        <v>105</v>
      </c>
      <c r="O10" s="5" t="s">
        <v>242</v>
      </c>
    </row>
    <row r="11" spans="1:16" ht="57.75" customHeight="1">
      <c r="A11" s="5">
        <v>5</v>
      </c>
      <c r="B11" s="5" t="str">
        <f t="shared" si="0"/>
        <v>6.5</v>
      </c>
      <c r="C11" s="37" t="s">
        <v>51</v>
      </c>
      <c r="D11" s="5" t="s">
        <v>243</v>
      </c>
      <c r="E11" s="5" t="s">
        <v>50</v>
      </c>
      <c r="F11" s="5" t="s">
        <v>228</v>
      </c>
      <c r="G11" s="36" t="s">
        <v>105</v>
      </c>
      <c r="H11" s="36" t="s">
        <v>105</v>
      </c>
      <c r="I11" s="36" t="s">
        <v>86</v>
      </c>
      <c r="J11" s="5" t="s">
        <v>244</v>
      </c>
      <c r="K11" s="69"/>
      <c r="L11" s="70"/>
      <c r="M11" s="36" t="s">
        <v>105</v>
      </c>
      <c r="N11" s="36" t="s">
        <v>105</v>
      </c>
      <c r="O11" s="5" t="s">
        <v>245</v>
      </c>
    </row>
    <row r="12" spans="1:16" ht="57.75" customHeight="1">
      <c r="A12" s="5">
        <v>6</v>
      </c>
      <c r="B12" s="5" t="str">
        <f t="shared" si="0"/>
        <v>6.6</v>
      </c>
      <c r="C12" s="37" t="s">
        <v>51</v>
      </c>
      <c r="D12" s="5" t="s">
        <v>246</v>
      </c>
      <c r="E12" s="5" t="s">
        <v>72</v>
      </c>
      <c r="F12" s="5" t="s">
        <v>105</v>
      </c>
      <c r="G12" s="36" t="s">
        <v>105</v>
      </c>
      <c r="H12" s="36" t="s">
        <v>105</v>
      </c>
      <c r="I12" s="36" t="s">
        <v>86</v>
      </c>
      <c r="J12" s="5" t="s">
        <v>105</v>
      </c>
      <c r="K12" s="5" t="s">
        <v>105</v>
      </c>
      <c r="L12" s="5" t="s">
        <v>105</v>
      </c>
      <c r="M12" s="5" t="s">
        <v>105</v>
      </c>
      <c r="N12" s="5" t="s">
        <v>105</v>
      </c>
      <c r="O12" s="5" t="s">
        <v>105</v>
      </c>
    </row>
    <row r="13" spans="1:16" ht="57.75" customHeight="1">
      <c r="A13" s="5">
        <v>7</v>
      </c>
      <c r="B13" s="5" t="str">
        <f t="shared" si="0"/>
        <v>6.7</v>
      </c>
      <c r="C13" s="37" t="s">
        <v>51</v>
      </c>
      <c r="D13" s="5" t="s">
        <v>247</v>
      </c>
      <c r="E13" s="5" t="s">
        <v>63</v>
      </c>
      <c r="F13" s="5" t="s">
        <v>105</v>
      </c>
      <c r="G13" s="36" t="s">
        <v>105</v>
      </c>
      <c r="H13" s="36" t="s">
        <v>105</v>
      </c>
      <c r="I13" s="36" t="s">
        <v>86</v>
      </c>
      <c r="J13" s="5" t="s">
        <v>105</v>
      </c>
      <c r="K13" s="5" t="s">
        <v>105</v>
      </c>
      <c r="L13" s="5" t="s">
        <v>105</v>
      </c>
      <c r="M13" s="5" t="s">
        <v>105</v>
      </c>
      <c r="N13" s="5" t="s">
        <v>105</v>
      </c>
      <c r="O13" s="5" t="s">
        <v>105</v>
      </c>
    </row>
    <row r="14" spans="1:16">
      <c r="A14" s="5">
        <v>8</v>
      </c>
      <c r="B14" s="5" t="str">
        <f>CONCATENATE($B$2, ".", A14)</f>
        <v>6.8</v>
      </c>
      <c r="C14" s="37" t="s">
        <v>51</v>
      </c>
      <c r="D14" s="5" t="s">
        <v>155</v>
      </c>
      <c r="E14" s="5" t="s">
        <v>48</v>
      </c>
      <c r="F14" s="5" t="s">
        <v>105</v>
      </c>
      <c r="G14" s="5" t="s">
        <v>105</v>
      </c>
      <c r="H14" s="5" t="s">
        <v>105</v>
      </c>
      <c r="I14" s="5" t="s">
        <v>86</v>
      </c>
      <c r="J14" s="5" t="s">
        <v>105</v>
      </c>
      <c r="K14" s="5" t="s">
        <v>105</v>
      </c>
      <c r="L14" s="5" t="s">
        <v>105</v>
      </c>
      <c r="M14" s="5" t="s">
        <v>105</v>
      </c>
      <c r="N14" s="5" t="s">
        <v>105</v>
      </c>
      <c r="O14" s="5" t="s">
        <v>248</v>
      </c>
    </row>
    <row r="15" spans="1:16" ht="28.5">
      <c r="A15" s="5">
        <v>9</v>
      </c>
      <c r="B15" s="5" t="str">
        <f t="shared" ref="B15" si="1">CONCATENATE($B$2, ".", A15)</f>
        <v>6.9</v>
      </c>
      <c r="C15" s="37" t="s">
        <v>51</v>
      </c>
      <c r="D15" s="5" t="s">
        <v>168</v>
      </c>
      <c r="E15" s="5" t="s">
        <v>48</v>
      </c>
      <c r="F15" s="5" t="s">
        <v>105</v>
      </c>
      <c r="G15" s="5" t="s">
        <v>105</v>
      </c>
      <c r="H15" s="5" t="s">
        <v>105</v>
      </c>
      <c r="I15" s="5" t="s">
        <v>86</v>
      </c>
      <c r="J15" s="5" t="s">
        <v>105</v>
      </c>
      <c r="K15" s="5" t="s">
        <v>105</v>
      </c>
      <c r="L15" s="5" t="s">
        <v>105</v>
      </c>
      <c r="M15" s="5" t="s">
        <v>105</v>
      </c>
      <c r="N15" s="5" t="s">
        <v>105</v>
      </c>
      <c r="O15" s="5" t="s">
        <v>249</v>
      </c>
    </row>
  </sheetData>
  <mergeCells count="2">
    <mergeCell ref="K10:K11"/>
    <mergeCell ref="L10:L11"/>
  </mergeCells>
  <conditionalFormatting sqref="C16:C1048576">
    <cfRule type="cellIs" dxfId="432" priority="56" operator="equal">
      <formula>"WIP (see comments)"</formula>
    </cfRule>
    <cfRule type="cellIs" dxfId="431" priority="57" operator="equal">
      <formula>"Removed"</formula>
    </cfRule>
    <cfRule type="cellIs" dxfId="430" priority="58" operator="equal">
      <formula>"Updated"</formula>
    </cfRule>
    <cfRule type="cellIs" dxfId="429" priority="59" operator="equal">
      <formula>"New"</formula>
    </cfRule>
  </conditionalFormatting>
  <conditionalFormatting sqref="C7:C15">
    <cfRule type="cellIs" dxfId="428" priority="40" operator="equal">
      <formula>"WIP (see comments)"</formula>
    </cfRule>
    <cfRule type="cellIs" dxfId="427" priority="41" operator="equal">
      <formula>"Removed"</formula>
    </cfRule>
    <cfRule type="cellIs" dxfId="426" priority="42" operator="equal">
      <formula>"Updated"</formula>
    </cfRule>
    <cfRule type="cellIs" dxfId="425" priority="43" operator="equal">
      <formula>"New"</formula>
    </cfRule>
  </conditionalFormatting>
  <conditionalFormatting sqref="A2:XFD2 A16:XFD1048576 M11:XFD11 D11:J11 A8:B13 D8:XFD10 P12:XFD13 A1:C1 E1:XFD1 A4:XFD7 A3:C3 E3:XFD3 C8:C15">
    <cfRule type="cellIs" dxfId="424" priority="38" operator="equal">
      <formula>"n/a"</formula>
    </cfRule>
  </conditionalFormatting>
  <conditionalFormatting sqref="A14:B15 D14:XFD15">
    <cfRule type="cellIs" dxfId="423" priority="24" operator="equal">
      <formula>"n/a"</formula>
    </cfRule>
  </conditionalFormatting>
  <conditionalFormatting sqref="J13:K13 J12 D12:I13">
    <cfRule type="cellIs" dxfId="422" priority="19" operator="equal">
      <formula>"n/a"</formula>
    </cfRule>
  </conditionalFormatting>
  <conditionalFormatting sqref="K12">
    <cfRule type="cellIs" dxfId="421" priority="18" operator="equal">
      <formula>"n/a"</formula>
    </cfRule>
  </conditionalFormatting>
  <conditionalFormatting sqref="L13">
    <cfRule type="cellIs" dxfId="420" priority="17" operator="equal">
      <formula>"n/a"</formula>
    </cfRule>
  </conditionalFormatting>
  <conditionalFormatting sqref="L12">
    <cfRule type="cellIs" dxfId="419" priority="16" operator="equal">
      <formula>"n/a"</formula>
    </cfRule>
  </conditionalFormatting>
  <conditionalFormatting sqref="M13">
    <cfRule type="cellIs" dxfId="418" priority="15" operator="equal">
      <formula>"n/a"</formula>
    </cfRule>
  </conditionalFormatting>
  <conditionalFormatting sqref="M12">
    <cfRule type="cellIs" dxfId="417" priority="14" operator="equal">
      <formula>"n/a"</formula>
    </cfRule>
  </conditionalFormatting>
  <conditionalFormatting sqref="N13">
    <cfRule type="cellIs" dxfId="416" priority="13" operator="equal">
      <formula>"n/a"</formula>
    </cfRule>
  </conditionalFormatting>
  <conditionalFormatting sqref="N12">
    <cfRule type="cellIs" dxfId="415" priority="12" operator="equal">
      <formula>"n/a"</formula>
    </cfRule>
  </conditionalFormatting>
  <conditionalFormatting sqref="O13">
    <cfRule type="cellIs" dxfId="414" priority="11" operator="equal">
      <formula>"n/a"</formula>
    </cfRule>
  </conditionalFormatting>
  <conditionalFormatting sqref="O12">
    <cfRule type="cellIs" dxfId="413" priority="10" operator="equal">
      <formula>"n/a"</formula>
    </cfRule>
  </conditionalFormatting>
  <conditionalFormatting sqref="D1">
    <cfRule type="cellIs" dxfId="412" priority="8" operator="equal">
      <formula>"n/a"</formula>
    </cfRule>
  </conditionalFormatting>
  <conditionalFormatting sqref="D3">
    <cfRule type="cellIs" dxfId="411" priority="7" operator="equal">
      <formula>"n/a"</formula>
    </cfRule>
  </conditionalFormatting>
  <dataValidations count="2">
    <dataValidation type="list" allowBlank="1" showInputMessage="1" showErrorMessage="1" sqref="C16:C1048576" xr:uid="{00000000-0002-0000-0900-000000000000}">
      <formula1>$B$5:$B$12</formula1>
    </dataValidation>
    <dataValidation type="list" allowBlank="1" showInputMessage="1" showErrorMessage="1" sqref="E16:E1048576" xr:uid="{00000000-0002-0000-0900-000001000000}">
      <formula1>$A$5:$A$31</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900-000002000000}">
          <x14:formula1>
            <xm:f>'List Values'!$B$5:$B$12</xm:f>
          </x14:formula1>
          <xm:sqref>C7:C15</xm:sqref>
        </x14:dataValidation>
        <x14:dataValidation type="list" allowBlank="1" showInputMessage="1" showErrorMessage="1" xr:uid="{00000000-0002-0000-0900-000003000000}">
          <x14:formula1>
            <xm:f>'List Values'!$A$5:$A$31</xm:f>
          </x14:formula1>
          <xm:sqref>E7:E15</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P40"/>
  <sheetViews>
    <sheetView workbookViewId="0">
      <pane xSplit="4" ySplit="6" topLeftCell="E7" activePane="bottomRight" state="frozen"/>
      <selection pane="bottomRight" activeCell="B4" sqref="B4"/>
      <selection pane="bottomLeft" activeCell="A7" sqref="A7"/>
      <selection pane="topRight" activeCell="E1" sqref="E1"/>
    </sheetView>
  </sheetViews>
  <sheetFormatPr defaultColWidth="9.140625" defaultRowHeight="14.25"/>
  <cols>
    <col min="1" max="1" width="14.7109375" style="5" customWidth="1"/>
    <col min="2" max="2" width="12.5703125" style="5" customWidth="1"/>
    <col min="3" max="3" width="13" style="28" customWidth="1"/>
    <col min="4" max="4" width="45.140625" style="5" customWidth="1"/>
    <col min="5" max="5" width="28.7109375" style="5" customWidth="1"/>
    <col min="6" max="6" width="17" style="5" customWidth="1"/>
    <col min="7" max="7" width="29.28515625" style="5" customWidth="1"/>
    <col min="8" max="8" width="27.85546875" style="5" customWidth="1"/>
    <col min="9" max="9" width="34.85546875" style="5" customWidth="1"/>
    <col min="10" max="10" width="28.140625" style="5" customWidth="1"/>
    <col min="11" max="11" width="10.7109375" style="5" bestFit="1" customWidth="1"/>
    <col min="12" max="12" width="23" style="5" customWidth="1"/>
    <col min="13" max="13" width="29" style="5" customWidth="1"/>
    <col min="14" max="14" width="18.7109375" style="5" bestFit="1" customWidth="1"/>
    <col min="15" max="15" width="48.42578125" style="5" customWidth="1"/>
    <col min="16" max="16" width="41.85546875" style="5" customWidth="1"/>
    <col min="17" max="16384" width="9.140625" style="5"/>
  </cols>
  <sheetData>
    <row r="1" spans="1:16" s="24" customFormat="1" ht="18">
      <c r="A1" s="22" t="s">
        <v>78</v>
      </c>
      <c r="B1" s="32" t="s">
        <v>250</v>
      </c>
      <c r="C1" s="26"/>
      <c r="D1" s="32" t="s">
        <v>251</v>
      </c>
    </row>
    <row r="2" spans="1:16" s="24" customFormat="1" ht="18">
      <c r="A2" s="22" t="s">
        <v>81</v>
      </c>
      <c r="B2" s="30">
        <v>7</v>
      </c>
      <c r="C2" s="29"/>
      <c r="D2" s="30"/>
    </row>
    <row r="3" spans="1:16" s="24" customFormat="1" ht="18">
      <c r="A3" s="22" t="s">
        <v>82</v>
      </c>
      <c r="B3" s="30" t="s">
        <v>252</v>
      </c>
      <c r="C3" s="29"/>
      <c r="D3" s="30" t="s">
        <v>253</v>
      </c>
    </row>
    <row r="4" spans="1:16" s="24" customFormat="1" ht="18">
      <c r="A4" s="22" t="s">
        <v>85</v>
      </c>
      <c r="B4" s="24" t="s">
        <v>160</v>
      </c>
      <c r="C4" s="29"/>
    </row>
    <row r="5" spans="1:16" s="4" customFormat="1">
      <c r="C5" s="31"/>
    </row>
    <row r="6" spans="1:16" s="25" customFormat="1" ht="14.65" thickBot="1">
      <c r="A6" s="25" t="s">
        <v>87</v>
      </c>
      <c r="B6" s="25" t="s">
        <v>88</v>
      </c>
      <c r="C6" s="27" t="s">
        <v>89</v>
      </c>
      <c r="D6" s="25" t="s">
        <v>90</v>
      </c>
      <c r="E6" s="25" t="s">
        <v>91</v>
      </c>
      <c r="F6" s="25" t="s">
        <v>92</v>
      </c>
      <c r="G6" s="25" t="s">
        <v>93</v>
      </c>
      <c r="H6" s="25" t="s">
        <v>94</v>
      </c>
      <c r="I6" s="25" t="s">
        <v>95</v>
      </c>
      <c r="J6" s="25" t="s">
        <v>96</v>
      </c>
      <c r="K6" s="25" t="s">
        <v>97</v>
      </c>
      <c r="L6" s="25" t="s">
        <v>98</v>
      </c>
      <c r="M6" s="25" t="s">
        <v>99</v>
      </c>
      <c r="N6" s="25" t="s">
        <v>100</v>
      </c>
      <c r="O6" s="25" t="s">
        <v>101</v>
      </c>
      <c r="P6" s="25" t="s">
        <v>102</v>
      </c>
    </row>
    <row r="7" spans="1:16">
      <c r="A7" s="5">
        <v>1</v>
      </c>
      <c r="B7" s="5" t="str">
        <f t="shared" ref="B7:B10" si="0">CONCATENATE($B$2, ".", A7)</f>
        <v>7.1</v>
      </c>
      <c r="C7" s="28" t="s">
        <v>51</v>
      </c>
      <c r="D7" s="5" t="s">
        <v>254</v>
      </c>
      <c r="E7" s="5" t="s">
        <v>65</v>
      </c>
      <c r="F7" s="5" t="s">
        <v>105</v>
      </c>
      <c r="G7" s="5" t="s">
        <v>105</v>
      </c>
      <c r="H7" s="5" t="s">
        <v>105</v>
      </c>
      <c r="I7" s="5" t="s">
        <v>86</v>
      </c>
      <c r="J7" s="5" t="s">
        <v>105</v>
      </c>
      <c r="K7" s="5" t="s">
        <v>105</v>
      </c>
      <c r="L7" s="5" t="s">
        <v>105</v>
      </c>
      <c r="M7" s="5" t="s">
        <v>105</v>
      </c>
      <c r="N7" s="5" t="s">
        <v>105</v>
      </c>
      <c r="O7" s="5" t="s">
        <v>105</v>
      </c>
      <c r="P7" s="5" t="s">
        <v>255</v>
      </c>
    </row>
    <row r="8" spans="1:16">
      <c r="A8" s="5">
        <v>2</v>
      </c>
      <c r="B8" s="5" t="str">
        <f t="shared" si="0"/>
        <v>7.2</v>
      </c>
      <c r="C8" s="28" t="s">
        <v>51</v>
      </c>
      <c r="D8" s="5" t="s">
        <v>105</v>
      </c>
      <c r="E8" s="5" t="s">
        <v>64</v>
      </c>
      <c r="F8" s="5" t="s">
        <v>105</v>
      </c>
      <c r="G8" s="5" t="s">
        <v>105</v>
      </c>
      <c r="H8" s="5" t="s">
        <v>105</v>
      </c>
      <c r="I8" s="5" t="s">
        <v>86</v>
      </c>
      <c r="J8" s="5" t="s">
        <v>105</v>
      </c>
      <c r="K8" s="5" t="s">
        <v>105</v>
      </c>
      <c r="L8" s="5" t="s">
        <v>105</v>
      </c>
      <c r="M8" s="5" t="s">
        <v>105</v>
      </c>
      <c r="N8" s="5" t="s">
        <v>105</v>
      </c>
      <c r="O8" s="5" t="s">
        <v>105</v>
      </c>
    </row>
    <row r="9" spans="1:16" ht="57">
      <c r="A9" s="5">
        <v>3</v>
      </c>
      <c r="B9" s="5" t="str">
        <f t="shared" si="0"/>
        <v>7.3</v>
      </c>
      <c r="C9" s="28" t="s">
        <v>51</v>
      </c>
      <c r="D9" s="5" t="s">
        <v>256</v>
      </c>
      <c r="E9" s="5" t="s">
        <v>74</v>
      </c>
      <c r="F9" s="5" t="s">
        <v>257</v>
      </c>
      <c r="G9" s="5" t="s">
        <v>105</v>
      </c>
      <c r="H9" s="33">
        <v>50</v>
      </c>
      <c r="I9" s="5" t="s">
        <v>86</v>
      </c>
      <c r="J9" s="5" t="s">
        <v>258</v>
      </c>
      <c r="K9" s="5" t="s">
        <v>166</v>
      </c>
      <c r="L9" s="5" t="s">
        <v>259</v>
      </c>
      <c r="M9" s="5" t="s">
        <v>105</v>
      </c>
      <c r="N9" s="5" t="s">
        <v>105</v>
      </c>
      <c r="O9" s="5" t="s">
        <v>260</v>
      </c>
      <c r="P9" s="5" t="s">
        <v>261</v>
      </c>
    </row>
    <row r="10" spans="1:16" ht="57">
      <c r="A10" s="5">
        <v>4</v>
      </c>
      <c r="B10" s="5" t="str">
        <f t="shared" si="0"/>
        <v>7.4</v>
      </c>
      <c r="C10" s="28" t="s">
        <v>51</v>
      </c>
      <c r="D10" s="5" t="s">
        <v>262</v>
      </c>
      <c r="E10" s="5" t="s">
        <v>74</v>
      </c>
      <c r="F10" s="5" t="s">
        <v>257</v>
      </c>
      <c r="G10" s="5" t="s">
        <v>105</v>
      </c>
      <c r="H10" s="33">
        <v>50</v>
      </c>
      <c r="I10" s="5" t="s">
        <v>86</v>
      </c>
      <c r="J10" s="5" t="s">
        <v>263</v>
      </c>
      <c r="K10" s="5" t="s">
        <v>166</v>
      </c>
      <c r="L10" s="5" t="s">
        <v>264</v>
      </c>
      <c r="M10" s="5" t="s">
        <v>105</v>
      </c>
      <c r="N10" s="5" t="s">
        <v>105</v>
      </c>
      <c r="O10" s="5" t="s">
        <v>260</v>
      </c>
      <c r="P10" s="5" t="s">
        <v>261</v>
      </c>
    </row>
    <row r="11" spans="1:16" ht="28.5">
      <c r="A11" s="5">
        <v>5</v>
      </c>
      <c r="B11" s="5" t="str">
        <f t="shared" ref="B11" si="1">CONCATENATE($B$2, ".", A11)</f>
        <v>7.5</v>
      </c>
      <c r="C11" s="28" t="s">
        <v>53</v>
      </c>
      <c r="D11" s="5" t="s">
        <v>265</v>
      </c>
      <c r="E11" s="5" t="s">
        <v>70</v>
      </c>
      <c r="F11" s="5" t="s">
        <v>105</v>
      </c>
      <c r="G11" s="5" t="s">
        <v>105</v>
      </c>
      <c r="H11" s="5" t="s">
        <v>105</v>
      </c>
      <c r="I11" s="5" t="s">
        <v>86</v>
      </c>
      <c r="J11" s="5" t="s">
        <v>105</v>
      </c>
      <c r="K11" s="5" t="s">
        <v>105</v>
      </c>
      <c r="L11" s="5" t="s">
        <v>105</v>
      </c>
      <c r="M11" s="5" t="s">
        <v>105</v>
      </c>
      <c r="N11" s="5" t="s">
        <v>105</v>
      </c>
      <c r="O11" s="5" t="s">
        <v>105</v>
      </c>
      <c r="P11" s="5" t="s">
        <v>266</v>
      </c>
    </row>
    <row r="12" spans="1:16">
      <c r="A12" s="49" t="s">
        <v>267</v>
      </c>
      <c r="B12" s="49"/>
      <c r="C12" s="49"/>
      <c r="D12" s="49"/>
      <c r="E12" s="49"/>
      <c r="F12" s="45"/>
      <c r="G12" s="45"/>
      <c r="H12" s="45"/>
      <c r="I12" s="45"/>
      <c r="J12" s="45"/>
      <c r="K12" s="45"/>
      <c r="L12" s="45"/>
      <c r="M12" s="45"/>
      <c r="N12" s="45"/>
      <c r="O12" s="45"/>
      <c r="P12" s="45"/>
    </row>
    <row r="13" spans="1:16" ht="128.25">
      <c r="A13" s="5">
        <v>6</v>
      </c>
      <c r="B13" s="5" t="str">
        <f t="shared" ref="B13:B18" si="2">CONCATENATE($B$2, ".", A13)</f>
        <v>7.6</v>
      </c>
      <c r="C13" s="28" t="s">
        <v>51</v>
      </c>
      <c r="D13" s="5" t="s">
        <v>268</v>
      </c>
      <c r="E13" s="5" t="s">
        <v>76</v>
      </c>
      <c r="F13" s="5" t="s">
        <v>257</v>
      </c>
      <c r="G13" s="5" t="s">
        <v>105</v>
      </c>
      <c r="H13" s="33">
        <v>35</v>
      </c>
      <c r="I13" s="5" t="s">
        <v>86</v>
      </c>
      <c r="J13" s="5" t="s">
        <v>269</v>
      </c>
      <c r="K13" s="5" t="s">
        <v>270</v>
      </c>
      <c r="L13" s="5" t="s">
        <v>271</v>
      </c>
      <c r="M13" s="5" t="s">
        <v>105</v>
      </c>
      <c r="N13" s="5" t="s">
        <v>272</v>
      </c>
      <c r="O13" s="5" t="s">
        <v>273</v>
      </c>
      <c r="P13" s="5" t="s">
        <v>274</v>
      </c>
    </row>
    <row r="14" spans="1:16" ht="57">
      <c r="A14" s="5">
        <v>7</v>
      </c>
      <c r="B14" s="5" t="str">
        <f t="shared" si="2"/>
        <v>7.7</v>
      </c>
      <c r="C14" s="28" t="s">
        <v>51</v>
      </c>
      <c r="D14" s="5" t="s">
        <v>275</v>
      </c>
      <c r="E14" s="5" t="s">
        <v>74</v>
      </c>
      <c r="F14" s="5" t="s">
        <v>257</v>
      </c>
      <c r="G14" s="5" t="s">
        <v>105</v>
      </c>
      <c r="H14" s="33">
        <v>10</v>
      </c>
      <c r="I14" s="5" t="s">
        <v>276</v>
      </c>
      <c r="J14" s="5" t="s">
        <v>277</v>
      </c>
      <c r="K14" s="5" t="s">
        <v>278</v>
      </c>
      <c r="L14" s="5" t="s">
        <v>279</v>
      </c>
      <c r="M14" s="5" t="s">
        <v>105</v>
      </c>
      <c r="N14" s="5" t="s">
        <v>105</v>
      </c>
      <c r="P14" s="5" t="s">
        <v>274</v>
      </c>
    </row>
    <row r="15" spans="1:16" ht="57">
      <c r="A15" s="5">
        <v>8</v>
      </c>
      <c r="B15" s="5" t="str">
        <f t="shared" si="2"/>
        <v>7.8</v>
      </c>
      <c r="C15" s="28" t="s">
        <v>51</v>
      </c>
      <c r="D15" s="5" t="s">
        <v>280</v>
      </c>
      <c r="E15" s="5" t="s">
        <v>74</v>
      </c>
      <c r="F15" s="5" t="s">
        <v>257</v>
      </c>
      <c r="G15" s="5" t="s">
        <v>105</v>
      </c>
      <c r="H15" s="33">
        <v>35</v>
      </c>
      <c r="I15" s="5" t="s">
        <v>276</v>
      </c>
      <c r="J15" s="5" t="s">
        <v>277</v>
      </c>
      <c r="K15" s="5" t="s">
        <v>278</v>
      </c>
      <c r="L15" s="5" t="s">
        <v>281</v>
      </c>
      <c r="M15" s="5" t="s">
        <v>105</v>
      </c>
      <c r="N15" s="5" t="s">
        <v>105</v>
      </c>
      <c r="P15" s="5" t="s">
        <v>274</v>
      </c>
    </row>
    <row r="16" spans="1:16" ht="57">
      <c r="A16" s="5">
        <v>9</v>
      </c>
      <c r="B16" s="5" t="str">
        <f t="shared" si="2"/>
        <v>7.9</v>
      </c>
      <c r="C16" s="28" t="s">
        <v>51</v>
      </c>
      <c r="D16" s="5" t="s">
        <v>282</v>
      </c>
      <c r="E16" s="5" t="s">
        <v>74</v>
      </c>
      <c r="F16" s="5" t="s">
        <v>257</v>
      </c>
      <c r="G16" s="5" t="s">
        <v>105</v>
      </c>
      <c r="H16" s="33">
        <v>10</v>
      </c>
      <c r="I16" s="5" t="s">
        <v>276</v>
      </c>
      <c r="J16" s="5" t="s">
        <v>277</v>
      </c>
      <c r="K16" s="5" t="s">
        <v>283</v>
      </c>
      <c r="L16" s="5" t="s">
        <v>105</v>
      </c>
      <c r="M16" s="5" t="s">
        <v>105</v>
      </c>
      <c r="N16" s="5" t="s">
        <v>105</v>
      </c>
    </row>
    <row r="17" spans="1:16" ht="57">
      <c r="A17" s="5">
        <v>10</v>
      </c>
      <c r="B17" s="5" t="str">
        <f t="shared" si="2"/>
        <v>7.10</v>
      </c>
      <c r="C17" s="28" t="s">
        <v>51</v>
      </c>
      <c r="D17" s="5" t="s">
        <v>284</v>
      </c>
      <c r="E17" s="5" t="s">
        <v>74</v>
      </c>
      <c r="F17" s="5" t="s">
        <v>257</v>
      </c>
      <c r="G17" s="5" t="s">
        <v>105</v>
      </c>
      <c r="H17" s="33">
        <v>20</v>
      </c>
      <c r="I17" s="5" t="s">
        <v>276</v>
      </c>
      <c r="J17" s="5" t="s">
        <v>277</v>
      </c>
      <c r="K17" s="5" t="s">
        <v>278</v>
      </c>
      <c r="L17" s="5" t="s">
        <v>285</v>
      </c>
      <c r="M17" s="5" t="s">
        <v>105</v>
      </c>
      <c r="N17" s="5" t="s">
        <v>105</v>
      </c>
      <c r="P17" s="5" t="s">
        <v>274</v>
      </c>
    </row>
    <row r="18" spans="1:16" ht="114">
      <c r="A18" s="5">
        <v>11</v>
      </c>
      <c r="B18" s="5" t="str">
        <f t="shared" si="2"/>
        <v>7.11</v>
      </c>
      <c r="C18" s="28" t="s">
        <v>51</v>
      </c>
      <c r="D18" s="5" t="s">
        <v>286</v>
      </c>
      <c r="E18" s="5" t="s">
        <v>58</v>
      </c>
      <c r="F18" s="5" t="s">
        <v>287</v>
      </c>
      <c r="G18" s="5" t="s">
        <v>105</v>
      </c>
      <c r="H18" s="33">
        <v>15</v>
      </c>
      <c r="I18" s="5" t="s">
        <v>276</v>
      </c>
      <c r="J18" s="5" t="s">
        <v>277</v>
      </c>
      <c r="K18" s="5" t="s">
        <v>278</v>
      </c>
      <c r="L18" s="5" t="s">
        <v>288</v>
      </c>
      <c r="M18" s="5" t="s">
        <v>289</v>
      </c>
      <c r="N18" s="5" t="s">
        <v>290</v>
      </c>
    </row>
    <row r="19" spans="1:16" ht="57">
      <c r="A19" s="5">
        <v>12</v>
      </c>
      <c r="B19" s="5" t="str">
        <f>CONCATENATE($B$2, ".", A19)</f>
        <v>7.12</v>
      </c>
      <c r="C19" s="28" t="s">
        <v>51</v>
      </c>
      <c r="D19" s="5" t="s">
        <v>291</v>
      </c>
      <c r="E19" s="5" t="s">
        <v>74</v>
      </c>
      <c r="F19" s="5" t="s">
        <v>292</v>
      </c>
      <c r="G19" s="5" t="s">
        <v>105</v>
      </c>
      <c r="H19" s="33">
        <v>7</v>
      </c>
      <c r="I19" s="5" t="s">
        <v>276</v>
      </c>
      <c r="J19" s="5" t="s">
        <v>277</v>
      </c>
      <c r="K19" s="5" t="s">
        <v>278</v>
      </c>
      <c r="L19" s="5" t="s">
        <v>293</v>
      </c>
      <c r="M19" s="5" t="s">
        <v>294</v>
      </c>
      <c r="N19" s="5" t="s">
        <v>295</v>
      </c>
      <c r="P19" s="5" t="s">
        <v>296</v>
      </c>
    </row>
    <row r="20" spans="1:16">
      <c r="A20" s="49" t="s">
        <v>297</v>
      </c>
      <c r="B20" s="49"/>
      <c r="C20" s="49"/>
      <c r="D20" s="49"/>
      <c r="E20" s="49"/>
      <c r="F20" s="45"/>
      <c r="G20" s="45"/>
      <c r="H20" s="45"/>
      <c r="I20" s="45"/>
      <c r="J20" s="45"/>
      <c r="K20" s="45"/>
      <c r="L20" s="45"/>
      <c r="M20" s="45"/>
      <c r="N20" s="45"/>
      <c r="O20" s="45"/>
      <c r="P20" s="45"/>
    </row>
    <row r="21" spans="1:16" ht="57">
      <c r="A21" s="5">
        <v>13</v>
      </c>
      <c r="B21" s="5" t="str">
        <f t="shared" ref="B21:B27" si="3">CONCATENATE($B$2, ".", A21)</f>
        <v>7.13</v>
      </c>
      <c r="C21" s="28" t="s">
        <v>51</v>
      </c>
      <c r="D21" s="5" t="s">
        <v>298</v>
      </c>
      <c r="E21" s="5" t="s">
        <v>67</v>
      </c>
      <c r="F21" s="5" t="s">
        <v>299</v>
      </c>
      <c r="G21" s="5" t="s">
        <v>105</v>
      </c>
      <c r="H21" s="5" t="s">
        <v>105</v>
      </c>
      <c r="I21" s="5" t="s">
        <v>300</v>
      </c>
      <c r="J21" s="5" t="s">
        <v>301</v>
      </c>
      <c r="K21" s="5" t="s">
        <v>166</v>
      </c>
      <c r="L21" s="5" t="s">
        <v>302</v>
      </c>
      <c r="M21" s="5" t="s">
        <v>105</v>
      </c>
      <c r="N21" s="5" t="s">
        <v>105</v>
      </c>
      <c r="O21" s="5" t="s">
        <v>105</v>
      </c>
    </row>
    <row r="22" spans="1:16" ht="99.75">
      <c r="A22" s="5">
        <v>14</v>
      </c>
      <c r="B22" s="5" t="str">
        <f t="shared" si="3"/>
        <v>7.14</v>
      </c>
      <c r="C22" s="28" t="s">
        <v>51</v>
      </c>
      <c r="D22" s="5" t="s">
        <v>303</v>
      </c>
      <c r="E22" s="5" t="s">
        <v>76</v>
      </c>
      <c r="F22" s="5" t="s">
        <v>257</v>
      </c>
      <c r="G22" s="5" t="s">
        <v>105</v>
      </c>
      <c r="H22" s="33">
        <v>35</v>
      </c>
      <c r="I22" s="5" t="s">
        <v>304</v>
      </c>
      <c r="J22" s="5" t="s">
        <v>277</v>
      </c>
      <c r="K22" s="5" t="s">
        <v>305</v>
      </c>
      <c r="L22" s="5" t="s">
        <v>306</v>
      </c>
      <c r="M22" s="5" t="s">
        <v>105</v>
      </c>
      <c r="N22" s="5" t="s">
        <v>105</v>
      </c>
      <c r="O22" s="5" t="s">
        <v>307</v>
      </c>
      <c r="P22" s="5" t="s">
        <v>274</v>
      </c>
    </row>
    <row r="23" spans="1:16" ht="57">
      <c r="A23" s="5">
        <v>15</v>
      </c>
      <c r="B23" s="5" t="str">
        <f t="shared" si="3"/>
        <v>7.15</v>
      </c>
      <c r="C23" s="28" t="s">
        <v>51</v>
      </c>
      <c r="D23" s="5" t="s">
        <v>275</v>
      </c>
      <c r="E23" s="5" t="s">
        <v>74</v>
      </c>
      <c r="F23" s="5" t="s">
        <v>257</v>
      </c>
      <c r="G23" s="5" t="s">
        <v>105</v>
      </c>
      <c r="H23" s="33">
        <v>10</v>
      </c>
      <c r="I23" s="5" t="s">
        <v>308</v>
      </c>
      <c r="J23" s="5" t="s">
        <v>277</v>
      </c>
      <c r="K23" s="5" t="s">
        <v>278</v>
      </c>
      <c r="L23" s="5" t="s">
        <v>105</v>
      </c>
      <c r="M23" s="5" t="s">
        <v>105</v>
      </c>
      <c r="N23" s="5" t="s">
        <v>105</v>
      </c>
    </row>
    <row r="24" spans="1:16" ht="57">
      <c r="A24" s="5">
        <v>16</v>
      </c>
      <c r="B24" s="5" t="str">
        <f t="shared" si="3"/>
        <v>7.16</v>
      </c>
      <c r="C24" s="28" t="s">
        <v>51</v>
      </c>
      <c r="D24" s="5" t="s">
        <v>280</v>
      </c>
      <c r="E24" s="5" t="s">
        <v>74</v>
      </c>
      <c r="F24" s="5" t="s">
        <v>257</v>
      </c>
      <c r="G24" s="5" t="s">
        <v>105</v>
      </c>
      <c r="H24" s="33">
        <v>35</v>
      </c>
      <c r="I24" s="5" t="s">
        <v>308</v>
      </c>
      <c r="J24" s="5" t="s">
        <v>277</v>
      </c>
      <c r="K24" s="5" t="s">
        <v>278</v>
      </c>
      <c r="L24" s="5" t="s">
        <v>281</v>
      </c>
      <c r="M24" s="5" t="s">
        <v>105</v>
      </c>
      <c r="N24" s="5" t="s">
        <v>105</v>
      </c>
      <c r="P24" s="5" t="s">
        <v>274</v>
      </c>
    </row>
    <row r="25" spans="1:16" ht="57">
      <c r="A25" s="5">
        <v>17</v>
      </c>
      <c r="B25" s="5" t="str">
        <f t="shared" si="3"/>
        <v>7.17</v>
      </c>
      <c r="C25" s="28" t="s">
        <v>51</v>
      </c>
      <c r="D25" s="5" t="s">
        <v>282</v>
      </c>
      <c r="E25" s="5" t="s">
        <v>74</v>
      </c>
      <c r="F25" s="5" t="s">
        <v>257</v>
      </c>
      <c r="G25" s="5" t="s">
        <v>105</v>
      </c>
      <c r="H25" s="33">
        <v>10</v>
      </c>
      <c r="I25" s="5" t="s">
        <v>308</v>
      </c>
      <c r="J25" s="5" t="s">
        <v>277</v>
      </c>
      <c r="K25" s="5" t="s">
        <v>283</v>
      </c>
      <c r="L25" s="5" t="s">
        <v>279</v>
      </c>
      <c r="M25" s="5" t="s">
        <v>105</v>
      </c>
      <c r="N25" s="5" t="s">
        <v>105</v>
      </c>
      <c r="P25" s="5" t="s">
        <v>274</v>
      </c>
    </row>
    <row r="26" spans="1:16" ht="57">
      <c r="A26" s="5">
        <v>19</v>
      </c>
      <c r="B26" s="5" t="str">
        <f t="shared" si="3"/>
        <v>7.19</v>
      </c>
      <c r="C26" s="28" t="s">
        <v>51</v>
      </c>
      <c r="D26" s="5" t="s">
        <v>284</v>
      </c>
      <c r="E26" s="5" t="s">
        <v>74</v>
      </c>
      <c r="F26" s="5" t="s">
        <v>257</v>
      </c>
      <c r="G26" s="5" t="s">
        <v>105</v>
      </c>
      <c r="H26" s="33">
        <v>20</v>
      </c>
      <c r="I26" s="5" t="s">
        <v>308</v>
      </c>
      <c r="J26" s="5" t="s">
        <v>277</v>
      </c>
      <c r="K26" s="5" t="s">
        <v>278</v>
      </c>
      <c r="L26" s="5" t="s">
        <v>285</v>
      </c>
      <c r="M26" s="5" t="s">
        <v>105</v>
      </c>
      <c r="N26" s="5" t="s">
        <v>105</v>
      </c>
      <c r="P26" s="5" t="s">
        <v>274</v>
      </c>
    </row>
    <row r="27" spans="1:16" ht="57">
      <c r="A27" s="5">
        <v>19</v>
      </c>
      <c r="B27" s="5" t="str">
        <f t="shared" si="3"/>
        <v>7.19</v>
      </c>
      <c r="C27" s="28" t="s">
        <v>51</v>
      </c>
      <c r="D27" s="5" t="s">
        <v>286</v>
      </c>
      <c r="E27" s="5" t="s">
        <v>58</v>
      </c>
      <c r="F27" s="5" t="s">
        <v>287</v>
      </c>
      <c r="G27" s="5" t="s">
        <v>105</v>
      </c>
      <c r="H27" s="33">
        <v>15</v>
      </c>
      <c r="I27" s="5" t="s">
        <v>308</v>
      </c>
      <c r="J27" s="5" t="s">
        <v>277</v>
      </c>
      <c r="K27" s="5" t="s">
        <v>278</v>
      </c>
      <c r="L27" s="5" t="s">
        <v>288</v>
      </c>
      <c r="M27" s="5" t="s">
        <v>309</v>
      </c>
      <c r="P27" s="5" t="s">
        <v>274</v>
      </c>
    </row>
    <row r="28" spans="1:16" ht="57">
      <c r="A28" s="5">
        <v>20</v>
      </c>
      <c r="B28" s="5" t="str">
        <f>CONCATENATE($B$2, ".", A28)</f>
        <v>7.20</v>
      </c>
      <c r="C28" s="28" t="s">
        <v>51</v>
      </c>
      <c r="D28" s="5" t="s">
        <v>291</v>
      </c>
      <c r="E28" s="5" t="s">
        <v>74</v>
      </c>
      <c r="F28" s="5" t="s">
        <v>292</v>
      </c>
      <c r="G28" s="5" t="s">
        <v>105</v>
      </c>
      <c r="H28" s="33">
        <v>7</v>
      </c>
      <c r="I28" s="5" t="s">
        <v>308</v>
      </c>
      <c r="J28" s="5" t="s">
        <v>277</v>
      </c>
      <c r="K28" s="5" t="s">
        <v>278</v>
      </c>
      <c r="L28" s="5" t="s">
        <v>293</v>
      </c>
      <c r="M28" s="5" t="s">
        <v>294</v>
      </c>
      <c r="N28" s="5" t="s">
        <v>295</v>
      </c>
      <c r="P28" s="5" t="s">
        <v>296</v>
      </c>
    </row>
    <row r="29" spans="1:16">
      <c r="A29" s="49" t="s">
        <v>310</v>
      </c>
      <c r="B29" s="49"/>
      <c r="C29" s="49"/>
      <c r="D29" s="49"/>
      <c r="E29" s="49"/>
      <c r="F29" s="45"/>
      <c r="G29" s="45"/>
      <c r="H29" s="45"/>
      <c r="I29" s="45"/>
      <c r="J29" s="45"/>
      <c r="K29" s="45"/>
      <c r="L29" s="45"/>
      <c r="M29" s="45"/>
      <c r="N29" s="45"/>
      <c r="O29" s="45"/>
      <c r="P29" s="45"/>
    </row>
    <row r="30" spans="1:16" ht="42.75">
      <c r="A30" s="5">
        <v>21</v>
      </c>
      <c r="B30" s="5" t="str">
        <f t="shared" ref="B30:B36" si="4">CONCATENATE($B$2, ".", A30)</f>
        <v>7.21</v>
      </c>
      <c r="C30" s="28" t="s">
        <v>51</v>
      </c>
      <c r="D30" s="5" t="s">
        <v>311</v>
      </c>
      <c r="E30" s="5" t="s">
        <v>67</v>
      </c>
      <c r="F30" s="5" t="s">
        <v>299</v>
      </c>
      <c r="G30" s="5" t="s">
        <v>105</v>
      </c>
      <c r="H30" s="5" t="s">
        <v>105</v>
      </c>
      <c r="I30" s="5" t="s">
        <v>300</v>
      </c>
      <c r="J30" s="5" t="s">
        <v>301</v>
      </c>
      <c r="K30" s="5" t="s">
        <v>166</v>
      </c>
      <c r="L30" s="5" t="s">
        <v>312</v>
      </c>
      <c r="M30" s="5" t="s">
        <v>105</v>
      </c>
      <c r="N30" s="5" t="s">
        <v>105</v>
      </c>
      <c r="O30" s="5" t="s">
        <v>105</v>
      </c>
    </row>
    <row r="31" spans="1:16" ht="99.75">
      <c r="A31" s="5">
        <v>22</v>
      </c>
      <c r="B31" s="5" t="str">
        <f t="shared" si="4"/>
        <v>7.22</v>
      </c>
      <c r="C31" s="28" t="s">
        <v>51</v>
      </c>
      <c r="D31" s="5" t="s">
        <v>313</v>
      </c>
      <c r="E31" s="5" t="s">
        <v>76</v>
      </c>
      <c r="F31" s="5" t="s">
        <v>257</v>
      </c>
      <c r="G31" s="5" t="s">
        <v>105</v>
      </c>
      <c r="H31" s="33">
        <v>35</v>
      </c>
      <c r="I31" s="5" t="s">
        <v>314</v>
      </c>
      <c r="J31" s="5" t="s">
        <v>277</v>
      </c>
      <c r="K31" s="5" t="s">
        <v>315</v>
      </c>
      <c r="L31" s="5" t="s">
        <v>316</v>
      </c>
      <c r="M31" s="5" t="s">
        <v>105</v>
      </c>
      <c r="N31" s="5" t="s">
        <v>105</v>
      </c>
      <c r="O31" s="5" t="s">
        <v>317</v>
      </c>
      <c r="P31" s="5" t="s">
        <v>274</v>
      </c>
    </row>
    <row r="32" spans="1:16" ht="57">
      <c r="A32" s="5">
        <v>23</v>
      </c>
      <c r="B32" s="5" t="str">
        <f t="shared" si="4"/>
        <v>7.23</v>
      </c>
      <c r="C32" s="28" t="s">
        <v>51</v>
      </c>
      <c r="D32" s="5" t="s">
        <v>275</v>
      </c>
      <c r="E32" s="5" t="s">
        <v>74</v>
      </c>
      <c r="F32" s="5" t="s">
        <v>257</v>
      </c>
      <c r="G32" s="5" t="s">
        <v>105</v>
      </c>
      <c r="H32" s="33">
        <v>10</v>
      </c>
      <c r="I32" s="5" t="s">
        <v>318</v>
      </c>
      <c r="J32" s="5" t="s">
        <v>277</v>
      </c>
      <c r="K32" s="33" t="s">
        <v>319</v>
      </c>
      <c r="L32" s="33" t="s">
        <v>105</v>
      </c>
      <c r="M32" s="5" t="s">
        <v>105</v>
      </c>
      <c r="N32" s="5" t="s">
        <v>105</v>
      </c>
    </row>
    <row r="33" spans="1:16" ht="57">
      <c r="A33" s="5">
        <v>24</v>
      </c>
      <c r="B33" s="5" t="str">
        <f t="shared" si="4"/>
        <v>7.24</v>
      </c>
      <c r="C33" s="28" t="s">
        <v>51</v>
      </c>
      <c r="D33" s="5" t="s">
        <v>320</v>
      </c>
      <c r="E33" s="5" t="s">
        <v>74</v>
      </c>
      <c r="F33" s="5" t="s">
        <v>257</v>
      </c>
      <c r="G33" s="5" t="s">
        <v>105</v>
      </c>
      <c r="H33" s="33">
        <v>35</v>
      </c>
      <c r="I33" s="5" t="s">
        <v>318</v>
      </c>
      <c r="J33" s="5" t="s">
        <v>277</v>
      </c>
      <c r="K33" s="5" t="s">
        <v>278</v>
      </c>
      <c r="L33" s="5" t="s">
        <v>321</v>
      </c>
      <c r="M33" s="5" t="s">
        <v>105</v>
      </c>
      <c r="N33" s="5" t="s">
        <v>105</v>
      </c>
      <c r="P33" s="5" t="s">
        <v>274</v>
      </c>
    </row>
    <row r="34" spans="1:16" ht="57">
      <c r="A34" s="5">
        <v>25</v>
      </c>
      <c r="B34" s="5" t="str">
        <f t="shared" si="4"/>
        <v>7.25</v>
      </c>
      <c r="C34" s="28" t="s">
        <v>51</v>
      </c>
      <c r="D34" s="5" t="s">
        <v>282</v>
      </c>
      <c r="E34" s="5" t="s">
        <v>74</v>
      </c>
      <c r="F34" s="5" t="s">
        <v>257</v>
      </c>
      <c r="G34" s="5" t="s">
        <v>105</v>
      </c>
      <c r="H34" s="33">
        <v>10</v>
      </c>
      <c r="I34" s="5" t="s">
        <v>318</v>
      </c>
      <c r="J34" s="5" t="s">
        <v>277</v>
      </c>
      <c r="K34" s="5" t="s">
        <v>283</v>
      </c>
      <c r="L34" s="5" t="s">
        <v>105</v>
      </c>
      <c r="M34" s="5" t="s">
        <v>105</v>
      </c>
      <c r="N34" s="5" t="s">
        <v>105</v>
      </c>
    </row>
    <row r="35" spans="1:16" ht="57">
      <c r="A35" s="5">
        <v>26</v>
      </c>
      <c r="B35" s="5" t="str">
        <f t="shared" si="4"/>
        <v>7.26</v>
      </c>
      <c r="C35" s="28" t="s">
        <v>51</v>
      </c>
      <c r="D35" s="5" t="s">
        <v>284</v>
      </c>
      <c r="E35" s="5" t="s">
        <v>74</v>
      </c>
      <c r="F35" s="5" t="s">
        <v>257</v>
      </c>
      <c r="G35" s="5" t="s">
        <v>105</v>
      </c>
      <c r="H35" s="33">
        <v>20</v>
      </c>
      <c r="I35" s="5" t="s">
        <v>318</v>
      </c>
      <c r="J35" s="5" t="s">
        <v>277</v>
      </c>
      <c r="K35" s="5" t="s">
        <v>278</v>
      </c>
      <c r="L35" s="5" t="s">
        <v>285</v>
      </c>
      <c r="M35" s="5" t="s">
        <v>105</v>
      </c>
      <c r="N35" s="5" t="s">
        <v>105</v>
      </c>
      <c r="P35" s="5" t="s">
        <v>274</v>
      </c>
    </row>
    <row r="36" spans="1:16" ht="57">
      <c r="A36" s="5">
        <v>27</v>
      </c>
      <c r="B36" s="5" t="str">
        <f t="shared" si="4"/>
        <v>7.27</v>
      </c>
      <c r="C36" s="28" t="s">
        <v>51</v>
      </c>
      <c r="D36" s="5" t="s">
        <v>286</v>
      </c>
      <c r="E36" s="5" t="s">
        <v>58</v>
      </c>
      <c r="F36" s="5" t="s">
        <v>287</v>
      </c>
      <c r="G36" s="5" t="s">
        <v>105</v>
      </c>
      <c r="H36" s="33">
        <v>15</v>
      </c>
      <c r="I36" s="5" t="s">
        <v>318</v>
      </c>
      <c r="J36" s="5" t="s">
        <v>277</v>
      </c>
      <c r="K36" s="5" t="s">
        <v>278</v>
      </c>
      <c r="L36" s="5" t="s">
        <v>288</v>
      </c>
      <c r="M36" s="5" t="s">
        <v>322</v>
      </c>
      <c r="N36" s="5" t="s">
        <v>105</v>
      </c>
      <c r="P36" s="5" t="s">
        <v>274</v>
      </c>
    </row>
    <row r="37" spans="1:16" ht="57">
      <c r="A37" s="5">
        <v>28</v>
      </c>
      <c r="B37" s="5" t="str">
        <f>CONCATENATE($B$2, ".", A37)</f>
        <v>7.28</v>
      </c>
      <c r="C37" s="28" t="s">
        <v>51</v>
      </c>
      <c r="D37" s="5" t="s">
        <v>291</v>
      </c>
      <c r="E37" s="5" t="s">
        <v>74</v>
      </c>
      <c r="F37" s="5" t="s">
        <v>292</v>
      </c>
      <c r="G37" s="5" t="s">
        <v>105</v>
      </c>
      <c r="H37" s="33">
        <v>7</v>
      </c>
      <c r="I37" s="5" t="s">
        <v>318</v>
      </c>
      <c r="J37" s="5" t="s">
        <v>277</v>
      </c>
      <c r="K37" s="5" t="s">
        <v>278</v>
      </c>
      <c r="L37" s="5" t="s">
        <v>293</v>
      </c>
      <c r="M37" s="5" t="s">
        <v>294</v>
      </c>
      <c r="N37" s="5" t="s">
        <v>295</v>
      </c>
      <c r="P37" s="5" t="s">
        <v>296</v>
      </c>
    </row>
    <row r="38" spans="1:16">
      <c r="A38" s="49"/>
      <c r="B38" s="49"/>
      <c r="C38" s="49"/>
      <c r="D38" s="49"/>
      <c r="E38" s="49"/>
      <c r="F38" s="45"/>
      <c r="G38" s="45"/>
      <c r="H38" s="45"/>
      <c r="I38" s="45"/>
      <c r="J38" s="45"/>
      <c r="K38" s="45"/>
      <c r="L38" s="45"/>
      <c r="M38" s="45"/>
      <c r="N38" s="45"/>
      <c r="O38" s="45"/>
      <c r="P38" s="45"/>
    </row>
    <row r="39" spans="1:16" ht="28.5">
      <c r="A39" s="5">
        <v>29</v>
      </c>
      <c r="B39" s="5" t="str">
        <f>CONCATENATE($B$2, ".", A39)</f>
        <v>7.29</v>
      </c>
      <c r="C39" s="28" t="s">
        <v>51</v>
      </c>
      <c r="D39" s="5" t="s">
        <v>155</v>
      </c>
      <c r="E39" s="5" t="s">
        <v>48</v>
      </c>
      <c r="F39" s="5" t="s">
        <v>105</v>
      </c>
      <c r="G39" s="5" t="s">
        <v>105</v>
      </c>
      <c r="H39" s="5" t="s">
        <v>105</v>
      </c>
      <c r="I39" s="5" t="s">
        <v>86</v>
      </c>
      <c r="J39" s="5" t="s">
        <v>105</v>
      </c>
      <c r="K39" s="5" t="s">
        <v>105</v>
      </c>
      <c r="L39" s="5" t="s">
        <v>105</v>
      </c>
      <c r="M39" s="5" t="s">
        <v>105</v>
      </c>
      <c r="N39" s="5" t="s">
        <v>105</v>
      </c>
      <c r="O39" s="5" t="s">
        <v>323</v>
      </c>
    </row>
    <row r="40" spans="1:16" ht="28.5">
      <c r="A40" s="5">
        <v>30</v>
      </c>
      <c r="B40" s="5" t="str">
        <f>CONCATENATE($B$2, ".", A40)</f>
        <v>7.30</v>
      </c>
      <c r="C40" s="28" t="s">
        <v>51</v>
      </c>
      <c r="D40" s="5" t="s">
        <v>168</v>
      </c>
      <c r="E40" s="5" t="s">
        <v>48</v>
      </c>
      <c r="F40" s="5" t="s">
        <v>105</v>
      </c>
      <c r="G40" s="5" t="s">
        <v>105</v>
      </c>
      <c r="H40" s="5" t="s">
        <v>105</v>
      </c>
      <c r="I40" s="5" t="s">
        <v>86</v>
      </c>
      <c r="J40" s="5" t="s">
        <v>105</v>
      </c>
      <c r="K40" s="5" t="s">
        <v>105</v>
      </c>
      <c r="L40" s="5" t="s">
        <v>105</v>
      </c>
      <c r="M40" s="5" t="s">
        <v>105</v>
      </c>
      <c r="N40" s="5" t="s">
        <v>105</v>
      </c>
      <c r="O40" s="5" t="s">
        <v>324</v>
      </c>
    </row>
  </sheetData>
  <conditionalFormatting sqref="C41:C1048576">
    <cfRule type="cellIs" dxfId="410" priority="62" operator="equal">
      <formula>"WIP (see comments)"</formula>
    </cfRule>
    <cfRule type="cellIs" dxfId="409" priority="63" operator="equal">
      <formula>"Removed"</formula>
    </cfRule>
    <cfRule type="cellIs" dxfId="408" priority="64" operator="equal">
      <formula>"Updated"</formula>
    </cfRule>
    <cfRule type="cellIs" dxfId="407" priority="65" operator="equal">
      <formula>"New"</formula>
    </cfRule>
  </conditionalFormatting>
  <conditionalFormatting sqref="C7:C10">
    <cfRule type="cellIs" dxfId="406" priority="54" operator="equal">
      <formula>"WIP (see comments)"</formula>
    </cfRule>
    <cfRule type="cellIs" dxfId="405" priority="55" operator="equal">
      <formula>"Removed"</formula>
    </cfRule>
    <cfRule type="cellIs" dxfId="404" priority="56" operator="equal">
      <formula>"Updated"</formula>
    </cfRule>
    <cfRule type="cellIs" dxfId="403" priority="57" operator="equal">
      <formula>"New"</formula>
    </cfRule>
  </conditionalFormatting>
  <conditionalFormatting sqref="D1">
    <cfRule type="cellIs" dxfId="402" priority="49" operator="equal">
      <formula>"n/a"</formula>
    </cfRule>
  </conditionalFormatting>
  <conditionalFormatting sqref="D3">
    <cfRule type="cellIs" dxfId="401" priority="48" operator="equal">
      <formula>"n/a"</formula>
    </cfRule>
  </conditionalFormatting>
  <conditionalFormatting sqref="A13:A19">
    <cfRule type="cellIs" dxfId="400" priority="14" operator="equal">
      <formula>"n/a"</formula>
    </cfRule>
  </conditionalFormatting>
  <conditionalFormatting sqref="C39:C40 C16:C19 C22:C28 C31:C37">
    <cfRule type="cellIs" dxfId="399" priority="44" operator="equal">
      <formula>"WIP (see comments)"</formula>
    </cfRule>
    <cfRule type="cellIs" dxfId="398" priority="45" operator="equal">
      <formula>"Removed"</formula>
    </cfRule>
    <cfRule type="cellIs" dxfId="397" priority="46" operator="equal">
      <formula>"Updated"</formula>
    </cfRule>
    <cfRule type="cellIs" dxfId="396" priority="47" operator="equal">
      <formula>"New"</formula>
    </cfRule>
  </conditionalFormatting>
  <conditionalFormatting sqref="C11">
    <cfRule type="cellIs" dxfId="395" priority="40" operator="equal">
      <formula>"WIP (see comments)"</formula>
    </cfRule>
    <cfRule type="cellIs" dxfId="394" priority="41" operator="equal">
      <formula>"Removed"</formula>
    </cfRule>
    <cfRule type="cellIs" dxfId="393" priority="42" operator="equal">
      <formula>"Updated"</formula>
    </cfRule>
    <cfRule type="cellIs" dxfId="392" priority="43" operator="equal">
      <formula>"New"</formula>
    </cfRule>
  </conditionalFormatting>
  <conditionalFormatting sqref="C21:C28">
    <cfRule type="cellIs" dxfId="391" priority="36" operator="equal">
      <formula>"WIP (see comments)"</formula>
    </cfRule>
    <cfRule type="cellIs" dxfId="390" priority="37" operator="equal">
      <formula>"Removed"</formula>
    </cfRule>
    <cfRule type="cellIs" dxfId="389" priority="38" operator="equal">
      <formula>"Updated"</formula>
    </cfRule>
    <cfRule type="cellIs" dxfId="388" priority="39" operator="equal">
      <formula>"New"</formula>
    </cfRule>
  </conditionalFormatting>
  <conditionalFormatting sqref="C30:C37">
    <cfRule type="cellIs" dxfId="387" priority="32" operator="equal">
      <formula>"WIP (see comments)"</formula>
    </cfRule>
    <cfRule type="cellIs" dxfId="386" priority="33" operator="equal">
      <formula>"Removed"</formula>
    </cfRule>
    <cfRule type="cellIs" dxfId="385" priority="34" operator="equal">
      <formula>"Updated"</formula>
    </cfRule>
    <cfRule type="cellIs" dxfId="384" priority="35" operator="equal">
      <formula>"New"</formula>
    </cfRule>
  </conditionalFormatting>
  <conditionalFormatting sqref="C11:P11 A39:P40 B13:B15 D13:P15 B16:P19 A21:P28 A30:P37">
    <cfRule type="cellIs" dxfId="383" priority="31" operator="equal">
      <formula>"n/a"</formula>
    </cfRule>
  </conditionalFormatting>
  <conditionalFormatting sqref="C27">
    <cfRule type="cellIs" dxfId="382" priority="27" operator="equal">
      <formula>"WIP (see comments)"</formula>
    </cfRule>
    <cfRule type="cellIs" dxfId="381" priority="28" operator="equal">
      <formula>"Removed"</formula>
    </cfRule>
    <cfRule type="cellIs" dxfId="380" priority="29" operator="equal">
      <formula>"Updated"</formula>
    </cfRule>
    <cfRule type="cellIs" dxfId="379" priority="30" operator="equal">
      <formula>"New"</formula>
    </cfRule>
  </conditionalFormatting>
  <conditionalFormatting sqref="C28">
    <cfRule type="cellIs" dxfId="378" priority="23" operator="equal">
      <formula>"WIP (see comments)"</formula>
    </cfRule>
    <cfRule type="cellIs" dxfId="377" priority="24" operator="equal">
      <formula>"Removed"</formula>
    </cfRule>
    <cfRule type="cellIs" dxfId="376" priority="25" operator="equal">
      <formula>"Updated"</formula>
    </cfRule>
    <cfRule type="cellIs" dxfId="375" priority="26" operator="equal">
      <formula>"New"</formula>
    </cfRule>
  </conditionalFormatting>
  <conditionalFormatting sqref="F12:P12 A12">
    <cfRule type="cellIs" dxfId="374" priority="22" operator="equal">
      <formula>"n/a"</formula>
    </cfRule>
  </conditionalFormatting>
  <conditionalFormatting sqref="F20:P20 A20">
    <cfRule type="cellIs" dxfId="373" priority="21" operator="equal">
      <formula>"n/a"</formula>
    </cfRule>
  </conditionalFormatting>
  <conditionalFormatting sqref="F29:P29 A29">
    <cfRule type="cellIs" dxfId="372" priority="20" operator="equal">
      <formula>"n/a"</formula>
    </cfRule>
  </conditionalFormatting>
  <conditionalFormatting sqref="F38:P38 A38">
    <cfRule type="cellIs" dxfId="371" priority="19" operator="equal">
      <formula>"n/a"</formula>
    </cfRule>
  </conditionalFormatting>
  <conditionalFormatting sqref="F7:H8 G9:G10">
    <cfRule type="cellIs" dxfId="370" priority="13" operator="equal">
      <formula>"n/a"</formula>
    </cfRule>
  </conditionalFormatting>
  <conditionalFormatting sqref="J7:O8 M9:N10">
    <cfRule type="cellIs" dxfId="369" priority="12" operator="equal">
      <formula>"n/a"</formula>
    </cfRule>
  </conditionalFormatting>
  <conditionalFormatting sqref="B4">
    <cfRule type="cellIs" dxfId="368" priority="5" operator="equal">
      <formula>"n/a"</formula>
    </cfRule>
  </conditionalFormatting>
  <conditionalFormatting sqref="C13:C15">
    <cfRule type="cellIs" dxfId="367" priority="1" operator="equal">
      <formula>"WIP (see comments)"</formula>
    </cfRule>
    <cfRule type="cellIs" dxfId="366" priority="2" operator="equal">
      <formula>"Removed"</formula>
    </cfRule>
    <cfRule type="cellIs" dxfId="365" priority="3" operator="equal">
      <formula>"Updated"</formula>
    </cfRule>
    <cfRule type="cellIs" dxfId="364" priority="4" operator="equal">
      <formula>"New"</formula>
    </cfRule>
  </conditionalFormatting>
  <dataValidations count="2">
    <dataValidation type="list" allowBlank="1" showInputMessage="1" showErrorMessage="1" sqref="C41:C1048576" xr:uid="{00000000-0002-0000-0A00-000000000000}">
      <formula1>$B$5:$B$10</formula1>
    </dataValidation>
    <dataValidation type="list" allowBlank="1" showInputMessage="1" showErrorMessage="1" sqref="C39:C40 C21:C28 C16:C19 C30:C37" xr:uid="{00000000-0002-0000-0A00-000001000000}">
      <formula1>$B$5:$B$12</formula1>
    </dataValidation>
  </dataValidations>
  <pageMargins left="0.7" right="0.7" top="0.75" bottom="0.75" header="0.3" footer="0.3"/>
  <pageSetup orientation="portrait" horizontalDpi="300" verticalDpi="300" r:id="rId1"/>
  <extLst>
    <ext xmlns:x14="http://schemas.microsoft.com/office/spreadsheetml/2009/9/main" uri="{CCE6A557-97BC-4b89-ADB6-D9C93CAAB3DF}">
      <x14:dataValidations xmlns:xm="http://schemas.microsoft.com/office/excel/2006/main" count="4">
        <x14:dataValidation type="list" allowBlank="1" showInputMessage="1" showErrorMessage="1" xr:uid="{00000000-0002-0000-0A00-000002000000}">
          <x14:formula1>
            <xm:f>'List Values'!$B$5:$B$14</xm:f>
          </x14:formula1>
          <xm:sqref>C7:C10 C13:C15</xm:sqref>
        </x14:dataValidation>
        <x14:dataValidation type="list" allowBlank="1" showInputMessage="1" showErrorMessage="1" xr:uid="{00000000-0002-0000-0A00-000003000000}">
          <x14:formula1>
            <xm:f>'List Values'!$A$5:$A$30</xm:f>
          </x14:formula1>
          <xm:sqref>E41:E1048576</xm:sqref>
        </x14:dataValidation>
        <x14:dataValidation type="list" allowBlank="1" showInputMessage="1" showErrorMessage="1" xr:uid="{00000000-0002-0000-0A00-000004000000}">
          <x14:formula1>
            <xm:f>'List Values'!$B$5:$B$12</xm:f>
          </x14:formula1>
          <xm:sqref>C11</xm:sqref>
        </x14:dataValidation>
        <x14:dataValidation type="list" allowBlank="1" showInputMessage="1" showErrorMessage="1" xr:uid="{00000000-0002-0000-0A00-000005000000}">
          <x14:formula1>
            <xm:f>'List Values'!$A$5:$A$29</xm:f>
          </x14:formula1>
          <xm:sqref>E7:E40</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0" tint="-0.499984740745262"/>
  </sheetPr>
  <dimension ref="A1:P38"/>
  <sheetViews>
    <sheetView zoomScaleNormal="100" workbookViewId="0">
      <pane xSplit="4" ySplit="6" topLeftCell="E7" activePane="bottomRight" state="frozen"/>
      <selection pane="bottomRight" activeCell="A5" sqref="A5"/>
      <selection pane="bottomLeft" activeCell="A7" sqref="A7"/>
      <selection pane="topRight" activeCell="E1" sqref="E1"/>
    </sheetView>
  </sheetViews>
  <sheetFormatPr defaultColWidth="9.140625" defaultRowHeight="14.25"/>
  <cols>
    <col min="1" max="1" width="14.7109375" style="5" customWidth="1"/>
    <col min="2" max="2" width="12.5703125" style="5" customWidth="1"/>
    <col min="3" max="3" width="13" style="28" customWidth="1"/>
    <col min="4" max="4" width="45.140625" style="5" customWidth="1"/>
    <col min="5" max="5" width="28.7109375" style="5" customWidth="1"/>
    <col min="6" max="6" width="21.85546875" style="5" customWidth="1"/>
    <col min="7" max="7" width="29.28515625" style="5" customWidth="1"/>
    <col min="8" max="8" width="27.85546875" style="5" customWidth="1"/>
    <col min="9" max="9" width="34.85546875" style="5" customWidth="1"/>
    <col min="10" max="10" width="28.140625" style="5" customWidth="1"/>
    <col min="11" max="11" width="16.42578125" style="5" customWidth="1"/>
    <col min="12" max="12" width="23" style="5" customWidth="1"/>
    <col min="13" max="13" width="29" style="5" customWidth="1"/>
    <col min="14" max="14" width="25.5703125" style="5" customWidth="1"/>
    <col min="15" max="15" width="48.42578125" style="5" customWidth="1"/>
    <col min="16" max="16" width="41.85546875" style="5" customWidth="1"/>
    <col min="17" max="16384" width="9.140625" style="5"/>
  </cols>
  <sheetData>
    <row r="1" spans="1:16" s="24" customFormat="1" ht="18">
      <c r="A1" s="22" t="s">
        <v>78</v>
      </c>
      <c r="B1" s="32" t="s">
        <v>325</v>
      </c>
      <c r="C1" s="26"/>
      <c r="D1" s="23" t="s">
        <v>326</v>
      </c>
    </row>
    <row r="2" spans="1:16" s="24" customFormat="1" ht="18">
      <c r="A2" s="22" t="s">
        <v>81</v>
      </c>
      <c r="B2" s="30">
        <v>8</v>
      </c>
      <c r="C2" s="29"/>
      <c r="D2" s="30"/>
    </row>
    <row r="3" spans="1:16" s="24" customFormat="1" ht="18">
      <c r="A3" s="22" t="s">
        <v>82</v>
      </c>
      <c r="B3" s="30" t="s">
        <v>327</v>
      </c>
      <c r="C3" s="29"/>
      <c r="D3" s="30"/>
    </row>
    <row r="4" spans="1:16" s="24" customFormat="1" ht="18">
      <c r="A4" s="22" t="s">
        <v>85</v>
      </c>
      <c r="B4" s="24" t="s">
        <v>171</v>
      </c>
      <c r="C4" s="29"/>
    </row>
    <row r="5" spans="1:16" s="4" customFormat="1">
      <c r="C5" s="31"/>
    </row>
    <row r="6" spans="1:16" s="25" customFormat="1" ht="14.65" thickBot="1">
      <c r="A6" s="25" t="s">
        <v>87</v>
      </c>
      <c r="B6" s="25" t="s">
        <v>88</v>
      </c>
      <c r="C6" s="27" t="s">
        <v>89</v>
      </c>
      <c r="D6" s="25" t="s">
        <v>90</v>
      </c>
      <c r="E6" s="25" t="s">
        <v>91</v>
      </c>
      <c r="F6" s="25" t="s">
        <v>92</v>
      </c>
      <c r="G6" s="25" t="s">
        <v>93</v>
      </c>
      <c r="H6" s="25" t="s">
        <v>94</v>
      </c>
      <c r="I6" s="25" t="s">
        <v>95</v>
      </c>
      <c r="J6" s="25" t="s">
        <v>96</v>
      </c>
      <c r="K6" s="25" t="s">
        <v>97</v>
      </c>
      <c r="L6" s="25" t="s">
        <v>98</v>
      </c>
      <c r="M6" s="25" t="s">
        <v>99</v>
      </c>
      <c r="N6" s="25" t="s">
        <v>100</v>
      </c>
      <c r="O6" s="25" t="s">
        <v>101</v>
      </c>
      <c r="P6" s="25" t="s">
        <v>102</v>
      </c>
    </row>
    <row r="7" spans="1:16">
      <c r="A7" s="5">
        <v>1</v>
      </c>
      <c r="B7" s="5" t="str">
        <f>CONCATENATE($B$2, ".", A7)</f>
        <v>8.1</v>
      </c>
      <c r="C7" s="28" t="s">
        <v>53</v>
      </c>
      <c r="D7" s="5" t="s">
        <v>328</v>
      </c>
      <c r="J7" s="5" t="s">
        <v>105</v>
      </c>
    </row>
    <row r="8" spans="1:16">
      <c r="A8" s="5">
        <v>2</v>
      </c>
      <c r="B8" s="5" t="str">
        <f>CONCATENATE($B$2, ".", A8)</f>
        <v>8.2</v>
      </c>
      <c r="C8" s="28" t="s">
        <v>53</v>
      </c>
      <c r="D8" s="5" t="s">
        <v>329</v>
      </c>
      <c r="J8" s="5" t="s">
        <v>105</v>
      </c>
    </row>
    <row r="9" spans="1:16" s="45" customFormat="1">
      <c r="A9" s="71"/>
      <c r="B9" s="71"/>
      <c r="C9" s="71"/>
      <c r="D9" s="71"/>
      <c r="E9" s="71"/>
    </row>
    <row r="10" spans="1:16" ht="66" customHeight="1">
      <c r="A10" s="5">
        <v>3</v>
      </c>
      <c r="B10" s="5" t="str">
        <f t="shared" ref="B10" si="0">CONCATENATE($B$2, ".", A10)</f>
        <v>8.3</v>
      </c>
      <c r="C10" s="28" t="s">
        <v>53</v>
      </c>
      <c r="D10" s="5" t="s">
        <v>330</v>
      </c>
    </row>
    <row r="11" spans="1:16" ht="128.25" customHeight="1">
      <c r="A11" s="5">
        <v>4</v>
      </c>
      <c r="B11" s="5" t="str">
        <f t="shared" ref="B11:B16" si="1">CONCATENATE($B$2, ".", A11)</f>
        <v>8.4</v>
      </c>
      <c r="C11" s="28" t="s">
        <v>53</v>
      </c>
      <c r="D11" s="5" t="s">
        <v>268</v>
      </c>
      <c r="H11" s="33"/>
    </row>
    <row r="12" spans="1:16">
      <c r="A12" s="5">
        <v>5</v>
      </c>
      <c r="B12" s="5" t="str">
        <f t="shared" si="1"/>
        <v>8.5</v>
      </c>
      <c r="C12" s="28" t="s">
        <v>53</v>
      </c>
      <c r="D12" s="5" t="s">
        <v>275</v>
      </c>
      <c r="H12" s="33"/>
    </row>
    <row r="13" spans="1:16">
      <c r="A13" s="5">
        <v>6</v>
      </c>
      <c r="B13" s="5" t="str">
        <f t="shared" si="1"/>
        <v>8.6</v>
      </c>
      <c r="C13" s="28" t="s">
        <v>53</v>
      </c>
      <c r="D13" s="5" t="s">
        <v>280</v>
      </c>
      <c r="H13" s="33"/>
    </row>
    <row r="14" spans="1:16">
      <c r="A14" s="5">
        <v>7</v>
      </c>
      <c r="B14" s="5" t="str">
        <f t="shared" si="1"/>
        <v>8.7</v>
      </c>
      <c r="C14" s="28" t="s">
        <v>53</v>
      </c>
      <c r="D14" s="5" t="s">
        <v>282</v>
      </c>
      <c r="H14" s="33"/>
    </row>
    <row r="15" spans="1:16">
      <c r="A15" s="5">
        <v>8</v>
      </c>
      <c r="B15" s="5" t="str">
        <f t="shared" si="1"/>
        <v>8.8</v>
      </c>
      <c r="C15" s="28" t="s">
        <v>53</v>
      </c>
      <c r="D15" s="5" t="s">
        <v>284</v>
      </c>
      <c r="H15" s="33"/>
    </row>
    <row r="16" spans="1:16" ht="96.75" customHeight="1">
      <c r="A16" s="5">
        <v>9</v>
      </c>
      <c r="B16" s="5" t="str">
        <f t="shared" si="1"/>
        <v>8.9</v>
      </c>
      <c r="C16" s="28" t="s">
        <v>53</v>
      </c>
      <c r="D16" s="5" t="s">
        <v>286</v>
      </c>
      <c r="H16" s="33"/>
    </row>
    <row r="17" spans="1:12">
      <c r="A17" s="5">
        <v>10</v>
      </c>
      <c r="B17" s="5" t="str">
        <f>CONCATENATE($B$2, ".", A17)</f>
        <v>8.10</v>
      </c>
      <c r="C17" s="28" t="s">
        <v>53</v>
      </c>
      <c r="D17" s="5" t="s">
        <v>291</v>
      </c>
      <c r="H17" s="33"/>
    </row>
    <row r="18" spans="1:12" s="45" customFormat="1">
      <c r="A18" s="71"/>
      <c r="B18" s="71"/>
      <c r="C18" s="71"/>
      <c r="D18" s="71"/>
      <c r="E18" s="71"/>
    </row>
    <row r="19" spans="1:12" ht="66" customHeight="1">
      <c r="A19" s="5">
        <v>11</v>
      </c>
      <c r="B19" s="5" t="str">
        <f t="shared" ref="B19:B25" si="2">CONCATENATE($B$2, ".", A19)</f>
        <v>8.11</v>
      </c>
      <c r="C19" s="28" t="s">
        <v>53</v>
      </c>
      <c r="D19" s="5" t="s">
        <v>298</v>
      </c>
    </row>
    <row r="20" spans="1:12" ht="81.75" customHeight="1">
      <c r="A20" s="5">
        <v>12</v>
      </c>
      <c r="B20" s="5" t="str">
        <f t="shared" si="2"/>
        <v>8.12</v>
      </c>
      <c r="C20" s="28" t="s">
        <v>53</v>
      </c>
      <c r="D20" s="5" t="s">
        <v>303</v>
      </c>
      <c r="H20" s="33"/>
    </row>
    <row r="21" spans="1:12" ht="49.5" customHeight="1">
      <c r="A21" s="5">
        <v>13</v>
      </c>
      <c r="B21" s="5" t="str">
        <f t="shared" si="2"/>
        <v>8.13</v>
      </c>
      <c r="C21" s="28" t="s">
        <v>53</v>
      </c>
      <c r="D21" s="5" t="s">
        <v>275</v>
      </c>
      <c r="H21" s="33"/>
    </row>
    <row r="22" spans="1:12" ht="54" customHeight="1">
      <c r="A22" s="5">
        <v>14</v>
      </c>
      <c r="B22" s="5" t="str">
        <f t="shared" si="2"/>
        <v>8.14</v>
      </c>
      <c r="C22" s="28" t="s">
        <v>53</v>
      </c>
      <c r="D22" s="5" t="s">
        <v>280</v>
      </c>
      <c r="H22" s="33"/>
    </row>
    <row r="23" spans="1:12" ht="54" customHeight="1">
      <c r="A23" s="5">
        <v>15</v>
      </c>
      <c r="B23" s="5" t="str">
        <f t="shared" si="2"/>
        <v>8.15</v>
      </c>
      <c r="C23" s="28" t="s">
        <v>53</v>
      </c>
      <c r="D23" s="5" t="s">
        <v>282</v>
      </c>
      <c r="H23" s="33"/>
    </row>
    <row r="24" spans="1:12" ht="50.25" customHeight="1">
      <c r="A24" s="5">
        <v>16</v>
      </c>
      <c r="B24" s="5" t="str">
        <f t="shared" si="2"/>
        <v>8.16</v>
      </c>
      <c r="C24" s="28" t="s">
        <v>53</v>
      </c>
      <c r="D24" s="5" t="s">
        <v>284</v>
      </c>
      <c r="H24" s="33"/>
    </row>
    <row r="25" spans="1:12">
      <c r="A25" s="5">
        <v>17</v>
      </c>
      <c r="B25" s="5" t="str">
        <f t="shared" si="2"/>
        <v>8.17</v>
      </c>
      <c r="C25" s="28" t="s">
        <v>53</v>
      </c>
      <c r="D25" s="5" t="s">
        <v>286</v>
      </c>
      <c r="H25" s="33"/>
    </row>
    <row r="26" spans="1:12">
      <c r="A26" s="5">
        <v>18</v>
      </c>
      <c r="B26" s="5" t="str">
        <f>CONCATENATE($B$2, ".", A26)</f>
        <v>8.18</v>
      </c>
      <c r="C26" s="28" t="s">
        <v>53</v>
      </c>
      <c r="D26" s="5" t="s">
        <v>291</v>
      </c>
      <c r="H26" s="33"/>
    </row>
    <row r="27" spans="1:12" s="45" customFormat="1">
      <c r="A27" s="71"/>
      <c r="B27" s="71"/>
      <c r="C27" s="71"/>
      <c r="D27" s="71"/>
      <c r="E27" s="71"/>
    </row>
    <row r="28" spans="1:12" ht="28.5">
      <c r="A28" s="5">
        <v>19</v>
      </c>
      <c r="B28" s="5" t="str">
        <f t="shared" ref="B28:B34" si="3">CONCATENATE($B$2, ".", A28)</f>
        <v>8.19</v>
      </c>
      <c r="C28" s="28" t="s">
        <v>53</v>
      </c>
      <c r="D28" s="5" t="s">
        <v>311</v>
      </c>
    </row>
    <row r="29" spans="1:12" ht="81.75" customHeight="1">
      <c r="A29" s="5">
        <v>20</v>
      </c>
      <c r="B29" s="5" t="str">
        <f t="shared" si="3"/>
        <v>8.20</v>
      </c>
      <c r="C29" s="28" t="s">
        <v>53</v>
      </c>
      <c r="D29" s="5" t="s">
        <v>313</v>
      </c>
      <c r="H29" s="33"/>
    </row>
    <row r="30" spans="1:12" ht="49.5" customHeight="1">
      <c r="A30" s="5">
        <v>21</v>
      </c>
      <c r="B30" s="5" t="str">
        <f t="shared" si="3"/>
        <v>8.21</v>
      </c>
      <c r="C30" s="28" t="s">
        <v>53</v>
      </c>
      <c r="D30" s="5" t="s">
        <v>275</v>
      </c>
      <c r="H30" s="33"/>
      <c r="K30" s="33"/>
      <c r="L30" s="33"/>
    </row>
    <row r="31" spans="1:12">
      <c r="A31" s="5">
        <v>22</v>
      </c>
      <c r="B31" s="5" t="str">
        <f t="shared" si="3"/>
        <v>8.22</v>
      </c>
      <c r="C31" s="28" t="s">
        <v>53</v>
      </c>
      <c r="D31" s="5" t="s">
        <v>320</v>
      </c>
      <c r="H31" s="33"/>
    </row>
    <row r="32" spans="1:12" ht="54" customHeight="1">
      <c r="A32" s="5">
        <v>23</v>
      </c>
      <c r="B32" s="5" t="str">
        <f t="shared" si="3"/>
        <v>8.23</v>
      </c>
      <c r="C32" s="28" t="s">
        <v>53</v>
      </c>
      <c r="D32" s="5" t="s">
        <v>282</v>
      </c>
      <c r="H32" s="33"/>
    </row>
    <row r="33" spans="1:8" ht="50.25" customHeight="1">
      <c r="A33" s="5">
        <v>24</v>
      </c>
      <c r="B33" s="5" t="str">
        <f t="shared" si="3"/>
        <v>8.24</v>
      </c>
      <c r="C33" s="28" t="s">
        <v>53</v>
      </c>
      <c r="D33" s="5" t="s">
        <v>284</v>
      </c>
      <c r="H33" s="33"/>
    </row>
    <row r="34" spans="1:8">
      <c r="A34" s="5">
        <v>25</v>
      </c>
      <c r="B34" s="5" t="str">
        <f t="shared" si="3"/>
        <v>8.25</v>
      </c>
      <c r="C34" s="28" t="s">
        <v>53</v>
      </c>
      <c r="D34" s="5" t="s">
        <v>286</v>
      </c>
      <c r="H34" s="33"/>
    </row>
    <row r="35" spans="1:8">
      <c r="A35" s="5">
        <v>26</v>
      </c>
      <c r="B35" s="5" t="str">
        <f>CONCATENATE($B$2, ".", A35)</f>
        <v>8.26</v>
      </c>
      <c r="C35" s="28" t="s">
        <v>53</v>
      </c>
      <c r="D35" s="5" t="s">
        <v>291</v>
      </c>
      <c r="H35" s="33"/>
    </row>
    <row r="36" spans="1:8" s="45" customFormat="1">
      <c r="A36" s="71"/>
      <c r="B36" s="71"/>
      <c r="C36" s="71"/>
      <c r="D36" s="71"/>
      <c r="E36" s="71"/>
    </row>
    <row r="37" spans="1:8">
      <c r="A37" s="5">
        <v>27</v>
      </c>
      <c r="B37" s="5" t="str">
        <f>CONCATENATE($B$2, ".", A37)</f>
        <v>8.27</v>
      </c>
      <c r="C37" s="28" t="s">
        <v>53</v>
      </c>
      <c r="D37" s="5" t="s">
        <v>155</v>
      </c>
    </row>
    <row r="38" spans="1:8">
      <c r="A38" s="5">
        <v>28</v>
      </c>
      <c r="B38" s="5" t="str">
        <f>CONCATENATE($B$2, ".", A38)</f>
        <v>8.28</v>
      </c>
      <c r="C38" s="28" t="s">
        <v>53</v>
      </c>
      <c r="D38" s="5" t="s">
        <v>168</v>
      </c>
    </row>
  </sheetData>
  <mergeCells count="4">
    <mergeCell ref="A9:E9"/>
    <mergeCell ref="A18:E18"/>
    <mergeCell ref="A27:E27"/>
    <mergeCell ref="A36:E36"/>
  </mergeCells>
  <conditionalFormatting sqref="C37:C1048576 C29:C35 C20:C26 C8">
    <cfRule type="cellIs" dxfId="363" priority="52" operator="equal">
      <formula>"WIP (see comments)"</formula>
    </cfRule>
    <cfRule type="cellIs" dxfId="362" priority="53" operator="equal">
      <formula>"Removed"</formula>
    </cfRule>
    <cfRule type="cellIs" dxfId="361" priority="54" operator="equal">
      <formula>"Updated"</formula>
    </cfRule>
    <cfRule type="cellIs" dxfId="360" priority="55" operator="equal">
      <formula>"New"</formula>
    </cfRule>
  </conditionalFormatting>
  <conditionalFormatting sqref="C7:C8">
    <cfRule type="cellIs" dxfId="359" priority="44" operator="equal">
      <formula>"WIP (see comments)"</formula>
    </cfRule>
    <cfRule type="cellIs" dxfId="358" priority="45" operator="equal">
      <formula>"Removed"</formula>
    </cfRule>
    <cfRule type="cellIs" dxfId="357" priority="46" operator="equal">
      <formula>"Updated"</formula>
    </cfRule>
    <cfRule type="cellIs" dxfId="356" priority="47" operator="equal">
      <formula>"New"</formula>
    </cfRule>
  </conditionalFormatting>
  <conditionalFormatting sqref="C19:C26">
    <cfRule type="cellIs" dxfId="355" priority="36" operator="equal">
      <formula>"WIP (see comments)"</formula>
    </cfRule>
    <cfRule type="cellIs" dxfId="354" priority="37" operator="equal">
      <formula>"Removed"</formula>
    </cfRule>
    <cfRule type="cellIs" dxfId="353" priority="38" operator="equal">
      <formula>"Updated"</formula>
    </cfRule>
    <cfRule type="cellIs" dxfId="352" priority="39" operator="equal">
      <formula>"New"</formula>
    </cfRule>
  </conditionalFormatting>
  <conditionalFormatting sqref="C28:C35">
    <cfRule type="cellIs" dxfId="351" priority="28" operator="equal">
      <formula>"WIP (see comments)"</formula>
    </cfRule>
    <cfRule type="cellIs" dxfId="350" priority="29" operator="equal">
      <formula>"Removed"</formula>
    </cfRule>
    <cfRule type="cellIs" dxfId="349" priority="30" operator="equal">
      <formula>"Updated"</formula>
    </cfRule>
    <cfRule type="cellIs" dxfId="348" priority="31" operator="equal">
      <formula>"New"</formula>
    </cfRule>
  </conditionalFormatting>
  <conditionalFormatting sqref="A2:XFD8 A37:XFD1048576 A1:C1 E1:XFD1 A11:B17 D11:XFD17 A19:XFD26 A28:XFD35">
    <cfRule type="cellIs" dxfId="347" priority="19" operator="equal">
      <formula>"n/a"</formula>
    </cfRule>
  </conditionalFormatting>
  <conditionalFormatting sqref="C25">
    <cfRule type="cellIs" dxfId="346" priority="15" operator="equal">
      <formula>"WIP (see comments)"</formula>
    </cfRule>
    <cfRule type="cellIs" dxfId="345" priority="16" operator="equal">
      <formula>"Removed"</formula>
    </cfRule>
    <cfRule type="cellIs" dxfId="344" priority="17" operator="equal">
      <formula>"Updated"</formula>
    </cfRule>
    <cfRule type="cellIs" dxfId="343" priority="18" operator="equal">
      <formula>"New"</formula>
    </cfRule>
  </conditionalFormatting>
  <conditionalFormatting sqref="C26">
    <cfRule type="cellIs" dxfId="342" priority="11" operator="equal">
      <formula>"WIP (see comments)"</formula>
    </cfRule>
    <cfRule type="cellIs" dxfId="341" priority="12" operator="equal">
      <formula>"Removed"</formula>
    </cfRule>
    <cfRule type="cellIs" dxfId="340" priority="13" operator="equal">
      <formula>"Updated"</formula>
    </cfRule>
    <cfRule type="cellIs" dxfId="339" priority="14" operator="equal">
      <formula>"New"</formula>
    </cfRule>
  </conditionalFormatting>
  <conditionalFormatting sqref="F9:XFD9 A9">
    <cfRule type="cellIs" dxfId="338" priority="10" operator="equal">
      <formula>"n/a"</formula>
    </cfRule>
  </conditionalFormatting>
  <conditionalFormatting sqref="F18:XFD18 A18">
    <cfRule type="cellIs" dxfId="337" priority="9" operator="equal">
      <formula>"n/a"</formula>
    </cfRule>
  </conditionalFormatting>
  <conditionalFormatting sqref="F27:XFD27 A27">
    <cfRule type="cellIs" dxfId="336" priority="8" operator="equal">
      <formula>"n/a"</formula>
    </cfRule>
  </conditionalFormatting>
  <conditionalFormatting sqref="F36:XFD36 A36">
    <cfRule type="cellIs" dxfId="335" priority="7" operator="equal">
      <formula>"n/a"</formula>
    </cfRule>
  </conditionalFormatting>
  <conditionalFormatting sqref="C10:C17">
    <cfRule type="cellIs" dxfId="334" priority="3" operator="equal">
      <formula>"WIP (see comments)"</formula>
    </cfRule>
    <cfRule type="cellIs" dxfId="333" priority="4" operator="equal">
      <formula>"Removed"</formula>
    </cfRule>
    <cfRule type="cellIs" dxfId="332" priority="5" operator="equal">
      <formula>"Updated"</formula>
    </cfRule>
    <cfRule type="cellIs" dxfId="331" priority="6" operator="equal">
      <formula>"New"</formula>
    </cfRule>
  </conditionalFormatting>
  <conditionalFormatting sqref="A10:XFD10 C11:C17">
    <cfRule type="cellIs" dxfId="330" priority="2" operator="equal">
      <formula>"n/a"</formula>
    </cfRule>
  </conditionalFormatting>
  <conditionalFormatting sqref="D1">
    <cfRule type="cellIs" dxfId="329" priority="1" operator="equal">
      <formula>"n/a"</formula>
    </cfRule>
  </conditionalFormatting>
  <dataValidations count="2">
    <dataValidation type="list" allowBlank="1" showInputMessage="1" showErrorMessage="1" sqref="E10:E17 E37:E1048576 E28:E35 E19:E26" xr:uid="{00000000-0002-0000-0B00-000000000000}">
      <formula1>$A$5:$A$28</formula1>
    </dataValidation>
    <dataValidation type="list" allowBlank="1" showInputMessage="1" showErrorMessage="1" sqref="C37:C1048576 C28:C35 C19:C26 C10:C17" xr:uid="{00000000-0002-0000-0B00-000001000000}">
      <formula1>$B$5:$B$12</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B00-000002000000}">
          <x14:formula1>
            <xm:f>'List Values'!$A$5:$A$30</xm:f>
          </x14:formula1>
          <xm:sqref>E7:E8</xm:sqref>
        </x14:dataValidation>
        <x14:dataValidation type="list" allowBlank="1" showInputMessage="1" showErrorMessage="1" xr:uid="{00000000-0002-0000-0B00-000003000000}">
          <x14:formula1>
            <xm:f>'List Values'!$B$5:$B$12</xm:f>
          </x14:formula1>
          <xm:sqref>C7:C8</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P14"/>
  <sheetViews>
    <sheetView workbookViewId="0">
      <pane xSplit="4" ySplit="6" topLeftCell="E7" activePane="bottomRight" state="frozen"/>
      <selection pane="bottomRight" activeCell="B4" sqref="B4"/>
      <selection pane="bottomLeft" activeCell="A7" sqref="A7"/>
      <selection pane="topRight" activeCell="E1" sqref="E1"/>
    </sheetView>
  </sheetViews>
  <sheetFormatPr defaultColWidth="9.140625" defaultRowHeight="14.25"/>
  <cols>
    <col min="1" max="1" width="14.7109375" style="5" customWidth="1"/>
    <col min="2" max="2" width="12.5703125" style="5" customWidth="1"/>
    <col min="3" max="3" width="13" style="28" customWidth="1"/>
    <col min="4" max="4" width="45.140625" style="5" customWidth="1"/>
    <col min="5" max="5" width="28.7109375" style="5" customWidth="1"/>
    <col min="6" max="6" width="17" style="5" customWidth="1"/>
    <col min="7" max="7" width="29.28515625" style="5" customWidth="1"/>
    <col min="8" max="8" width="27.85546875" style="5" customWidth="1"/>
    <col min="9" max="9" width="34.85546875" style="5" customWidth="1"/>
    <col min="10" max="10" width="28.140625" style="5" customWidth="1"/>
    <col min="11" max="11" width="10.7109375" style="5" bestFit="1" customWidth="1"/>
    <col min="12" max="12" width="23" style="5" customWidth="1"/>
    <col min="13" max="13" width="29" style="5" customWidth="1"/>
    <col min="14" max="14" width="18.7109375" style="5" bestFit="1" customWidth="1"/>
    <col min="15" max="15" width="48.42578125" style="5" customWidth="1"/>
    <col min="16" max="16" width="41.85546875" style="5" customWidth="1"/>
    <col min="17" max="16384" width="9.140625" style="5"/>
  </cols>
  <sheetData>
    <row r="1" spans="1:16" s="24" customFormat="1" ht="18">
      <c r="A1" s="22" t="s">
        <v>78</v>
      </c>
      <c r="B1" s="32" t="s">
        <v>331</v>
      </c>
      <c r="C1" s="26"/>
      <c r="D1" s="23"/>
    </row>
    <row r="2" spans="1:16" s="24" customFormat="1" ht="18">
      <c r="A2" s="22" t="s">
        <v>81</v>
      </c>
      <c r="B2" s="30">
        <v>8</v>
      </c>
      <c r="C2" s="29"/>
      <c r="D2" s="30"/>
    </row>
    <row r="3" spans="1:16" s="24" customFormat="1" ht="18">
      <c r="A3" s="22" t="s">
        <v>82</v>
      </c>
      <c r="B3" s="30" t="s">
        <v>332</v>
      </c>
      <c r="C3" s="29"/>
      <c r="D3" s="30" t="s">
        <v>333</v>
      </c>
      <c r="E3" s="24" t="s">
        <v>329</v>
      </c>
    </row>
    <row r="4" spans="1:16" s="24" customFormat="1" ht="18">
      <c r="A4" s="22" t="s">
        <v>85</v>
      </c>
      <c r="B4" s="24" t="s">
        <v>160</v>
      </c>
      <c r="C4" s="29"/>
    </row>
    <row r="5" spans="1:16" s="4" customFormat="1">
      <c r="C5" s="31"/>
    </row>
    <row r="6" spans="1:16" s="25" customFormat="1" ht="14.65" thickBot="1">
      <c r="A6" s="25" t="s">
        <v>87</v>
      </c>
      <c r="B6" s="25" t="s">
        <v>88</v>
      </c>
      <c r="C6" s="27" t="s">
        <v>89</v>
      </c>
      <c r="D6" s="25" t="s">
        <v>90</v>
      </c>
      <c r="E6" s="25" t="s">
        <v>91</v>
      </c>
      <c r="F6" s="25" t="s">
        <v>92</v>
      </c>
      <c r="G6" s="25" t="s">
        <v>93</v>
      </c>
      <c r="H6" s="25" t="s">
        <v>94</v>
      </c>
      <c r="I6" s="25" t="s">
        <v>95</v>
      </c>
      <c r="J6" s="25" t="s">
        <v>96</v>
      </c>
      <c r="K6" s="25" t="s">
        <v>97</v>
      </c>
      <c r="L6" s="25" t="s">
        <v>98</v>
      </c>
      <c r="M6" s="25" t="s">
        <v>99</v>
      </c>
      <c r="N6" s="25" t="s">
        <v>100</v>
      </c>
      <c r="O6" s="25" t="s">
        <v>101</v>
      </c>
      <c r="P6" s="25" t="s">
        <v>102</v>
      </c>
    </row>
    <row r="7" spans="1:16">
      <c r="A7" s="5">
        <v>1</v>
      </c>
      <c r="B7" s="5" t="str">
        <f t="shared" ref="B7:B13" si="0">CONCATENATE($B$2, ".", A7)</f>
        <v>8.1</v>
      </c>
      <c r="C7" s="28" t="s">
        <v>51</v>
      </c>
      <c r="D7" s="5" t="s">
        <v>254</v>
      </c>
      <c r="E7" s="5" t="s">
        <v>65</v>
      </c>
      <c r="F7" s="5" t="s">
        <v>105</v>
      </c>
      <c r="G7" s="5" t="s">
        <v>105</v>
      </c>
      <c r="H7" s="5" t="s">
        <v>105</v>
      </c>
      <c r="I7" s="5" t="s">
        <v>86</v>
      </c>
      <c r="J7" s="5" t="s">
        <v>105</v>
      </c>
      <c r="K7" s="5" t="s">
        <v>105</v>
      </c>
      <c r="L7" s="5" t="s">
        <v>105</v>
      </c>
      <c r="M7" s="5" t="s">
        <v>105</v>
      </c>
      <c r="N7" s="5" t="s">
        <v>105</v>
      </c>
      <c r="O7" s="5" t="s">
        <v>105</v>
      </c>
      <c r="P7" s="5" t="s">
        <v>255</v>
      </c>
    </row>
    <row r="8" spans="1:16">
      <c r="A8" s="5">
        <v>2</v>
      </c>
      <c r="B8" s="5" t="str">
        <f t="shared" si="0"/>
        <v>8.2</v>
      </c>
      <c r="C8" s="28" t="s">
        <v>51</v>
      </c>
      <c r="D8" s="5" t="s">
        <v>105</v>
      </c>
      <c r="E8" s="5" t="s">
        <v>64</v>
      </c>
      <c r="F8" s="5" t="s">
        <v>105</v>
      </c>
      <c r="G8" s="5" t="s">
        <v>105</v>
      </c>
      <c r="H8" s="5" t="s">
        <v>105</v>
      </c>
      <c r="I8" s="5" t="s">
        <v>86</v>
      </c>
      <c r="J8" s="5" t="s">
        <v>105</v>
      </c>
      <c r="K8" s="5" t="s">
        <v>105</v>
      </c>
      <c r="L8" s="5" t="s">
        <v>105</v>
      </c>
      <c r="M8" s="5" t="s">
        <v>105</v>
      </c>
      <c r="N8" s="5" t="s">
        <v>105</v>
      </c>
      <c r="O8" s="5" t="s">
        <v>105</v>
      </c>
    </row>
    <row r="9" spans="1:16" ht="80.25" customHeight="1">
      <c r="A9" s="5">
        <v>3</v>
      </c>
      <c r="B9" s="5" t="str">
        <f t="shared" si="0"/>
        <v>8.3</v>
      </c>
      <c r="C9" s="28" t="s">
        <v>51</v>
      </c>
      <c r="D9" s="5" t="s">
        <v>334</v>
      </c>
      <c r="E9" s="5" t="s">
        <v>56</v>
      </c>
      <c r="F9" s="5" t="s">
        <v>335</v>
      </c>
      <c r="G9" s="5" t="s">
        <v>336</v>
      </c>
      <c r="H9" s="5" t="s">
        <v>105</v>
      </c>
      <c r="I9" s="5" t="s">
        <v>86</v>
      </c>
      <c r="J9" s="5" t="s">
        <v>337</v>
      </c>
      <c r="K9" s="5" t="s">
        <v>166</v>
      </c>
      <c r="L9" s="5" t="s">
        <v>338</v>
      </c>
      <c r="M9" s="5" t="s">
        <v>339</v>
      </c>
      <c r="N9" s="5" t="s">
        <v>340</v>
      </c>
      <c r="O9" s="5" t="s">
        <v>341</v>
      </c>
      <c r="P9" s="5" t="s">
        <v>274</v>
      </c>
    </row>
    <row r="10" spans="1:16" ht="102.75" customHeight="1">
      <c r="A10" s="5">
        <v>4</v>
      </c>
      <c r="B10" s="5" t="str">
        <f t="shared" si="0"/>
        <v>8.4</v>
      </c>
      <c r="C10" s="28" t="s">
        <v>51</v>
      </c>
      <c r="D10" s="5" t="s">
        <v>342</v>
      </c>
      <c r="E10" s="5" t="s">
        <v>74</v>
      </c>
      <c r="F10" s="5" t="s">
        <v>343</v>
      </c>
      <c r="G10" s="5" t="s">
        <v>344</v>
      </c>
      <c r="H10" s="33">
        <v>9</v>
      </c>
      <c r="I10" s="5" t="s">
        <v>86</v>
      </c>
      <c r="J10" s="5" t="s">
        <v>105</v>
      </c>
      <c r="K10" s="5" t="s">
        <v>319</v>
      </c>
      <c r="L10" s="5" t="s">
        <v>105</v>
      </c>
      <c r="M10" s="5" t="s">
        <v>345</v>
      </c>
      <c r="N10" s="5" t="s">
        <v>346</v>
      </c>
      <c r="O10" s="5" t="s">
        <v>105</v>
      </c>
    </row>
    <row r="11" spans="1:16" ht="114" customHeight="1">
      <c r="A11" s="5">
        <v>5</v>
      </c>
      <c r="B11" s="5" t="str">
        <f t="shared" si="0"/>
        <v>8.5</v>
      </c>
      <c r="C11" s="28" t="s">
        <v>51</v>
      </c>
      <c r="D11" s="5" t="s">
        <v>347</v>
      </c>
      <c r="E11" s="5" t="s">
        <v>76</v>
      </c>
      <c r="F11" s="5" t="s">
        <v>348</v>
      </c>
      <c r="G11" s="5" t="s">
        <v>349</v>
      </c>
      <c r="H11" s="33">
        <v>200</v>
      </c>
      <c r="I11" s="5" t="s">
        <v>86</v>
      </c>
      <c r="J11" s="5" t="s">
        <v>350</v>
      </c>
      <c r="K11" s="5" t="s">
        <v>166</v>
      </c>
      <c r="L11" s="5" t="s">
        <v>351</v>
      </c>
      <c r="M11" s="5" t="s">
        <v>352</v>
      </c>
      <c r="N11" s="5" t="s">
        <v>105</v>
      </c>
      <c r="O11" s="5" t="s">
        <v>353</v>
      </c>
      <c r="P11" s="5" t="s">
        <v>274</v>
      </c>
    </row>
    <row r="12" spans="1:16">
      <c r="A12" s="5">
        <v>6</v>
      </c>
      <c r="B12" s="5" t="str">
        <f>CONCATENATE($B$2, ".", A12)</f>
        <v>8.6</v>
      </c>
      <c r="C12" s="28" t="s">
        <v>51</v>
      </c>
      <c r="D12" s="5" t="s">
        <v>155</v>
      </c>
      <c r="E12" s="5" t="s">
        <v>48</v>
      </c>
      <c r="F12" s="5" t="s">
        <v>105</v>
      </c>
      <c r="G12" s="5" t="s">
        <v>105</v>
      </c>
      <c r="H12" s="5" t="s">
        <v>105</v>
      </c>
      <c r="I12" s="5" t="s">
        <v>86</v>
      </c>
      <c r="J12" s="5" t="s">
        <v>105</v>
      </c>
      <c r="K12" s="5" t="s">
        <v>105</v>
      </c>
      <c r="L12" s="5" t="s">
        <v>105</v>
      </c>
      <c r="M12" s="5" t="s">
        <v>105</v>
      </c>
      <c r="N12" s="5" t="s">
        <v>105</v>
      </c>
      <c r="O12" s="5" t="s">
        <v>354</v>
      </c>
      <c r="P12" s="5" t="s">
        <v>355</v>
      </c>
    </row>
    <row r="13" spans="1:16">
      <c r="A13" s="5">
        <v>7</v>
      </c>
      <c r="B13" s="5" t="str">
        <f t="shared" si="0"/>
        <v>8.7</v>
      </c>
      <c r="C13" s="28" t="s">
        <v>51</v>
      </c>
      <c r="D13" s="5" t="s">
        <v>168</v>
      </c>
      <c r="E13" s="5" t="s">
        <v>48</v>
      </c>
      <c r="F13" s="5" t="s">
        <v>105</v>
      </c>
      <c r="G13" s="5" t="s">
        <v>105</v>
      </c>
      <c r="H13" s="5" t="s">
        <v>105</v>
      </c>
      <c r="I13" s="5" t="s">
        <v>86</v>
      </c>
      <c r="J13" s="5" t="s">
        <v>105</v>
      </c>
      <c r="K13" s="5" t="s">
        <v>105</v>
      </c>
      <c r="L13" s="5" t="s">
        <v>105</v>
      </c>
      <c r="M13" s="5" t="s">
        <v>105</v>
      </c>
      <c r="N13" s="5" t="s">
        <v>105</v>
      </c>
      <c r="O13" s="5" t="s">
        <v>248</v>
      </c>
    </row>
    <row r="14" spans="1:16">
      <c r="D14" s="5" t="s">
        <v>329</v>
      </c>
    </row>
  </sheetData>
  <autoFilter ref="A6:P13" xr:uid="{00000000-0009-0000-0000-00000C000000}"/>
  <conditionalFormatting sqref="C14:C1048576">
    <cfRule type="cellIs" dxfId="328" priority="25" operator="equal">
      <formula>"WIP (see comments)"</formula>
    </cfRule>
    <cfRule type="cellIs" dxfId="327" priority="26" operator="equal">
      <formula>"Removed"</formula>
    </cfRule>
    <cfRule type="cellIs" dxfId="326" priority="27" operator="equal">
      <formula>"Updated"</formula>
    </cfRule>
    <cfRule type="cellIs" dxfId="325" priority="28" operator="equal">
      <formula>"New"</formula>
    </cfRule>
  </conditionalFormatting>
  <conditionalFormatting sqref="C7:C13">
    <cfRule type="cellIs" dxfId="324" priority="17" operator="equal">
      <formula>"WIP (see comments)"</formula>
    </cfRule>
    <cfRule type="cellIs" dxfId="323" priority="18" operator="equal">
      <formula>"Removed"</formula>
    </cfRule>
    <cfRule type="cellIs" dxfId="322" priority="19" operator="equal">
      <formula>"Updated"</formula>
    </cfRule>
    <cfRule type="cellIs" dxfId="321" priority="20" operator="equal">
      <formula>"New"</formula>
    </cfRule>
  </conditionalFormatting>
  <conditionalFormatting sqref="D11:O11">
    <cfRule type="cellIs" dxfId="320" priority="11" operator="equal">
      <formula>"n/a"</formula>
    </cfRule>
  </conditionalFormatting>
  <conditionalFormatting sqref="D1">
    <cfRule type="cellIs" dxfId="319" priority="10" operator="equal">
      <formula>"n/a"</formula>
    </cfRule>
  </conditionalFormatting>
  <conditionalFormatting sqref="D3">
    <cfRule type="cellIs" dxfId="318" priority="8" operator="equal">
      <formula>"n/a"</formula>
    </cfRule>
  </conditionalFormatting>
  <conditionalFormatting sqref="B4">
    <cfRule type="cellIs" dxfId="317" priority="1" operator="equal">
      <formula>"n/a"</formula>
    </cfRule>
  </conditionalFormatting>
  <dataValidations count="2">
    <dataValidation type="list" allowBlank="1" showInputMessage="1" showErrorMessage="1" sqref="C14:C1048576" xr:uid="{00000000-0002-0000-0C00-000000000000}">
      <formula1>$B$5:$B$12</formula1>
    </dataValidation>
    <dataValidation type="list" allowBlank="1" showInputMessage="1" showErrorMessage="1" sqref="E14:E1048576" xr:uid="{00000000-0002-0000-0C00-000001000000}">
      <formula1>$A$5:$A$30</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C00-000002000000}">
          <x14:formula1>
            <xm:f>'List Values'!$B$5:$B$14</xm:f>
          </x14:formula1>
          <xm:sqref>C7:C13</xm:sqref>
        </x14:dataValidation>
        <x14:dataValidation type="list" allowBlank="1" showInputMessage="1" showErrorMessage="1" xr:uid="{00000000-0002-0000-0C00-000003000000}">
          <x14:formula1>
            <xm:f>'List Values'!$A$5:$A$30</xm:f>
          </x14:formula1>
          <xm:sqref>E7:E13</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13"/>
  <sheetViews>
    <sheetView workbookViewId="0">
      <pane xSplit="4" ySplit="6" topLeftCell="E7" activePane="bottomRight" state="frozen"/>
      <selection pane="bottomRight" activeCell="B4" sqref="B4"/>
      <selection pane="bottomLeft" activeCell="A7" sqref="A7"/>
      <selection pane="topRight" activeCell="E1" sqref="E1"/>
    </sheetView>
  </sheetViews>
  <sheetFormatPr defaultColWidth="9.140625" defaultRowHeight="14.25"/>
  <cols>
    <col min="1" max="1" width="14.7109375" style="5" customWidth="1"/>
    <col min="2" max="2" width="12.5703125" style="5" customWidth="1"/>
    <col min="3" max="3" width="13" style="28" customWidth="1"/>
    <col min="4" max="4" width="45.140625" style="5" customWidth="1"/>
    <col min="5" max="5" width="28.7109375" style="5" customWidth="1"/>
    <col min="6" max="6" width="37" style="5" customWidth="1"/>
    <col min="7" max="7" width="29.28515625" style="5" customWidth="1"/>
    <col min="8" max="8" width="11.5703125" style="28" bestFit="1" customWidth="1"/>
    <col min="9" max="9" width="34.85546875" style="5" customWidth="1"/>
    <col min="10" max="10" width="28.140625" style="5" customWidth="1"/>
    <col min="11" max="11" width="14" style="5" customWidth="1"/>
    <col min="12" max="12" width="23" style="5" customWidth="1"/>
    <col min="13" max="13" width="29" style="5" customWidth="1"/>
    <col min="14" max="14" width="18.7109375" style="5" bestFit="1" customWidth="1"/>
    <col min="15" max="15" width="48.42578125" style="5" customWidth="1"/>
    <col min="16" max="16" width="41.85546875" style="5" customWidth="1"/>
    <col min="17" max="16384" width="9.140625" style="5"/>
  </cols>
  <sheetData>
    <row r="1" spans="1:16" s="24" customFormat="1" ht="18">
      <c r="A1" s="22" t="s">
        <v>78</v>
      </c>
      <c r="B1" s="32" t="s">
        <v>356</v>
      </c>
      <c r="C1" s="26"/>
      <c r="D1" s="23"/>
      <c r="H1" s="29"/>
    </row>
    <row r="2" spans="1:16" s="24" customFormat="1" ht="18">
      <c r="A2" s="22" t="s">
        <v>81</v>
      </c>
      <c r="B2" s="30">
        <v>9</v>
      </c>
      <c r="C2" s="29"/>
      <c r="D2" s="30"/>
      <c r="H2" s="29"/>
    </row>
    <row r="3" spans="1:16" s="24" customFormat="1" ht="18">
      <c r="A3" s="22" t="s">
        <v>82</v>
      </c>
      <c r="B3" s="30" t="s">
        <v>357</v>
      </c>
      <c r="C3" s="29"/>
      <c r="D3" s="30" t="s">
        <v>358</v>
      </c>
      <c r="H3" s="29"/>
    </row>
    <row r="4" spans="1:16" s="24" customFormat="1" ht="18">
      <c r="A4" s="22" t="s">
        <v>85</v>
      </c>
      <c r="B4" s="24" t="s">
        <v>160</v>
      </c>
      <c r="C4" s="29"/>
      <c r="H4" s="29"/>
    </row>
    <row r="5" spans="1:16" s="4" customFormat="1">
      <c r="C5" s="31"/>
      <c r="H5" s="31"/>
    </row>
    <row r="6" spans="1:16" s="25" customFormat="1" ht="14.65" thickBot="1">
      <c r="A6" s="25" t="s">
        <v>87</v>
      </c>
      <c r="B6" s="25" t="s">
        <v>88</v>
      </c>
      <c r="C6" s="27" t="s">
        <v>89</v>
      </c>
      <c r="D6" s="25" t="s">
        <v>90</v>
      </c>
      <c r="E6" s="25" t="s">
        <v>91</v>
      </c>
      <c r="F6" s="25" t="s">
        <v>92</v>
      </c>
      <c r="G6" s="25" t="s">
        <v>93</v>
      </c>
      <c r="H6" s="27" t="s">
        <v>94</v>
      </c>
      <c r="I6" s="25" t="s">
        <v>95</v>
      </c>
      <c r="J6" s="25" t="s">
        <v>96</v>
      </c>
      <c r="K6" s="25" t="s">
        <v>97</v>
      </c>
      <c r="L6" s="25" t="s">
        <v>98</v>
      </c>
      <c r="M6" s="25" t="s">
        <v>99</v>
      </c>
      <c r="N6" s="25" t="s">
        <v>100</v>
      </c>
      <c r="O6" s="25" t="s">
        <v>101</v>
      </c>
      <c r="P6" s="25" t="s">
        <v>102</v>
      </c>
    </row>
    <row r="7" spans="1:16">
      <c r="A7" s="5">
        <v>1</v>
      </c>
      <c r="B7" s="5" t="str">
        <f t="shared" ref="B7:B11" si="0">CONCATENATE($B$2, ".", A7)</f>
        <v>9.1</v>
      </c>
      <c r="C7" s="28" t="s">
        <v>51</v>
      </c>
      <c r="D7" s="5" t="s">
        <v>359</v>
      </c>
      <c r="E7" s="5" t="s">
        <v>65</v>
      </c>
      <c r="F7" s="5" t="s">
        <v>105</v>
      </c>
      <c r="G7" s="5" t="s">
        <v>105</v>
      </c>
      <c r="H7" s="28" t="s">
        <v>105</v>
      </c>
      <c r="I7" s="5" t="s">
        <v>86</v>
      </c>
      <c r="J7" s="5" t="s">
        <v>105</v>
      </c>
      <c r="K7" s="5" t="s">
        <v>105</v>
      </c>
      <c r="L7" s="5" t="s">
        <v>105</v>
      </c>
      <c r="M7" s="5" t="s">
        <v>105</v>
      </c>
      <c r="N7" s="5" t="s">
        <v>105</v>
      </c>
    </row>
    <row r="8" spans="1:16">
      <c r="A8" s="5">
        <v>2</v>
      </c>
      <c r="B8" s="5" t="str">
        <f t="shared" si="0"/>
        <v>9.2</v>
      </c>
      <c r="C8" s="37" t="s">
        <v>51</v>
      </c>
      <c r="D8" s="5" t="s">
        <v>105</v>
      </c>
      <c r="E8" s="5" t="s">
        <v>64</v>
      </c>
      <c r="F8" s="5" t="s">
        <v>105</v>
      </c>
      <c r="G8" s="5" t="s">
        <v>105</v>
      </c>
      <c r="H8" s="28" t="s">
        <v>105</v>
      </c>
      <c r="I8" s="5" t="s">
        <v>86</v>
      </c>
      <c r="J8" s="5" t="s">
        <v>105</v>
      </c>
      <c r="K8" s="5" t="s">
        <v>105</v>
      </c>
      <c r="L8" s="5" t="s">
        <v>105</v>
      </c>
      <c r="M8" s="5" t="s">
        <v>105</v>
      </c>
      <c r="N8" s="5" t="s">
        <v>105</v>
      </c>
      <c r="O8" s="5" t="s">
        <v>105</v>
      </c>
    </row>
    <row r="9" spans="1:16" ht="67.5" customHeight="1">
      <c r="A9" s="5">
        <v>3</v>
      </c>
      <c r="B9" s="5" t="str">
        <f t="shared" si="0"/>
        <v>9.3</v>
      </c>
      <c r="C9" s="28" t="s">
        <v>51</v>
      </c>
      <c r="D9" s="5" t="s">
        <v>360</v>
      </c>
      <c r="E9" s="5" t="s">
        <v>72</v>
      </c>
      <c r="F9" s="5" t="s">
        <v>105</v>
      </c>
      <c r="G9" s="5" t="s">
        <v>105</v>
      </c>
      <c r="H9" s="28" t="s">
        <v>105</v>
      </c>
      <c r="I9" s="5" t="s">
        <v>86</v>
      </c>
      <c r="J9" s="5" t="s">
        <v>105</v>
      </c>
      <c r="K9" s="5" t="s">
        <v>105</v>
      </c>
      <c r="L9" s="5" t="s">
        <v>105</v>
      </c>
      <c r="M9" s="5" t="s">
        <v>105</v>
      </c>
      <c r="N9" s="5" t="s">
        <v>105</v>
      </c>
    </row>
    <row r="10" spans="1:16" ht="130.5" customHeight="1">
      <c r="A10" s="5">
        <v>4</v>
      </c>
      <c r="B10" s="5" t="str">
        <f t="shared" si="0"/>
        <v>9.4</v>
      </c>
      <c r="C10" s="28" t="s">
        <v>51</v>
      </c>
      <c r="D10" s="5" t="s">
        <v>361</v>
      </c>
      <c r="E10" s="5" t="s">
        <v>58</v>
      </c>
      <c r="F10" s="5" t="s">
        <v>362</v>
      </c>
      <c r="G10" s="5" t="s">
        <v>105</v>
      </c>
      <c r="H10" s="28" t="s">
        <v>105</v>
      </c>
      <c r="I10" s="5" t="s">
        <v>86</v>
      </c>
      <c r="J10" s="5" t="s">
        <v>350</v>
      </c>
      <c r="K10" s="5" t="s">
        <v>166</v>
      </c>
      <c r="L10" s="5" t="s">
        <v>363</v>
      </c>
      <c r="M10" s="5" t="s">
        <v>105</v>
      </c>
      <c r="N10" s="5" t="s">
        <v>105</v>
      </c>
      <c r="O10" s="5" t="s">
        <v>105</v>
      </c>
      <c r="P10" s="5" t="s">
        <v>183</v>
      </c>
    </row>
    <row r="11" spans="1:16" ht="128.25">
      <c r="A11" s="5">
        <v>5</v>
      </c>
      <c r="B11" s="5" t="str">
        <f t="shared" si="0"/>
        <v>9.5</v>
      </c>
      <c r="C11" s="28" t="s">
        <v>51</v>
      </c>
      <c r="D11" s="5" t="s">
        <v>364</v>
      </c>
      <c r="E11" s="5" t="s">
        <v>74</v>
      </c>
      <c r="F11" s="5" t="s">
        <v>348</v>
      </c>
      <c r="G11" s="5" t="s">
        <v>105</v>
      </c>
      <c r="H11" s="28">
        <v>30</v>
      </c>
      <c r="I11" s="5" t="s">
        <v>86</v>
      </c>
      <c r="J11" s="5" t="s">
        <v>350</v>
      </c>
      <c r="K11" s="5" t="s">
        <v>166</v>
      </c>
      <c r="L11" s="5" t="s">
        <v>365</v>
      </c>
      <c r="M11" s="5" t="s">
        <v>105</v>
      </c>
      <c r="N11" s="5" t="s">
        <v>105</v>
      </c>
      <c r="O11" s="5" t="s">
        <v>366</v>
      </c>
    </row>
    <row r="12" spans="1:16" ht="28.5">
      <c r="A12" s="5">
        <v>6</v>
      </c>
      <c r="B12" s="5" t="str">
        <f t="shared" ref="B12:B13" si="1">CONCATENATE($B$2, ".", A12)</f>
        <v>9.6</v>
      </c>
      <c r="C12" s="28" t="s">
        <v>51</v>
      </c>
      <c r="D12" s="5" t="s">
        <v>155</v>
      </c>
      <c r="E12" s="5" t="s">
        <v>48</v>
      </c>
      <c r="F12" s="5" t="s">
        <v>105</v>
      </c>
      <c r="G12" s="5" t="s">
        <v>105</v>
      </c>
      <c r="H12" s="28" t="s">
        <v>105</v>
      </c>
      <c r="I12" s="5" t="s">
        <v>86</v>
      </c>
      <c r="J12" s="5" t="s">
        <v>105</v>
      </c>
      <c r="K12" s="5" t="s">
        <v>105</v>
      </c>
      <c r="L12" s="5" t="s">
        <v>105</v>
      </c>
      <c r="M12" s="5" t="s">
        <v>105</v>
      </c>
      <c r="N12" s="5" t="s">
        <v>105</v>
      </c>
      <c r="O12" s="5" t="s">
        <v>367</v>
      </c>
    </row>
    <row r="13" spans="1:16">
      <c r="A13" s="5">
        <v>7</v>
      </c>
      <c r="B13" s="5" t="str">
        <f t="shared" si="1"/>
        <v>9.7</v>
      </c>
      <c r="C13" s="28" t="s">
        <v>51</v>
      </c>
      <c r="D13" s="5" t="s">
        <v>168</v>
      </c>
      <c r="E13" s="5" t="s">
        <v>48</v>
      </c>
      <c r="F13" s="5" t="s">
        <v>105</v>
      </c>
      <c r="G13" s="5" t="s">
        <v>105</v>
      </c>
      <c r="H13" s="28" t="s">
        <v>105</v>
      </c>
      <c r="I13" s="5" t="s">
        <v>86</v>
      </c>
      <c r="J13" s="5" t="s">
        <v>105</v>
      </c>
      <c r="K13" s="5" t="s">
        <v>105</v>
      </c>
      <c r="L13" s="5" t="s">
        <v>105</v>
      </c>
      <c r="M13" s="5" t="s">
        <v>105</v>
      </c>
      <c r="N13" s="5" t="s">
        <v>105</v>
      </c>
      <c r="O13" s="5" t="s">
        <v>368</v>
      </c>
    </row>
  </sheetData>
  <autoFilter ref="A6:P6" xr:uid="{00000000-0009-0000-0000-00000D000000}"/>
  <conditionalFormatting sqref="A1:XFD3 F7:N7 A7:C7 D11:H11 F9:N9 J11:P11 A9:C11 Q10:XFD1048576 A12:P1048576 G10 A5:XFD6 A4 C4:XFD4 C10:C13">
    <cfRule type="cellIs" dxfId="316" priority="16" operator="equal">
      <formula>"n/a"</formula>
    </cfRule>
  </conditionalFormatting>
  <conditionalFormatting sqref="C1:C7 C9:C1048576">
    <cfRule type="cellIs" dxfId="315" priority="17" operator="equal">
      <formula>"WIP (see comments)"</formula>
    </cfRule>
    <cfRule type="cellIs" dxfId="314" priority="18" operator="equal">
      <formula>"Removed"</formula>
    </cfRule>
    <cfRule type="cellIs" dxfId="313" priority="19" operator="equal">
      <formula>"Updated"</formula>
    </cfRule>
    <cfRule type="cellIs" dxfId="312" priority="20" operator="equal">
      <formula>"New"</formula>
    </cfRule>
  </conditionalFormatting>
  <conditionalFormatting sqref="D10:E10 Q9:XFD9">
    <cfRule type="cellIs" dxfId="311" priority="15" operator="equal">
      <formula>"n/a"</formula>
    </cfRule>
  </conditionalFormatting>
  <conditionalFormatting sqref="F10 I11 H10:P10">
    <cfRule type="cellIs" dxfId="310" priority="14" operator="equal">
      <formula>"n/a"</formula>
    </cfRule>
  </conditionalFormatting>
  <conditionalFormatting sqref="A8:B8 D8:P8">
    <cfRule type="cellIs" dxfId="309" priority="13" operator="equal">
      <formula>"n/a"</formula>
    </cfRule>
  </conditionalFormatting>
  <conditionalFormatting sqref="C8">
    <cfRule type="cellIs" dxfId="308" priority="9" operator="equal">
      <formula>"WIP (see comments)"</formula>
    </cfRule>
    <cfRule type="cellIs" dxfId="307" priority="10" operator="equal">
      <formula>"Removed"</formula>
    </cfRule>
    <cfRule type="cellIs" dxfId="306" priority="11" operator="equal">
      <formula>"Updated"</formula>
    </cfRule>
    <cfRule type="cellIs" dxfId="305" priority="12" operator="equal">
      <formula>"New"</formula>
    </cfRule>
  </conditionalFormatting>
  <conditionalFormatting sqref="C8">
    <cfRule type="cellIs" dxfId="304" priority="8" operator="equal">
      <formula>"n/a"</formula>
    </cfRule>
  </conditionalFormatting>
  <conditionalFormatting sqref="B4">
    <cfRule type="cellIs" dxfId="303"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D00-000000000000}">
          <x14:formula1>
            <xm:f>'C:\Users\hicksi\Documents\Small Business DCO\Field Specs\Current\[Small Business DCO Funding Form Field Spec v1.1 WIP.xlsx]List Values'!#REF!</xm:f>
          </x14:formula1>
          <xm:sqref>C14:C1048576 E14:E1048576</xm:sqref>
        </x14:dataValidation>
        <x14:dataValidation type="list" allowBlank="1" showInputMessage="1" showErrorMessage="1" xr:uid="{00000000-0002-0000-0D00-000002000000}">
          <x14:formula1>
            <xm:f>'List Values'!$B$5:$B$9</xm:f>
          </x14:formula1>
          <xm:sqref>C7:C13</xm:sqref>
        </x14:dataValidation>
        <x14:dataValidation type="list" allowBlank="1" showInputMessage="1" showErrorMessage="1" xr:uid="{00000000-0002-0000-0D00-000003000000}">
          <x14:formula1>
            <xm:f>'List Values'!$A$5:$A$29</xm:f>
          </x14:formula1>
          <xm:sqref>E7:E13</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148455-45C3-4A63-8433-E52203E6A87A}">
  <sheetPr>
    <tabColor rgb="FFFFFF00"/>
  </sheetPr>
  <dimension ref="A1:P24"/>
  <sheetViews>
    <sheetView zoomScaleNormal="100" workbookViewId="0">
      <pane xSplit="4" ySplit="6" topLeftCell="H13" activePane="bottomRight" state="frozen"/>
      <selection pane="bottomRight" activeCell="P9" sqref="P9:P18"/>
      <selection pane="bottomLeft" activeCell="A7" sqref="A7"/>
      <selection pane="topRight" activeCell="E1" sqref="E1"/>
    </sheetView>
  </sheetViews>
  <sheetFormatPr defaultColWidth="9.140625" defaultRowHeight="14.25"/>
  <cols>
    <col min="1" max="1" width="14.7109375" style="5" customWidth="1"/>
    <col min="2" max="2" width="12.5703125" style="5" customWidth="1"/>
    <col min="3" max="3" width="13" style="28" customWidth="1"/>
    <col min="4" max="4" width="45.140625" style="5" customWidth="1"/>
    <col min="5" max="5" width="28.7109375" style="5" customWidth="1"/>
    <col min="6" max="6" width="37" style="5" customWidth="1"/>
    <col min="7" max="7" width="29.28515625" style="5" customWidth="1"/>
    <col min="8" max="8" width="11.5703125" style="28" bestFit="1" customWidth="1"/>
    <col min="9" max="9" width="34.85546875" style="5" customWidth="1"/>
    <col min="10" max="10" width="28.140625" style="5" customWidth="1"/>
    <col min="11" max="11" width="10.7109375" style="5" bestFit="1" customWidth="1"/>
    <col min="12" max="12" width="23" style="5" customWidth="1"/>
    <col min="13" max="13" width="29" style="5" customWidth="1"/>
    <col min="14" max="14" width="18.7109375" style="5" bestFit="1" customWidth="1"/>
    <col min="15" max="15" width="48.42578125" style="5" customWidth="1"/>
    <col min="16" max="16" width="41.85546875" style="5" customWidth="1"/>
    <col min="17" max="16384" width="9.140625" style="5"/>
  </cols>
  <sheetData>
    <row r="1" spans="1:16" s="24" customFormat="1" ht="18">
      <c r="A1" s="22" t="s">
        <v>78</v>
      </c>
      <c r="B1" s="32" t="s">
        <v>369</v>
      </c>
      <c r="C1" s="26"/>
      <c r="D1" s="23"/>
      <c r="H1" s="29"/>
      <c r="L1" s="30" t="s">
        <v>370</v>
      </c>
    </row>
    <row r="2" spans="1:16" s="24" customFormat="1" ht="18">
      <c r="A2" s="22" t="s">
        <v>81</v>
      </c>
      <c r="B2" s="30">
        <v>10</v>
      </c>
      <c r="C2" s="29"/>
      <c r="H2" s="29"/>
      <c r="L2" s="24" t="s">
        <v>371</v>
      </c>
    </row>
    <row r="3" spans="1:16" s="24" customFormat="1" ht="18">
      <c r="A3" s="22" t="s">
        <v>82</v>
      </c>
      <c r="B3" s="30" t="s">
        <v>110</v>
      </c>
      <c r="C3" s="29"/>
      <c r="H3" s="29"/>
      <c r="L3" s="30" t="s">
        <v>372</v>
      </c>
    </row>
    <row r="4" spans="1:16" s="24" customFormat="1" ht="18">
      <c r="A4" s="22" t="s">
        <v>85</v>
      </c>
      <c r="B4" s="24" t="s">
        <v>373</v>
      </c>
      <c r="C4" s="29"/>
      <c r="H4" s="29"/>
      <c r="L4" s="30" t="s">
        <v>374</v>
      </c>
    </row>
    <row r="5" spans="1:16" s="4" customFormat="1">
      <c r="C5" s="31"/>
      <c r="H5" s="31"/>
    </row>
    <row r="6" spans="1:16" s="25" customFormat="1" ht="14.65" thickBot="1">
      <c r="A6" s="25" t="s">
        <v>87</v>
      </c>
      <c r="B6" s="25" t="s">
        <v>88</v>
      </c>
      <c r="C6" s="27" t="s">
        <v>89</v>
      </c>
      <c r="D6" s="25" t="s">
        <v>90</v>
      </c>
      <c r="E6" s="25" t="s">
        <v>91</v>
      </c>
      <c r="F6" s="25" t="s">
        <v>92</v>
      </c>
      <c r="G6" s="25" t="s">
        <v>93</v>
      </c>
      <c r="H6" s="27" t="s">
        <v>94</v>
      </c>
      <c r="I6" s="25" t="s">
        <v>95</v>
      </c>
      <c r="J6" s="25" t="s">
        <v>96</v>
      </c>
      <c r="K6" s="25" t="s">
        <v>97</v>
      </c>
      <c r="L6" s="25" t="s">
        <v>98</v>
      </c>
      <c r="M6" s="25" t="s">
        <v>99</v>
      </c>
      <c r="N6" s="25" t="s">
        <v>100</v>
      </c>
      <c r="O6" s="25" t="s">
        <v>101</v>
      </c>
      <c r="P6" s="25" t="s">
        <v>102</v>
      </c>
    </row>
    <row r="7" spans="1:16">
      <c r="A7" s="5">
        <v>1</v>
      </c>
      <c r="B7" s="5" t="str">
        <f t="shared" ref="B7:B24" si="0">CONCATENATE($B$2, ".", A7)</f>
        <v>10.1</v>
      </c>
      <c r="C7" s="28" t="s">
        <v>51</v>
      </c>
      <c r="D7" s="5" t="s">
        <v>375</v>
      </c>
      <c r="E7" s="5" t="s">
        <v>65</v>
      </c>
      <c r="F7" s="5" t="s">
        <v>105</v>
      </c>
      <c r="G7" s="5" t="s">
        <v>105</v>
      </c>
      <c r="H7" s="28" t="s">
        <v>105</v>
      </c>
      <c r="I7" s="5" t="s">
        <v>86</v>
      </c>
      <c r="J7" s="5" t="s">
        <v>105</v>
      </c>
      <c r="K7" s="5" t="s">
        <v>105</v>
      </c>
      <c r="L7" s="5" t="s">
        <v>105</v>
      </c>
      <c r="M7" s="5" t="s">
        <v>105</v>
      </c>
      <c r="N7" s="5" t="s">
        <v>105</v>
      </c>
      <c r="O7" s="5" t="s">
        <v>105</v>
      </c>
    </row>
    <row r="8" spans="1:16">
      <c r="A8" s="5">
        <v>2</v>
      </c>
      <c r="B8" s="5" t="str">
        <f t="shared" si="0"/>
        <v>10.2</v>
      </c>
      <c r="C8" s="28" t="s">
        <v>51</v>
      </c>
      <c r="D8" s="5" t="s">
        <v>105</v>
      </c>
      <c r="E8" s="5" t="s">
        <v>64</v>
      </c>
      <c r="F8" s="5" t="s">
        <v>105</v>
      </c>
      <c r="G8" s="5" t="s">
        <v>105</v>
      </c>
      <c r="H8" s="28" t="s">
        <v>105</v>
      </c>
      <c r="I8" s="5" t="s">
        <v>86</v>
      </c>
      <c r="J8" s="5" t="s">
        <v>105</v>
      </c>
      <c r="K8" s="5" t="s">
        <v>105</v>
      </c>
      <c r="L8" s="5" t="s">
        <v>105</v>
      </c>
      <c r="M8" s="5" t="s">
        <v>105</v>
      </c>
      <c r="N8" s="5" t="s">
        <v>105</v>
      </c>
      <c r="O8" s="5" t="s">
        <v>105</v>
      </c>
    </row>
    <row r="9" spans="1:16" ht="71.25">
      <c r="A9" s="5">
        <v>3</v>
      </c>
      <c r="B9" s="5" t="str">
        <f t="shared" si="0"/>
        <v>10.3</v>
      </c>
      <c r="C9" s="28" t="s">
        <v>55</v>
      </c>
      <c r="D9" s="5" t="s">
        <v>376</v>
      </c>
      <c r="E9" s="5" t="s">
        <v>67</v>
      </c>
      <c r="F9" s="5" t="s">
        <v>299</v>
      </c>
      <c r="G9" s="5" t="s">
        <v>377</v>
      </c>
      <c r="H9" s="28" t="s">
        <v>105</v>
      </c>
      <c r="I9" s="5" t="s">
        <v>378</v>
      </c>
      <c r="J9" s="5" t="s">
        <v>379</v>
      </c>
      <c r="K9" s="5" t="s">
        <v>166</v>
      </c>
      <c r="L9" s="5" t="s">
        <v>380</v>
      </c>
      <c r="M9" s="5" t="s">
        <v>105</v>
      </c>
      <c r="N9" s="5" t="s">
        <v>105</v>
      </c>
      <c r="O9" s="5" t="s">
        <v>381</v>
      </c>
    </row>
    <row r="10" spans="1:16" ht="28.5">
      <c r="A10" s="5">
        <v>4</v>
      </c>
      <c r="B10" s="5" t="str">
        <f t="shared" si="0"/>
        <v>10.4</v>
      </c>
      <c r="C10" s="28" t="s">
        <v>51</v>
      </c>
      <c r="D10" s="5" t="s">
        <v>382</v>
      </c>
      <c r="E10" s="5" t="s">
        <v>70</v>
      </c>
      <c r="F10" s="5" t="s">
        <v>105</v>
      </c>
      <c r="G10" s="5" t="s">
        <v>105</v>
      </c>
      <c r="H10" s="28" t="s">
        <v>105</v>
      </c>
      <c r="I10" s="5" t="s">
        <v>141</v>
      </c>
      <c r="J10" s="5" t="s">
        <v>105</v>
      </c>
      <c r="K10" s="5" t="s">
        <v>105</v>
      </c>
      <c r="L10" s="5" t="s">
        <v>105</v>
      </c>
      <c r="M10" s="5" t="s">
        <v>105</v>
      </c>
      <c r="N10" s="5" t="s">
        <v>105</v>
      </c>
      <c r="O10" s="5" t="s">
        <v>383</v>
      </c>
    </row>
    <row r="11" spans="1:16" ht="142.5">
      <c r="A11" s="5">
        <v>5</v>
      </c>
      <c r="B11" s="5" t="str">
        <f t="shared" si="0"/>
        <v>10.5</v>
      </c>
      <c r="C11" s="28" t="s">
        <v>51</v>
      </c>
      <c r="D11" s="5" t="s">
        <v>384</v>
      </c>
      <c r="E11" s="5" t="s">
        <v>73</v>
      </c>
      <c r="F11" s="5" t="s">
        <v>105</v>
      </c>
      <c r="G11" s="5" t="s">
        <v>105</v>
      </c>
      <c r="H11" s="28" t="s">
        <v>105</v>
      </c>
      <c r="I11" s="5" t="s">
        <v>141</v>
      </c>
      <c r="J11" s="5" t="s">
        <v>105</v>
      </c>
      <c r="K11" s="5" t="s">
        <v>105</v>
      </c>
      <c r="L11" s="5" t="s">
        <v>105</v>
      </c>
      <c r="M11" s="5" t="s">
        <v>105</v>
      </c>
      <c r="N11" s="5" t="s">
        <v>105</v>
      </c>
      <c r="O11" s="5" t="s">
        <v>385</v>
      </c>
    </row>
    <row r="12" spans="1:16" ht="199.5">
      <c r="A12" s="5">
        <v>6</v>
      </c>
      <c r="B12" s="5" t="str">
        <f t="shared" si="0"/>
        <v>10.6</v>
      </c>
      <c r="C12" s="28" t="s">
        <v>51</v>
      </c>
      <c r="D12" s="5" t="s">
        <v>386</v>
      </c>
      <c r="E12" s="5" t="s">
        <v>67</v>
      </c>
      <c r="F12" s="5" t="s">
        <v>387</v>
      </c>
      <c r="G12" s="5" t="s">
        <v>105</v>
      </c>
      <c r="H12" s="28" t="s">
        <v>105</v>
      </c>
      <c r="I12" s="5" t="s">
        <v>141</v>
      </c>
      <c r="J12" s="5" t="s">
        <v>379</v>
      </c>
      <c r="K12" s="5" t="s">
        <v>166</v>
      </c>
      <c r="L12" s="5" t="s">
        <v>388</v>
      </c>
      <c r="M12" s="5" t="s">
        <v>105</v>
      </c>
      <c r="N12" s="5" t="s">
        <v>105</v>
      </c>
      <c r="O12" s="5" t="s">
        <v>389</v>
      </c>
    </row>
    <row r="13" spans="1:16">
      <c r="A13" s="5">
        <v>7</v>
      </c>
      <c r="B13" s="5" t="str">
        <f t="shared" si="0"/>
        <v>10.7</v>
      </c>
      <c r="C13" s="28" t="s">
        <v>51</v>
      </c>
      <c r="D13" s="5" t="s">
        <v>390</v>
      </c>
      <c r="E13" s="5" t="s">
        <v>72</v>
      </c>
      <c r="F13" s="5" t="s">
        <v>105</v>
      </c>
      <c r="G13" s="5" t="s">
        <v>105</v>
      </c>
      <c r="H13" s="28" t="s">
        <v>105</v>
      </c>
      <c r="I13" s="5" t="s">
        <v>391</v>
      </c>
      <c r="J13" s="5" t="s">
        <v>105</v>
      </c>
      <c r="K13" s="5" t="s">
        <v>105</v>
      </c>
      <c r="L13" s="5" t="s">
        <v>105</v>
      </c>
      <c r="M13" s="5" t="s">
        <v>105</v>
      </c>
      <c r="N13" s="5" t="s">
        <v>105</v>
      </c>
    </row>
    <row r="14" spans="1:16" ht="32.65" customHeight="1">
      <c r="A14" s="5">
        <v>8</v>
      </c>
      <c r="B14" s="5" t="str">
        <f>CONCATENATE($B$2, ".", A14)</f>
        <v>10.8</v>
      </c>
      <c r="C14" s="28" t="s">
        <v>51</v>
      </c>
      <c r="D14" s="35" t="s">
        <v>392</v>
      </c>
      <c r="E14" s="5" t="s">
        <v>72</v>
      </c>
      <c r="F14" s="5" t="s">
        <v>105</v>
      </c>
      <c r="G14" s="5" t="s">
        <v>393</v>
      </c>
      <c r="H14" s="28" t="s">
        <v>105</v>
      </c>
      <c r="I14" s="5" t="s">
        <v>391</v>
      </c>
      <c r="J14" s="5" t="s">
        <v>105</v>
      </c>
      <c r="K14" s="5" t="s">
        <v>105</v>
      </c>
      <c r="L14" s="5" t="s">
        <v>105</v>
      </c>
      <c r="M14" s="5" t="s">
        <v>105</v>
      </c>
      <c r="N14" s="5" t="s">
        <v>105</v>
      </c>
    </row>
    <row r="15" spans="1:16" ht="42.75">
      <c r="A15" s="5">
        <v>9</v>
      </c>
      <c r="B15" s="5" t="str">
        <f t="shared" ref="B15:B18" si="1">CONCATENATE($B$2, ".", A15)</f>
        <v>10.9</v>
      </c>
      <c r="C15" s="28" t="s">
        <v>55</v>
      </c>
      <c r="D15" s="35" t="s">
        <v>394</v>
      </c>
      <c r="E15" s="5" t="s">
        <v>72</v>
      </c>
      <c r="F15" s="5" t="s">
        <v>105</v>
      </c>
      <c r="G15" s="5" t="s">
        <v>395</v>
      </c>
      <c r="H15" s="28" t="s">
        <v>105</v>
      </c>
      <c r="I15" s="5" t="s">
        <v>378</v>
      </c>
      <c r="J15" s="5" t="s">
        <v>105</v>
      </c>
      <c r="K15" s="5" t="s">
        <v>105</v>
      </c>
      <c r="L15" s="5" t="s">
        <v>105</v>
      </c>
      <c r="M15" s="5" t="s">
        <v>105</v>
      </c>
      <c r="N15" s="5" t="s">
        <v>105</v>
      </c>
      <c r="O15" s="5" t="s">
        <v>381</v>
      </c>
    </row>
    <row r="16" spans="1:16" ht="85.5">
      <c r="A16" s="5">
        <v>10</v>
      </c>
      <c r="B16" s="5" t="str">
        <f t="shared" si="1"/>
        <v>10.10</v>
      </c>
      <c r="C16" s="28" t="s">
        <v>51</v>
      </c>
      <c r="D16" s="35" t="s">
        <v>396</v>
      </c>
      <c r="E16" s="5" t="s">
        <v>72</v>
      </c>
      <c r="F16" s="5" t="s">
        <v>105</v>
      </c>
      <c r="G16" s="5" t="s">
        <v>397</v>
      </c>
      <c r="H16" s="28" t="s">
        <v>105</v>
      </c>
      <c r="I16" s="5" t="s">
        <v>398</v>
      </c>
      <c r="J16" s="5" t="s">
        <v>105</v>
      </c>
      <c r="K16" s="5" t="s">
        <v>105</v>
      </c>
      <c r="L16" s="5" t="s">
        <v>105</v>
      </c>
      <c r="M16" s="5" t="s">
        <v>105</v>
      </c>
      <c r="N16" s="5" t="s">
        <v>105</v>
      </c>
      <c r="O16" s="5" t="s">
        <v>399</v>
      </c>
    </row>
    <row r="17" spans="1:15" ht="128.25">
      <c r="A17" s="5">
        <v>11</v>
      </c>
      <c r="B17" s="5" t="str">
        <f t="shared" si="1"/>
        <v>10.11</v>
      </c>
      <c r="C17" s="28" t="s">
        <v>51</v>
      </c>
      <c r="D17" s="35" t="s">
        <v>400</v>
      </c>
      <c r="E17" s="5" t="s">
        <v>72</v>
      </c>
      <c r="F17" s="5" t="s">
        <v>105</v>
      </c>
      <c r="G17" s="5" t="s">
        <v>401</v>
      </c>
      <c r="I17" s="5" t="s">
        <v>398</v>
      </c>
      <c r="J17" s="5" t="s">
        <v>105</v>
      </c>
      <c r="K17" s="5" t="s">
        <v>105</v>
      </c>
      <c r="L17" s="5" t="s">
        <v>105</v>
      </c>
      <c r="M17" s="5" t="s">
        <v>105</v>
      </c>
      <c r="N17" s="5" t="s">
        <v>105</v>
      </c>
      <c r="O17" s="5" t="s">
        <v>383</v>
      </c>
    </row>
    <row r="18" spans="1:15" ht="71.25">
      <c r="A18" s="5">
        <v>12</v>
      </c>
      <c r="B18" s="5" t="str">
        <f t="shared" si="1"/>
        <v>10.12</v>
      </c>
      <c r="C18" s="28" t="s">
        <v>51</v>
      </c>
      <c r="D18" s="35" t="s">
        <v>402</v>
      </c>
      <c r="E18" s="5" t="s">
        <v>71</v>
      </c>
      <c r="F18" s="5" t="s">
        <v>105</v>
      </c>
      <c r="G18" s="5" t="s">
        <v>105</v>
      </c>
      <c r="H18" s="28" t="s">
        <v>105</v>
      </c>
      <c r="I18" s="5" t="s">
        <v>391</v>
      </c>
      <c r="J18" s="5" t="s">
        <v>105</v>
      </c>
      <c r="K18" s="5" t="s">
        <v>105</v>
      </c>
      <c r="L18" s="5" t="s">
        <v>105</v>
      </c>
      <c r="M18" s="5" t="s">
        <v>105</v>
      </c>
      <c r="N18" s="5" t="s">
        <v>105</v>
      </c>
      <c r="O18" s="5" t="s">
        <v>403</v>
      </c>
    </row>
    <row r="19" spans="1:15" ht="75.599999999999994" customHeight="1">
      <c r="A19" s="5">
        <v>13</v>
      </c>
      <c r="B19" s="5" t="str">
        <f t="shared" si="0"/>
        <v>10.13</v>
      </c>
      <c r="C19" s="28" t="s">
        <v>51</v>
      </c>
      <c r="D19" s="5" t="s">
        <v>404</v>
      </c>
      <c r="E19" s="5" t="s">
        <v>50</v>
      </c>
      <c r="F19" s="5" t="s">
        <v>228</v>
      </c>
      <c r="G19" s="5" t="s">
        <v>105</v>
      </c>
      <c r="H19" s="28" t="s">
        <v>105</v>
      </c>
      <c r="I19" s="5" t="s">
        <v>391</v>
      </c>
      <c r="J19" s="5" t="s">
        <v>229</v>
      </c>
      <c r="K19" s="5" t="s">
        <v>166</v>
      </c>
      <c r="L19" s="5" t="s">
        <v>405</v>
      </c>
      <c r="M19" s="5" t="s">
        <v>105</v>
      </c>
      <c r="N19" s="5" t="s">
        <v>105</v>
      </c>
      <c r="O19" s="5" t="s">
        <v>406</v>
      </c>
    </row>
    <row r="20" spans="1:15" ht="75.599999999999994" customHeight="1">
      <c r="A20" s="5">
        <v>14</v>
      </c>
      <c r="B20" s="5" t="str">
        <f t="shared" si="0"/>
        <v>10.14</v>
      </c>
      <c r="C20" s="28" t="s">
        <v>51</v>
      </c>
      <c r="D20" s="5" t="s">
        <v>407</v>
      </c>
      <c r="E20" s="5" t="s">
        <v>408</v>
      </c>
      <c r="F20" s="5" t="s">
        <v>105</v>
      </c>
      <c r="G20" s="5" t="s">
        <v>105</v>
      </c>
      <c r="H20" s="28" t="s">
        <v>105</v>
      </c>
      <c r="I20" s="5" t="s">
        <v>391</v>
      </c>
      <c r="J20" s="5" t="s">
        <v>105</v>
      </c>
      <c r="K20" s="5" t="s">
        <v>105</v>
      </c>
      <c r="L20" s="5" t="s">
        <v>105</v>
      </c>
      <c r="M20" s="5" t="s">
        <v>105</v>
      </c>
      <c r="N20" s="5" t="s">
        <v>105</v>
      </c>
      <c r="O20" s="5" t="s">
        <v>105</v>
      </c>
    </row>
    <row r="21" spans="1:15" ht="142.5">
      <c r="A21" s="5">
        <v>15</v>
      </c>
      <c r="B21" s="5" t="str">
        <f>CONCATENATE($B$2, ".", A21)</f>
        <v>10.15</v>
      </c>
      <c r="C21" s="28" t="s">
        <v>55</v>
      </c>
      <c r="D21" s="5" t="s">
        <v>409</v>
      </c>
      <c r="E21" s="5" t="s">
        <v>410</v>
      </c>
      <c r="F21" s="5" t="s">
        <v>105</v>
      </c>
      <c r="G21" s="5" t="s">
        <v>105</v>
      </c>
      <c r="H21" s="28" t="s">
        <v>105</v>
      </c>
      <c r="I21" s="5" t="s">
        <v>398</v>
      </c>
      <c r="J21" s="5" t="s">
        <v>105</v>
      </c>
      <c r="K21" s="5" t="s">
        <v>105</v>
      </c>
      <c r="L21" s="5" t="s">
        <v>105</v>
      </c>
      <c r="M21" s="5" t="s">
        <v>105</v>
      </c>
      <c r="N21" s="5" t="s">
        <v>105</v>
      </c>
      <c r="O21" s="5" t="s">
        <v>411</v>
      </c>
    </row>
    <row r="22" spans="1:15" ht="71.25">
      <c r="A22" s="5">
        <v>16</v>
      </c>
      <c r="B22" s="5" t="str">
        <f t="shared" si="0"/>
        <v>10.16</v>
      </c>
      <c r="C22" s="28" t="s">
        <v>51</v>
      </c>
      <c r="D22" s="5" t="s">
        <v>412</v>
      </c>
      <c r="E22" s="5" t="s">
        <v>410</v>
      </c>
      <c r="F22" s="5" t="s">
        <v>105</v>
      </c>
      <c r="G22" s="5" t="s">
        <v>105</v>
      </c>
      <c r="H22" s="28" t="s">
        <v>105</v>
      </c>
      <c r="I22" s="5" t="s">
        <v>398</v>
      </c>
      <c r="J22" s="5" t="s">
        <v>105</v>
      </c>
      <c r="K22" s="5" t="s">
        <v>105</v>
      </c>
      <c r="L22" s="5" t="s">
        <v>105</v>
      </c>
      <c r="M22" s="5" t="s">
        <v>105</v>
      </c>
      <c r="N22" s="5" t="s">
        <v>105</v>
      </c>
      <c r="O22" s="5" t="s">
        <v>413</v>
      </c>
    </row>
    <row r="23" spans="1:15" ht="342">
      <c r="A23" s="5">
        <v>17</v>
      </c>
      <c r="B23" s="5" t="str">
        <f t="shared" si="0"/>
        <v>10.17</v>
      </c>
      <c r="C23" s="28" t="s">
        <v>51</v>
      </c>
      <c r="D23" s="5" t="s">
        <v>155</v>
      </c>
      <c r="E23" s="5" t="s">
        <v>48</v>
      </c>
      <c r="F23" s="5" t="s">
        <v>105</v>
      </c>
      <c r="G23" s="5" t="s">
        <v>105</v>
      </c>
      <c r="H23" s="28" t="s">
        <v>105</v>
      </c>
      <c r="I23" s="5" t="s">
        <v>86</v>
      </c>
      <c r="J23" s="5" t="s">
        <v>105</v>
      </c>
      <c r="K23" s="5" t="s">
        <v>105</v>
      </c>
      <c r="L23" s="5" t="s">
        <v>105</v>
      </c>
      <c r="M23" s="5" t="s">
        <v>105</v>
      </c>
      <c r="N23" s="5" t="s">
        <v>105</v>
      </c>
      <c r="O23" s="5" t="s">
        <v>414</v>
      </c>
    </row>
    <row r="24" spans="1:15" ht="57">
      <c r="A24" s="5">
        <v>18</v>
      </c>
      <c r="B24" s="5" t="str">
        <f t="shared" si="0"/>
        <v>10.18</v>
      </c>
      <c r="C24" s="28" t="s">
        <v>55</v>
      </c>
      <c r="D24" s="5" t="s">
        <v>168</v>
      </c>
      <c r="E24" s="5" t="s">
        <v>48</v>
      </c>
      <c r="F24" s="5" t="s">
        <v>105</v>
      </c>
      <c r="G24" s="5" t="s">
        <v>105</v>
      </c>
      <c r="H24" s="28" t="s">
        <v>105</v>
      </c>
      <c r="I24" s="5" t="s">
        <v>86</v>
      </c>
      <c r="J24" s="5" t="s">
        <v>105</v>
      </c>
      <c r="K24" s="5" t="s">
        <v>105</v>
      </c>
      <c r="L24" s="5" t="s">
        <v>105</v>
      </c>
      <c r="M24" s="5" t="s">
        <v>105</v>
      </c>
      <c r="N24" s="5" t="s">
        <v>105</v>
      </c>
      <c r="O24" s="5" t="s">
        <v>415</v>
      </c>
    </row>
  </sheetData>
  <autoFilter ref="A6:P22" xr:uid="{00000000-0009-0000-0000-00000E000000}"/>
  <conditionalFormatting sqref="C8:C11 C13:C1048576">
    <cfRule type="cellIs" dxfId="302" priority="42" operator="equal">
      <formula>"WIP (see comments)"</formula>
    </cfRule>
    <cfRule type="cellIs" dxfId="301" priority="43" operator="equal">
      <formula>"Removed"</formula>
    </cfRule>
    <cfRule type="cellIs" dxfId="300" priority="44" operator="equal">
      <formula>"Updated"</formula>
    </cfRule>
    <cfRule type="cellIs" dxfId="299" priority="45" operator="equal">
      <formula>"New"</formula>
    </cfRule>
  </conditionalFormatting>
  <conditionalFormatting sqref="C13:C24 C7:C11">
    <cfRule type="cellIs" dxfId="298" priority="38" operator="equal">
      <formula>"WIP (see comments)"</formula>
    </cfRule>
    <cfRule type="cellIs" dxfId="297" priority="39" operator="equal">
      <formula>"Removed"</formula>
    </cfRule>
    <cfRule type="cellIs" dxfId="296" priority="40" operator="equal">
      <formula>"Updated"</formula>
    </cfRule>
    <cfRule type="cellIs" dxfId="295" priority="41" operator="equal">
      <formula>"New"</formula>
    </cfRule>
  </conditionalFormatting>
  <conditionalFormatting sqref="A4 A25:XFD1048576 Q13:XFD23 P24:XFD24 O10:XFD11 P12 A10:B12 A1:C3 C4 E1:XFD4 C10:E11 A13:C24 A5:XFD9">
    <cfRule type="cellIs" dxfId="294" priority="37" operator="equal">
      <formula>"n/a"</formula>
    </cfRule>
  </conditionalFormatting>
  <conditionalFormatting sqref="B4">
    <cfRule type="cellIs" dxfId="293" priority="36" operator="equal">
      <formula>"n/a"</formula>
    </cfRule>
  </conditionalFormatting>
  <conditionalFormatting sqref="C7">
    <cfRule type="cellIs" dxfId="292" priority="32" operator="equal">
      <formula>"WIP (see comments)"</formula>
    </cfRule>
    <cfRule type="cellIs" dxfId="291" priority="33" operator="equal">
      <formula>"Removed"</formula>
    </cfRule>
    <cfRule type="cellIs" dxfId="290" priority="34" operator="equal">
      <formula>"Updated"</formula>
    </cfRule>
    <cfRule type="cellIs" dxfId="289" priority="35" operator="equal">
      <formula>"New"</formula>
    </cfRule>
  </conditionalFormatting>
  <conditionalFormatting sqref="D1">
    <cfRule type="cellIs" dxfId="288" priority="31" operator="equal">
      <formula>"n/a"</formula>
    </cfRule>
  </conditionalFormatting>
  <conditionalFormatting sqref="L3">
    <cfRule type="cellIs" dxfId="287" priority="30" operator="equal">
      <formula>"n/a"</formula>
    </cfRule>
  </conditionalFormatting>
  <conditionalFormatting sqref="D24:O24">
    <cfRule type="cellIs" dxfId="286" priority="27" operator="equal">
      <formula>"n/a"</formula>
    </cfRule>
  </conditionalFormatting>
  <conditionalFormatting sqref="E16:P16 F10:N11 I12 G12 D13:P15 D17:P17 E18:P18 D19:P19 E20:P20 D21:P22">
    <cfRule type="cellIs" dxfId="285" priority="29" operator="equal">
      <formula>"n/a"</formula>
    </cfRule>
  </conditionalFormatting>
  <conditionalFormatting sqref="D23:P23">
    <cfRule type="cellIs" dxfId="284" priority="28" operator="equal">
      <formula>"n/a"</formula>
    </cfRule>
  </conditionalFormatting>
  <conditionalFormatting sqref="D16">
    <cfRule type="cellIs" dxfId="283" priority="26" operator="equal">
      <formula>"n/a"</formula>
    </cfRule>
  </conditionalFormatting>
  <conditionalFormatting sqref="D18">
    <cfRule type="cellIs" dxfId="282" priority="25" operator="equal">
      <formula>"n/a"</formula>
    </cfRule>
  </conditionalFormatting>
  <conditionalFormatting sqref="D20">
    <cfRule type="cellIs" dxfId="281" priority="24" operator="equal">
      <formula>"n/a"</formula>
    </cfRule>
  </conditionalFormatting>
  <conditionalFormatting sqref="D12:F12 Q12:XFD12 J12:K12 H12">
    <cfRule type="cellIs" dxfId="280" priority="15" operator="equal">
      <formula>"n/a"</formula>
    </cfRule>
  </conditionalFormatting>
  <conditionalFormatting sqref="L12:O12">
    <cfRule type="cellIs" dxfId="279" priority="14" operator="equal">
      <formula>"n/a"</formula>
    </cfRule>
  </conditionalFormatting>
  <conditionalFormatting sqref="C12">
    <cfRule type="cellIs" dxfId="278" priority="10" operator="equal">
      <formula>"WIP (see comments)"</formula>
    </cfRule>
    <cfRule type="cellIs" dxfId="277" priority="11" operator="equal">
      <formula>"Removed"</formula>
    </cfRule>
    <cfRule type="cellIs" dxfId="276" priority="12" operator="equal">
      <formula>"Updated"</formula>
    </cfRule>
    <cfRule type="cellIs" dxfId="275" priority="13" operator="equal">
      <formula>"New"</formula>
    </cfRule>
  </conditionalFormatting>
  <conditionalFormatting sqref="C12">
    <cfRule type="cellIs" dxfId="274" priority="6" operator="equal">
      <formula>"WIP (see comments)"</formula>
    </cfRule>
    <cfRule type="cellIs" dxfId="273" priority="7" operator="equal">
      <formula>"Removed"</formula>
    </cfRule>
    <cfRule type="cellIs" dxfId="272" priority="8" operator="equal">
      <formula>"Updated"</formula>
    </cfRule>
    <cfRule type="cellIs" dxfId="271" priority="9" operator="equal">
      <formula>"New"</formula>
    </cfRule>
  </conditionalFormatting>
  <conditionalFormatting sqref="C12">
    <cfRule type="cellIs" dxfId="270" priority="5" operator="equal">
      <formula>"n/a"</formula>
    </cfRule>
  </conditionalFormatting>
  <conditionalFormatting sqref="C7">
    <cfRule type="cellIs" dxfId="269" priority="1" operator="equal">
      <formula>"WIP (see comments)"</formula>
    </cfRule>
    <cfRule type="cellIs" dxfId="268" priority="2" operator="equal">
      <formula>"Removed"</formula>
    </cfRule>
    <cfRule type="cellIs" dxfId="267" priority="3" operator="equal">
      <formula>"Updated"</formula>
    </cfRule>
    <cfRule type="cellIs" dxfId="266" priority="4" operator="equal">
      <formula>"New"</formula>
    </cfRule>
  </conditionalFormatting>
  <dataValidations count="2">
    <dataValidation type="list" allowBlank="1" showInputMessage="1" showErrorMessage="1" sqref="E25:E1048576" xr:uid="{A84B7261-9E0C-4E69-9757-F6B19F8BD1A4}">
      <formula1>$A$5:$A$35</formula1>
    </dataValidation>
    <dataValidation type="list" allowBlank="1" showInputMessage="1" showErrorMessage="1" sqref="C25:C1048576" xr:uid="{2B3D4045-9268-4219-B13D-63206232E6CA}">
      <formula1>$B$5:$B$19</formula1>
    </dataValidation>
  </dataValidations>
  <pageMargins left="0.7" right="0.7" top="0.75" bottom="0.75" header="0.3" footer="0.3"/>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FFFF00"/>
  </sheetPr>
  <dimension ref="A1:P40"/>
  <sheetViews>
    <sheetView workbookViewId="0">
      <pane xSplit="4" ySplit="6" topLeftCell="I10" activePane="bottomRight" state="frozen"/>
      <selection pane="bottomRight" activeCell="P9" sqref="P9:P11"/>
      <selection pane="bottomLeft" activeCell="O8" sqref="O8"/>
      <selection pane="topRight" activeCell="O8" sqref="O8"/>
    </sheetView>
  </sheetViews>
  <sheetFormatPr defaultColWidth="9.140625" defaultRowHeight="14.25"/>
  <cols>
    <col min="1" max="1" width="14.7109375" style="5" customWidth="1"/>
    <col min="2" max="2" width="12.5703125" style="5" customWidth="1"/>
    <col min="3" max="3" width="13" style="28" customWidth="1"/>
    <col min="4" max="4" width="45.140625" style="5" customWidth="1"/>
    <col min="5" max="5" width="28.7109375" style="5" customWidth="1"/>
    <col min="6" max="6" width="17" style="5" customWidth="1"/>
    <col min="7" max="7" width="29.28515625" style="5" customWidth="1"/>
    <col min="8" max="8" width="27.85546875" style="5" customWidth="1"/>
    <col min="9" max="9" width="34.85546875" style="5" customWidth="1"/>
    <col min="10" max="10" width="28.140625" style="5" customWidth="1"/>
    <col min="11" max="11" width="17.28515625" style="5" customWidth="1"/>
    <col min="12" max="12" width="23" style="5" customWidth="1"/>
    <col min="13" max="13" width="29" style="5" customWidth="1"/>
    <col min="14" max="14" width="18.7109375" style="5" bestFit="1" customWidth="1"/>
    <col min="15" max="15" width="48.42578125" style="5" customWidth="1"/>
    <col min="16" max="16" width="41.85546875" style="5" customWidth="1"/>
    <col min="17" max="16384" width="9.140625" style="5"/>
  </cols>
  <sheetData>
    <row r="1" spans="1:16" s="24" customFormat="1" ht="18">
      <c r="A1" s="22" t="s">
        <v>78</v>
      </c>
      <c r="B1" s="72" t="s">
        <v>416</v>
      </c>
      <c r="C1" s="72"/>
      <c r="D1" s="72"/>
    </row>
    <row r="2" spans="1:16" s="24" customFormat="1" ht="18">
      <c r="A2" s="22" t="s">
        <v>81</v>
      </c>
      <c r="B2" s="30" t="s">
        <v>417</v>
      </c>
      <c r="C2" s="29"/>
      <c r="D2" s="30"/>
      <c r="L2" s="30" t="s">
        <v>418</v>
      </c>
    </row>
    <row r="3" spans="1:16" s="24" customFormat="1" ht="18">
      <c r="A3" s="22" t="s">
        <v>82</v>
      </c>
      <c r="B3" s="30" t="s">
        <v>110</v>
      </c>
      <c r="C3" s="29"/>
      <c r="D3" s="30"/>
    </row>
    <row r="4" spans="1:16" s="24" customFormat="1" ht="18">
      <c r="A4" s="22" t="s">
        <v>85</v>
      </c>
      <c r="B4" s="30" t="s">
        <v>419</v>
      </c>
      <c r="C4" s="30"/>
    </row>
    <row r="5" spans="1:16" s="4" customFormat="1">
      <c r="C5" s="31"/>
    </row>
    <row r="6" spans="1:16" s="25" customFormat="1" ht="14.65" thickBot="1">
      <c r="A6" s="25" t="s">
        <v>87</v>
      </c>
      <c r="B6" s="25" t="s">
        <v>88</v>
      </c>
      <c r="C6" s="27" t="s">
        <v>89</v>
      </c>
      <c r="D6" s="25" t="s">
        <v>90</v>
      </c>
      <c r="E6" s="25" t="s">
        <v>91</v>
      </c>
      <c r="F6" s="25" t="s">
        <v>92</v>
      </c>
      <c r="G6" s="25" t="s">
        <v>93</v>
      </c>
      <c r="H6" s="25" t="s">
        <v>94</v>
      </c>
      <c r="I6" s="25" t="s">
        <v>95</v>
      </c>
      <c r="J6" s="25" t="s">
        <v>96</v>
      </c>
      <c r="K6" s="25" t="s">
        <v>97</v>
      </c>
      <c r="L6" s="25" t="s">
        <v>98</v>
      </c>
      <c r="M6" s="25" t="s">
        <v>99</v>
      </c>
      <c r="N6" s="25" t="s">
        <v>100</v>
      </c>
      <c r="O6" s="25" t="s">
        <v>101</v>
      </c>
      <c r="P6" s="25" t="s">
        <v>102</v>
      </c>
    </row>
    <row r="7" spans="1:16" s="36" customFormat="1">
      <c r="A7" s="36">
        <v>1</v>
      </c>
      <c r="B7" s="36" t="str">
        <f>CONCATENATE($B$2, ".", A7)</f>
        <v>10a.1</v>
      </c>
      <c r="C7" s="37" t="s">
        <v>51</v>
      </c>
      <c r="D7" s="36" t="s">
        <v>420</v>
      </c>
      <c r="E7" s="36" t="s">
        <v>65</v>
      </c>
      <c r="F7" s="36" t="s">
        <v>105</v>
      </c>
      <c r="G7" s="36" t="s">
        <v>105</v>
      </c>
      <c r="H7" s="36" t="s">
        <v>105</v>
      </c>
      <c r="I7" s="36" t="s">
        <v>86</v>
      </c>
      <c r="J7" s="36" t="s">
        <v>105</v>
      </c>
      <c r="K7" s="36" t="s">
        <v>105</v>
      </c>
      <c r="L7" s="36" t="s">
        <v>105</v>
      </c>
      <c r="M7" s="36" t="s">
        <v>105</v>
      </c>
      <c r="N7" s="36" t="s">
        <v>105</v>
      </c>
      <c r="O7" s="36" t="s">
        <v>105</v>
      </c>
    </row>
    <row r="8" spans="1:16" s="36" customFormat="1">
      <c r="A8" s="36">
        <v>2</v>
      </c>
      <c r="B8" s="36" t="str">
        <f t="shared" ref="B8:B15" si="0">CONCATENATE($B$2, ".", A8)</f>
        <v>10a.2</v>
      </c>
      <c r="C8" s="37" t="s">
        <v>51</v>
      </c>
      <c r="D8" s="36" t="s">
        <v>105</v>
      </c>
      <c r="E8" s="36" t="s">
        <v>64</v>
      </c>
      <c r="F8" s="36" t="s">
        <v>105</v>
      </c>
      <c r="G8" s="36" t="s">
        <v>105</v>
      </c>
      <c r="H8" s="36" t="s">
        <v>105</v>
      </c>
      <c r="I8" s="36" t="s">
        <v>86</v>
      </c>
      <c r="J8" s="36" t="s">
        <v>105</v>
      </c>
      <c r="K8" s="36" t="s">
        <v>105</v>
      </c>
      <c r="L8" s="36" t="s">
        <v>105</v>
      </c>
      <c r="M8" s="36" t="s">
        <v>105</v>
      </c>
      <c r="N8" s="36" t="s">
        <v>105</v>
      </c>
      <c r="O8" s="36" t="s">
        <v>105</v>
      </c>
    </row>
    <row r="9" spans="1:16" s="36" customFormat="1" ht="121.5" customHeight="1">
      <c r="A9" s="36">
        <v>3</v>
      </c>
      <c r="B9" s="36" t="str">
        <f t="shared" si="0"/>
        <v>10a.3</v>
      </c>
      <c r="C9" s="37" t="s">
        <v>55</v>
      </c>
      <c r="D9" s="36" t="s">
        <v>421</v>
      </c>
      <c r="E9" s="36" t="s">
        <v>72</v>
      </c>
      <c r="F9" s="36" t="s">
        <v>105</v>
      </c>
      <c r="G9" s="36" t="s">
        <v>105</v>
      </c>
      <c r="H9" s="36" t="s">
        <v>105</v>
      </c>
      <c r="I9" s="36" t="s">
        <v>86</v>
      </c>
      <c r="J9" s="36" t="s">
        <v>105</v>
      </c>
      <c r="K9" s="36" t="s">
        <v>105</v>
      </c>
      <c r="L9" s="36" t="s">
        <v>105</v>
      </c>
      <c r="M9" s="36" t="s">
        <v>105</v>
      </c>
      <c r="N9" s="36" t="s">
        <v>105</v>
      </c>
      <c r="O9" s="36" t="s">
        <v>105</v>
      </c>
    </row>
    <row r="10" spans="1:16" s="36" customFormat="1" ht="121.5" customHeight="1">
      <c r="A10" s="36">
        <v>4</v>
      </c>
      <c r="B10" s="36" t="str">
        <f t="shared" si="0"/>
        <v>10a.4</v>
      </c>
      <c r="C10" s="37" t="s">
        <v>55</v>
      </c>
      <c r="D10" s="36" t="s">
        <v>422</v>
      </c>
      <c r="E10" s="36" t="s">
        <v>72</v>
      </c>
      <c r="F10" s="36" t="s">
        <v>105</v>
      </c>
      <c r="G10" s="36" t="s">
        <v>105</v>
      </c>
      <c r="H10" s="36" t="s">
        <v>105</v>
      </c>
      <c r="I10" s="36" t="s">
        <v>378</v>
      </c>
      <c r="J10" s="36" t="s">
        <v>105</v>
      </c>
      <c r="K10" s="36" t="s">
        <v>105</v>
      </c>
      <c r="L10" s="36" t="s">
        <v>105</v>
      </c>
      <c r="M10" s="36" t="s">
        <v>105</v>
      </c>
      <c r="N10" s="36" t="s">
        <v>105</v>
      </c>
      <c r="O10" s="36" t="s">
        <v>423</v>
      </c>
    </row>
    <row r="11" spans="1:16" s="36" customFormat="1" ht="121.5" customHeight="1">
      <c r="A11" s="36">
        <v>5</v>
      </c>
      <c r="B11" s="36" t="str">
        <f t="shared" si="0"/>
        <v>10a.5</v>
      </c>
      <c r="C11" s="37" t="s">
        <v>55</v>
      </c>
      <c r="D11" s="36" t="s">
        <v>424</v>
      </c>
      <c r="E11" s="36" t="s">
        <v>72</v>
      </c>
      <c r="F11" s="36" t="s">
        <v>105</v>
      </c>
      <c r="G11" s="36" t="s">
        <v>105</v>
      </c>
      <c r="H11" s="36" t="s">
        <v>105</v>
      </c>
      <c r="I11" s="36" t="s">
        <v>86</v>
      </c>
      <c r="J11" s="36" t="s">
        <v>105</v>
      </c>
      <c r="K11" s="36" t="s">
        <v>105</v>
      </c>
      <c r="L11" s="36" t="s">
        <v>105</v>
      </c>
      <c r="M11" s="36" t="s">
        <v>105</v>
      </c>
      <c r="N11" s="36" t="s">
        <v>105</v>
      </c>
      <c r="O11" s="36" t="s">
        <v>425</v>
      </c>
    </row>
    <row r="12" spans="1:16" ht="121.5" customHeight="1">
      <c r="A12" s="36">
        <v>6</v>
      </c>
      <c r="B12" s="5" t="str">
        <f>CONCATENATE($B$2, ".", A12)</f>
        <v>10a.6</v>
      </c>
      <c r="C12" s="37" t="s">
        <v>55</v>
      </c>
      <c r="D12" s="5" t="s">
        <v>155</v>
      </c>
      <c r="E12" s="5" t="s">
        <v>48</v>
      </c>
      <c r="F12" s="5" t="s">
        <v>105</v>
      </c>
      <c r="G12" s="5" t="s">
        <v>105</v>
      </c>
      <c r="H12" s="5" t="s">
        <v>105</v>
      </c>
      <c r="I12" s="5" t="s">
        <v>378</v>
      </c>
      <c r="J12" s="5" t="s">
        <v>105</v>
      </c>
      <c r="K12" s="5" t="s">
        <v>105</v>
      </c>
      <c r="L12" s="5" t="s">
        <v>105</v>
      </c>
      <c r="M12" s="5" t="s">
        <v>105</v>
      </c>
      <c r="N12" s="5" t="s">
        <v>105</v>
      </c>
      <c r="O12" s="5" t="s">
        <v>426</v>
      </c>
    </row>
    <row r="13" spans="1:16" ht="42.75">
      <c r="A13" s="36">
        <v>7</v>
      </c>
      <c r="B13" s="36" t="str">
        <f t="shared" si="0"/>
        <v>10a.7</v>
      </c>
      <c r="C13" s="37" t="s">
        <v>49</v>
      </c>
      <c r="D13" s="5" t="s">
        <v>427</v>
      </c>
      <c r="E13" s="5" t="s">
        <v>48</v>
      </c>
      <c r="F13" s="5" t="s">
        <v>105</v>
      </c>
      <c r="G13" s="5" t="s">
        <v>105</v>
      </c>
      <c r="H13" s="5" t="s">
        <v>105</v>
      </c>
      <c r="I13" s="5" t="s">
        <v>378</v>
      </c>
      <c r="J13" s="5" t="s">
        <v>105</v>
      </c>
      <c r="K13" s="5" t="s">
        <v>105</v>
      </c>
      <c r="L13" s="5" t="s">
        <v>105</v>
      </c>
      <c r="M13" s="5" t="s">
        <v>105</v>
      </c>
      <c r="N13" s="5" t="s">
        <v>105</v>
      </c>
      <c r="O13" s="5" t="s">
        <v>428</v>
      </c>
    </row>
    <row r="14" spans="1:16" ht="121.5" customHeight="1">
      <c r="A14" s="36">
        <v>8</v>
      </c>
      <c r="B14" s="5" t="str">
        <f t="shared" si="0"/>
        <v>10a.8</v>
      </c>
      <c r="C14" s="37" t="s">
        <v>55</v>
      </c>
      <c r="D14" s="5" t="s">
        <v>168</v>
      </c>
      <c r="E14" s="5" t="s">
        <v>48</v>
      </c>
      <c r="F14" s="5" t="s">
        <v>105</v>
      </c>
      <c r="G14" s="5" t="s">
        <v>105</v>
      </c>
      <c r="H14" s="5" t="s">
        <v>105</v>
      </c>
      <c r="I14" s="5" t="s">
        <v>378</v>
      </c>
      <c r="J14" s="5" t="s">
        <v>105</v>
      </c>
      <c r="K14" s="5" t="s">
        <v>105</v>
      </c>
      <c r="L14" s="5" t="s">
        <v>105</v>
      </c>
      <c r="M14" s="5" t="s">
        <v>105</v>
      </c>
      <c r="N14" s="5" t="s">
        <v>105</v>
      </c>
      <c r="O14" s="5" t="s">
        <v>429</v>
      </c>
      <c r="P14" s="35"/>
    </row>
    <row r="15" spans="1:16" ht="156.75">
      <c r="A15" s="36">
        <v>9</v>
      </c>
      <c r="B15" s="5" t="str">
        <f t="shared" si="0"/>
        <v>10a.9</v>
      </c>
      <c r="C15" s="37" t="s">
        <v>55</v>
      </c>
      <c r="D15" s="28" t="s">
        <v>430</v>
      </c>
      <c r="E15" s="5" t="s">
        <v>54</v>
      </c>
      <c r="F15" s="5" t="s">
        <v>105</v>
      </c>
      <c r="G15" s="5" t="s">
        <v>105</v>
      </c>
      <c r="H15" s="5" t="s">
        <v>105</v>
      </c>
      <c r="I15" s="36" t="s">
        <v>141</v>
      </c>
      <c r="J15" s="5" t="s">
        <v>105</v>
      </c>
      <c r="K15" s="5" t="s">
        <v>105</v>
      </c>
      <c r="L15" s="5" t="s">
        <v>105</v>
      </c>
      <c r="M15" s="5" t="s">
        <v>105</v>
      </c>
      <c r="N15" s="5" t="s">
        <v>105</v>
      </c>
      <c r="O15" s="36" t="s">
        <v>431</v>
      </c>
      <c r="P15" s="35"/>
    </row>
    <row r="38" spans="1:16" ht="121.5" customHeight="1">
      <c r="A38" s="5">
        <v>4</v>
      </c>
      <c r="B38" s="5" t="str">
        <f>CONCATENATE($B$2, ".", A38)</f>
        <v>10a.4</v>
      </c>
      <c r="C38" s="37" t="s">
        <v>49</v>
      </c>
      <c r="D38" s="5" t="s">
        <v>155</v>
      </c>
      <c r="E38" s="5" t="s">
        <v>48</v>
      </c>
      <c r="F38" s="5" t="s">
        <v>105</v>
      </c>
      <c r="G38" s="5" t="s">
        <v>105</v>
      </c>
      <c r="H38" s="5" t="s">
        <v>105</v>
      </c>
      <c r="I38" s="5" t="s">
        <v>86</v>
      </c>
      <c r="J38" s="5" t="s">
        <v>105</v>
      </c>
      <c r="K38" s="5" t="s">
        <v>105</v>
      </c>
      <c r="L38" s="5" t="s">
        <v>105</v>
      </c>
      <c r="M38" s="5" t="s">
        <v>105</v>
      </c>
      <c r="N38" s="5" t="s">
        <v>105</v>
      </c>
      <c r="O38" s="5" t="s">
        <v>432</v>
      </c>
    </row>
    <row r="39" spans="1:16" ht="121.5" customHeight="1">
      <c r="A39" s="5">
        <v>5</v>
      </c>
      <c r="B39" s="5" t="str">
        <f t="shared" ref="B39:B40" si="1">CONCATENATE($B$2, ".", A39)</f>
        <v>10a.5</v>
      </c>
      <c r="C39" s="37" t="s">
        <v>49</v>
      </c>
      <c r="D39" s="5" t="s">
        <v>168</v>
      </c>
      <c r="E39" s="5" t="s">
        <v>48</v>
      </c>
      <c r="F39" s="5" t="s">
        <v>105</v>
      </c>
      <c r="G39" s="5" t="s">
        <v>105</v>
      </c>
      <c r="H39" s="5" t="s">
        <v>105</v>
      </c>
      <c r="I39" s="5" t="s">
        <v>86</v>
      </c>
      <c r="J39" s="5" t="s">
        <v>105</v>
      </c>
      <c r="K39" s="5" t="s">
        <v>105</v>
      </c>
      <c r="L39" s="5" t="s">
        <v>105</v>
      </c>
      <c r="M39" s="5" t="s">
        <v>105</v>
      </c>
      <c r="N39" s="5" t="s">
        <v>105</v>
      </c>
      <c r="O39" s="5" t="s">
        <v>433</v>
      </c>
      <c r="P39" s="35"/>
    </row>
    <row r="40" spans="1:16" ht="156.75">
      <c r="A40" s="5">
        <v>6</v>
      </c>
      <c r="B40" s="5" t="str">
        <f t="shared" si="1"/>
        <v>10a.6</v>
      </c>
      <c r="C40" s="37" t="s">
        <v>49</v>
      </c>
      <c r="D40" s="28" t="s">
        <v>430</v>
      </c>
      <c r="E40" s="5" t="s">
        <v>54</v>
      </c>
      <c r="F40" s="5" t="s">
        <v>105</v>
      </c>
      <c r="G40" s="5" t="s">
        <v>105</v>
      </c>
      <c r="H40" s="5" t="s">
        <v>105</v>
      </c>
      <c r="I40" s="36" t="s">
        <v>141</v>
      </c>
      <c r="J40" s="5" t="s">
        <v>105</v>
      </c>
      <c r="K40" s="5" t="s">
        <v>105</v>
      </c>
      <c r="L40" s="5" t="s">
        <v>105</v>
      </c>
      <c r="M40" s="5" t="s">
        <v>105</v>
      </c>
      <c r="N40" s="5" t="s">
        <v>105</v>
      </c>
      <c r="O40" s="36" t="s">
        <v>431</v>
      </c>
      <c r="P40" s="35"/>
    </row>
  </sheetData>
  <mergeCells count="1">
    <mergeCell ref="B1:D1"/>
  </mergeCells>
  <conditionalFormatting sqref="C16:C37 C41:C1048576">
    <cfRule type="cellIs" dxfId="265" priority="85" operator="equal">
      <formula>"WIP (see comments)"</formula>
    </cfRule>
    <cfRule type="cellIs" dxfId="264" priority="86" operator="equal">
      <formula>"Removed"</formula>
    </cfRule>
    <cfRule type="cellIs" dxfId="263" priority="87" operator="equal">
      <formula>"Updated"</formula>
    </cfRule>
    <cfRule type="cellIs" dxfId="262" priority="88" operator="equal">
      <formula>"New"</formula>
    </cfRule>
  </conditionalFormatting>
  <conditionalFormatting sqref="A16:XFD37 A1:B1 E1:XFD1 A4:B4 D4:XFD4 A3:C3 E3:XFD3 A5:XFD6 A2:XFD2 A41:XFD1048576">
    <cfRule type="cellIs" dxfId="261" priority="84" operator="equal">
      <formula>"n/a"</formula>
    </cfRule>
  </conditionalFormatting>
  <conditionalFormatting sqref="D3">
    <cfRule type="cellIs" dxfId="260" priority="82" operator="equal">
      <formula>"n/a"</formula>
    </cfRule>
  </conditionalFormatting>
  <conditionalFormatting sqref="P14">
    <cfRule type="cellIs" dxfId="259" priority="17" operator="equal">
      <formula>"n/a"</formula>
    </cfRule>
  </conditionalFormatting>
  <conditionalFormatting sqref="Q15:XFD15">
    <cfRule type="cellIs" dxfId="258" priority="12" operator="equal">
      <formula>"n/a"</formula>
    </cfRule>
  </conditionalFormatting>
  <conditionalFormatting sqref="D14:H14 J14:O14">
    <cfRule type="cellIs" dxfId="257" priority="18" operator="equal">
      <formula>"n/a"</formula>
    </cfRule>
  </conditionalFormatting>
  <conditionalFormatting sqref="C14:C15">
    <cfRule type="cellIs" dxfId="256" priority="1" operator="equal">
      <formula>"n/a"</formula>
    </cfRule>
  </conditionalFormatting>
  <conditionalFormatting sqref="C38:C40">
    <cfRule type="cellIs" dxfId="255" priority="49" operator="equal">
      <formula>"WIP (see comments)"</formula>
    </cfRule>
    <cfRule type="cellIs" dxfId="254" priority="50" operator="equal">
      <formula>"Removed"</formula>
    </cfRule>
    <cfRule type="cellIs" dxfId="253" priority="51" operator="equal">
      <formula>"Updated"</formula>
    </cfRule>
    <cfRule type="cellIs" dxfId="252" priority="52" operator="equal">
      <formula>"New"</formula>
    </cfRule>
  </conditionalFormatting>
  <conditionalFormatting sqref="Q40:XFD40 C38:C40">
    <cfRule type="cellIs" dxfId="251" priority="48" operator="equal">
      <formula>"n/a"</formula>
    </cfRule>
  </conditionalFormatting>
  <conditionalFormatting sqref="A38:B40 Q38:XFD39">
    <cfRule type="cellIs" dxfId="250" priority="47" operator="equal">
      <formula>"n/a"</formula>
    </cfRule>
  </conditionalFormatting>
  <conditionalFormatting sqref="P39:P40">
    <cfRule type="cellIs" dxfId="249" priority="44" operator="equal">
      <formula>"n/a"</formula>
    </cfRule>
  </conditionalFormatting>
  <conditionalFormatting sqref="D40">
    <cfRule type="cellIs" dxfId="248" priority="43" operator="equal">
      <formula>"n/a"</formula>
    </cfRule>
  </conditionalFormatting>
  <conditionalFormatting sqref="I40 O40 E40">
    <cfRule type="cellIs" dxfId="247" priority="46" operator="equal">
      <formula>"n/a"</formula>
    </cfRule>
  </conditionalFormatting>
  <conditionalFormatting sqref="F40:H40 J40:N40 D38:P38 D39:O39">
    <cfRule type="cellIs" dxfId="246" priority="45" operator="equal">
      <formula>"n/a"</formula>
    </cfRule>
  </conditionalFormatting>
  <conditionalFormatting sqref="D40">
    <cfRule type="cellIs" dxfId="245" priority="42" operator="equal">
      <formula>"-"</formula>
    </cfRule>
  </conditionalFormatting>
  <conditionalFormatting sqref="C7:C13">
    <cfRule type="cellIs" dxfId="244" priority="38" operator="equal">
      <formula>"WIP (see comments)"</formula>
    </cfRule>
    <cfRule type="cellIs" dxfId="243" priority="39" operator="equal">
      <formula>"Removed"</formula>
    </cfRule>
    <cfRule type="cellIs" dxfId="242" priority="40" operator="equal">
      <formula>"Updated"</formula>
    </cfRule>
    <cfRule type="cellIs" dxfId="241" priority="41" operator="equal">
      <formula>"New"</formula>
    </cfRule>
  </conditionalFormatting>
  <conditionalFormatting sqref="A7:XFD11 B13:C13 A12:A15 C12">
    <cfRule type="cellIs" dxfId="240" priority="37" operator="equal">
      <formula>"n/a"</formula>
    </cfRule>
  </conditionalFormatting>
  <conditionalFormatting sqref="D13:XFD13 I14">
    <cfRule type="cellIs" dxfId="239" priority="36" operator="equal">
      <formula>"n/a"</formula>
    </cfRule>
  </conditionalFormatting>
  <conditionalFormatting sqref="B14 Q14:XFD14">
    <cfRule type="cellIs" dxfId="238" priority="19" operator="equal">
      <formula>"n/a"</formula>
    </cfRule>
  </conditionalFormatting>
  <conditionalFormatting sqref="B12 Q12:XFD12">
    <cfRule type="cellIs" dxfId="237" priority="26" operator="equal">
      <formula>"n/a"</formula>
    </cfRule>
  </conditionalFormatting>
  <conditionalFormatting sqref="D12:P12">
    <cfRule type="cellIs" dxfId="236" priority="25" operator="equal">
      <formula>"n/a"</formula>
    </cfRule>
  </conditionalFormatting>
  <conditionalFormatting sqref="B15">
    <cfRule type="cellIs" dxfId="235" priority="11" operator="equal">
      <formula>"n/a"</formula>
    </cfRule>
  </conditionalFormatting>
  <conditionalFormatting sqref="P15">
    <cfRule type="cellIs" dxfId="234" priority="8" operator="equal">
      <formula>"n/a"</formula>
    </cfRule>
  </conditionalFormatting>
  <conditionalFormatting sqref="D15">
    <cfRule type="cellIs" dxfId="233" priority="7" operator="equal">
      <formula>"n/a"</formula>
    </cfRule>
  </conditionalFormatting>
  <conditionalFormatting sqref="I15 O15 E15">
    <cfRule type="cellIs" dxfId="232" priority="10" operator="equal">
      <formula>"n/a"</formula>
    </cfRule>
  </conditionalFormatting>
  <conditionalFormatting sqref="F15:H15 J15:N15">
    <cfRule type="cellIs" dxfId="231" priority="9" operator="equal">
      <formula>"n/a"</formula>
    </cfRule>
  </conditionalFormatting>
  <conditionalFormatting sqref="D15">
    <cfRule type="cellIs" dxfId="230" priority="6" operator="equal">
      <formula>"-"</formula>
    </cfRule>
  </conditionalFormatting>
  <conditionalFormatting sqref="C14:C15">
    <cfRule type="cellIs" dxfId="229" priority="2" operator="equal">
      <formula>"WIP (see comments)"</formula>
    </cfRule>
    <cfRule type="cellIs" dxfId="228" priority="3" operator="equal">
      <formula>"Removed"</formula>
    </cfRule>
    <cfRule type="cellIs" dxfId="227" priority="4" operator="equal">
      <formula>"Updated"</formula>
    </cfRule>
    <cfRule type="cellIs" dxfId="226" priority="5" operator="equal">
      <formula>"New"</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F00-000000000000}">
          <x14:formula1>
            <xm:f>'https://sp.cwb.local/projects/pmo2/Digital Program/Digital Program SharePoint/2 Digital Client Onboarding/4 Small Business Lending/2 Design/Field Specs/[Small Business DCO SmallBiz Field Spec v3.0-LENDING DRAFT.xlsx]List Values'!#REF!</xm:f>
          </x14:formula1>
          <xm:sqref>C41:C1048576 C16:C37 E41:E1048576 E16:E37</xm:sqref>
        </x14:dataValidation>
      </x14:dataValidation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P15"/>
  <sheetViews>
    <sheetView workbookViewId="0">
      <pane xSplit="4" ySplit="6" topLeftCell="E7" activePane="bottomRight" state="frozen"/>
      <selection pane="bottomRight" activeCell="B5" sqref="B5"/>
      <selection pane="bottomLeft" activeCell="A7" sqref="A7"/>
      <selection pane="topRight" activeCell="E1" sqref="E1"/>
    </sheetView>
  </sheetViews>
  <sheetFormatPr defaultColWidth="9.140625" defaultRowHeight="14.25"/>
  <cols>
    <col min="1" max="1" width="14.7109375" style="5" customWidth="1"/>
    <col min="2" max="2" width="12.5703125" style="5" customWidth="1"/>
    <col min="3" max="3" width="15.140625" style="28" customWidth="1"/>
    <col min="4" max="4" width="45.140625" style="5" customWidth="1"/>
    <col min="5" max="5" width="28.7109375" style="5" customWidth="1"/>
    <col min="6" max="6" width="17" style="5" customWidth="1"/>
    <col min="7" max="7" width="29.28515625" style="5" customWidth="1"/>
    <col min="8" max="8" width="27.85546875" style="5" customWidth="1"/>
    <col min="9" max="9" width="34.85546875" style="5" customWidth="1"/>
    <col min="10" max="10" width="28.140625" style="5" customWidth="1"/>
    <col min="11" max="11" width="10.7109375" style="5" bestFit="1" customWidth="1"/>
    <col min="12" max="12" width="23" style="5" customWidth="1"/>
    <col min="13" max="13" width="29" style="5" customWidth="1"/>
    <col min="14" max="14" width="18.7109375" style="5" bestFit="1" customWidth="1"/>
    <col min="15" max="15" width="48.42578125" style="5" customWidth="1"/>
    <col min="16" max="16" width="41.85546875" style="5" customWidth="1"/>
    <col min="17" max="16384" width="9.140625" style="5"/>
  </cols>
  <sheetData>
    <row r="1" spans="1:16" s="24" customFormat="1" ht="18">
      <c r="A1" s="22" t="s">
        <v>78</v>
      </c>
      <c r="B1" s="32" t="s">
        <v>434</v>
      </c>
      <c r="C1" s="26"/>
      <c r="D1" s="23"/>
    </row>
    <row r="2" spans="1:16" s="24" customFormat="1" ht="18">
      <c r="A2" s="22" t="s">
        <v>81</v>
      </c>
      <c r="B2" s="30">
        <v>11</v>
      </c>
      <c r="C2" s="29"/>
      <c r="D2" s="30"/>
    </row>
    <row r="3" spans="1:16" s="24" customFormat="1" ht="18">
      <c r="A3" s="22" t="s">
        <v>82</v>
      </c>
      <c r="B3" s="30" t="s">
        <v>435</v>
      </c>
      <c r="C3" s="29"/>
      <c r="D3" s="30" t="s">
        <v>436</v>
      </c>
    </row>
    <row r="4" spans="1:16" s="24" customFormat="1" ht="18">
      <c r="A4" s="22" t="s">
        <v>85</v>
      </c>
      <c r="B4" s="24" t="s">
        <v>437</v>
      </c>
      <c r="C4" s="29"/>
    </row>
    <row r="5" spans="1:16" s="4" customFormat="1" ht="18">
      <c r="B5" s="24" t="s">
        <v>160</v>
      </c>
      <c r="C5" s="31"/>
    </row>
    <row r="6" spans="1:16" s="25" customFormat="1" ht="14.65" thickBot="1">
      <c r="A6" s="25" t="s">
        <v>87</v>
      </c>
      <c r="B6" s="25" t="s">
        <v>88</v>
      </c>
      <c r="C6" s="27" t="s">
        <v>89</v>
      </c>
      <c r="D6" s="25" t="s">
        <v>90</v>
      </c>
      <c r="E6" s="25" t="s">
        <v>91</v>
      </c>
      <c r="F6" s="25" t="s">
        <v>92</v>
      </c>
      <c r="G6" s="25" t="s">
        <v>93</v>
      </c>
      <c r="H6" s="25" t="s">
        <v>94</v>
      </c>
      <c r="I6" s="25" t="s">
        <v>95</v>
      </c>
      <c r="J6" s="25" t="s">
        <v>96</v>
      </c>
      <c r="K6" s="25" t="s">
        <v>97</v>
      </c>
      <c r="L6" s="25" t="s">
        <v>98</v>
      </c>
      <c r="M6" s="25" t="s">
        <v>99</v>
      </c>
      <c r="N6" s="25" t="s">
        <v>100</v>
      </c>
      <c r="O6" s="25" t="s">
        <v>101</v>
      </c>
      <c r="P6" s="25" t="s">
        <v>102</v>
      </c>
    </row>
    <row r="7" spans="1:16">
      <c r="A7" s="5">
        <v>1</v>
      </c>
      <c r="B7" s="5" t="str">
        <f t="shared" ref="B7:B15" si="0">CONCATENATE($B$2, ".", A7)</f>
        <v>11.1</v>
      </c>
      <c r="C7" s="28" t="s">
        <v>51</v>
      </c>
      <c r="D7" s="5" t="s">
        <v>254</v>
      </c>
      <c r="E7" s="5" t="s">
        <v>65</v>
      </c>
      <c r="F7" s="5" t="s">
        <v>105</v>
      </c>
      <c r="G7" s="5" t="s">
        <v>105</v>
      </c>
      <c r="H7" s="28" t="s">
        <v>105</v>
      </c>
      <c r="I7" s="5" t="s">
        <v>86</v>
      </c>
      <c r="J7" s="5" t="s">
        <v>105</v>
      </c>
      <c r="K7" s="5" t="s">
        <v>105</v>
      </c>
      <c r="L7" s="5" t="s">
        <v>105</v>
      </c>
      <c r="M7" s="5" t="s">
        <v>105</v>
      </c>
      <c r="N7" s="5" t="s">
        <v>105</v>
      </c>
      <c r="O7" s="5" t="s">
        <v>105</v>
      </c>
      <c r="P7" s="5" t="s">
        <v>183</v>
      </c>
    </row>
    <row r="8" spans="1:16">
      <c r="A8" s="5">
        <v>2</v>
      </c>
      <c r="B8" s="5" t="str">
        <f t="shared" si="0"/>
        <v>11.2</v>
      </c>
      <c r="C8" s="28" t="s">
        <v>51</v>
      </c>
      <c r="D8" s="5" t="s">
        <v>105</v>
      </c>
      <c r="E8" s="5" t="s">
        <v>64</v>
      </c>
      <c r="F8" s="5" t="s">
        <v>105</v>
      </c>
      <c r="G8" s="5" t="s">
        <v>105</v>
      </c>
      <c r="H8" s="28" t="s">
        <v>105</v>
      </c>
      <c r="I8" s="5" t="s">
        <v>86</v>
      </c>
      <c r="J8" s="5" t="s">
        <v>105</v>
      </c>
      <c r="K8" s="5" t="s">
        <v>105</v>
      </c>
      <c r="L8" s="5" t="s">
        <v>105</v>
      </c>
      <c r="M8" s="5" t="s">
        <v>105</v>
      </c>
      <c r="N8" s="5" t="s">
        <v>105</v>
      </c>
      <c r="O8" s="5" t="s">
        <v>105</v>
      </c>
    </row>
    <row r="9" spans="1:16" ht="57">
      <c r="A9" s="5">
        <v>3</v>
      </c>
      <c r="B9" s="5" t="str">
        <f t="shared" si="0"/>
        <v>11.3</v>
      </c>
      <c r="C9" s="28" t="s">
        <v>51</v>
      </c>
      <c r="D9" s="5" t="s">
        <v>438</v>
      </c>
      <c r="E9" s="5" t="s">
        <v>72</v>
      </c>
      <c r="F9" s="5" t="s">
        <v>105</v>
      </c>
      <c r="G9" s="5" t="s">
        <v>105</v>
      </c>
      <c r="H9" s="28" t="s">
        <v>105</v>
      </c>
      <c r="I9" s="5" t="s">
        <v>86</v>
      </c>
      <c r="J9" s="5" t="s">
        <v>105</v>
      </c>
      <c r="K9" s="5" t="s">
        <v>105</v>
      </c>
      <c r="L9" s="5" t="s">
        <v>105</v>
      </c>
      <c r="M9" s="5" t="s">
        <v>105</v>
      </c>
      <c r="N9" s="5" t="s">
        <v>105</v>
      </c>
      <c r="O9" s="5" t="s">
        <v>105</v>
      </c>
      <c r="P9" s="5" t="s">
        <v>439</v>
      </c>
    </row>
    <row r="10" spans="1:16" ht="28.5">
      <c r="A10" s="5">
        <v>4</v>
      </c>
      <c r="B10" s="5" t="str">
        <f t="shared" si="0"/>
        <v>11.4</v>
      </c>
      <c r="C10" s="28" t="s">
        <v>51</v>
      </c>
      <c r="D10" s="5" t="s">
        <v>440</v>
      </c>
      <c r="E10" s="74" t="s">
        <v>67</v>
      </c>
      <c r="F10" s="5" t="s">
        <v>228</v>
      </c>
      <c r="G10" s="5" t="s">
        <v>105</v>
      </c>
      <c r="H10" s="28" t="s">
        <v>105</v>
      </c>
      <c r="I10" s="5" t="s">
        <v>86</v>
      </c>
      <c r="J10" s="5" t="s">
        <v>244</v>
      </c>
      <c r="K10" s="69" t="s">
        <v>240</v>
      </c>
      <c r="L10" s="73" t="s">
        <v>441</v>
      </c>
      <c r="M10" s="5" t="s">
        <v>105</v>
      </c>
      <c r="N10" s="5" t="s">
        <v>105</v>
      </c>
      <c r="O10" s="74" t="s">
        <v>442</v>
      </c>
      <c r="P10" s="5" t="s">
        <v>443</v>
      </c>
    </row>
    <row r="11" spans="1:16" ht="40.5" customHeight="1">
      <c r="A11" s="5">
        <v>5</v>
      </c>
      <c r="B11" s="5" t="str">
        <f t="shared" si="0"/>
        <v>11.5</v>
      </c>
      <c r="C11" s="28" t="s">
        <v>51</v>
      </c>
      <c r="D11" s="5" t="s">
        <v>444</v>
      </c>
      <c r="E11" s="74"/>
      <c r="F11" s="5" t="s">
        <v>228</v>
      </c>
      <c r="G11" s="36" t="s">
        <v>105</v>
      </c>
      <c r="H11" s="37" t="s">
        <v>105</v>
      </c>
      <c r="I11" s="36" t="s">
        <v>86</v>
      </c>
      <c r="J11" s="5" t="s">
        <v>244</v>
      </c>
      <c r="K11" s="69"/>
      <c r="L11" s="73"/>
      <c r="M11" s="5" t="s">
        <v>105</v>
      </c>
      <c r="N11" s="5" t="s">
        <v>105</v>
      </c>
      <c r="O11" s="74"/>
    </row>
    <row r="12" spans="1:16" ht="231.75" customHeight="1">
      <c r="A12" s="5">
        <v>6</v>
      </c>
      <c r="B12" s="5" t="str">
        <f t="shared" si="0"/>
        <v>11.6</v>
      </c>
      <c r="C12" s="28" t="s">
        <v>51</v>
      </c>
      <c r="D12" s="28" t="s">
        <v>445</v>
      </c>
      <c r="E12" s="5" t="s">
        <v>54</v>
      </c>
      <c r="F12" s="5" t="s">
        <v>105</v>
      </c>
      <c r="G12" s="5" t="s">
        <v>105</v>
      </c>
      <c r="H12" s="37" t="s">
        <v>105</v>
      </c>
      <c r="I12" s="36" t="s">
        <v>446</v>
      </c>
      <c r="J12" s="5" t="s">
        <v>105</v>
      </c>
      <c r="K12" s="5" t="s">
        <v>105</v>
      </c>
      <c r="L12" s="5" t="s">
        <v>105</v>
      </c>
      <c r="M12" s="5" t="s">
        <v>105</v>
      </c>
      <c r="N12" s="5" t="s">
        <v>105</v>
      </c>
      <c r="O12" s="5" t="s">
        <v>447</v>
      </c>
    </row>
    <row r="13" spans="1:16" ht="81.75" customHeight="1">
      <c r="A13" s="5">
        <v>7</v>
      </c>
      <c r="B13" s="5" t="str">
        <f t="shared" si="0"/>
        <v>11.7</v>
      </c>
      <c r="C13" s="28" t="s">
        <v>51</v>
      </c>
      <c r="D13" s="5" t="s">
        <v>155</v>
      </c>
      <c r="E13" s="5" t="s">
        <v>48</v>
      </c>
      <c r="F13" s="5" t="s">
        <v>105</v>
      </c>
      <c r="G13" s="5" t="s">
        <v>105</v>
      </c>
      <c r="H13" s="28" t="s">
        <v>105</v>
      </c>
      <c r="I13" s="5" t="s">
        <v>86</v>
      </c>
      <c r="J13" s="5" t="s">
        <v>105</v>
      </c>
      <c r="K13" s="5" t="s">
        <v>105</v>
      </c>
      <c r="L13" s="5" t="s">
        <v>105</v>
      </c>
      <c r="M13" s="5" t="s">
        <v>105</v>
      </c>
      <c r="N13" s="5" t="s">
        <v>105</v>
      </c>
      <c r="O13" s="5" t="s">
        <v>448</v>
      </c>
    </row>
    <row r="14" spans="1:16" ht="28.5">
      <c r="A14" s="5">
        <v>8</v>
      </c>
      <c r="B14" s="5" t="str">
        <f t="shared" si="0"/>
        <v>11.8</v>
      </c>
      <c r="C14" s="28" t="s">
        <v>51</v>
      </c>
      <c r="D14" s="5" t="s">
        <v>168</v>
      </c>
      <c r="E14" s="5" t="s">
        <v>48</v>
      </c>
      <c r="F14" s="5" t="s">
        <v>105</v>
      </c>
      <c r="G14" s="5" t="s">
        <v>105</v>
      </c>
      <c r="H14" s="5" t="s">
        <v>105</v>
      </c>
      <c r="I14" s="5" t="s">
        <v>86</v>
      </c>
      <c r="J14" s="5" t="s">
        <v>105</v>
      </c>
      <c r="K14" s="5" t="s">
        <v>105</v>
      </c>
      <c r="L14" s="5" t="s">
        <v>105</v>
      </c>
      <c r="M14" s="5" t="s">
        <v>105</v>
      </c>
      <c r="N14" s="5" t="s">
        <v>105</v>
      </c>
      <c r="O14" s="5" t="s">
        <v>449</v>
      </c>
    </row>
    <row r="15" spans="1:16" ht="85.5">
      <c r="A15" s="5">
        <v>9</v>
      </c>
      <c r="B15" s="5" t="str">
        <f t="shared" si="0"/>
        <v>11.9</v>
      </c>
      <c r="C15" s="28" t="s">
        <v>51</v>
      </c>
      <c r="D15" s="28" t="s">
        <v>430</v>
      </c>
      <c r="E15" s="5" t="s">
        <v>54</v>
      </c>
      <c r="F15" s="5" t="s">
        <v>105</v>
      </c>
      <c r="G15" s="5" t="s">
        <v>105</v>
      </c>
      <c r="H15" s="5" t="s">
        <v>105</v>
      </c>
      <c r="I15" s="36" t="s">
        <v>141</v>
      </c>
      <c r="J15" s="5" t="s">
        <v>105</v>
      </c>
      <c r="K15" s="5" t="s">
        <v>105</v>
      </c>
      <c r="L15" s="5" t="s">
        <v>105</v>
      </c>
      <c r="M15" s="5" t="s">
        <v>105</v>
      </c>
      <c r="N15" s="5" t="s">
        <v>105</v>
      </c>
      <c r="O15" s="36" t="s">
        <v>450</v>
      </c>
    </row>
  </sheetData>
  <mergeCells count="4">
    <mergeCell ref="K10:K11"/>
    <mergeCell ref="L10:L11"/>
    <mergeCell ref="E10:E11"/>
    <mergeCell ref="O10:O11"/>
  </mergeCells>
  <conditionalFormatting sqref="C7:C1048576">
    <cfRule type="cellIs" dxfId="225" priority="36" operator="equal">
      <formula>"WIP (see comments)"</formula>
    </cfRule>
    <cfRule type="cellIs" dxfId="224" priority="37" operator="equal">
      <formula>"Removed"</formula>
    </cfRule>
    <cfRule type="cellIs" dxfId="223" priority="38" operator="equal">
      <formula>"Updated"</formula>
    </cfRule>
    <cfRule type="cellIs" dxfId="222" priority="39" operator="equal">
      <formula>"New"</formula>
    </cfRule>
  </conditionalFormatting>
  <conditionalFormatting sqref="D10:E10 G10:I10 M10:O10 A10:C12 M11:N11 A7:O9 C9:C15">
    <cfRule type="cellIs" dxfId="221" priority="27" operator="equal">
      <formula>"n/a"</formula>
    </cfRule>
  </conditionalFormatting>
  <conditionalFormatting sqref="D11:D12 F11:J12">
    <cfRule type="cellIs" dxfId="220" priority="26" operator="equal">
      <formula>"n/a"</formula>
    </cfRule>
  </conditionalFormatting>
  <conditionalFormatting sqref="K10:L10">
    <cfRule type="cellIs" dxfId="219" priority="25" operator="equal">
      <formula>"n/a"</formula>
    </cfRule>
  </conditionalFormatting>
  <conditionalFormatting sqref="A13:B13">
    <cfRule type="cellIs" dxfId="218" priority="19" operator="equal">
      <formula>"n/a"</formula>
    </cfRule>
  </conditionalFormatting>
  <conditionalFormatting sqref="D13:N13">
    <cfRule type="cellIs" dxfId="217" priority="18" operator="equal">
      <formula>"n/a"</formula>
    </cfRule>
  </conditionalFormatting>
  <conditionalFormatting sqref="F10">
    <cfRule type="cellIs" dxfId="216" priority="16" operator="equal">
      <formula>"n/a"</formula>
    </cfRule>
  </conditionalFormatting>
  <conditionalFormatting sqref="J10">
    <cfRule type="cellIs" dxfId="215" priority="15" operator="equal">
      <formula>"n/a"</formula>
    </cfRule>
  </conditionalFormatting>
  <conditionalFormatting sqref="E12">
    <cfRule type="cellIs" dxfId="214" priority="14" operator="equal">
      <formula>"n/a"</formula>
    </cfRule>
  </conditionalFormatting>
  <conditionalFormatting sqref="K12">
    <cfRule type="cellIs" dxfId="213" priority="13" operator="equal">
      <formula>"n/a"</formula>
    </cfRule>
  </conditionalFormatting>
  <conditionalFormatting sqref="L12">
    <cfRule type="cellIs" dxfId="212" priority="12" operator="equal">
      <formula>"n/a"</formula>
    </cfRule>
  </conditionalFormatting>
  <conditionalFormatting sqref="M12">
    <cfRule type="cellIs" dxfId="211" priority="11" operator="equal">
      <formula>"n/a"</formula>
    </cfRule>
  </conditionalFormatting>
  <conditionalFormatting sqref="N12">
    <cfRule type="cellIs" dxfId="210" priority="10" operator="equal">
      <formula>"n/a"</formula>
    </cfRule>
  </conditionalFormatting>
  <conditionalFormatting sqref="O12">
    <cfRule type="cellIs" dxfId="209" priority="9" operator="equal">
      <formula>"n/a"</formula>
    </cfRule>
  </conditionalFormatting>
  <conditionalFormatting sqref="D1">
    <cfRule type="cellIs" dxfId="208" priority="8" operator="equal">
      <formula>"n/a"</formula>
    </cfRule>
  </conditionalFormatting>
  <conditionalFormatting sqref="B4">
    <cfRule type="cellIs" dxfId="207" priority="7" operator="equal">
      <formula>"n/a"</formula>
    </cfRule>
  </conditionalFormatting>
  <conditionalFormatting sqref="P8">
    <cfRule type="cellIs" dxfId="206" priority="6" operator="equal">
      <formula>"n/a"</formula>
    </cfRule>
  </conditionalFormatting>
  <conditionalFormatting sqref="I15 O15 E15">
    <cfRule type="cellIs" dxfId="205" priority="5" operator="equal">
      <formula>"n/a"</formula>
    </cfRule>
  </conditionalFormatting>
  <conditionalFormatting sqref="F15:H15 J15:N15 D14:O14">
    <cfRule type="cellIs" dxfId="204" priority="4" operator="equal">
      <formula>"n/a"</formula>
    </cfRule>
  </conditionalFormatting>
  <conditionalFormatting sqref="D15">
    <cfRule type="cellIs" dxfId="203" priority="3" operator="equal">
      <formula>"n/a"</formula>
    </cfRule>
  </conditionalFormatting>
  <conditionalFormatting sqref="D15">
    <cfRule type="cellIs" dxfId="202" priority="2" operator="equal">
      <formula>"-"</formula>
    </cfRule>
  </conditionalFormatting>
  <conditionalFormatting sqref="B5">
    <cfRule type="cellIs" dxfId="201" priority="1" operator="equal">
      <formula>"n/a"</formula>
    </cfRule>
  </conditionalFormatting>
  <dataValidations count="1">
    <dataValidation type="list" allowBlank="1" showInputMessage="1" showErrorMessage="1" sqref="E12:E13 E16:E1048576" xr:uid="{00000000-0002-0000-1000-000000000000}">
      <formula1>$A$5:$A$27</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1000-000001000000}">
          <x14:formula1>
            <xm:f>'List Values'!$A$5:$A$30</xm:f>
          </x14:formula1>
          <xm:sqref>E7:E10</xm:sqref>
        </x14:dataValidation>
        <x14:dataValidation type="list" allowBlank="1" showInputMessage="1" showErrorMessage="1" xr:uid="{00000000-0002-0000-1000-000002000000}">
          <x14:formula1>
            <xm:f>'List Values'!$B$5:$B$14</xm:f>
          </x14:formula1>
          <xm:sqref>C16:C1048576</xm:sqref>
        </x14:dataValidation>
        <x14:dataValidation type="list" allowBlank="1" showInputMessage="1" showErrorMessage="1" xr:uid="{00000000-0002-0000-1000-000003000000}">
          <x14:formula1>
            <xm:f>'List Values'!$B$5:$B$13</xm:f>
          </x14:formula1>
          <xm:sqref>C7:C15</xm:sqref>
        </x14:dataValidation>
      </x14:dataValidation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P12"/>
  <sheetViews>
    <sheetView workbookViewId="0">
      <pane xSplit="4" ySplit="6" topLeftCell="M7" activePane="bottomRight" state="frozen"/>
      <selection pane="bottomRight" activeCell="B5" sqref="B5"/>
      <selection pane="bottomLeft" activeCell="A7" sqref="A7"/>
      <selection pane="topRight" activeCell="E1" sqref="E1"/>
    </sheetView>
  </sheetViews>
  <sheetFormatPr defaultColWidth="9.140625" defaultRowHeight="14.25"/>
  <cols>
    <col min="1" max="1" width="14.7109375" style="5" customWidth="1"/>
    <col min="2" max="2" width="12.5703125" style="5" customWidth="1"/>
    <col min="3" max="3" width="15.140625" style="28" customWidth="1"/>
    <col min="4" max="4" width="45.140625" style="5" customWidth="1"/>
    <col min="5" max="5" width="28.7109375" style="5" customWidth="1"/>
    <col min="6" max="6" width="17" style="5" customWidth="1"/>
    <col min="7" max="7" width="29.28515625" style="5" customWidth="1"/>
    <col min="8" max="8" width="27.85546875" style="5" customWidth="1"/>
    <col min="9" max="9" width="34.85546875" style="5" customWidth="1"/>
    <col min="10" max="10" width="28.140625" style="5" customWidth="1"/>
    <col min="11" max="11" width="17.140625" style="5" customWidth="1"/>
    <col min="12" max="12" width="23" style="5" customWidth="1"/>
    <col min="13" max="13" width="29" style="5" customWidth="1"/>
    <col min="14" max="14" width="18.7109375" style="5" bestFit="1" customWidth="1"/>
    <col min="15" max="15" width="48.42578125" style="5" customWidth="1"/>
    <col min="16" max="16" width="41.85546875" style="5" customWidth="1"/>
    <col min="17" max="16384" width="9.140625" style="5"/>
  </cols>
  <sheetData>
    <row r="1" spans="1:16" s="24" customFormat="1" ht="18">
      <c r="A1" s="22" t="s">
        <v>78</v>
      </c>
      <c r="B1" s="32" t="s">
        <v>451</v>
      </c>
      <c r="C1" s="26"/>
      <c r="D1" s="23"/>
    </row>
    <row r="2" spans="1:16" s="24" customFormat="1" ht="18">
      <c r="A2" s="22" t="s">
        <v>81</v>
      </c>
      <c r="B2" s="30">
        <v>12</v>
      </c>
      <c r="C2" s="29"/>
      <c r="D2" s="30"/>
    </row>
    <row r="3" spans="1:16" s="24" customFormat="1" ht="18">
      <c r="A3" s="22" t="s">
        <v>82</v>
      </c>
      <c r="B3" s="30" t="s">
        <v>452</v>
      </c>
      <c r="C3" s="29"/>
      <c r="D3" s="30" t="s">
        <v>453</v>
      </c>
    </row>
    <row r="4" spans="1:16" s="24" customFormat="1" ht="18">
      <c r="A4" s="22" t="s">
        <v>85</v>
      </c>
      <c r="B4" s="24" t="s">
        <v>437</v>
      </c>
      <c r="C4" s="29"/>
    </row>
    <row r="5" spans="1:16" s="4" customFormat="1" ht="18">
      <c r="B5" s="24" t="s">
        <v>160</v>
      </c>
      <c r="C5" s="31"/>
    </row>
    <row r="6" spans="1:16" s="25" customFormat="1" ht="14.65" thickBot="1">
      <c r="A6" s="25" t="s">
        <v>87</v>
      </c>
      <c r="B6" s="25" t="s">
        <v>88</v>
      </c>
      <c r="C6" s="27" t="s">
        <v>89</v>
      </c>
      <c r="D6" s="25" t="s">
        <v>90</v>
      </c>
      <c r="E6" s="25" t="s">
        <v>91</v>
      </c>
      <c r="F6" s="25" t="s">
        <v>92</v>
      </c>
      <c r="G6" s="25" t="s">
        <v>93</v>
      </c>
      <c r="H6" s="25" t="s">
        <v>94</v>
      </c>
      <c r="I6" s="25" t="s">
        <v>95</v>
      </c>
      <c r="J6" s="25" t="s">
        <v>96</v>
      </c>
      <c r="K6" s="25" t="s">
        <v>97</v>
      </c>
      <c r="L6" s="25" t="s">
        <v>98</v>
      </c>
      <c r="M6" s="25" t="s">
        <v>99</v>
      </c>
      <c r="N6" s="25" t="s">
        <v>100</v>
      </c>
      <c r="O6" s="25" t="s">
        <v>101</v>
      </c>
      <c r="P6" s="25" t="s">
        <v>102</v>
      </c>
    </row>
    <row r="7" spans="1:16">
      <c r="A7" s="5">
        <v>1</v>
      </c>
      <c r="B7" s="5" t="str">
        <f t="shared" ref="B7:B12" si="0">CONCATENATE($B$2, ".", A7)</f>
        <v>12.1</v>
      </c>
      <c r="C7" s="28" t="s">
        <v>51</v>
      </c>
      <c r="D7" s="5" t="s">
        <v>237</v>
      </c>
      <c r="E7" s="5" t="s">
        <v>65</v>
      </c>
      <c r="F7" s="5" t="s">
        <v>105</v>
      </c>
      <c r="G7" s="5" t="s">
        <v>105</v>
      </c>
      <c r="H7" s="28" t="s">
        <v>105</v>
      </c>
      <c r="I7" s="5" t="s">
        <v>86</v>
      </c>
      <c r="J7" s="5" t="s">
        <v>105</v>
      </c>
      <c r="K7" s="5" t="s">
        <v>105</v>
      </c>
      <c r="L7" s="5" t="s">
        <v>105</v>
      </c>
      <c r="M7" s="5" t="s">
        <v>105</v>
      </c>
      <c r="N7" s="5" t="s">
        <v>105</v>
      </c>
      <c r="O7" s="5" t="s">
        <v>105</v>
      </c>
      <c r="P7" s="5" t="s">
        <v>183</v>
      </c>
    </row>
    <row r="8" spans="1:16">
      <c r="A8" s="5">
        <v>2</v>
      </c>
      <c r="B8" s="5" t="str">
        <f t="shared" si="0"/>
        <v>12.2</v>
      </c>
      <c r="C8" s="28" t="s">
        <v>51</v>
      </c>
      <c r="D8" s="5" t="s">
        <v>105</v>
      </c>
      <c r="E8" s="5" t="s">
        <v>64</v>
      </c>
      <c r="F8" s="5" t="s">
        <v>105</v>
      </c>
      <c r="G8" s="5" t="s">
        <v>105</v>
      </c>
      <c r="H8" s="28" t="s">
        <v>105</v>
      </c>
      <c r="I8" s="5" t="s">
        <v>86</v>
      </c>
      <c r="J8" s="5" t="s">
        <v>105</v>
      </c>
      <c r="K8" s="5" t="s">
        <v>105</v>
      </c>
      <c r="L8" s="5" t="s">
        <v>105</v>
      </c>
      <c r="M8" s="5" t="s">
        <v>105</v>
      </c>
      <c r="N8" s="5" t="s">
        <v>105</v>
      </c>
      <c r="O8" s="5" t="s">
        <v>105</v>
      </c>
    </row>
    <row r="9" spans="1:16" ht="85.5">
      <c r="A9" s="5">
        <v>3</v>
      </c>
      <c r="B9" s="5" t="str">
        <f t="shared" si="0"/>
        <v>12.3</v>
      </c>
      <c r="C9" s="28" t="s">
        <v>51</v>
      </c>
      <c r="D9" s="5" t="s">
        <v>454</v>
      </c>
      <c r="E9" s="5" t="s">
        <v>72</v>
      </c>
      <c r="F9" s="5" t="s">
        <v>105</v>
      </c>
      <c r="G9" s="5" t="s">
        <v>105</v>
      </c>
      <c r="H9" s="28" t="s">
        <v>105</v>
      </c>
      <c r="I9" s="5" t="s">
        <v>86</v>
      </c>
      <c r="J9" s="5" t="s">
        <v>105</v>
      </c>
      <c r="K9" s="5" t="s">
        <v>105</v>
      </c>
      <c r="L9" s="5" t="s">
        <v>105</v>
      </c>
      <c r="M9" s="5" t="s">
        <v>105</v>
      </c>
      <c r="N9" s="5" t="s">
        <v>105</v>
      </c>
      <c r="O9" s="5" t="s">
        <v>105</v>
      </c>
      <c r="P9" s="5" t="s">
        <v>455</v>
      </c>
    </row>
    <row r="10" spans="1:16" ht="81" customHeight="1">
      <c r="A10" s="5">
        <v>4</v>
      </c>
      <c r="B10" s="5" t="str">
        <f t="shared" si="0"/>
        <v>12.4</v>
      </c>
      <c r="C10" s="28" t="s">
        <v>51</v>
      </c>
      <c r="D10" s="5" t="s">
        <v>105</v>
      </c>
      <c r="E10" s="5" t="s">
        <v>60</v>
      </c>
      <c r="F10" s="5" t="s">
        <v>105</v>
      </c>
      <c r="G10" s="5" t="s">
        <v>105</v>
      </c>
      <c r="H10" s="28" t="s">
        <v>105</v>
      </c>
      <c r="I10" s="5" t="s">
        <v>86</v>
      </c>
      <c r="J10" s="5" t="s">
        <v>105</v>
      </c>
      <c r="K10" s="5" t="s">
        <v>240</v>
      </c>
      <c r="L10" s="36" t="s">
        <v>105</v>
      </c>
      <c r="M10" s="5" t="s">
        <v>105</v>
      </c>
      <c r="N10" s="5" t="s">
        <v>105</v>
      </c>
      <c r="O10" s="5" t="s">
        <v>456</v>
      </c>
    </row>
    <row r="11" spans="1:16" ht="42.75">
      <c r="A11" s="5">
        <v>5</v>
      </c>
      <c r="B11" s="5" t="str">
        <f>CONCATENATE($B$2, ".", A11)</f>
        <v>12.5</v>
      </c>
      <c r="C11" s="28" t="s">
        <v>51</v>
      </c>
      <c r="D11" s="5" t="s">
        <v>155</v>
      </c>
      <c r="E11" s="5" t="s">
        <v>48</v>
      </c>
      <c r="F11" s="5" t="s">
        <v>105</v>
      </c>
      <c r="G11" s="5" t="s">
        <v>105</v>
      </c>
      <c r="H11" s="28" t="s">
        <v>105</v>
      </c>
      <c r="I11" s="5" t="s">
        <v>86</v>
      </c>
      <c r="J11" s="5" t="s">
        <v>105</v>
      </c>
      <c r="K11" s="5" t="s">
        <v>105</v>
      </c>
      <c r="L11" s="5" t="s">
        <v>105</v>
      </c>
      <c r="M11" s="5" t="s">
        <v>105</v>
      </c>
      <c r="N11" s="5" t="s">
        <v>105</v>
      </c>
      <c r="O11" s="5" t="s">
        <v>457</v>
      </c>
    </row>
    <row r="12" spans="1:16" ht="77.099999999999994" customHeight="1">
      <c r="A12" s="5">
        <v>6</v>
      </c>
      <c r="B12" s="5" t="str">
        <f t="shared" si="0"/>
        <v>12.6</v>
      </c>
      <c r="C12" s="28" t="s">
        <v>51</v>
      </c>
      <c r="D12" s="5" t="s">
        <v>168</v>
      </c>
      <c r="E12" s="5" t="s">
        <v>48</v>
      </c>
      <c r="F12" s="5" t="s">
        <v>105</v>
      </c>
      <c r="G12" s="5" t="s">
        <v>105</v>
      </c>
      <c r="H12" s="28" t="s">
        <v>105</v>
      </c>
      <c r="I12" s="5" t="s">
        <v>458</v>
      </c>
      <c r="J12" s="5" t="s">
        <v>105</v>
      </c>
      <c r="K12" s="5" t="s">
        <v>105</v>
      </c>
      <c r="L12" s="36" t="s">
        <v>105</v>
      </c>
      <c r="M12" s="5" t="s">
        <v>105</v>
      </c>
      <c r="N12" s="5" t="s">
        <v>105</v>
      </c>
      <c r="O12" s="5" t="s">
        <v>459</v>
      </c>
    </row>
  </sheetData>
  <conditionalFormatting sqref="C13:C1048576">
    <cfRule type="cellIs" dxfId="200" priority="18" operator="equal">
      <formula>"WIP (see comments)"</formula>
    </cfRule>
    <cfRule type="cellIs" dxfId="199" priority="19" operator="equal">
      <formula>"Removed"</formula>
    </cfRule>
    <cfRule type="cellIs" dxfId="198" priority="20" operator="equal">
      <formula>"Updated"</formula>
    </cfRule>
    <cfRule type="cellIs" dxfId="197" priority="21" operator="equal">
      <formula>"New"</formula>
    </cfRule>
  </conditionalFormatting>
  <conditionalFormatting sqref="C7:C12">
    <cfRule type="cellIs" dxfId="196" priority="14" operator="equal">
      <formula>"WIP (see comments)"</formula>
    </cfRule>
    <cfRule type="cellIs" dxfId="195" priority="15" operator="equal">
      <formula>"Removed"</formula>
    </cfRule>
    <cfRule type="cellIs" dxfId="194" priority="16" operator="equal">
      <formula>"Updated"</formula>
    </cfRule>
    <cfRule type="cellIs" dxfId="193" priority="17" operator="equal">
      <formula>"New"</formula>
    </cfRule>
  </conditionalFormatting>
  <conditionalFormatting sqref="A13:XFD1048576 P10:XFD12 M10:N12 C12:J12 A1:C1 E1:XFD1 A2:XFD4 E9:XFD9 A11:B12 A6:XFD8 A5 C5:XFD5 A9:C9 A10:J11">
    <cfRule type="cellIs" dxfId="192" priority="13" operator="equal">
      <formula>"n/a"</formula>
    </cfRule>
  </conditionalFormatting>
  <conditionalFormatting sqref="K10:L12">
    <cfRule type="cellIs" dxfId="191" priority="11" operator="equal">
      <formula>"n/a"</formula>
    </cfRule>
  </conditionalFormatting>
  <conditionalFormatting sqref="O10:O12">
    <cfRule type="cellIs" dxfId="190" priority="10" operator="equal">
      <formula>"n/a"</formula>
    </cfRule>
  </conditionalFormatting>
  <conditionalFormatting sqref="C11">
    <cfRule type="cellIs" dxfId="189" priority="6" operator="equal">
      <formula>"WIP (see comments)"</formula>
    </cfRule>
    <cfRule type="cellIs" dxfId="188" priority="7" operator="equal">
      <formula>"Removed"</formula>
    </cfRule>
    <cfRule type="cellIs" dxfId="187" priority="8" operator="equal">
      <formula>"Updated"</formula>
    </cfRule>
    <cfRule type="cellIs" dxfId="186" priority="9" operator="equal">
      <formula>"New"</formula>
    </cfRule>
  </conditionalFormatting>
  <conditionalFormatting sqref="P11:XFD11 C11">
    <cfRule type="cellIs" dxfId="185" priority="5" operator="equal">
      <formula>"n/a"</formula>
    </cfRule>
  </conditionalFormatting>
  <conditionalFormatting sqref="D11:N11">
    <cfRule type="cellIs" dxfId="184" priority="4" operator="equal">
      <formula>"n/a"</formula>
    </cfRule>
  </conditionalFormatting>
  <conditionalFormatting sqref="D1">
    <cfRule type="cellIs" dxfId="183" priority="3" operator="equal">
      <formula>"n/a"</formula>
    </cfRule>
  </conditionalFormatting>
  <conditionalFormatting sqref="D9">
    <cfRule type="cellIs" dxfId="182" priority="2" operator="equal">
      <formula>"n/a"</formula>
    </cfRule>
  </conditionalFormatting>
  <conditionalFormatting sqref="B5">
    <cfRule type="cellIs" dxfId="181" priority="1" operator="equal">
      <formula>"n/a"</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1100-000000000000}">
          <x14:formula1>
            <xm:f>'List Values'!$A$5:$A$30</xm:f>
          </x14:formula1>
          <xm:sqref>E7:E1048576</xm:sqref>
        </x14:dataValidation>
        <x14:dataValidation type="list" allowBlank="1" showInputMessage="1" showErrorMessage="1" xr:uid="{00000000-0002-0000-1100-000001000000}">
          <x14:formula1>
            <xm:f>'List Values'!$B$5:$B$13</xm:f>
          </x14:formula1>
          <xm:sqref>C7:C1048576</xm:sqref>
        </x14:dataValidation>
      </x14:dataValidation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P9"/>
  <sheetViews>
    <sheetView workbookViewId="0">
      <pane xSplit="4" ySplit="6" topLeftCell="E7" activePane="bottomRight" state="frozen"/>
      <selection pane="bottomRight" activeCell="A7" sqref="A7"/>
      <selection pane="bottomLeft" activeCell="A7" sqref="A7"/>
      <selection pane="topRight" activeCell="E1" sqref="E1"/>
    </sheetView>
  </sheetViews>
  <sheetFormatPr defaultColWidth="9.140625" defaultRowHeight="14.25"/>
  <cols>
    <col min="1" max="1" width="14.7109375" style="5" customWidth="1"/>
    <col min="2" max="2" width="12.5703125" style="5" customWidth="1"/>
    <col min="3" max="3" width="15.140625" style="28" customWidth="1"/>
    <col min="4" max="4" width="45.140625" style="5" customWidth="1"/>
    <col min="5" max="5" width="28.7109375" style="5" customWidth="1"/>
    <col min="6" max="6" width="17" style="5" customWidth="1"/>
    <col min="7" max="7" width="29.28515625" style="5" customWidth="1"/>
    <col min="8" max="8" width="27.85546875" style="5" customWidth="1"/>
    <col min="9" max="9" width="34.85546875" style="5" customWidth="1"/>
    <col min="10" max="10" width="28.140625" style="5" customWidth="1"/>
    <col min="11" max="11" width="10.7109375" style="5" bestFit="1" customWidth="1"/>
    <col min="12" max="12" width="23" style="5" customWidth="1"/>
    <col min="13" max="13" width="29" style="5" customWidth="1"/>
    <col min="14" max="14" width="18.7109375" style="5" bestFit="1" customWidth="1"/>
    <col min="15" max="15" width="48.42578125" style="5" customWidth="1"/>
    <col min="16" max="16" width="41.85546875" style="5" customWidth="1"/>
    <col min="17" max="16384" width="9.140625" style="5"/>
  </cols>
  <sheetData>
    <row r="1" spans="1:16" s="24" customFormat="1" ht="18">
      <c r="A1" s="22" t="s">
        <v>78</v>
      </c>
      <c r="B1" s="32" t="s">
        <v>460</v>
      </c>
      <c r="C1" s="26"/>
      <c r="D1" s="23"/>
    </row>
    <row r="2" spans="1:16" s="24" customFormat="1" ht="18">
      <c r="A2" s="22" t="s">
        <v>81</v>
      </c>
      <c r="B2" s="30">
        <v>13</v>
      </c>
      <c r="C2" s="29"/>
      <c r="D2" s="30"/>
    </row>
    <row r="3" spans="1:16" s="24" customFormat="1" ht="18">
      <c r="A3" s="22" t="s">
        <v>82</v>
      </c>
      <c r="B3" s="30" t="s">
        <v>461</v>
      </c>
      <c r="C3" s="29"/>
      <c r="D3" s="30" t="s">
        <v>462</v>
      </c>
    </row>
    <row r="4" spans="1:16" s="24" customFormat="1" ht="18">
      <c r="A4" s="22" t="s">
        <v>85</v>
      </c>
      <c r="B4" s="24" t="s">
        <v>463</v>
      </c>
      <c r="C4" s="29"/>
    </row>
    <row r="5" spans="1:16" s="4" customFormat="1" ht="18">
      <c r="B5" s="24" t="s">
        <v>160</v>
      </c>
      <c r="C5" s="31"/>
    </row>
    <row r="6" spans="1:16" s="25" customFormat="1" ht="14.65" thickBot="1">
      <c r="A6" s="25" t="s">
        <v>87</v>
      </c>
      <c r="B6" s="25" t="s">
        <v>88</v>
      </c>
      <c r="C6" s="27" t="s">
        <v>89</v>
      </c>
      <c r="D6" s="25" t="s">
        <v>90</v>
      </c>
      <c r="E6" s="25" t="s">
        <v>91</v>
      </c>
      <c r="F6" s="25" t="s">
        <v>92</v>
      </c>
      <c r="G6" s="25" t="s">
        <v>93</v>
      </c>
      <c r="H6" s="25" t="s">
        <v>94</v>
      </c>
      <c r="I6" s="25" t="s">
        <v>95</v>
      </c>
      <c r="J6" s="25" t="s">
        <v>96</v>
      </c>
      <c r="K6" s="25" t="s">
        <v>97</v>
      </c>
      <c r="L6" s="25" t="s">
        <v>98</v>
      </c>
      <c r="M6" s="25" t="s">
        <v>99</v>
      </c>
      <c r="N6" s="25" t="s">
        <v>100</v>
      </c>
      <c r="O6" s="25" t="s">
        <v>101</v>
      </c>
      <c r="P6" s="25" t="s">
        <v>102</v>
      </c>
    </row>
    <row r="7" spans="1:16">
      <c r="A7" s="5">
        <v>1</v>
      </c>
      <c r="B7" s="5" t="str">
        <f>CONCATENATE($B$2, ".", A7)</f>
        <v>13.1</v>
      </c>
      <c r="C7" s="28" t="s">
        <v>51</v>
      </c>
      <c r="D7" s="5" t="s">
        <v>105</v>
      </c>
      <c r="E7" s="5" t="s">
        <v>63</v>
      </c>
      <c r="F7" s="5" t="s">
        <v>105</v>
      </c>
      <c r="G7" s="5" t="s">
        <v>105</v>
      </c>
      <c r="H7" s="28" t="s">
        <v>105</v>
      </c>
      <c r="I7" s="5" t="s">
        <v>86</v>
      </c>
      <c r="J7" s="5" t="s">
        <v>105</v>
      </c>
      <c r="K7" s="5" t="s">
        <v>105</v>
      </c>
      <c r="L7" s="5" t="s">
        <v>105</v>
      </c>
      <c r="M7" s="5" t="s">
        <v>105</v>
      </c>
      <c r="N7" s="5" t="s">
        <v>105</v>
      </c>
      <c r="O7" s="5" t="s">
        <v>464</v>
      </c>
      <c r="P7" s="5" t="s">
        <v>465</v>
      </c>
    </row>
    <row r="8" spans="1:16">
      <c r="A8" s="5">
        <v>2</v>
      </c>
      <c r="B8" s="5" t="str">
        <f t="shared" ref="B8" si="0">CONCATENATE($B$2, ".", A8)</f>
        <v>13.2</v>
      </c>
      <c r="C8" s="28" t="s">
        <v>466</v>
      </c>
      <c r="D8" s="5" t="s">
        <v>467</v>
      </c>
      <c r="E8" s="5" t="s">
        <v>69</v>
      </c>
      <c r="F8" s="5" t="s">
        <v>105</v>
      </c>
      <c r="G8" s="5" t="s">
        <v>105</v>
      </c>
      <c r="H8" s="28" t="s">
        <v>105</v>
      </c>
      <c r="I8" s="5" t="s">
        <v>86</v>
      </c>
      <c r="J8" s="5" t="s">
        <v>105</v>
      </c>
      <c r="K8" s="5" t="s">
        <v>105</v>
      </c>
      <c r="L8" s="5" t="s">
        <v>105</v>
      </c>
      <c r="M8" s="5" t="s">
        <v>105</v>
      </c>
      <c r="N8" s="5" t="s">
        <v>105</v>
      </c>
    </row>
    <row r="9" spans="1:16" ht="231" customHeight="1">
      <c r="A9" s="5">
        <v>3</v>
      </c>
      <c r="B9" s="5" t="str">
        <f t="shared" ref="B9" si="1">CONCATENATE($B$2, ".", A9)</f>
        <v>13.3</v>
      </c>
      <c r="C9" s="28" t="s">
        <v>466</v>
      </c>
      <c r="D9" s="5" t="s">
        <v>468</v>
      </c>
      <c r="E9" s="5" t="s">
        <v>71</v>
      </c>
      <c r="F9" s="5" t="s">
        <v>105</v>
      </c>
      <c r="G9" s="5" t="s">
        <v>105</v>
      </c>
      <c r="H9" s="28" t="s">
        <v>105</v>
      </c>
      <c r="I9" s="5" t="s">
        <v>86</v>
      </c>
      <c r="J9" s="5" t="s">
        <v>105</v>
      </c>
      <c r="K9" s="5" t="s">
        <v>105</v>
      </c>
      <c r="L9" s="5" t="s">
        <v>105</v>
      </c>
      <c r="M9" s="5" t="s">
        <v>105</v>
      </c>
      <c r="N9" s="5" t="s">
        <v>105</v>
      </c>
      <c r="O9" s="5" t="s">
        <v>469</v>
      </c>
      <c r="P9" s="5" t="s">
        <v>439</v>
      </c>
    </row>
  </sheetData>
  <conditionalFormatting sqref="C7:C1048576">
    <cfRule type="cellIs" dxfId="180" priority="26" operator="equal">
      <formula>"WIP (see comments)"</formula>
    </cfRule>
    <cfRule type="cellIs" dxfId="179" priority="27" operator="equal">
      <formula>"Removed"</formula>
    </cfRule>
    <cfRule type="cellIs" dxfId="178" priority="28" operator="equal">
      <formula>"Updated"</formula>
    </cfRule>
    <cfRule type="cellIs" dxfId="177" priority="29" operator="equal">
      <formula>"New"</formula>
    </cfRule>
  </conditionalFormatting>
  <conditionalFormatting sqref="A9:C9 E9:N9">
    <cfRule type="cellIs" dxfId="176" priority="25" operator="equal">
      <formula>"n/a"</formula>
    </cfRule>
  </conditionalFormatting>
  <conditionalFormatting sqref="A8:P8 E7:O7 A7:C7 C8:C9">
    <cfRule type="cellIs" dxfId="175" priority="9" operator="equal">
      <formula>"n/a"</formula>
    </cfRule>
  </conditionalFormatting>
  <conditionalFormatting sqref="P7">
    <cfRule type="cellIs" dxfId="174" priority="8" operator="equal">
      <formula>"n/a"</formula>
    </cfRule>
  </conditionalFormatting>
  <conditionalFormatting sqref="D7">
    <cfRule type="cellIs" dxfId="173" priority="7" operator="equal">
      <formula>"-"</formula>
    </cfRule>
  </conditionalFormatting>
  <conditionalFormatting sqref="D7">
    <cfRule type="cellIs" dxfId="172" priority="6" operator="equal">
      <formula>"n/a"</formula>
    </cfRule>
  </conditionalFormatting>
  <conditionalFormatting sqref="D1">
    <cfRule type="cellIs" dxfId="171" priority="5" operator="equal">
      <formula>"n/a"</formula>
    </cfRule>
  </conditionalFormatting>
  <conditionalFormatting sqref="O9">
    <cfRule type="cellIs" dxfId="170" priority="2" operator="equal">
      <formula>"n/a"</formula>
    </cfRule>
  </conditionalFormatting>
  <conditionalFormatting sqref="D9">
    <cfRule type="cellIs" dxfId="169" priority="3" operator="equal">
      <formula>"n/a"</formula>
    </cfRule>
  </conditionalFormatting>
  <conditionalFormatting sqref="B5">
    <cfRule type="cellIs" dxfId="168"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1200-000000000000}">
          <x14:formula1>
            <xm:f>'List Values'!$B$5:$B$14</xm:f>
          </x14:formula1>
          <xm:sqref>C7:C1048576</xm:sqref>
        </x14:dataValidation>
        <x14:dataValidation type="list" allowBlank="1" showInputMessage="1" showErrorMessage="1" xr:uid="{00000000-0002-0000-1200-000001000000}">
          <x14:formula1>
            <xm:f>'List Values'!$A$5:$A$30</xm:f>
          </x14:formula1>
          <xm:sqref>E7:E1048576</xm:sqref>
        </x14:dataValidation>
      </x14:dataValidations>
    </ext>
  </extLs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theme="0" tint="-0.499984740745262"/>
  </sheetPr>
  <dimension ref="A1:P10"/>
  <sheetViews>
    <sheetView workbookViewId="0">
      <pane xSplit="4" ySplit="6" topLeftCell="E7" activePane="bottomRight" state="frozen"/>
      <selection pane="bottomRight" activeCell="B1" sqref="B1:B2"/>
      <selection pane="bottomLeft" activeCell="A7" sqref="A7"/>
      <selection pane="topRight" activeCell="E1" sqref="E1"/>
    </sheetView>
  </sheetViews>
  <sheetFormatPr defaultColWidth="9.140625" defaultRowHeight="14.25"/>
  <cols>
    <col min="1" max="1" width="14.7109375" style="5" customWidth="1"/>
    <col min="2" max="2" width="12.5703125" style="5" customWidth="1"/>
    <col min="3" max="3" width="13" style="28" customWidth="1"/>
    <col min="4" max="4" width="45.140625" style="5" customWidth="1"/>
    <col min="5" max="5" width="28.7109375" style="5" customWidth="1"/>
    <col min="6" max="6" width="37" style="5" customWidth="1"/>
    <col min="7" max="7" width="29.28515625" style="5" customWidth="1"/>
    <col min="8" max="8" width="11.5703125" style="28" bestFit="1" customWidth="1"/>
    <col min="9" max="9" width="34.85546875" style="5" customWidth="1"/>
    <col min="10" max="10" width="28.140625" style="5" customWidth="1"/>
    <col min="11" max="11" width="14" style="5" customWidth="1"/>
    <col min="12" max="12" width="23" style="5" customWidth="1"/>
    <col min="13" max="13" width="29" style="5" customWidth="1"/>
    <col min="14" max="14" width="18.7109375" style="5" bestFit="1" customWidth="1"/>
    <col min="15" max="15" width="48.42578125" style="5" customWidth="1"/>
    <col min="16" max="16" width="41.85546875" style="5" customWidth="1"/>
    <col min="17" max="16384" width="9.140625" style="5"/>
  </cols>
  <sheetData>
    <row r="1" spans="1:16" s="24" customFormat="1" ht="18">
      <c r="A1" s="22" t="s">
        <v>78</v>
      </c>
      <c r="B1" s="54"/>
      <c r="C1" s="55"/>
      <c r="D1" s="54"/>
      <c r="H1" s="29"/>
    </row>
    <row r="2" spans="1:16" s="24" customFormat="1" ht="18">
      <c r="A2" s="22" t="s">
        <v>81</v>
      </c>
      <c r="B2" s="30"/>
      <c r="C2" s="29"/>
      <c r="D2" s="23"/>
      <c r="H2" s="29"/>
    </row>
    <row r="3" spans="1:16" s="24" customFormat="1" ht="18">
      <c r="A3" s="22" t="s">
        <v>82</v>
      </c>
      <c r="B3" s="30" t="s">
        <v>110</v>
      </c>
      <c r="C3" s="29"/>
      <c r="D3" s="30"/>
      <c r="H3" s="29"/>
    </row>
    <row r="4" spans="1:16" s="24" customFormat="1" ht="18">
      <c r="A4" s="22" t="s">
        <v>85</v>
      </c>
      <c r="B4" s="24" t="s">
        <v>470</v>
      </c>
      <c r="C4" s="29"/>
      <c r="H4" s="29"/>
    </row>
    <row r="5" spans="1:16" s="4" customFormat="1">
      <c r="C5" s="31"/>
      <c r="H5" s="31"/>
    </row>
    <row r="6" spans="1:16" s="25" customFormat="1" ht="14.65" thickBot="1">
      <c r="A6" s="25" t="s">
        <v>87</v>
      </c>
      <c r="B6" s="25" t="s">
        <v>88</v>
      </c>
      <c r="C6" s="27" t="s">
        <v>89</v>
      </c>
      <c r="D6" s="25" t="s">
        <v>90</v>
      </c>
      <c r="E6" s="25" t="s">
        <v>91</v>
      </c>
      <c r="F6" s="25" t="s">
        <v>92</v>
      </c>
      <c r="G6" s="25" t="s">
        <v>93</v>
      </c>
      <c r="H6" s="27" t="s">
        <v>94</v>
      </c>
      <c r="I6" s="25" t="s">
        <v>95</v>
      </c>
      <c r="J6" s="25" t="s">
        <v>96</v>
      </c>
      <c r="K6" s="25" t="s">
        <v>97</v>
      </c>
      <c r="L6" s="25" t="s">
        <v>98</v>
      </c>
      <c r="M6" s="25" t="s">
        <v>99</v>
      </c>
      <c r="N6" s="25" t="s">
        <v>100</v>
      </c>
      <c r="O6" s="25" t="s">
        <v>101</v>
      </c>
      <c r="P6" s="25" t="s">
        <v>102</v>
      </c>
    </row>
    <row r="7" spans="1:16">
      <c r="A7" s="5">
        <v>1</v>
      </c>
      <c r="B7" s="5" t="str">
        <f t="shared" ref="B7:B9" si="0">CONCATENATE($B$2, ".", A7)</f>
        <v>.1</v>
      </c>
      <c r="C7" s="28" t="s">
        <v>49</v>
      </c>
      <c r="D7" s="5" t="s">
        <v>471</v>
      </c>
      <c r="E7" s="5" t="s">
        <v>70</v>
      </c>
      <c r="F7" s="5" t="s">
        <v>105</v>
      </c>
      <c r="G7" s="5" t="s">
        <v>105</v>
      </c>
      <c r="H7" s="28" t="s">
        <v>105</v>
      </c>
      <c r="I7" s="5" t="s">
        <v>86</v>
      </c>
      <c r="J7" s="5" t="s">
        <v>105</v>
      </c>
      <c r="K7" s="5" t="s">
        <v>105</v>
      </c>
      <c r="L7" s="5" t="s">
        <v>105</v>
      </c>
      <c r="M7" s="5" t="s">
        <v>105</v>
      </c>
      <c r="N7" s="5" t="s">
        <v>105</v>
      </c>
      <c r="O7" s="5" t="s">
        <v>105</v>
      </c>
    </row>
    <row r="8" spans="1:16">
      <c r="A8" s="5">
        <v>2</v>
      </c>
      <c r="B8" s="5" t="str">
        <f t="shared" si="0"/>
        <v>.2</v>
      </c>
      <c r="C8" s="28" t="s">
        <v>49</v>
      </c>
      <c r="D8" s="5" t="s">
        <v>105</v>
      </c>
      <c r="E8" s="5" t="s">
        <v>64</v>
      </c>
      <c r="F8" s="5" t="s">
        <v>105</v>
      </c>
      <c r="G8" s="5" t="s">
        <v>105</v>
      </c>
      <c r="H8" s="28" t="s">
        <v>105</v>
      </c>
      <c r="I8" s="5" t="s">
        <v>86</v>
      </c>
      <c r="J8" s="5" t="s">
        <v>105</v>
      </c>
      <c r="K8" s="5" t="s">
        <v>105</v>
      </c>
      <c r="L8" s="5" t="s">
        <v>105</v>
      </c>
      <c r="M8" s="5" t="s">
        <v>105</v>
      </c>
      <c r="N8" s="5" t="s">
        <v>105</v>
      </c>
      <c r="O8" s="5" t="s">
        <v>105</v>
      </c>
    </row>
    <row r="9" spans="1:16" ht="42.75">
      <c r="A9" s="5">
        <v>7</v>
      </c>
      <c r="B9" s="5" t="str">
        <f t="shared" si="0"/>
        <v>.7</v>
      </c>
      <c r="C9" s="28" t="s">
        <v>57</v>
      </c>
      <c r="D9" s="5" t="s">
        <v>472</v>
      </c>
      <c r="E9" s="5" t="s">
        <v>50</v>
      </c>
      <c r="F9" s="5" t="s">
        <v>105</v>
      </c>
      <c r="G9" s="5" t="s">
        <v>105</v>
      </c>
      <c r="H9" s="28" t="s">
        <v>105</v>
      </c>
      <c r="I9" s="5" t="s">
        <v>86</v>
      </c>
      <c r="J9" s="5" t="s">
        <v>229</v>
      </c>
      <c r="K9" s="5" t="s">
        <v>166</v>
      </c>
      <c r="L9" s="5" t="s">
        <v>473</v>
      </c>
      <c r="M9" s="5" t="s">
        <v>105</v>
      </c>
      <c r="N9" s="5" t="s">
        <v>105</v>
      </c>
      <c r="O9" s="5" t="s">
        <v>474</v>
      </c>
      <c r="P9" s="5" t="s">
        <v>475</v>
      </c>
    </row>
    <row r="10" spans="1:16" ht="28.5">
      <c r="A10" s="5">
        <v>8</v>
      </c>
      <c r="B10" s="5" t="str">
        <f>CONCATENATE($B$2, ".", A10)</f>
        <v>.8</v>
      </c>
      <c r="C10" s="28" t="s">
        <v>49</v>
      </c>
      <c r="D10" s="5" t="s">
        <v>155</v>
      </c>
      <c r="E10" s="5" t="s">
        <v>48</v>
      </c>
      <c r="F10" s="5" t="s">
        <v>105</v>
      </c>
      <c r="G10" s="5" t="s">
        <v>105</v>
      </c>
      <c r="H10" s="28" t="s">
        <v>105</v>
      </c>
      <c r="I10" s="5" t="s">
        <v>86</v>
      </c>
      <c r="J10" s="5" t="s">
        <v>105</v>
      </c>
      <c r="K10" s="5" t="s">
        <v>105</v>
      </c>
      <c r="L10" s="5" t="s">
        <v>105</v>
      </c>
      <c r="M10" s="5" t="s">
        <v>105</v>
      </c>
      <c r="N10" s="5" t="s">
        <v>105</v>
      </c>
      <c r="O10" s="5" t="s">
        <v>476</v>
      </c>
    </row>
  </sheetData>
  <autoFilter ref="A6:P6" xr:uid="{00000000-0009-0000-0000-000013000000}"/>
  <conditionalFormatting sqref="C7:C1048576">
    <cfRule type="cellIs" dxfId="167" priority="9" operator="equal">
      <formula>"WIP (see comments)"</formula>
    </cfRule>
    <cfRule type="cellIs" dxfId="166" priority="10" operator="equal">
      <formula>"Removed"</formula>
    </cfRule>
    <cfRule type="cellIs" dxfId="165" priority="11" operator="equal">
      <formula>"Updated"</formula>
    </cfRule>
    <cfRule type="cellIs" dxfId="164" priority="12" operator="equal">
      <formula>"New"</formula>
    </cfRule>
  </conditionalFormatting>
  <conditionalFormatting sqref="P10:XFD10 A7:XFD7 D8:XFD8 A8:C10">
    <cfRule type="cellIs" dxfId="163" priority="4" operator="equal">
      <formula>"n/a"</formula>
    </cfRule>
  </conditionalFormatting>
  <conditionalFormatting sqref="D10:N10">
    <cfRule type="cellIs" dxfId="162" priority="3" operator="equal">
      <formula>"n/a"</formula>
    </cfRule>
  </conditionalFormatting>
  <conditionalFormatting sqref="D1:D2">
    <cfRule type="cellIs" dxfId="161" priority="2" operator="equal">
      <formula>"n/a"</formula>
    </cfRule>
  </conditionalFormatting>
  <conditionalFormatting sqref="E9:H9 J9:P9">
    <cfRule type="cellIs" dxfId="160"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1300-000000000000}">
          <x14:formula1>
            <xm:f>'List Values'!$B$5:$B$13</xm:f>
          </x14:formula1>
          <xm:sqref>C7:C1048576</xm:sqref>
        </x14:dataValidation>
        <x14:dataValidation type="list" allowBlank="1" showInputMessage="1" showErrorMessage="1" xr:uid="{00000000-0002-0000-1300-000001000000}">
          <x14:formula1>
            <xm:f>'List Values'!$A$5:$A$30</xm:f>
          </x14:formula1>
          <xm:sqref>E7:E1048576</xm:sqref>
        </x14:dataValidation>
      </x14:dataValidation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theme="0" tint="-0.499984740745262"/>
  </sheetPr>
  <dimension ref="A1:P13"/>
  <sheetViews>
    <sheetView workbookViewId="0">
      <pane xSplit="4" ySplit="6" topLeftCell="E7" activePane="bottomRight" state="frozen"/>
      <selection pane="bottomRight"/>
      <selection pane="bottomLeft" activeCell="A7" sqref="A7"/>
      <selection pane="topRight" activeCell="E1" sqref="E1"/>
    </sheetView>
  </sheetViews>
  <sheetFormatPr defaultColWidth="9.140625" defaultRowHeight="14.25"/>
  <cols>
    <col min="1" max="1" width="14.7109375" style="5" customWidth="1"/>
    <col min="2" max="2" width="12.5703125" style="5" customWidth="1"/>
    <col min="3" max="3" width="13" style="28" customWidth="1"/>
    <col min="4" max="4" width="45.140625" style="5" customWidth="1"/>
    <col min="5" max="5" width="28.7109375" style="5" customWidth="1"/>
    <col min="6" max="6" width="37" style="5" customWidth="1"/>
    <col min="7" max="7" width="29.28515625" style="5" customWidth="1"/>
    <col min="8" max="8" width="11.5703125" style="28" bestFit="1" customWidth="1"/>
    <col min="9" max="9" width="34.85546875" style="5" customWidth="1"/>
    <col min="10" max="10" width="28.140625" style="5" customWidth="1"/>
    <col min="11" max="11" width="14" style="5" customWidth="1"/>
    <col min="12" max="12" width="23" style="5" customWidth="1"/>
    <col min="13" max="13" width="29" style="5" customWidth="1"/>
    <col min="14" max="14" width="18.7109375" style="5" bestFit="1" customWidth="1"/>
    <col min="15" max="15" width="48.42578125" style="5" customWidth="1"/>
    <col min="16" max="16" width="41.85546875" style="5" customWidth="1"/>
    <col min="17" max="16384" width="9.140625" style="5"/>
  </cols>
  <sheetData>
    <row r="1" spans="1:16" s="24" customFormat="1" ht="18">
      <c r="A1" s="22" t="s">
        <v>78</v>
      </c>
      <c r="B1" s="32" t="s">
        <v>477</v>
      </c>
      <c r="C1" s="26"/>
      <c r="D1" s="23" t="s">
        <v>171</v>
      </c>
      <c r="H1" s="29"/>
    </row>
    <row r="2" spans="1:16" s="24" customFormat="1" ht="18">
      <c r="A2" s="22" t="s">
        <v>81</v>
      </c>
      <c r="B2" s="30">
        <v>14</v>
      </c>
      <c r="C2" s="29"/>
      <c r="D2" s="23"/>
      <c r="H2" s="29"/>
    </row>
    <row r="3" spans="1:16" s="24" customFormat="1" ht="18">
      <c r="A3" s="22" t="s">
        <v>82</v>
      </c>
      <c r="B3" s="30" t="s">
        <v>478</v>
      </c>
      <c r="C3" s="29"/>
      <c r="D3" s="30"/>
      <c r="H3" s="29"/>
    </row>
    <row r="4" spans="1:16" s="24" customFormat="1" ht="18">
      <c r="A4" s="22" t="s">
        <v>85</v>
      </c>
      <c r="B4" s="24" t="s">
        <v>373</v>
      </c>
      <c r="C4" s="29"/>
      <c r="H4" s="29"/>
    </row>
    <row r="5" spans="1:16" s="4" customFormat="1">
      <c r="C5" s="31"/>
      <c r="H5" s="31"/>
    </row>
    <row r="6" spans="1:16" s="25" customFormat="1" ht="14.65" thickBot="1">
      <c r="A6" s="25" t="s">
        <v>87</v>
      </c>
      <c r="B6" s="25" t="s">
        <v>88</v>
      </c>
      <c r="C6" s="27" t="s">
        <v>89</v>
      </c>
      <c r="D6" s="25" t="s">
        <v>90</v>
      </c>
      <c r="E6" s="25" t="s">
        <v>91</v>
      </c>
      <c r="F6" s="25" t="s">
        <v>92</v>
      </c>
      <c r="G6" s="25" t="s">
        <v>93</v>
      </c>
      <c r="H6" s="27" t="s">
        <v>94</v>
      </c>
      <c r="I6" s="25" t="s">
        <v>95</v>
      </c>
      <c r="J6" s="25" t="s">
        <v>96</v>
      </c>
      <c r="K6" s="25" t="s">
        <v>97</v>
      </c>
      <c r="L6" s="25" t="s">
        <v>98</v>
      </c>
      <c r="M6" s="25" t="s">
        <v>99</v>
      </c>
      <c r="N6" s="25" t="s">
        <v>100</v>
      </c>
      <c r="O6" s="25" t="s">
        <v>101</v>
      </c>
      <c r="P6" s="25" t="s">
        <v>102</v>
      </c>
    </row>
    <row r="7" spans="1:16">
      <c r="A7" s="5">
        <v>1</v>
      </c>
      <c r="B7" s="5" t="str">
        <f t="shared" ref="B7:B9" si="0">CONCATENATE($B$2, ".", A7)</f>
        <v>14.1</v>
      </c>
      <c r="C7" s="28" t="s">
        <v>53</v>
      </c>
      <c r="D7" s="5" t="s">
        <v>471</v>
      </c>
      <c r="E7" s="5" t="s">
        <v>70</v>
      </c>
      <c r="F7" s="5" t="s">
        <v>105</v>
      </c>
      <c r="G7" s="5" t="s">
        <v>105</v>
      </c>
      <c r="H7" s="28" t="s">
        <v>105</v>
      </c>
      <c r="I7" s="5" t="s">
        <v>86</v>
      </c>
      <c r="J7" s="5" t="s">
        <v>105</v>
      </c>
      <c r="K7" s="5" t="s">
        <v>105</v>
      </c>
      <c r="L7" s="5" t="s">
        <v>105</v>
      </c>
      <c r="M7" s="5" t="s">
        <v>105</v>
      </c>
      <c r="N7" s="5" t="s">
        <v>105</v>
      </c>
      <c r="O7" s="5" t="s">
        <v>105</v>
      </c>
      <c r="P7" s="5" t="s">
        <v>479</v>
      </c>
    </row>
    <row r="8" spans="1:16">
      <c r="A8" s="5">
        <v>2</v>
      </c>
      <c r="B8" s="5" t="str">
        <f t="shared" si="0"/>
        <v>14.2</v>
      </c>
      <c r="C8" s="28" t="s">
        <v>53</v>
      </c>
      <c r="D8" s="5" t="s">
        <v>105</v>
      </c>
      <c r="E8" s="5" t="s">
        <v>64</v>
      </c>
      <c r="F8" s="5" t="s">
        <v>105</v>
      </c>
      <c r="G8" s="5" t="s">
        <v>105</v>
      </c>
      <c r="H8" s="28" t="s">
        <v>105</v>
      </c>
      <c r="I8" s="5" t="s">
        <v>86</v>
      </c>
      <c r="J8" s="5" t="s">
        <v>105</v>
      </c>
      <c r="K8" s="5" t="s">
        <v>105</v>
      </c>
      <c r="L8" s="5" t="s">
        <v>105</v>
      </c>
      <c r="M8" s="5" t="s">
        <v>105</v>
      </c>
      <c r="N8" s="5" t="s">
        <v>105</v>
      </c>
      <c r="O8" s="5" t="s">
        <v>105</v>
      </c>
    </row>
    <row r="9" spans="1:16" ht="42.75">
      <c r="A9" s="5">
        <v>3</v>
      </c>
      <c r="B9" s="5" t="str">
        <f t="shared" si="0"/>
        <v>14.3</v>
      </c>
      <c r="C9" s="28" t="s">
        <v>53</v>
      </c>
      <c r="D9" s="5" t="s">
        <v>480</v>
      </c>
      <c r="E9" s="5" t="s">
        <v>73</v>
      </c>
      <c r="F9" s="5" t="s">
        <v>105</v>
      </c>
      <c r="G9" s="5" t="s">
        <v>105</v>
      </c>
      <c r="H9" s="28" t="s">
        <v>105</v>
      </c>
      <c r="I9" s="5" t="s">
        <v>86</v>
      </c>
      <c r="J9" s="5" t="s">
        <v>105</v>
      </c>
      <c r="K9" s="5" t="s">
        <v>105</v>
      </c>
      <c r="L9" s="5" t="s">
        <v>105</v>
      </c>
      <c r="M9" s="5" t="s">
        <v>105</v>
      </c>
      <c r="N9" s="5" t="s">
        <v>105</v>
      </c>
      <c r="O9" s="5" t="s">
        <v>105</v>
      </c>
    </row>
    <row r="10" spans="1:16" ht="28.5">
      <c r="A10" s="5">
        <v>4</v>
      </c>
      <c r="B10" s="5" t="str">
        <f t="shared" ref="B10:B11" si="1">CONCATENATE($B$2, ".", A10)</f>
        <v>14.4</v>
      </c>
      <c r="C10" s="28" t="s">
        <v>53</v>
      </c>
      <c r="D10" s="5" t="s">
        <v>481</v>
      </c>
      <c r="E10" s="5" t="s">
        <v>71</v>
      </c>
      <c r="F10" s="5" t="s">
        <v>105</v>
      </c>
      <c r="G10" s="5" t="s">
        <v>105</v>
      </c>
      <c r="H10" s="28" t="s">
        <v>105</v>
      </c>
      <c r="I10" s="5" t="s">
        <v>86</v>
      </c>
      <c r="J10" s="5" t="s">
        <v>105</v>
      </c>
      <c r="K10" s="5" t="s">
        <v>105</v>
      </c>
      <c r="L10" s="5" t="s">
        <v>105</v>
      </c>
      <c r="M10" s="5" t="s">
        <v>105</v>
      </c>
      <c r="N10" s="5" t="s">
        <v>105</v>
      </c>
      <c r="O10" s="5" t="s">
        <v>482</v>
      </c>
      <c r="P10" s="5" t="s">
        <v>483</v>
      </c>
    </row>
    <row r="11" spans="1:16" ht="42.75">
      <c r="A11" s="5">
        <v>7</v>
      </c>
      <c r="B11" s="5" t="str">
        <f t="shared" si="1"/>
        <v>14.7</v>
      </c>
      <c r="C11" s="28" t="s">
        <v>53</v>
      </c>
      <c r="D11" s="5" t="s">
        <v>484</v>
      </c>
      <c r="E11" s="5" t="s">
        <v>50</v>
      </c>
      <c r="F11" s="5" t="s">
        <v>228</v>
      </c>
      <c r="G11" s="5" t="s">
        <v>105</v>
      </c>
      <c r="H11" s="28" t="s">
        <v>105</v>
      </c>
      <c r="I11" s="5" t="s">
        <v>86</v>
      </c>
      <c r="J11" s="5" t="s">
        <v>229</v>
      </c>
      <c r="K11" s="5" t="s">
        <v>166</v>
      </c>
      <c r="L11" s="5" t="s">
        <v>485</v>
      </c>
      <c r="M11" s="5" t="s">
        <v>105</v>
      </c>
      <c r="N11" s="5" t="s">
        <v>105</v>
      </c>
      <c r="O11" s="5" t="s">
        <v>486</v>
      </c>
      <c r="P11" s="5" t="s">
        <v>487</v>
      </c>
    </row>
    <row r="12" spans="1:16">
      <c r="A12" s="5">
        <v>8</v>
      </c>
      <c r="B12" s="5" t="str">
        <f>CONCATENATE($B$2, ".", A12)</f>
        <v>14.8</v>
      </c>
      <c r="C12" s="28" t="s">
        <v>53</v>
      </c>
      <c r="D12" s="5" t="s">
        <v>155</v>
      </c>
      <c r="E12" s="5" t="s">
        <v>48</v>
      </c>
      <c r="F12" s="5" t="s">
        <v>105</v>
      </c>
      <c r="G12" s="5" t="s">
        <v>105</v>
      </c>
      <c r="H12" s="28" t="s">
        <v>105</v>
      </c>
      <c r="I12" s="5" t="s">
        <v>86</v>
      </c>
      <c r="J12" s="5" t="s">
        <v>105</v>
      </c>
      <c r="K12" s="5" t="s">
        <v>105</v>
      </c>
      <c r="L12" s="5" t="s">
        <v>105</v>
      </c>
      <c r="M12" s="5" t="s">
        <v>105</v>
      </c>
      <c r="N12" s="5" t="s">
        <v>105</v>
      </c>
      <c r="O12" s="5" t="s">
        <v>488</v>
      </c>
    </row>
    <row r="13" spans="1:16" ht="28.5">
      <c r="A13" s="5">
        <v>17</v>
      </c>
      <c r="B13" s="5" t="s">
        <v>489</v>
      </c>
      <c r="C13" s="28" t="s">
        <v>53</v>
      </c>
      <c r="D13" s="5" t="s">
        <v>490</v>
      </c>
      <c r="E13" s="5" t="s">
        <v>50</v>
      </c>
      <c r="F13" s="5" t="s">
        <v>228</v>
      </c>
      <c r="G13" s="5" t="s">
        <v>105</v>
      </c>
      <c r="H13" s="28" t="s">
        <v>105</v>
      </c>
      <c r="I13" s="5" t="s">
        <v>86</v>
      </c>
      <c r="J13" s="5" t="s">
        <v>229</v>
      </c>
      <c r="K13" s="5" t="s">
        <v>166</v>
      </c>
      <c r="L13" s="5" t="s">
        <v>491</v>
      </c>
      <c r="M13" s="5" t="s">
        <v>105</v>
      </c>
      <c r="N13" s="5" t="s">
        <v>105</v>
      </c>
      <c r="O13" s="5" t="s">
        <v>492</v>
      </c>
    </row>
  </sheetData>
  <autoFilter ref="A6:P6" xr:uid="{00000000-0009-0000-0000-000014000000}"/>
  <conditionalFormatting sqref="C14:C1048576">
    <cfRule type="cellIs" dxfId="159" priority="31" operator="equal">
      <formula>"WIP (see comments)"</formula>
    </cfRule>
    <cfRule type="cellIs" dxfId="158" priority="32" operator="equal">
      <formula>"Removed"</formula>
    </cfRule>
    <cfRule type="cellIs" dxfId="157" priority="33" operator="equal">
      <formula>"Updated"</formula>
    </cfRule>
    <cfRule type="cellIs" dxfId="156" priority="34" operator="equal">
      <formula>"New"</formula>
    </cfRule>
  </conditionalFormatting>
  <conditionalFormatting sqref="C7:C13">
    <cfRule type="cellIs" dxfId="155" priority="11" operator="equal">
      <formula>"WIP (see comments)"</formula>
    </cfRule>
    <cfRule type="cellIs" dxfId="154" priority="12" operator="equal">
      <formula>"Removed"</formula>
    </cfRule>
    <cfRule type="cellIs" dxfId="153" priority="13" operator="equal">
      <formula>"Updated"</formula>
    </cfRule>
    <cfRule type="cellIs" dxfId="152" priority="14" operator="equal">
      <formula>"New"</formula>
    </cfRule>
  </conditionalFormatting>
  <conditionalFormatting sqref="P12:XFD12 A7:XFD7 G9:I9 M9:XFD9 D9:E9 A8:B12 D8:XFD8 C8:C13">
    <cfRule type="cellIs" dxfId="151" priority="10" operator="equal">
      <formula>"n/a"</formula>
    </cfRule>
  </conditionalFormatting>
  <conditionalFormatting sqref="D12:N12">
    <cfRule type="cellIs" dxfId="150" priority="9" operator="equal">
      <formula>"n/a"</formula>
    </cfRule>
  </conditionalFormatting>
  <conditionalFormatting sqref="D1:D2">
    <cfRule type="cellIs" dxfId="149" priority="8" operator="equal">
      <formula>"n/a"</formula>
    </cfRule>
  </conditionalFormatting>
  <conditionalFormatting sqref="E11:P11">
    <cfRule type="cellIs" dxfId="148"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1400-000000000000}">
          <x14:formula1>
            <xm:f>'List Values'!$A$5:$A$30</xm:f>
          </x14:formula1>
          <xm:sqref>E7:E1048576</xm:sqref>
        </x14:dataValidation>
        <x14:dataValidation type="list" allowBlank="1" showInputMessage="1" showErrorMessage="1" xr:uid="{00000000-0002-0000-1400-000001000000}">
          <x14:formula1>
            <xm:f>'List Values'!$B$5:$B$13</xm:f>
          </x14:formula1>
          <xm:sqref>C7:C1048576</xm:sqref>
        </x14:dataValidation>
      </x14:dataValidations>
    </ext>
  </extLs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theme="0" tint="-0.499984740745262"/>
  </sheetPr>
  <dimension ref="A1:P15"/>
  <sheetViews>
    <sheetView workbookViewId="0">
      <pane xSplit="4" ySplit="6" topLeftCell="E10" activePane="bottomRight" state="frozen"/>
      <selection pane="bottomRight" activeCell="G11" sqref="G11"/>
      <selection pane="bottomLeft" activeCell="A7" sqref="A7"/>
      <selection pane="topRight" activeCell="E1" sqref="E1"/>
    </sheetView>
  </sheetViews>
  <sheetFormatPr defaultColWidth="9.140625" defaultRowHeight="14.25"/>
  <cols>
    <col min="1" max="1" width="14.7109375" style="5" customWidth="1"/>
    <col min="2" max="2" width="12.5703125" style="5" customWidth="1"/>
    <col min="3" max="3" width="13" style="28" customWidth="1"/>
    <col min="4" max="4" width="45.140625" style="5" customWidth="1"/>
    <col min="5" max="5" width="28.7109375" style="5" customWidth="1"/>
    <col min="6" max="6" width="37" style="5" customWidth="1"/>
    <col min="7" max="7" width="29.28515625" style="5" customWidth="1"/>
    <col min="8" max="8" width="11.5703125" style="28" bestFit="1" customWidth="1"/>
    <col min="9" max="9" width="34.85546875" style="5" customWidth="1"/>
    <col min="10" max="10" width="28.140625" style="5" customWidth="1"/>
    <col min="11" max="11" width="14" style="5" customWidth="1"/>
    <col min="12" max="12" width="23" style="5" customWidth="1"/>
    <col min="13" max="13" width="29" style="5" customWidth="1"/>
    <col min="14" max="14" width="18.7109375" style="5" bestFit="1" customWidth="1"/>
    <col min="15" max="15" width="48.42578125" style="5" customWidth="1"/>
    <col min="16" max="16" width="41.85546875" style="5" customWidth="1"/>
    <col min="17" max="16384" width="9.140625" style="5"/>
  </cols>
  <sheetData>
    <row r="1" spans="1:16" s="24" customFormat="1" ht="18">
      <c r="A1" s="22" t="s">
        <v>78</v>
      </c>
      <c r="B1" s="32" t="s">
        <v>493</v>
      </c>
      <c r="C1" s="26"/>
      <c r="D1" s="23" t="s">
        <v>494</v>
      </c>
      <c r="H1" s="29"/>
    </row>
    <row r="2" spans="1:16" s="24" customFormat="1" ht="18">
      <c r="A2" s="22" t="s">
        <v>81</v>
      </c>
      <c r="B2" s="30"/>
      <c r="C2" s="29"/>
      <c r="D2" s="30"/>
      <c r="H2" s="29"/>
    </row>
    <row r="3" spans="1:16" s="24" customFormat="1" ht="18">
      <c r="A3" s="22" t="s">
        <v>82</v>
      </c>
      <c r="B3" s="30" t="s">
        <v>495</v>
      </c>
      <c r="C3" s="29"/>
      <c r="D3" s="30"/>
      <c r="H3" s="29"/>
    </row>
    <row r="4" spans="1:16" s="24" customFormat="1" ht="18">
      <c r="A4" s="22" t="s">
        <v>85</v>
      </c>
      <c r="B4" s="24" t="s">
        <v>373</v>
      </c>
      <c r="C4" s="29"/>
      <c r="H4" s="29"/>
    </row>
    <row r="5" spans="1:16" s="4" customFormat="1">
      <c r="C5" s="31"/>
      <c r="H5" s="31"/>
    </row>
    <row r="6" spans="1:16" s="25" customFormat="1" ht="14.65" thickBot="1">
      <c r="A6" s="25" t="s">
        <v>87</v>
      </c>
      <c r="B6" s="25" t="s">
        <v>88</v>
      </c>
      <c r="C6" s="27" t="s">
        <v>89</v>
      </c>
      <c r="D6" s="25" t="s">
        <v>90</v>
      </c>
      <c r="E6" s="25" t="s">
        <v>91</v>
      </c>
      <c r="F6" s="25" t="s">
        <v>92</v>
      </c>
      <c r="G6" s="25" t="s">
        <v>93</v>
      </c>
      <c r="H6" s="27" t="s">
        <v>94</v>
      </c>
      <c r="I6" s="25" t="s">
        <v>95</v>
      </c>
      <c r="J6" s="25" t="s">
        <v>96</v>
      </c>
      <c r="K6" s="25" t="s">
        <v>97</v>
      </c>
      <c r="L6" s="25" t="s">
        <v>98</v>
      </c>
      <c r="M6" s="25" t="s">
        <v>99</v>
      </c>
      <c r="N6" s="25" t="s">
        <v>100</v>
      </c>
      <c r="O6" s="25" t="s">
        <v>101</v>
      </c>
      <c r="P6" s="25" t="s">
        <v>102</v>
      </c>
    </row>
    <row r="7" spans="1:16">
      <c r="A7" s="5">
        <v>1</v>
      </c>
      <c r="B7" s="5" t="str">
        <f t="shared" ref="B7:B11" si="0">CONCATENATE($B$2, ".", A7)</f>
        <v>.1</v>
      </c>
      <c r="C7" s="28" t="s">
        <v>53</v>
      </c>
      <c r="D7" s="5" t="s">
        <v>496</v>
      </c>
      <c r="E7" s="5" t="s">
        <v>70</v>
      </c>
      <c r="F7" s="5" t="s">
        <v>105</v>
      </c>
      <c r="G7" s="5" t="s">
        <v>105</v>
      </c>
      <c r="H7" s="28" t="s">
        <v>105</v>
      </c>
      <c r="I7" s="5" t="s">
        <v>86</v>
      </c>
      <c r="J7" s="5" t="s">
        <v>105</v>
      </c>
      <c r="K7" s="5" t="s">
        <v>105</v>
      </c>
      <c r="L7" s="5" t="s">
        <v>105</v>
      </c>
      <c r="M7" s="5" t="s">
        <v>105</v>
      </c>
      <c r="N7" s="5" t="s">
        <v>105</v>
      </c>
      <c r="O7" s="5" t="s">
        <v>105</v>
      </c>
      <c r="P7" s="5" t="s">
        <v>479</v>
      </c>
    </row>
    <row r="8" spans="1:16">
      <c r="A8" s="5">
        <v>2</v>
      </c>
      <c r="B8" s="5" t="str">
        <f t="shared" si="0"/>
        <v>.2</v>
      </c>
      <c r="C8" s="28" t="s">
        <v>53</v>
      </c>
      <c r="D8" s="5" t="s">
        <v>105</v>
      </c>
      <c r="E8" s="5" t="s">
        <v>64</v>
      </c>
      <c r="F8" s="5" t="s">
        <v>105</v>
      </c>
      <c r="G8" s="5" t="s">
        <v>105</v>
      </c>
      <c r="H8" s="28" t="s">
        <v>105</v>
      </c>
      <c r="I8" s="5" t="s">
        <v>86</v>
      </c>
      <c r="J8" s="5" t="s">
        <v>105</v>
      </c>
      <c r="K8" s="5" t="s">
        <v>105</v>
      </c>
      <c r="L8" s="5" t="s">
        <v>105</v>
      </c>
      <c r="M8" s="5" t="s">
        <v>105</v>
      </c>
      <c r="N8" s="5" t="s">
        <v>105</v>
      </c>
      <c r="O8" s="5" t="s">
        <v>105</v>
      </c>
    </row>
    <row r="9" spans="1:16" ht="144.75" customHeight="1">
      <c r="A9" s="5">
        <v>3</v>
      </c>
      <c r="B9" s="5" t="str">
        <f t="shared" si="0"/>
        <v>.3</v>
      </c>
      <c r="C9" s="28" t="s">
        <v>53</v>
      </c>
      <c r="D9" s="5" t="s">
        <v>497</v>
      </c>
      <c r="E9" s="5" t="s">
        <v>58</v>
      </c>
      <c r="F9" s="5" t="s">
        <v>498</v>
      </c>
      <c r="G9" s="5" t="s">
        <v>499</v>
      </c>
      <c r="H9" s="28" t="s">
        <v>105</v>
      </c>
      <c r="I9" s="5" t="s">
        <v>86</v>
      </c>
      <c r="J9" s="5" t="s">
        <v>350</v>
      </c>
      <c r="K9" s="5" t="s">
        <v>166</v>
      </c>
      <c r="L9" s="5" t="s">
        <v>363</v>
      </c>
      <c r="M9" s="5" t="s">
        <v>105</v>
      </c>
      <c r="N9" s="5" t="s">
        <v>105</v>
      </c>
      <c r="O9" s="5" t="s">
        <v>105</v>
      </c>
      <c r="P9" s="5" t="s">
        <v>500</v>
      </c>
    </row>
    <row r="10" spans="1:16" ht="185.25" customHeight="1">
      <c r="A10" s="5">
        <v>4</v>
      </c>
      <c r="B10" s="5" t="str">
        <f t="shared" si="0"/>
        <v>.4</v>
      </c>
      <c r="C10" s="28" t="s">
        <v>53</v>
      </c>
      <c r="D10" s="5" t="s">
        <v>501</v>
      </c>
      <c r="E10" s="5" t="s">
        <v>74</v>
      </c>
      <c r="F10" s="5" t="s">
        <v>348</v>
      </c>
      <c r="G10" s="5" t="s">
        <v>105</v>
      </c>
      <c r="H10" s="28">
        <v>30</v>
      </c>
      <c r="I10" s="5" t="s">
        <v>502</v>
      </c>
      <c r="J10" s="5" t="s">
        <v>350</v>
      </c>
      <c r="K10" s="5" t="s">
        <v>166</v>
      </c>
      <c r="L10" s="5" t="s">
        <v>365</v>
      </c>
      <c r="M10" s="5" t="s">
        <v>105</v>
      </c>
      <c r="N10" s="5" t="s">
        <v>105</v>
      </c>
      <c r="O10" s="5" t="s">
        <v>503</v>
      </c>
    </row>
    <row r="11" spans="1:16" ht="119.25" customHeight="1">
      <c r="A11" s="5">
        <v>5</v>
      </c>
      <c r="B11" s="5" t="str">
        <f t="shared" si="0"/>
        <v>.5</v>
      </c>
      <c r="C11" s="28" t="s">
        <v>53</v>
      </c>
      <c r="D11" s="5" t="s">
        <v>504</v>
      </c>
      <c r="E11" s="5" t="s">
        <v>67</v>
      </c>
      <c r="F11" s="5" t="s">
        <v>299</v>
      </c>
      <c r="G11" s="5" t="s">
        <v>505</v>
      </c>
      <c r="H11" s="28" t="s">
        <v>105</v>
      </c>
      <c r="I11" s="5" t="s">
        <v>506</v>
      </c>
      <c r="J11" s="5" t="s">
        <v>507</v>
      </c>
      <c r="K11" s="5" t="s">
        <v>166</v>
      </c>
      <c r="L11" s="5" t="s">
        <v>105</v>
      </c>
      <c r="M11" s="5" t="s">
        <v>105</v>
      </c>
      <c r="N11" s="5" t="s">
        <v>105</v>
      </c>
    </row>
    <row r="12" spans="1:16">
      <c r="A12" s="5">
        <v>6</v>
      </c>
      <c r="B12" s="5" t="str">
        <f>CONCATENATE($B$2, ".", A12)</f>
        <v>.6</v>
      </c>
      <c r="C12" s="28" t="s">
        <v>53</v>
      </c>
      <c r="D12" s="5" t="s">
        <v>155</v>
      </c>
      <c r="E12" s="5" t="s">
        <v>48</v>
      </c>
      <c r="F12" s="5" t="s">
        <v>105</v>
      </c>
      <c r="G12" s="5" t="s">
        <v>105</v>
      </c>
      <c r="H12" s="28" t="s">
        <v>105</v>
      </c>
      <c r="I12" s="5" t="s">
        <v>86</v>
      </c>
      <c r="J12" s="5" t="s">
        <v>105</v>
      </c>
      <c r="K12" s="5" t="s">
        <v>105</v>
      </c>
      <c r="L12" s="5" t="s">
        <v>105</v>
      </c>
      <c r="M12" s="5" t="s">
        <v>105</v>
      </c>
      <c r="N12" s="5" t="s">
        <v>105</v>
      </c>
      <c r="O12" s="5" t="s">
        <v>508</v>
      </c>
    </row>
    <row r="13" spans="1:16">
      <c r="A13" s="5">
        <v>7</v>
      </c>
      <c r="B13" s="5" t="str">
        <f t="shared" ref="B13" si="1">CONCATENATE($B$2, ".", A13)</f>
        <v>.7</v>
      </c>
      <c r="C13" s="28" t="s">
        <v>53</v>
      </c>
      <c r="D13" s="5" t="s">
        <v>168</v>
      </c>
      <c r="E13" s="5" t="s">
        <v>48</v>
      </c>
      <c r="F13" s="5" t="s">
        <v>105</v>
      </c>
      <c r="G13" s="5" t="s">
        <v>105</v>
      </c>
      <c r="H13" s="28" t="s">
        <v>105</v>
      </c>
      <c r="I13" s="5" t="s">
        <v>86</v>
      </c>
      <c r="J13" s="5" t="s">
        <v>105</v>
      </c>
      <c r="K13" s="5" t="s">
        <v>105</v>
      </c>
      <c r="L13" s="5" t="s">
        <v>105</v>
      </c>
      <c r="M13" s="5" t="s">
        <v>105</v>
      </c>
      <c r="N13" s="5" t="s">
        <v>105</v>
      </c>
      <c r="O13" s="46" t="s">
        <v>509</v>
      </c>
    </row>
    <row r="15" spans="1:16">
      <c r="D15" s="5" t="s">
        <v>329</v>
      </c>
    </row>
  </sheetData>
  <autoFilter ref="A6:P13" xr:uid="{00000000-0009-0000-0000-000015000000}"/>
  <conditionalFormatting sqref="C7:C1048576">
    <cfRule type="cellIs" dxfId="147" priority="19" operator="equal">
      <formula>"WIP (see comments)"</formula>
    </cfRule>
    <cfRule type="cellIs" dxfId="146" priority="20" operator="equal">
      <formula>"Removed"</formula>
    </cfRule>
    <cfRule type="cellIs" dxfId="145" priority="21" operator="equal">
      <formula>"Updated"</formula>
    </cfRule>
    <cfRule type="cellIs" dxfId="144" priority="22" operator="equal">
      <formula>"New"</formula>
    </cfRule>
  </conditionalFormatting>
  <conditionalFormatting sqref="A9:B10 D9:XFD10">
    <cfRule type="cellIs" dxfId="143" priority="2" operator="equal">
      <formula>"n/a"</formula>
    </cfRule>
  </conditionalFormatting>
  <conditionalFormatting sqref="D1">
    <cfRule type="cellIs" dxfId="142"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1500-000000000000}">
          <x14:formula1>
            <xm:f>'List Values'!$A$5:$A$30</xm:f>
          </x14:formula1>
          <xm:sqref>E7:E1048576</xm:sqref>
        </x14:dataValidation>
        <x14:dataValidation type="list" allowBlank="1" showInputMessage="1" showErrorMessage="1" xr:uid="{00000000-0002-0000-1500-000001000000}">
          <x14:formula1>
            <xm:f>'List Values'!$B$5:$B$12</xm:f>
          </x14:formula1>
          <xm:sqref>C7:C1048576</xm:sqref>
        </x14:dataValidation>
      </x14:dataValidations>
    </ext>
  </extLs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P10"/>
  <sheetViews>
    <sheetView workbookViewId="0">
      <pane xSplit="4" ySplit="6" topLeftCell="E7" activePane="bottomRight" state="frozen"/>
      <selection pane="bottomRight" activeCell="A5" sqref="A5"/>
      <selection pane="bottomLeft" activeCell="A7" sqref="A7"/>
      <selection pane="topRight" activeCell="E1" sqref="E1"/>
    </sheetView>
  </sheetViews>
  <sheetFormatPr defaultColWidth="9.140625" defaultRowHeight="14.25"/>
  <cols>
    <col min="1" max="1" width="14.7109375" style="5" customWidth="1"/>
    <col min="2" max="2" width="12.5703125" style="5" customWidth="1"/>
    <col min="3" max="3" width="14.28515625" style="28" customWidth="1"/>
    <col min="4" max="4" width="45.140625" style="5" customWidth="1"/>
    <col min="5" max="5" width="28.7109375" style="5" customWidth="1"/>
    <col min="6" max="6" width="37" style="5" customWidth="1"/>
    <col min="7" max="7" width="29.28515625" style="5" customWidth="1"/>
    <col min="8" max="8" width="11.5703125" style="28" bestFit="1" customWidth="1"/>
    <col min="9" max="9" width="34.85546875" style="5" customWidth="1"/>
    <col min="10" max="10" width="28.140625" style="5" customWidth="1"/>
    <col min="11" max="11" width="14" style="5" customWidth="1"/>
    <col min="12" max="12" width="23" style="5" customWidth="1"/>
    <col min="13" max="13" width="29" style="5" customWidth="1"/>
    <col min="14" max="14" width="18.7109375" style="5" bestFit="1" customWidth="1"/>
    <col min="15" max="15" width="48.42578125" style="5" customWidth="1"/>
    <col min="16" max="16" width="41.85546875" style="5" customWidth="1"/>
    <col min="17" max="16384" width="9.140625" style="5"/>
  </cols>
  <sheetData>
    <row r="1" spans="1:16" s="24" customFormat="1" ht="18">
      <c r="A1" s="22" t="s">
        <v>78</v>
      </c>
      <c r="B1" s="32" t="s">
        <v>510</v>
      </c>
      <c r="C1" s="26"/>
      <c r="D1" s="23"/>
      <c r="H1" s="29"/>
    </row>
    <row r="2" spans="1:16" s="24" customFormat="1" ht="18">
      <c r="A2" s="22" t="s">
        <v>81</v>
      </c>
      <c r="B2" s="30" t="s">
        <v>511</v>
      </c>
      <c r="C2" s="29"/>
      <c r="D2" s="30"/>
      <c r="H2" s="29"/>
    </row>
    <row r="3" spans="1:16" s="24" customFormat="1" ht="18">
      <c r="A3" s="22" t="s">
        <v>82</v>
      </c>
      <c r="B3" s="30" t="s">
        <v>512</v>
      </c>
      <c r="C3" s="29"/>
      <c r="D3" s="30" t="s">
        <v>513</v>
      </c>
      <c r="H3" s="29"/>
    </row>
    <row r="4" spans="1:16" s="24" customFormat="1" ht="18">
      <c r="A4" s="22" t="s">
        <v>85</v>
      </c>
      <c r="B4" s="24" t="s">
        <v>514</v>
      </c>
      <c r="C4" s="29"/>
      <c r="H4" s="29"/>
    </row>
    <row r="5" spans="1:16" s="4" customFormat="1">
      <c r="C5" s="31"/>
      <c r="H5" s="31"/>
    </row>
    <row r="6" spans="1:16" s="25" customFormat="1" ht="14.65" thickBot="1">
      <c r="A6" s="25" t="s">
        <v>87</v>
      </c>
      <c r="B6" s="25" t="s">
        <v>88</v>
      </c>
      <c r="C6" s="27" t="s">
        <v>89</v>
      </c>
      <c r="D6" s="25" t="s">
        <v>90</v>
      </c>
      <c r="E6" s="25" t="s">
        <v>91</v>
      </c>
      <c r="F6" s="25" t="s">
        <v>92</v>
      </c>
      <c r="G6" s="25" t="s">
        <v>93</v>
      </c>
      <c r="H6" s="27" t="s">
        <v>94</v>
      </c>
      <c r="I6" s="25" t="s">
        <v>95</v>
      </c>
      <c r="J6" s="25" t="s">
        <v>96</v>
      </c>
      <c r="K6" s="25" t="s">
        <v>97</v>
      </c>
      <c r="L6" s="25" t="s">
        <v>98</v>
      </c>
      <c r="M6" s="25" t="s">
        <v>99</v>
      </c>
      <c r="N6" s="25" t="s">
        <v>100</v>
      </c>
      <c r="O6" s="25" t="s">
        <v>101</v>
      </c>
      <c r="P6" s="25" t="s">
        <v>102</v>
      </c>
    </row>
    <row r="7" spans="1:16">
      <c r="A7" s="5">
        <v>1</v>
      </c>
      <c r="B7" s="5" t="str">
        <f>CONCATENATE($B$2, ".", A7)</f>
        <v>A.1</v>
      </c>
      <c r="C7" s="28" t="s">
        <v>51</v>
      </c>
      <c r="D7" s="5" t="s">
        <v>105</v>
      </c>
      <c r="E7" s="5" t="s">
        <v>63</v>
      </c>
      <c r="F7" s="5" t="s">
        <v>105</v>
      </c>
      <c r="G7" s="5" t="s">
        <v>105</v>
      </c>
      <c r="H7" s="28" t="s">
        <v>105</v>
      </c>
      <c r="I7" s="5" t="s">
        <v>86</v>
      </c>
      <c r="J7" s="5" t="s">
        <v>105</v>
      </c>
      <c r="K7" s="5" t="s">
        <v>105</v>
      </c>
      <c r="L7" s="5" t="s">
        <v>105</v>
      </c>
      <c r="M7" s="5" t="s">
        <v>105</v>
      </c>
      <c r="N7" s="5" t="s">
        <v>105</v>
      </c>
      <c r="O7" s="5" t="s">
        <v>515</v>
      </c>
      <c r="P7" s="5" t="s">
        <v>516</v>
      </c>
    </row>
    <row r="8" spans="1:16">
      <c r="A8" s="5">
        <v>2</v>
      </c>
      <c r="B8" s="5" t="str">
        <f t="shared" ref="B8:B10" si="0">CONCATENATE($B$2, ".", A8)</f>
        <v>A.2</v>
      </c>
      <c r="C8" s="28" t="s">
        <v>51</v>
      </c>
      <c r="D8" s="5" t="s">
        <v>517</v>
      </c>
      <c r="E8" s="5" t="s">
        <v>69</v>
      </c>
      <c r="F8" s="5" t="s">
        <v>105</v>
      </c>
      <c r="G8" s="5" t="s">
        <v>105</v>
      </c>
      <c r="H8" s="28" t="s">
        <v>105</v>
      </c>
      <c r="I8" s="5" t="s">
        <v>86</v>
      </c>
      <c r="J8" s="5" t="s">
        <v>105</v>
      </c>
      <c r="K8" s="5" t="s">
        <v>105</v>
      </c>
      <c r="L8" s="5" t="s">
        <v>105</v>
      </c>
      <c r="M8" s="5" t="s">
        <v>105</v>
      </c>
      <c r="N8" s="5" t="s">
        <v>105</v>
      </c>
    </row>
    <row r="9" spans="1:16">
      <c r="A9" s="5">
        <v>3</v>
      </c>
      <c r="B9" s="5" t="str">
        <f t="shared" si="0"/>
        <v>A.3</v>
      </c>
      <c r="C9" s="28" t="s">
        <v>51</v>
      </c>
      <c r="D9" s="34" t="s">
        <v>518</v>
      </c>
      <c r="E9" s="5" t="s">
        <v>72</v>
      </c>
      <c r="F9" s="5" t="s">
        <v>105</v>
      </c>
      <c r="G9" s="5" t="s">
        <v>105</v>
      </c>
      <c r="H9" s="28" t="s">
        <v>105</v>
      </c>
      <c r="I9" s="5" t="s">
        <v>86</v>
      </c>
      <c r="J9" s="5" t="s">
        <v>105</v>
      </c>
      <c r="K9" s="5" t="s">
        <v>105</v>
      </c>
      <c r="L9" s="5" t="s">
        <v>105</v>
      </c>
      <c r="M9" s="5" t="s">
        <v>105</v>
      </c>
      <c r="N9" s="5" t="s">
        <v>105</v>
      </c>
    </row>
    <row r="10" spans="1:16" ht="81" customHeight="1">
      <c r="A10" s="5">
        <v>4</v>
      </c>
      <c r="B10" s="5" t="str">
        <f t="shared" si="0"/>
        <v>A.4</v>
      </c>
      <c r="C10" s="28" t="s">
        <v>51</v>
      </c>
      <c r="D10" s="36" t="s">
        <v>519</v>
      </c>
      <c r="E10" s="5" t="s">
        <v>71</v>
      </c>
      <c r="F10" s="5" t="s">
        <v>105</v>
      </c>
      <c r="G10" s="5" t="s">
        <v>105</v>
      </c>
      <c r="H10" s="28" t="s">
        <v>105</v>
      </c>
      <c r="I10" s="5" t="s">
        <v>86</v>
      </c>
      <c r="J10" s="5" t="s">
        <v>105</v>
      </c>
      <c r="K10" s="5" t="s">
        <v>105</v>
      </c>
      <c r="L10" s="5" t="s">
        <v>105</v>
      </c>
      <c r="M10" s="5" t="s">
        <v>105</v>
      </c>
      <c r="N10" s="5" t="s">
        <v>105</v>
      </c>
      <c r="O10" s="5" t="s">
        <v>520</v>
      </c>
      <c r="P10" s="5" t="s">
        <v>439</v>
      </c>
    </row>
  </sheetData>
  <autoFilter ref="A6:P9" xr:uid="{00000000-0009-0000-0000-000016000000}"/>
  <conditionalFormatting sqref="C7:C1048576">
    <cfRule type="cellIs" dxfId="141" priority="7" operator="equal">
      <formula>"WIP (see comments)"</formula>
    </cfRule>
    <cfRule type="cellIs" dxfId="140" priority="8" operator="equal">
      <formula>"Removed"</formula>
    </cfRule>
    <cfRule type="cellIs" dxfId="139" priority="9" operator="equal">
      <formula>"Updated"</formula>
    </cfRule>
    <cfRule type="cellIs" dxfId="138" priority="10" operator="equal">
      <formula>"New"</formula>
    </cfRule>
  </conditionalFormatting>
  <conditionalFormatting sqref="D9">
    <cfRule type="cellIs" dxfId="137" priority="6" operator="equal">
      <formula>"-"</formula>
    </cfRule>
  </conditionalFormatting>
  <conditionalFormatting sqref="A2:XFD6 E7:XFD7 A8:XFD9 A7:C7 A1:C1 E1:XFD1 A11:XFD1048576 A10:C10 E10:XFD10 C8:C10">
    <cfRule type="cellIs" dxfId="136" priority="5" operator="equal">
      <formula>"n/a"</formula>
    </cfRule>
  </conditionalFormatting>
  <conditionalFormatting sqref="D7">
    <cfRule type="cellIs" dxfId="135" priority="4" operator="equal">
      <formula>"-"</formula>
    </cfRule>
  </conditionalFormatting>
  <conditionalFormatting sqref="D7">
    <cfRule type="cellIs" dxfId="134" priority="3" operator="equal">
      <formula>"n/a"</formula>
    </cfRule>
  </conditionalFormatting>
  <conditionalFormatting sqref="D1">
    <cfRule type="cellIs" dxfId="133" priority="2" operator="equal">
      <formula>"n/a"</formula>
    </cfRule>
  </conditionalFormatting>
  <conditionalFormatting sqref="D10">
    <cfRule type="cellIs" dxfId="132" priority="1" operator="equal">
      <formula>"n/a"</formula>
    </cfRule>
  </conditionalFormatting>
  <dataValidations count="1">
    <dataValidation type="list" allowBlank="1" showInputMessage="1" showErrorMessage="1" sqref="E7:E9" xr:uid="{00000000-0002-0000-1600-000000000000}">
      <formula1>$A$5:$A$27</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1600-000001000000}">
          <x14:formula1>
            <xm:f>'List Values'!$B$5:$B$14</xm:f>
          </x14:formula1>
          <xm:sqref>C7:C1048576</xm:sqref>
        </x14:dataValidation>
        <x14:dataValidation type="list" allowBlank="1" showInputMessage="1" showErrorMessage="1" xr:uid="{00000000-0002-0000-1600-000002000000}">
          <x14:formula1>
            <xm:f>'List Values'!$A$5:$A$30</xm:f>
          </x14:formula1>
          <xm:sqref>E10:E1048576</xm:sqref>
        </x14:dataValidation>
      </x14:dataValidations>
    </ext>
  </extLs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theme="0" tint="-0.499984740745262"/>
  </sheetPr>
  <dimension ref="A1:P9"/>
  <sheetViews>
    <sheetView workbookViewId="0">
      <pane xSplit="4" ySplit="6" topLeftCell="E7" activePane="bottomRight" state="frozen"/>
      <selection pane="bottomRight" activeCell="E16" sqref="E16"/>
      <selection pane="bottomLeft" activeCell="A7" sqref="A7"/>
      <selection pane="topRight" activeCell="E1" sqref="E1"/>
    </sheetView>
  </sheetViews>
  <sheetFormatPr defaultColWidth="9.140625" defaultRowHeight="14.25"/>
  <cols>
    <col min="1" max="1" width="14.7109375" style="5" customWidth="1"/>
    <col min="2" max="2" width="12.5703125" style="5" customWidth="1"/>
    <col min="3" max="3" width="15.85546875" style="28" customWidth="1"/>
    <col min="4" max="4" width="45.140625" style="5" customWidth="1"/>
    <col min="5" max="5" width="28.7109375" style="5" customWidth="1"/>
    <col min="6" max="6" width="37" style="5" customWidth="1"/>
    <col min="7" max="7" width="29.28515625" style="5" customWidth="1"/>
    <col min="8" max="8" width="11.5703125" style="28" bestFit="1" customWidth="1"/>
    <col min="9" max="9" width="34.85546875" style="5" customWidth="1"/>
    <col min="10" max="10" width="28.140625" style="5" customWidth="1"/>
    <col min="11" max="11" width="14" style="5" customWidth="1"/>
    <col min="12" max="12" width="23" style="5" customWidth="1"/>
    <col min="13" max="13" width="29" style="5" customWidth="1"/>
    <col min="14" max="14" width="18.7109375" style="5" bestFit="1" customWidth="1"/>
    <col min="15" max="15" width="48.42578125" style="5" customWidth="1"/>
    <col min="16" max="16" width="41.85546875" style="5" customWidth="1"/>
    <col min="17" max="16384" width="9.140625" style="5"/>
  </cols>
  <sheetData>
    <row r="1" spans="1:16" s="24" customFormat="1" ht="18">
      <c r="A1" s="22" t="s">
        <v>78</v>
      </c>
      <c r="B1" s="32" t="s">
        <v>521</v>
      </c>
      <c r="C1" s="26"/>
      <c r="D1" s="23" t="s">
        <v>522</v>
      </c>
      <c r="H1" s="29"/>
    </row>
    <row r="2" spans="1:16" s="24" customFormat="1" ht="18">
      <c r="A2" s="22" t="s">
        <v>81</v>
      </c>
      <c r="B2" s="30" t="s">
        <v>523</v>
      </c>
      <c r="C2" s="29"/>
      <c r="D2" s="30"/>
      <c r="H2" s="29"/>
    </row>
    <row r="3" spans="1:16" s="24" customFormat="1" ht="18">
      <c r="A3" s="22" t="s">
        <v>82</v>
      </c>
      <c r="B3" s="30" t="s">
        <v>524</v>
      </c>
      <c r="C3" s="29"/>
      <c r="D3" s="30"/>
      <c r="H3" s="29"/>
    </row>
    <row r="4" spans="1:16" s="24" customFormat="1" ht="18">
      <c r="A4" s="22" t="s">
        <v>85</v>
      </c>
      <c r="C4" s="29"/>
      <c r="H4" s="29"/>
    </row>
    <row r="5" spans="1:16" s="4" customFormat="1">
      <c r="C5" s="31"/>
      <c r="H5" s="31"/>
    </row>
    <row r="6" spans="1:16" s="25" customFormat="1" ht="14.65" thickBot="1">
      <c r="A6" s="25" t="s">
        <v>87</v>
      </c>
      <c r="B6" s="25" t="s">
        <v>88</v>
      </c>
      <c r="C6" s="27" t="s">
        <v>89</v>
      </c>
      <c r="D6" s="25" t="s">
        <v>90</v>
      </c>
      <c r="E6" s="25" t="s">
        <v>91</v>
      </c>
      <c r="F6" s="25" t="s">
        <v>92</v>
      </c>
      <c r="G6" s="25" t="s">
        <v>93</v>
      </c>
      <c r="H6" s="27" t="s">
        <v>94</v>
      </c>
      <c r="I6" s="25" t="s">
        <v>95</v>
      </c>
      <c r="J6" s="25" t="s">
        <v>96</v>
      </c>
      <c r="K6" s="25" t="s">
        <v>97</v>
      </c>
      <c r="L6" s="25" t="s">
        <v>98</v>
      </c>
      <c r="M6" s="25" t="s">
        <v>99</v>
      </c>
      <c r="N6" s="25" t="s">
        <v>100</v>
      </c>
      <c r="O6" s="25" t="s">
        <v>101</v>
      </c>
      <c r="P6" s="25" t="s">
        <v>102</v>
      </c>
    </row>
    <row r="7" spans="1:16">
      <c r="A7" s="5">
        <v>1</v>
      </c>
      <c r="B7" s="5" t="str">
        <f>CONCATENATE($B$2, ".", A7)</f>
        <v>B.1</v>
      </c>
      <c r="C7" s="28" t="s">
        <v>53</v>
      </c>
      <c r="D7" s="5" t="s">
        <v>105</v>
      </c>
      <c r="E7" s="5" t="s">
        <v>63</v>
      </c>
      <c r="F7" s="5" t="s">
        <v>105</v>
      </c>
      <c r="G7" s="5" t="s">
        <v>105</v>
      </c>
      <c r="H7" s="28" t="s">
        <v>105</v>
      </c>
      <c r="I7" s="5" t="s">
        <v>86</v>
      </c>
      <c r="J7" s="5" t="s">
        <v>105</v>
      </c>
      <c r="K7" s="5" t="s">
        <v>105</v>
      </c>
      <c r="L7" s="5" t="s">
        <v>105</v>
      </c>
      <c r="M7" s="5" t="s">
        <v>105</v>
      </c>
      <c r="N7" s="5" t="s">
        <v>105</v>
      </c>
      <c r="O7" s="5" t="s">
        <v>525</v>
      </c>
      <c r="P7" s="5" t="s">
        <v>516</v>
      </c>
    </row>
    <row r="8" spans="1:16">
      <c r="A8" s="5">
        <v>2</v>
      </c>
      <c r="B8" s="5" t="str">
        <f t="shared" ref="B8:B9" si="0">CONCATENATE($B$2, ".", A8)</f>
        <v>B.2</v>
      </c>
      <c r="C8" s="28" t="s">
        <v>53</v>
      </c>
      <c r="D8" s="5" t="s">
        <v>526</v>
      </c>
      <c r="E8" s="5" t="s">
        <v>69</v>
      </c>
      <c r="F8" s="5" t="s">
        <v>105</v>
      </c>
      <c r="G8" s="5" t="s">
        <v>105</v>
      </c>
      <c r="H8" s="28" t="s">
        <v>105</v>
      </c>
      <c r="I8" s="5" t="s">
        <v>86</v>
      </c>
      <c r="J8" s="5" t="s">
        <v>105</v>
      </c>
      <c r="K8" s="5" t="s">
        <v>105</v>
      </c>
      <c r="L8" s="5" t="s">
        <v>105</v>
      </c>
      <c r="M8" s="5" t="s">
        <v>105</v>
      </c>
      <c r="N8" s="5" t="s">
        <v>105</v>
      </c>
    </row>
    <row r="9" spans="1:16" ht="71.25" customHeight="1">
      <c r="A9" s="5">
        <v>3</v>
      </c>
      <c r="B9" s="5" t="str">
        <f t="shared" si="0"/>
        <v>B.3</v>
      </c>
      <c r="C9" s="28" t="s">
        <v>53</v>
      </c>
      <c r="D9" s="36" t="s">
        <v>527</v>
      </c>
      <c r="E9" s="5" t="s">
        <v>71</v>
      </c>
      <c r="F9" s="5" t="s">
        <v>105</v>
      </c>
      <c r="G9" s="5" t="s">
        <v>105</v>
      </c>
      <c r="H9" s="28" t="s">
        <v>105</v>
      </c>
      <c r="I9" s="5" t="s">
        <v>86</v>
      </c>
      <c r="J9" s="5" t="s">
        <v>105</v>
      </c>
      <c r="K9" s="5" t="s">
        <v>105</v>
      </c>
      <c r="L9" s="5" t="s">
        <v>105</v>
      </c>
      <c r="M9" s="5" t="s">
        <v>105</v>
      </c>
      <c r="N9" s="5" t="s">
        <v>105</v>
      </c>
      <c r="O9" s="5" t="s">
        <v>528</v>
      </c>
    </row>
  </sheetData>
  <autoFilter ref="A6:P9" xr:uid="{00000000-0009-0000-0000-000017000000}"/>
  <conditionalFormatting sqref="C7:C1048576">
    <cfRule type="cellIs" dxfId="131" priority="10" operator="equal">
      <formula>"WIP (see comments)"</formula>
    </cfRule>
    <cfRule type="cellIs" dxfId="130" priority="11" operator="equal">
      <formula>"Removed"</formula>
    </cfRule>
    <cfRule type="cellIs" dxfId="129" priority="12" operator="equal">
      <formula>"Updated"</formula>
    </cfRule>
    <cfRule type="cellIs" dxfId="128" priority="13" operator="equal">
      <formula>"New"</formula>
    </cfRule>
  </conditionalFormatting>
  <conditionalFormatting sqref="A12:XFD1048576 A11:C11 E11:XFD11 P9:XFD9 A10:XFD10 A2:XFD2 Q7:XFD7 E7:O7 A8:XFD8 A9:C9 A7:C7 A1:C1 E1:XFD1 E9:N9 A4:XFD6 A3:C3 E3:XFD3 C8:C9">
    <cfRule type="cellIs" dxfId="127" priority="8" operator="equal">
      <formula>"n/a"</formula>
    </cfRule>
  </conditionalFormatting>
  <conditionalFormatting sqref="O9">
    <cfRule type="cellIs" dxfId="126" priority="7" operator="equal">
      <formula>"n/a"</formula>
    </cfRule>
  </conditionalFormatting>
  <conditionalFormatting sqref="P7">
    <cfRule type="cellIs" dxfId="125" priority="6" operator="equal">
      <formula>"n/a"</formula>
    </cfRule>
  </conditionalFormatting>
  <conditionalFormatting sqref="D7">
    <cfRule type="cellIs" dxfId="124" priority="5" operator="equal">
      <formula>"-"</formula>
    </cfRule>
  </conditionalFormatting>
  <conditionalFormatting sqref="D7">
    <cfRule type="cellIs" dxfId="123" priority="4" operator="equal">
      <formula>"n/a"</formula>
    </cfRule>
  </conditionalFormatting>
  <conditionalFormatting sqref="D1">
    <cfRule type="cellIs" dxfId="122" priority="3" operator="equal">
      <formula>"n/a"</formula>
    </cfRule>
  </conditionalFormatting>
  <conditionalFormatting sqref="D9">
    <cfRule type="cellIs" dxfId="121" priority="2" operator="equal">
      <formula>"n/a"</formula>
    </cfRule>
  </conditionalFormatting>
  <conditionalFormatting sqref="D3">
    <cfRule type="cellIs" dxfId="120" priority="1" operator="equal">
      <formula>"n/a"</formula>
    </cfRule>
  </conditionalFormatting>
  <dataValidations count="1">
    <dataValidation type="list" allowBlank="1" showInputMessage="1" showErrorMessage="1" sqref="E7:E8" xr:uid="{00000000-0002-0000-1700-000000000000}">
      <formula1>$A$5:$A$27</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1700-000001000000}">
          <x14:formula1>
            <xm:f>'List Values'!$A$5:$A$30</xm:f>
          </x14:formula1>
          <xm:sqref>E9:E1048576</xm:sqref>
        </x14:dataValidation>
        <x14:dataValidation type="list" allowBlank="1" showInputMessage="1" showErrorMessage="1" xr:uid="{00000000-0002-0000-1700-000002000000}">
          <x14:formula1>
            <xm:f>'List Values'!$B$5:$B$14</xm:f>
          </x14:formula1>
          <xm:sqref>C7:C1048576</xm:sqref>
        </x14:dataValidation>
      </x14:dataValidations>
    </ext>
  </extLst>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theme="0" tint="-0.499984740745262"/>
  </sheetPr>
  <dimension ref="A1:P10"/>
  <sheetViews>
    <sheetView workbookViewId="0">
      <pane xSplit="4" ySplit="6" topLeftCell="E7" activePane="bottomRight" state="frozen"/>
      <selection pane="bottomRight" activeCell="A7" sqref="A7"/>
      <selection pane="bottomLeft" activeCell="A7" sqref="A7"/>
      <selection pane="topRight" activeCell="E1" sqref="E1"/>
    </sheetView>
  </sheetViews>
  <sheetFormatPr defaultColWidth="9.140625" defaultRowHeight="14.25"/>
  <cols>
    <col min="1" max="1" width="14.7109375" style="5" customWidth="1"/>
    <col min="2" max="2" width="12.5703125" style="5" customWidth="1"/>
    <col min="3" max="3" width="13" style="28" customWidth="1"/>
    <col min="4" max="4" width="45.140625" style="5" customWidth="1"/>
    <col min="5" max="5" width="28.7109375" style="5" customWidth="1"/>
    <col min="6" max="6" width="37" style="5" customWidth="1"/>
    <col min="7" max="7" width="29.28515625" style="5" customWidth="1"/>
    <col min="8" max="8" width="11.5703125" style="28" bestFit="1" customWidth="1"/>
    <col min="9" max="9" width="34.85546875" style="5" customWidth="1"/>
    <col min="10" max="10" width="28.140625" style="5" customWidth="1"/>
    <col min="11" max="11" width="14" style="5" customWidth="1"/>
    <col min="12" max="12" width="23" style="5" customWidth="1"/>
    <col min="13" max="13" width="29" style="5" customWidth="1"/>
    <col min="14" max="14" width="18.7109375" style="5" bestFit="1" customWidth="1"/>
    <col min="15" max="15" width="48.42578125" style="5" customWidth="1"/>
    <col min="16" max="16" width="41.85546875" style="5" customWidth="1"/>
    <col min="17" max="16384" width="9.140625" style="5"/>
  </cols>
  <sheetData>
    <row r="1" spans="1:16" s="24" customFormat="1" ht="18">
      <c r="A1" s="22" t="s">
        <v>78</v>
      </c>
      <c r="B1" s="32" t="s">
        <v>529</v>
      </c>
      <c r="C1" s="26"/>
      <c r="D1" s="23" t="s">
        <v>530</v>
      </c>
      <c r="H1" s="29"/>
    </row>
    <row r="2" spans="1:16" s="24" customFormat="1" ht="18">
      <c r="A2" s="22" t="s">
        <v>81</v>
      </c>
      <c r="B2" s="30" t="s">
        <v>531</v>
      </c>
      <c r="C2" s="29"/>
      <c r="D2" s="30"/>
      <c r="H2" s="29"/>
    </row>
    <row r="3" spans="1:16" s="24" customFormat="1" ht="18">
      <c r="A3" s="22" t="s">
        <v>82</v>
      </c>
      <c r="B3" s="30" t="s">
        <v>532</v>
      </c>
      <c r="C3" s="29"/>
      <c r="D3" s="47"/>
      <c r="H3" s="29"/>
    </row>
    <row r="4" spans="1:16" s="24" customFormat="1" ht="18">
      <c r="A4" s="22" t="s">
        <v>85</v>
      </c>
      <c r="B4" s="24" t="s">
        <v>533</v>
      </c>
      <c r="C4" s="29"/>
      <c r="H4" s="29"/>
    </row>
    <row r="5" spans="1:16" s="4" customFormat="1">
      <c r="C5" s="31"/>
      <c r="H5" s="31"/>
    </row>
    <row r="6" spans="1:16" s="25" customFormat="1" ht="14.65" thickBot="1">
      <c r="A6" s="25" t="s">
        <v>87</v>
      </c>
      <c r="B6" s="25" t="s">
        <v>88</v>
      </c>
      <c r="C6" s="27" t="s">
        <v>89</v>
      </c>
      <c r="D6" s="25" t="s">
        <v>90</v>
      </c>
      <c r="E6" s="25" t="s">
        <v>91</v>
      </c>
      <c r="F6" s="25" t="s">
        <v>92</v>
      </c>
      <c r="G6" s="25" t="s">
        <v>93</v>
      </c>
      <c r="H6" s="27" t="s">
        <v>94</v>
      </c>
      <c r="I6" s="25" t="s">
        <v>95</v>
      </c>
      <c r="J6" s="25" t="s">
        <v>96</v>
      </c>
      <c r="K6" s="25" t="s">
        <v>97</v>
      </c>
      <c r="L6" s="25" t="s">
        <v>98</v>
      </c>
      <c r="M6" s="25" t="s">
        <v>99</v>
      </c>
      <c r="N6" s="25" t="s">
        <v>100</v>
      </c>
      <c r="O6" s="25" t="s">
        <v>101</v>
      </c>
      <c r="P6" s="25" t="s">
        <v>102</v>
      </c>
    </row>
    <row r="7" spans="1:16">
      <c r="A7" s="5">
        <v>1</v>
      </c>
      <c r="B7" s="5" t="str">
        <f>CONCATENATE($B$2, ".", A7)</f>
        <v>C.1</v>
      </c>
      <c r="C7" s="28" t="s">
        <v>53</v>
      </c>
      <c r="D7" s="5" t="s">
        <v>105</v>
      </c>
      <c r="E7" s="5" t="s">
        <v>63</v>
      </c>
    </row>
    <row r="8" spans="1:16">
      <c r="A8" s="5">
        <v>2</v>
      </c>
      <c r="B8" s="5" t="str">
        <f t="shared" ref="B8:B10" si="0">CONCATENATE($B$2, ".", A8)</f>
        <v>C.2</v>
      </c>
      <c r="C8" s="28" t="s">
        <v>53</v>
      </c>
      <c r="D8" s="5" t="s">
        <v>534</v>
      </c>
      <c r="E8" s="5" t="s">
        <v>69</v>
      </c>
    </row>
    <row r="9" spans="1:16" ht="28.5">
      <c r="A9" s="5">
        <v>3</v>
      </c>
      <c r="B9" s="5" t="str">
        <f t="shared" si="0"/>
        <v>C.3</v>
      </c>
      <c r="C9" s="28" t="s">
        <v>53</v>
      </c>
      <c r="D9" s="5" t="s">
        <v>535</v>
      </c>
      <c r="E9" s="5" t="s">
        <v>72</v>
      </c>
    </row>
    <row r="10" spans="1:16" ht="54" customHeight="1">
      <c r="A10" s="5">
        <v>4</v>
      </c>
      <c r="B10" s="5" t="str">
        <f t="shared" si="0"/>
        <v>C.4</v>
      </c>
      <c r="C10" s="28" t="s">
        <v>53</v>
      </c>
      <c r="D10" s="5" t="s">
        <v>536</v>
      </c>
      <c r="E10" s="5" t="s">
        <v>72</v>
      </c>
    </row>
  </sheetData>
  <autoFilter ref="A6:P9" xr:uid="{00000000-0009-0000-0000-000018000000}"/>
  <conditionalFormatting sqref="C7:C1048576">
    <cfRule type="cellIs" dxfId="119" priority="6" operator="equal">
      <formula>"WIP (see comments)"</formula>
    </cfRule>
    <cfRule type="cellIs" dxfId="118" priority="7" operator="equal">
      <formula>"Removed"</formula>
    </cfRule>
    <cfRule type="cellIs" dxfId="117" priority="8" operator="equal">
      <formula>"Updated"</formula>
    </cfRule>
    <cfRule type="cellIs" dxfId="116" priority="9" operator="equal">
      <formula>"New"</formula>
    </cfRule>
  </conditionalFormatting>
  <conditionalFormatting sqref="D9 D7">
    <cfRule type="cellIs" dxfId="115" priority="5" operator="equal">
      <formula>"-"</formula>
    </cfRule>
  </conditionalFormatting>
  <conditionalFormatting sqref="A2:XFD2 Q7:XFD7 A7:O7 A1:C1 E1:XFD1 A4:XFD6 A3:C3 E3:XFD3 A8:XFD1048576">
    <cfRule type="cellIs" dxfId="114" priority="4" operator="equal">
      <formula>"n/a"</formula>
    </cfRule>
  </conditionalFormatting>
  <conditionalFormatting sqref="P7">
    <cfRule type="cellIs" dxfId="113" priority="3" operator="equal">
      <formula>"n/a"</formula>
    </cfRule>
  </conditionalFormatting>
  <conditionalFormatting sqref="D1">
    <cfRule type="cellIs" dxfId="112" priority="2" operator="equal">
      <formula>"n/a"</formula>
    </cfRule>
  </conditionalFormatting>
  <conditionalFormatting sqref="D3">
    <cfRule type="cellIs" dxfId="111" priority="1" operator="equal">
      <formula>"n/a"</formula>
    </cfRule>
  </conditionalFormatting>
  <dataValidations count="1">
    <dataValidation type="list" allowBlank="1" showInputMessage="1" showErrorMessage="1" sqref="E7:E9" xr:uid="{00000000-0002-0000-1800-000000000000}">
      <formula1>$A$5:$A$27</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1800-000001000000}">
          <x14:formula1>
            <xm:f>'List Values'!$B$5:$B$14</xm:f>
          </x14:formula1>
          <xm:sqref>C7:C1048576</xm:sqref>
        </x14:dataValidation>
        <x14:dataValidation type="list" allowBlank="1" showInputMessage="1" showErrorMessage="1" xr:uid="{00000000-0002-0000-1800-000002000000}">
          <x14:formula1>
            <xm:f>'List Values'!$A$5:$A$30</xm:f>
          </x14:formula1>
          <xm:sqref>E10:E1048576</xm:sqref>
        </x14:dataValidation>
      </x14:dataValidations>
    </ext>
  </extLst>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P9"/>
  <sheetViews>
    <sheetView zoomScaleNormal="100" workbookViewId="0">
      <pane xSplit="4" ySplit="6" topLeftCell="E7" activePane="bottomRight" state="frozen"/>
      <selection pane="bottomRight" activeCell="A9" sqref="A9"/>
      <selection pane="bottomLeft" activeCell="A7" sqref="A7"/>
      <selection pane="topRight" activeCell="E1" sqref="E1"/>
    </sheetView>
  </sheetViews>
  <sheetFormatPr defaultColWidth="9.140625" defaultRowHeight="14.25"/>
  <cols>
    <col min="1" max="1" width="14.7109375" style="5" customWidth="1"/>
    <col min="2" max="2" width="12.5703125" style="5" customWidth="1"/>
    <col min="3" max="3" width="13" style="28" customWidth="1"/>
    <col min="4" max="4" width="45.140625" style="5" customWidth="1"/>
    <col min="5" max="5" width="28.7109375" style="5" customWidth="1"/>
    <col min="6" max="6" width="37" style="5" customWidth="1"/>
    <col min="7" max="7" width="29.28515625" style="5" customWidth="1"/>
    <col min="8" max="8" width="11.5703125" style="28" bestFit="1" customWidth="1"/>
    <col min="9" max="9" width="34.85546875" style="5" customWidth="1"/>
    <col min="10" max="10" width="28.140625" style="5" customWidth="1"/>
    <col min="11" max="11" width="14" style="5" customWidth="1"/>
    <col min="12" max="12" width="23" style="5" customWidth="1"/>
    <col min="13" max="13" width="29" style="5" customWidth="1"/>
    <col min="14" max="14" width="18.7109375" style="5" bestFit="1" customWidth="1"/>
    <col min="15" max="15" width="48.42578125" style="5" customWidth="1"/>
    <col min="16" max="16" width="41.85546875" style="5" customWidth="1"/>
    <col min="17" max="16384" width="9.140625" style="5"/>
  </cols>
  <sheetData>
    <row r="1" spans="1:16" s="24" customFormat="1" ht="18">
      <c r="A1" s="22" t="s">
        <v>78</v>
      </c>
      <c r="B1" s="32" t="s">
        <v>537</v>
      </c>
      <c r="C1" s="26"/>
      <c r="D1" s="23"/>
      <c r="H1" s="29"/>
    </row>
    <row r="2" spans="1:16" s="24" customFormat="1" ht="18">
      <c r="A2" s="22" t="s">
        <v>81</v>
      </c>
      <c r="B2" s="30" t="s">
        <v>538</v>
      </c>
      <c r="C2" s="29"/>
      <c r="D2" s="30"/>
      <c r="H2" s="29"/>
    </row>
    <row r="3" spans="1:16" s="24" customFormat="1" ht="18">
      <c r="A3" s="22" t="s">
        <v>82</v>
      </c>
      <c r="B3" s="30" t="s">
        <v>539</v>
      </c>
      <c r="C3" s="29"/>
      <c r="D3" s="30" t="s">
        <v>540</v>
      </c>
      <c r="H3" s="29"/>
    </row>
    <row r="4" spans="1:16" s="24" customFormat="1" ht="18">
      <c r="A4" s="22" t="s">
        <v>85</v>
      </c>
      <c r="B4" s="24" t="s">
        <v>541</v>
      </c>
      <c r="C4" s="29"/>
      <c r="H4" s="29"/>
    </row>
    <row r="5" spans="1:16" s="4" customFormat="1">
      <c r="C5" s="31"/>
      <c r="H5" s="31"/>
    </row>
    <row r="6" spans="1:16" s="25" customFormat="1" ht="14.65" thickBot="1">
      <c r="A6" s="25" t="s">
        <v>87</v>
      </c>
      <c r="B6" s="25" t="s">
        <v>88</v>
      </c>
      <c r="C6" s="27" t="s">
        <v>89</v>
      </c>
      <c r="D6" s="25" t="s">
        <v>90</v>
      </c>
      <c r="E6" s="25" t="s">
        <v>91</v>
      </c>
      <c r="F6" s="25" t="s">
        <v>92</v>
      </c>
      <c r="G6" s="25" t="s">
        <v>93</v>
      </c>
      <c r="H6" s="27" t="s">
        <v>94</v>
      </c>
      <c r="I6" s="25" t="s">
        <v>95</v>
      </c>
      <c r="J6" s="25" t="s">
        <v>96</v>
      </c>
      <c r="K6" s="25" t="s">
        <v>97</v>
      </c>
      <c r="L6" s="25" t="s">
        <v>98</v>
      </c>
      <c r="M6" s="25" t="s">
        <v>99</v>
      </c>
      <c r="N6" s="25" t="s">
        <v>100</v>
      </c>
      <c r="O6" s="25" t="s">
        <v>101</v>
      </c>
      <c r="P6" s="25" t="s">
        <v>102</v>
      </c>
    </row>
    <row r="7" spans="1:16">
      <c r="A7" s="5">
        <v>1</v>
      </c>
      <c r="B7" s="5" t="str">
        <f>CONCATENATE($B$2, ".", A7)</f>
        <v>D.1</v>
      </c>
      <c r="C7" s="28" t="s">
        <v>51</v>
      </c>
      <c r="D7" s="5" t="s">
        <v>105</v>
      </c>
      <c r="E7" s="5" t="s">
        <v>63</v>
      </c>
      <c r="F7" s="5" t="s">
        <v>105</v>
      </c>
      <c r="G7" s="5" t="s">
        <v>105</v>
      </c>
      <c r="H7" s="28" t="s">
        <v>105</v>
      </c>
      <c r="I7" s="5" t="s">
        <v>86</v>
      </c>
      <c r="J7" s="5" t="s">
        <v>105</v>
      </c>
      <c r="K7" s="5" t="s">
        <v>105</v>
      </c>
      <c r="L7" s="5" t="s">
        <v>105</v>
      </c>
      <c r="M7" s="5" t="s">
        <v>105</v>
      </c>
      <c r="N7" s="5" t="s">
        <v>105</v>
      </c>
      <c r="O7" s="5" t="s">
        <v>542</v>
      </c>
      <c r="P7" s="5" t="s">
        <v>516</v>
      </c>
    </row>
    <row r="8" spans="1:16">
      <c r="A8" s="5">
        <v>2</v>
      </c>
      <c r="B8" s="5" t="str">
        <f t="shared" ref="B8:B9" si="0">CONCATENATE($B$2, ".", A8)</f>
        <v>D.2</v>
      </c>
      <c r="C8" s="28" t="s">
        <v>51</v>
      </c>
      <c r="D8" s="5" t="s">
        <v>543</v>
      </c>
      <c r="E8" s="5" t="s">
        <v>69</v>
      </c>
      <c r="F8" s="5" t="s">
        <v>105</v>
      </c>
      <c r="G8" s="5" t="s">
        <v>105</v>
      </c>
      <c r="H8" s="28" t="s">
        <v>105</v>
      </c>
      <c r="I8" s="5" t="s">
        <v>86</v>
      </c>
      <c r="J8" s="5" t="s">
        <v>105</v>
      </c>
      <c r="K8" s="5" t="s">
        <v>105</v>
      </c>
      <c r="L8" s="5" t="s">
        <v>105</v>
      </c>
      <c r="M8" s="5" t="s">
        <v>105</v>
      </c>
      <c r="N8" s="5" t="s">
        <v>105</v>
      </c>
    </row>
    <row r="9" spans="1:16" ht="42.75">
      <c r="A9" s="5">
        <v>3</v>
      </c>
      <c r="B9" s="5" t="str">
        <f t="shared" si="0"/>
        <v>D.3</v>
      </c>
      <c r="C9" s="28" t="s">
        <v>51</v>
      </c>
      <c r="D9" s="34" t="s">
        <v>544</v>
      </c>
      <c r="E9" s="5" t="s">
        <v>71</v>
      </c>
      <c r="F9" s="5" t="s">
        <v>105</v>
      </c>
      <c r="G9" s="5" t="s">
        <v>105</v>
      </c>
      <c r="H9" s="28" t="s">
        <v>105</v>
      </c>
      <c r="I9" s="5" t="s">
        <v>86</v>
      </c>
      <c r="J9" s="5" t="s">
        <v>105</v>
      </c>
      <c r="K9" s="5" t="s">
        <v>105</v>
      </c>
      <c r="L9" s="5" t="s">
        <v>105</v>
      </c>
      <c r="M9" s="5" t="s">
        <v>105</v>
      </c>
      <c r="N9" s="5" t="s">
        <v>105</v>
      </c>
      <c r="O9" s="5" t="s">
        <v>545</v>
      </c>
    </row>
  </sheetData>
  <autoFilter ref="A6:P9" xr:uid="{00000000-0009-0000-0000-000019000000}"/>
  <conditionalFormatting sqref="C7:C1048576">
    <cfRule type="cellIs" dxfId="110" priority="6" operator="equal">
      <formula>"WIP (see comments)"</formula>
    </cfRule>
    <cfRule type="cellIs" dxfId="109" priority="7" operator="equal">
      <formula>"Removed"</formula>
    </cfRule>
    <cfRule type="cellIs" dxfId="108" priority="8" operator="equal">
      <formula>"Updated"</formula>
    </cfRule>
    <cfRule type="cellIs" dxfId="107" priority="9" operator="equal">
      <formula>"New"</formula>
    </cfRule>
  </conditionalFormatting>
  <conditionalFormatting sqref="D9 D7">
    <cfRule type="cellIs" dxfId="106" priority="5" operator="equal">
      <formula>"-"</formula>
    </cfRule>
  </conditionalFormatting>
  <conditionalFormatting sqref="A2:XFD2 Q7:XFD7 A7:O7 A1:C1 E1:XFD1 A4:XFD6 A3:C3 E3:XFD3 A8:XFD1048576">
    <cfRule type="cellIs" dxfId="105" priority="4" operator="equal">
      <formula>"n/a"</formula>
    </cfRule>
  </conditionalFormatting>
  <conditionalFormatting sqref="P7">
    <cfRule type="cellIs" dxfId="104" priority="3" operator="equal">
      <formula>"n/a"</formula>
    </cfRule>
  </conditionalFormatting>
  <conditionalFormatting sqref="D1">
    <cfRule type="cellIs" dxfId="103" priority="2" operator="equal">
      <formula>"n/a"</formula>
    </cfRule>
  </conditionalFormatting>
  <conditionalFormatting sqref="D3">
    <cfRule type="cellIs" dxfId="102" priority="1" operator="equal">
      <formula>"n/a"</formula>
    </cfRule>
  </conditionalFormatting>
  <dataValidations count="1">
    <dataValidation type="list" allowBlank="1" showInputMessage="1" showErrorMessage="1" sqref="E7:E9" xr:uid="{00000000-0002-0000-1900-000000000000}">
      <formula1>$A$5:$A$27</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1900-000001000000}">
          <x14:formula1>
            <xm:f>'List Values'!$A$5:$A$30</xm:f>
          </x14:formula1>
          <xm:sqref>E10:E1048576</xm:sqref>
        </x14:dataValidation>
        <x14:dataValidation type="list" allowBlank="1" showInputMessage="1" showErrorMessage="1" xr:uid="{00000000-0002-0000-1900-000002000000}">
          <x14:formula1>
            <xm:f>'List Values'!$B$5:$B$14</xm:f>
          </x14:formula1>
          <xm:sqref>C7:C1048576</xm:sqref>
        </x14:dataValidation>
      </x14:dataValidations>
    </ext>
  </extLst>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P10"/>
  <sheetViews>
    <sheetView zoomScaleNormal="100" workbookViewId="0">
      <pane xSplit="4" ySplit="6" topLeftCell="E7" activePane="bottomRight" state="frozen"/>
      <selection pane="bottomRight" activeCell="A7" sqref="A7"/>
      <selection pane="bottomLeft" activeCell="A7" sqref="A7"/>
      <selection pane="topRight" activeCell="E1" sqref="E1"/>
    </sheetView>
  </sheetViews>
  <sheetFormatPr defaultColWidth="9.140625" defaultRowHeight="14.25"/>
  <cols>
    <col min="1" max="1" width="14.7109375" style="5" customWidth="1"/>
    <col min="2" max="2" width="12.5703125" style="5" customWidth="1"/>
    <col min="3" max="3" width="13" style="28" customWidth="1"/>
    <col min="4" max="4" width="45.140625" style="5" customWidth="1"/>
    <col min="5" max="5" width="28.7109375" style="5" customWidth="1"/>
    <col min="6" max="6" width="37" style="5" customWidth="1"/>
    <col min="7" max="7" width="29.28515625" style="5" customWidth="1"/>
    <col min="8" max="8" width="11.5703125" style="28" bestFit="1" customWidth="1"/>
    <col min="9" max="9" width="34.85546875" style="5" customWidth="1"/>
    <col min="10" max="10" width="28.140625" style="5" customWidth="1"/>
    <col min="11" max="11" width="14" style="5" customWidth="1"/>
    <col min="12" max="12" width="23" style="5" customWidth="1"/>
    <col min="13" max="13" width="29" style="5" customWidth="1"/>
    <col min="14" max="14" width="18.7109375" style="5" bestFit="1" customWidth="1"/>
    <col min="15" max="15" width="48.42578125" style="5" customWidth="1"/>
    <col min="16" max="16" width="41.85546875" style="5" customWidth="1"/>
    <col min="17" max="16384" width="9.140625" style="5"/>
  </cols>
  <sheetData>
    <row r="1" spans="1:16" s="24" customFormat="1" ht="18">
      <c r="A1" s="22" t="s">
        <v>78</v>
      </c>
      <c r="B1" s="32" t="s">
        <v>546</v>
      </c>
      <c r="C1" s="26"/>
      <c r="D1" s="23"/>
      <c r="H1" s="29"/>
    </row>
    <row r="2" spans="1:16" s="24" customFormat="1" ht="18">
      <c r="A2" s="22" t="s">
        <v>81</v>
      </c>
      <c r="B2" s="30" t="s">
        <v>547</v>
      </c>
      <c r="C2" s="29"/>
      <c r="D2" s="30"/>
      <c r="H2" s="29"/>
    </row>
    <row r="3" spans="1:16" s="24" customFormat="1" ht="18">
      <c r="A3" s="22" t="s">
        <v>82</v>
      </c>
      <c r="B3" s="30" t="s">
        <v>548</v>
      </c>
      <c r="C3" s="29"/>
      <c r="D3" s="30" t="s">
        <v>549</v>
      </c>
      <c r="H3" s="29"/>
    </row>
    <row r="4" spans="1:16" s="24" customFormat="1" ht="18">
      <c r="A4" s="22" t="s">
        <v>85</v>
      </c>
      <c r="B4" s="24" t="s">
        <v>550</v>
      </c>
      <c r="C4" s="29"/>
      <c r="H4" s="29"/>
    </row>
    <row r="5" spans="1:16" s="4" customFormat="1">
      <c r="C5" s="31"/>
      <c r="H5" s="31"/>
    </row>
    <row r="6" spans="1:16" s="25" customFormat="1" ht="14.65" thickBot="1">
      <c r="A6" s="25" t="s">
        <v>87</v>
      </c>
      <c r="B6" s="25" t="s">
        <v>88</v>
      </c>
      <c r="C6" s="27" t="s">
        <v>89</v>
      </c>
      <c r="D6" s="25" t="s">
        <v>90</v>
      </c>
      <c r="E6" s="25" t="s">
        <v>91</v>
      </c>
      <c r="F6" s="25" t="s">
        <v>92</v>
      </c>
      <c r="G6" s="25" t="s">
        <v>93</v>
      </c>
      <c r="H6" s="27" t="s">
        <v>94</v>
      </c>
      <c r="I6" s="25" t="s">
        <v>95</v>
      </c>
      <c r="J6" s="25" t="s">
        <v>96</v>
      </c>
      <c r="K6" s="25" t="s">
        <v>97</v>
      </c>
      <c r="L6" s="25" t="s">
        <v>98</v>
      </c>
      <c r="M6" s="25" t="s">
        <v>99</v>
      </c>
      <c r="N6" s="25" t="s">
        <v>100</v>
      </c>
      <c r="O6" s="25" t="s">
        <v>101</v>
      </c>
      <c r="P6" s="25" t="s">
        <v>102</v>
      </c>
    </row>
    <row r="7" spans="1:16">
      <c r="A7" s="5">
        <v>1</v>
      </c>
      <c r="B7" s="5" t="str">
        <f>CONCATENATE($B$2, ".", A7)</f>
        <v>E.1</v>
      </c>
      <c r="C7" s="28" t="s">
        <v>51</v>
      </c>
      <c r="D7" s="5" t="s">
        <v>105</v>
      </c>
      <c r="E7" s="5" t="s">
        <v>63</v>
      </c>
      <c r="F7" s="5" t="s">
        <v>105</v>
      </c>
      <c r="G7" s="5" t="s">
        <v>105</v>
      </c>
      <c r="H7" s="28" t="s">
        <v>105</v>
      </c>
      <c r="I7" s="5" t="s">
        <v>86</v>
      </c>
      <c r="J7" s="5" t="s">
        <v>105</v>
      </c>
      <c r="K7" s="5" t="s">
        <v>105</v>
      </c>
      <c r="L7" s="5" t="s">
        <v>105</v>
      </c>
      <c r="M7" s="5" t="s">
        <v>105</v>
      </c>
      <c r="N7" s="5" t="s">
        <v>105</v>
      </c>
      <c r="O7" s="5" t="s">
        <v>551</v>
      </c>
      <c r="P7" s="5" t="s">
        <v>516</v>
      </c>
    </row>
    <row r="8" spans="1:16">
      <c r="A8" s="5">
        <v>2</v>
      </c>
      <c r="B8" s="5" t="str">
        <f t="shared" ref="B8:B10" si="0">CONCATENATE($B$2, ".", A8)</f>
        <v>E.2</v>
      </c>
      <c r="C8" s="28" t="s">
        <v>51</v>
      </c>
      <c r="D8" s="5" t="s">
        <v>552</v>
      </c>
      <c r="E8" s="5" t="s">
        <v>69</v>
      </c>
      <c r="F8" s="5" t="s">
        <v>105</v>
      </c>
      <c r="G8" s="5" t="s">
        <v>105</v>
      </c>
      <c r="H8" s="28" t="s">
        <v>105</v>
      </c>
      <c r="I8" s="5" t="s">
        <v>86</v>
      </c>
      <c r="J8" s="5" t="s">
        <v>105</v>
      </c>
      <c r="K8" s="5" t="s">
        <v>105</v>
      </c>
      <c r="L8" s="5" t="s">
        <v>105</v>
      </c>
      <c r="M8" s="5" t="s">
        <v>105</v>
      </c>
      <c r="N8" s="5" t="s">
        <v>105</v>
      </c>
    </row>
    <row r="9" spans="1:16" ht="28.5">
      <c r="A9" s="5">
        <v>3</v>
      </c>
      <c r="B9" s="5" t="str">
        <f t="shared" si="0"/>
        <v>E.3</v>
      </c>
      <c r="C9" s="28" t="s">
        <v>51</v>
      </c>
      <c r="D9" s="34" t="s">
        <v>553</v>
      </c>
      <c r="E9" s="5" t="s">
        <v>72</v>
      </c>
      <c r="F9" s="5" t="s">
        <v>105</v>
      </c>
      <c r="G9" s="5" t="s">
        <v>105</v>
      </c>
      <c r="H9" s="28" t="s">
        <v>105</v>
      </c>
      <c r="I9" s="5" t="s">
        <v>86</v>
      </c>
      <c r="J9" s="5" t="s">
        <v>105</v>
      </c>
      <c r="K9" s="5" t="s">
        <v>105</v>
      </c>
      <c r="L9" s="5" t="s">
        <v>105</v>
      </c>
      <c r="M9" s="5" t="s">
        <v>105</v>
      </c>
      <c r="N9" s="5" t="s">
        <v>105</v>
      </c>
    </row>
    <row r="10" spans="1:16" ht="47.1" customHeight="1">
      <c r="A10" s="5">
        <v>4</v>
      </c>
      <c r="B10" s="5" t="str">
        <f t="shared" si="0"/>
        <v>E.4</v>
      </c>
      <c r="C10" s="28" t="s">
        <v>51</v>
      </c>
      <c r="D10" s="5" t="s">
        <v>554</v>
      </c>
      <c r="E10" s="5" t="s">
        <v>72</v>
      </c>
      <c r="F10" s="5" t="s">
        <v>105</v>
      </c>
      <c r="G10" s="5" t="s">
        <v>105</v>
      </c>
      <c r="H10" s="28" t="s">
        <v>105</v>
      </c>
      <c r="I10" s="5" t="s">
        <v>86</v>
      </c>
      <c r="J10" s="5" t="s">
        <v>105</v>
      </c>
      <c r="K10" s="5" t="s">
        <v>105</v>
      </c>
      <c r="L10" s="5" t="s">
        <v>105</v>
      </c>
      <c r="M10" s="5" t="s">
        <v>105</v>
      </c>
      <c r="N10" s="5" t="s">
        <v>105</v>
      </c>
    </row>
  </sheetData>
  <autoFilter ref="A6:P9" xr:uid="{00000000-0009-0000-0000-00001A000000}"/>
  <conditionalFormatting sqref="C7:C1048576">
    <cfRule type="cellIs" dxfId="101" priority="6" operator="equal">
      <formula>"WIP (see comments)"</formula>
    </cfRule>
    <cfRule type="cellIs" dxfId="100" priority="7" operator="equal">
      <formula>"Removed"</formula>
    </cfRule>
    <cfRule type="cellIs" dxfId="99" priority="8" operator="equal">
      <formula>"Updated"</formula>
    </cfRule>
    <cfRule type="cellIs" dxfId="98" priority="9" operator="equal">
      <formula>"New"</formula>
    </cfRule>
  </conditionalFormatting>
  <conditionalFormatting sqref="D9 D7">
    <cfRule type="cellIs" dxfId="97" priority="5" operator="equal">
      <formula>"-"</formula>
    </cfRule>
  </conditionalFormatting>
  <conditionalFormatting sqref="A2:XFD2 Q7:XFD7 A7:O7 A1:C1 E1:XFD1 A4:XFD6 A3:C3 E3:XFD3 A8:XFD1048576">
    <cfRule type="cellIs" dxfId="96" priority="4" operator="equal">
      <formula>"n/a"</formula>
    </cfRule>
  </conditionalFormatting>
  <conditionalFormatting sqref="P7">
    <cfRule type="cellIs" dxfId="95" priority="3" operator="equal">
      <formula>"n/a"</formula>
    </cfRule>
  </conditionalFormatting>
  <conditionalFormatting sqref="D1">
    <cfRule type="cellIs" dxfId="94" priority="2" operator="equal">
      <formula>"n/a"</formula>
    </cfRule>
  </conditionalFormatting>
  <conditionalFormatting sqref="D3">
    <cfRule type="cellIs" dxfId="93" priority="1" operator="equal">
      <formula>"n/a"</formula>
    </cfRule>
  </conditionalFormatting>
  <dataValidations count="1">
    <dataValidation type="list" allowBlank="1" showInputMessage="1" showErrorMessage="1" sqref="E7:E9" xr:uid="{00000000-0002-0000-1A00-000000000000}">
      <formula1>$A$5:$A$27</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1A00-000001000000}">
          <x14:formula1>
            <xm:f>'List Values'!$B$5:$B$14</xm:f>
          </x14:formula1>
          <xm:sqref>C7:C1048576</xm:sqref>
        </x14:dataValidation>
        <x14:dataValidation type="list" allowBlank="1" showInputMessage="1" showErrorMessage="1" xr:uid="{00000000-0002-0000-1A00-000002000000}">
          <x14:formula1>
            <xm:f>'List Values'!$A$5:$A$30</xm:f>
          </x14:formula1>
          <xm:sqref>E10:E1048576</xm:sqref>
        </x14:dataValidation>
      </x14:dataValidations>
    </ext>
  </extLst>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P11"/>
  <sheetViews>
    <sheetView workbookViewId="0">
      <pane xSplit="4" ySplit="6" topLeftCell="E7" activePane="bottomRight" state="frozen"/>
      <selection pane="bottomRight" activeCell="A7" sqref="A7"/>
      <selection pane="bottomLeft" activeCell="A7" sqref="A7"/>
      <selection pane="topRight" activeCell="E1" sqref="E1"/>
    </sheetView>
  </sheetViews>
  <sheetFormatPr defaultColWidth="9.140625" defaultRowHeight="14.25"/>
  <cols>
    <col min="1" max="1" width="14.7109375" style="5" customWidth="1"/>
    <col min="2" max="2" width="12.5703125" style="5" customWidth="1"/>
    <col min="3" max="3" width="13" style="28" customWidth="1"/>
    <col min="4" max="4" width="45.140625" style="5" customWidth="1"/>
    <col min="5" max="5" width="28.7109375" style="5" customWidth="1"/>
    <col min="6" max="6" width="37" style="5" customWidth="1"/>
    <col min="7" max="7" width="29.28515625" style="5" customWidth="1"/>
    <col min="8" max="8" width="11.5703125" style="28" bestFit="1" customWidth="1"/>
    <col min="9" max="9" width="34.85546875" style="5" customWidth="1"/>
    <col min="10" max="10" width="28.140625" style="5" customWidth="1"/>
    <col min="11" max="11" width="14" style="5" customWidth="1"/>
    <col min="12" max="12" width="23" style="5" customWidth="1"/>
    <col min="13" max="13" width="29" style="5" customWidth="1"/>
    <col min="14" max="14" width="18.7109375" style="5" bestFit="1" customWidth="1"/>
    <col min="15" max="15" width="48.42578125" style="5" customWidth="1"/>
    <col min="16" max="16" width="41.85546875" style="5" customWidth="1"/>
    <col min="17" max="16384" width="9.140625" style="5"/>
  </cols>
  <sheetData>
    <row r="1" spans="1:16" s="24" customFormat="1" ht="18">
      <c r="A1" s="22" t="s">
        <v>78</v>
      </c>
      <c r="B1" s="32" t="s">
        <v>555</v>
      </c>
      <c r="C1" s="26"/>
      <c r="D1" s="23" t="s">
        <v>556</v>
      </c>
      <c r="H1" s="29"/>
    </row>
    <row r="2" spans="1:16" s="24" customFormat="1" ht="18">
      <c r="A2" s="22" t="s">
        <v>81</v>
      </c>
      <c r="B2" s="30" t="s">
        <v>557</v>
      </c>
      <c r="C2" s="29"/>
      <c r="D2" s="30"/>
      <c r="H2" s="29"/>
    </row>
    <row r="3" spans="1:16" s="24" customFormat="1" ht="18">
      <c r="A3" s="22" t="s">
        <v>82</v>
      </c>
      <c r="B3" s="30" t="s">
        <v>558</v>
      </c>
      <c r="C3" s="29"/>
      <c r="D3" s="30" t="s">
        <v>559</v>
      </c>
      <c r="H3" s="29"/>
    </row>
    <row r="4" spans="1:16" s="24" customFormat="1" ht="18">
      <c r="A4" s="22" t="s">
        <v>85</v>
      </c>
      <c r="B4" s="24" t="s">
        <v>560</v>
      </c>
      <c r="C4" s="29"/>
      <c r="H4" s="29"/>
    </row>
    <row r="5" spans="1:16" s="4" customFormat="1">
      <c r="C5" s="31"/>
      <c r="H5" s="31"/>
    </row>
    <row r="6" spans="1:16" s="25" customFormat="1" ht="14.65" thickBot="1">
      <c r="A6" s="25" t="s">
        <v>87</v>
      </c>
      <c r="B6" s="25" t="s">
        <v>88</v>
      </c>
      <c r="C6" s="27" t="s">
        <v>89</v>
      </c>
      <c r="D6" s="25" t="s">
        <v>90</v>
      </c>
      <c r="E6" s="25" t="s">
        <v>91</v>
      </c>
      <c r="F6" s="25" t="s">
        <v>92</v>
      </c>
      <c r="G6" s="25" t="s">
        <v>93</v>
      </c>
      <c r="H6" s="27" t="s">
        <v>94</v>
      </c>
      <c r="I6" s="25" t="s">
        <v>95</v>
      </c>
      <c r="J6" s="25" t="s">
        <v>96</v>
      </c>
      <c r="K6" s="25" t="s">
        <v>97</v>
      </c>
      <c r="L6" s="25" t="s">
        <v>98</v>
      </c>
      <c r="M6" s="25" t="s">
        <v>99</v>
      </c>
      <c r="N6" s="25" t="s">
        <v>100</v>
      </c>
      <c r="O6" s="25" t="s">
        <v>101</v>
      </c>
      <c r="P6" s="25" t="s">
        <v>102</v>
      </c>
    </row>
    <row r="7" spans="1:16">
      <c r="A7" s="5">
        <v>1</v>
      </c>
      <c r="B7" s="5" t="str">
        <f t="shared" ref="B7:B11" si="0">CONCATENATE($B$2, ".", A7)</f>
        <v>F.1</v>
      </c>
      <c r="C7" s="28" t="s">
        <v>51</v>
      </c>
      <c r="D7" s="5" t="s">
        <v>561</v>
      </c>
      <c r="E7" s="5" t="s">
        <v>69</v>
      </c>
      <c r="F7" s="5" t="s">
        <v>105</v>
      </c>
      <c r="G7" s="5" t="s">
        <v>105</v>
      </c>
      <c r="H7" s="28" t="s">
        <v>105</v>
      </c>
      <c r="I7" s="5" t="s">
        <v>86</v>
      </c>
      <c r="J7" s="5" t="s">
        <v>105</v>
      </c>
      <c r="K7" s="5" t="s">
        <v>105</v>
      </c>
      <c r="L7" s="5" t="s">
        <v>105</v>
      </c>
      <c r="M7" s="5" t="s">
        <v>105</v>
      </c>
      <c r="N7" s="5" t="s">
        <v>105</v>
      </c>
    </row>
    <row r="8" spans="1:16" ht="42.75">
      <c r="A8" s="5">
        <v>2</v>
      </c>
      <c r="B8" s="5" t="str">
        <f t="shared" si="0"/>
        <v>F.2</v>
      </c>
      <c r="C8" s="28" t="s">
        <v>51</v>
      </c>
      <c r="D8" s="34" t="s">
        <v>562</v>
      </c>
      <c r="E8" s="5" t="s">
        <v>72</v>
      </c>
      <c r="F8" s="5" t="s">
        <v>105</v>
      </c>
      <c r="G8" s="5" t="s">
        <v>105</v>
      </c>
      <c r="H8" s="28" t="s">
        <v>105</v>
      </c>
      <c r="I8" s="5" t="s">
        <v>86</v>
      </c>
      <c r="J8" s="5" t="s">
        <v>105</v>
      </c>
      <c r="K8" s="5" t="s">
        <v>105</v>
      </c>
      <c r="L8" s="5" t="s">
        <v>105</v>
      </c>
      <c r="M8" s="5" t="s">
        <v>105</v>
      </c>
      <c r="N8" s="5" t="s">
        <v>105</v>
      </c>
      <c r="P8" s="5" t="s">
        <v>563</v>
      </c>
    </row>
    <row r="9" spans="1:16" ht="28.5">
      <c r="A9" s="5">
        <v>3</v>
      </c>
      <c r="B9" s="5" t="str">
        <f t="shared" si="0"/>
        <v>F.3</v>
      </c>
      <c r="C9" s="28" t="s">
        <v>51</v>
      </c>
      <c r="D9" s="5" t="s">
        <v>564</v>
      </c>
      <c r="E9" s="5" t="s">
        <v>74</v>
      </c>
      <c r="F9" s="5" t="s">
        <v>105</v>
      </c>
      <c r="G9" s="5" t="s">
        <v>105</v>
      </c>
      <c r="H9" s="28" t="s">
        <v>105</v>
      </c>
      <c r="I9" s="5" t="s">
        <v>86</v>
      </c>
      <c r="J9" s="5" t="s">
        <v>105</v>
      </c>
      <c r="K9" s="5" t="s">
        <v>105</v>
      </c>
      <c r="L9" s="5" t="s">
        <v>105</v>
      </c>
      <c r="M9" s="5" t="s">
        <v>105</v>
      </c>
      <c r="N9" s="5" t="s">
        <v>105</v>
      </c>
      <c r="O9" s="5" t="s">
        <v>565</v>
      </c>
    </row>
    <row r="10" spans="1:16">
      <c r="A10" s="5">
        <v>4</v>
      </c>
      <c r="B10" s="5" t="str">
        <f t="shared" si="0"/>
        <v>F.4</v>
      </c>
      <c r="C10" s="28" t="s">
        <v>51</v>
      </c>
      <c r="D10" s="5" t="s">
        <v>566</v>
      </c>
      <c r="E10" s="5" t="s">
        <v>48</v>
      </c>
      <c r="F10" s="5" t="s">
        <v>105</v>
      </c>
      <c r="G10" s="5" t="s">
        <v>105</v>
      </c>
      <c r="H10" s="28" t="s">
        <v>105</v>
      </c>
      <c r="I10" s="5" t="s">
        <v>86</v>
      </c>
      <c r="J10" s="5" t="s">
        <v>105</v>
      </c>
      <c r="K10" s="5" t="s">
        <v>105</v>
      </c>
      <c r="L10" s="5" t="s">
        <v>105</v>
      </c>
      <c r="M10" s="5" t="s">
        <v>105</v>
      </c>
      <c r="N10" s="5" t="s">
        <v>105</v>
      </c>
      <c r="O10" s="5" t="s">
        <v>567</v>
      </c>
    </row>
    <row r="11" spans="1:16">
      <c r="A11" s="5">
        <v>5</v>
      </c>
      <c r="B11" s="5" t="str">
        <f t="shared" si="0"/>
        <v>F.5</v>
      </c>
      <c r="C11" s="28" t="s">
        <v>51</v>
      </c>
      <c r="D11" s="5" t="s">
        <v>107</v>
      </c>
      <c r="E11" s="5" t="s">
        <v>48</v>
      </c>
      <c r="F11" s="5" t="s">
        <v>105</v>
      </c>
      <c r="G11" s="5" t="s">
        <v>105</v>
      </c>
      <c r="H11" s="28" t="s">
        <v>105</v>
      </c>
      <c r="I11" s="5" t="s">
        <v>86</v>
      </c>
      <c r="J11" s="5" t="s">
        <v>105</v>
      </c>
      <c r="K11" s="5" t="s">
        <v>105</v>
      </c>
      <c r="L11" s="5" t="s">
        <v>105</v>
      </c>
      <c r="M11" s="5" t="s">
        <v>105</v>
      </c>
      <c r="N11" s="5" t="s">
        <v>105</v>
      </c>
      <c r="O11" s="5" t="s">
        <v>568</v>
      </c>
    </row>
  </sheetData>
  <autoFilter ref="A6:P6" xr:uid="{00000000-0009-0000-0000-00001B000000}"/>
  <conditionalFormatting sqref="C12:C1048576">
    <cfRule type="cellIs" dxfId="92" priority="29" operator="equal">
      <formula>"WIP (see comments)"</formula>
    </cfRule>
    <cfRule type="cellIs" dxfId="91" priority="30" operator="equal">
      <formula>"Removed"</formula>
    </cfRule>
    <cfRule type="cellIs" dxfId="90" priority="31" operator="equal">
      <formula>"Updated"</formula>
    </cfRule>
    <cfRule type="cellIs" dxfId="89" priority="32" operator="equal">
      <formula>"New"</formula>
    </cfRule>
  </conditionalFormatting>
  <conditionalFormatting sqref="A2:XFD2 A12:XFD1048576 A1:C1 E1:XFD1 A4:XFD6 A3:C3 E3:XFD3">
    <cfRule type="cellIs" dxfId="88" priority="27" operator="equal">
      <formula>"n/a"</formula>
    </cfRule>
  </conditionalFormatting>
  <conditionalFormatting sqref="A8:B9 E8:XFD8 E9:N9 P9:XFD9">
    <cfRule type="cellIs" dxfId="87" priority="25" operator="equal">
      <formula>"n/a"</formula>
    </cfRule>
  </conditionalFormatting>
  <conditionalFormatting sqref="C7:C11">
    <cfRule type="cellIs" dxfId="86" priority="21" operator="equal">
      <formula>"WIP (see comments)"</formula>
    </cfRule>
    <cfRule type="cellIs" dxfId="85" priority="22" operator="equal">
      <formula>"Removed"</formula>
    </cfRule>
    <cfRule type="cellIs" dxfId="84" priority="23" operator="equal">
      <formula>"Updated"</formula>
    </cfRule>
    <cfRule type="cellIs" dxfId="83" priority="24" operator="equal">
      <formula>"New"</formula>
    </cfRule>
  </conditionalFormatting>
  <conditionalFormatting sqref="A7:C7 E7:XFD7 C8:C11">
    <cfRule type="cellIs" dxfId="82" priority="20" operator="equal">
      <formula>"n/a"</formula>
    </cfRule>
  </conditionalFormatting>
  <conditionalFormatting sqref="A10:B10 E10:N10 P10:XFD10">
    <cfRule type="cellIs" dxfId="81" priority="15" operator="equal">
      <formula>"n/a"</formula>
    </cfRule>
  </conditionalFormatting>
  <conditionalFormatting sqref="A11:B11 P11:XFD11">
    <cfRule type="cellIs" dxfId="80" priority="10" operator="equal">
      <formula>"n/a"</formula>
    </cfRule>
  </conditionalFormatting>
  <conditionalFormatting sqref="D1">
    <cfRule type="cellIs" dxfId="79" priority="9" operator="equal">
      <formula>"n/a"</formula>
    </cfRule>
  </conditionalFormatting>
  <conditionalFormatting sqref="D3">
    <cfRule type="cellIs" dxfId="78" priority="8" operator="equal">
      <formula>"n/a"</formula>
    </cfRule>
  </conditionalFormatting>
  <conditionalFormatting sqref="D8:D9">
    <cfRule type="cellIs" dxfId="77" priority="7" operator="equal">
      <formula>"-"</formula>
    </cfRule>
  </conditionalFormatting>
  <conditionalFormatting sqref="D8:D9">
    <cfRule type="cellIs" dxfId="76" priority="6" operator="equal">
      <formula>"n/a"</formula>
    </cfRule>
  </conditionalFormatting>
  <conditionalFormatting sqref="D7">
    <cfRule type="cellIs" dxfId="75" priority="5" operator="equal">
      <formula>"n/a"</formula>
    </cfRule>
  </conditionalFormatting>
  <conditionalFormatting sqref="D10">
    <cfRule type="cellIs" dxfId="74" priority="4" operator="equal">
      <formula>"n/a"</formula>
    </cfRule>
  </conditionalFormatting>
  <conditionalFormatting sqref="D11:O11">
    <cfRule type="cellIs" dxfId="73" priority="3" operator="equal">
      <formula>"n/a"</formula>
    </cfRule>
  </conditionalFormatting>
  <conditionalFormatting sqref="O9">
    <cfRule type="cellIs" dxfId="72" priority="2" operator="equal">
      <formula>"n/a"</formula>
    </cfRule>
  </conditionalFormatting>
  <conditionalFormatting sqref="O10">
    <cfRule type="cellIs" dxfId="71"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1B00-000000000000}">
          <x14:formula1>
            <xm:f>'List Values'!$A$5:$A$30</xm:f>
          </x14:formula1>
          <xm:sqref>E7:E10 E12:E1048576</xm:sqref>
        </x14:dataValidation>
        <x14:dataValidation type="list" allowBlank="1" showInputMessage="1" showErrorMessage="1" xr:uid="{00000000-0002-0000-1B00-000001000000}">
          <x14:formula1>
            <xm:f>'List Values'!$B$5:$B$13</xm:f>
          </x14:formula1>
          <xm:sqref>C7:C1048576</xm:sqref>
        </x14:dataValidation>
      </x14:dataValidations>
    </ext>
  </extLst>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P10"/>
  <sheetViews>
    <sheetView workbookViewId="0">
      <pane xSplit="4" ySplit="6" topLeftCell="E7" activePane="bottomRight" state="frozen"/>
      <selection pane="bottomRight" activeCell="A7" sqref="A7"/>
      <selection pane="bottomLeft" activeCell="A7" sqref="A7"/>
      <selection pane="topRight" activeCell="E1" sqref="E1"/>
    </sheetView>
  </sheetViews>
  <sheetFormatPr defaultColWidth="9.140625" defaultRowHeight="14.25"/>
  <cols>
    <col min="1" max="1" width="14.7109375" style="5" customWidth="1"/>
    <col min="2" max="2" width="12.5703125" style="5" customWidth="1"/>
    <col min="3" max="3" width="13" style="28" customWidth="1"/>
    <col min="4" max="4" width="45.140625" style="5" customWidth="1"/>
    <col min="5" max="5" width="28.7109375" style="5" customWidth="1"/>
    <col min="6" max="6" width="37" style="5" customWidth="1"/>
    <col min="7" max="7" width="29.28515625" style="5" customWidth="1"/>
    <col min="8" max="8" width="11.5703125" style="28" bestFit="1" customWidth="1"/>
    <col min="9" max="9" width="34.85546875" style="5" customWidth="1"/>
    <col min="10" max="10" width="28.140625" style="5" customWidth="1"/>
    <col min="11" max="11" width="14" style="5" customWidth="1"/>
    <col min="12" max="12" width="23" style="5" customWidth="1"/>
    <col min="13" max="13" width="29" style="5" customWidth="1"/>
    <col min="14" max="14" width="18.7109375" style="5" bestFit="1" customWidth="1"/>
    <col min="15" max="15" width="48.42578125" style="5" customWidth="1"/>
    <col min="16" max="16" width="41.85546875" style="5" customWidth="1"/>
    <col min="17" max="16384" width="9.140625" style="5"/>
  </cols>
  <sheetData>
    <row r="1" spans="1:16" s="24" customFormat="1" ht="18">
      <c r="A1" s="22" t="s">
        <v>78</v>
      </c>
      <c r="B1" s="32" t="s">
        <v>569</v>
      </c>
      <c r="C1" s="26"/>
      <c r="D1" s="23"/>
      <c r="H1" s="29"/>
    </row>
    <row r="2" spans="1:16" s="24" customFormat="1" ht="18">
      <c r="A2" s="22" t="s">
        <v>81</v>
      </c>
      <c r="B2" s="30" t="s">
        <v>570</v>
      </c>
      <c r="C2" s="29"/>
      <c r="D2" s="30"/>
      <c r="H2" s="29"/>
    </row>
    <row r="3" spans="1:16" s="24" customFormat="1" ht="18">
      <c r="A3" s="22" t="s">
        <v>82</v>
      </c>
      <c r="B3" s="30" t="s">
        <v>571</v>
      </c>
      <c r="C3" s="29"/>
      <c r="D3" s="30" t="s">
        <v>329</v>
      </c>
      <c r="H3" s="29"/>
    </row>
    <row r="4" spans="1:16" s="24" customFormat="1" ht="18">
      <c r="A4" s="22" t="s">
        <v>85</v>
      </c>
      <c r="B4" s="24" t="s">
        <v>572</v>
      </c>
      <c r="C4" s="29"/>
      <c r="H4" s="29"/>
    </row>
    <row r="5" spans="1:16" s="4" customFormat="1">
      <c r="C5" s="31"/>
      <c r="H5" s="31"/>
    </row>
    <row r="6" spans="1:16" s="25" customFormat="1" ht="14.65" thickBot="1">
      <c r="A6" s="25" t="s">
        <v>87</v>
      </c>
      <c r="B6" s="25" t="s">
        <v>88</v>
      </c>
      <c r="C6" s="27" t="s">
        <v>89</v>
      </c>
      <c r="D6" s="25" t="s">
        <v>90</v>
      </c>
      <c r="E6" s="25" t="s">
        <v>91</v>
      </c>
      <c r="F6" s="25" t="s">
        <v>92</v>
      </c>
      <c r="G6" s="25" t="s">
        <v>93</v>
      </c>
      <c r="H6" s="27" t="s">
        <v>94</v>
      </c>
      <c r="I6" s="25" t="s">
        <v>95</v>
      </c>
      <c r="J6" s="25" t="s">
        <v>96</v>
      </c>
      <c r="K6" s="25" t="s">
        <v>97</v>
      </c>
      <c r="L6" s="25" t="s">
        <v>98</v>
      </c>
      <c r="M6" s="25" t="s">
        <v>99</v>
      </c>
      <c r="N6" s="25" t="s">
        <v>100</v>
      </c>
      <c r="O6" s="25" t="s">
        <v>101</v>
      </c>
      <c r="P6" s="25" t="s">
        <v>102</v>
      </c>
    </row>
    <row r="7" spans="1:16">
      <c r="A7" s="5">
        <v>1</v>
      </c>
      <c r="B7" s="5" t="str">
        <f t="shared" ref="B7:B10" si="0">CONCATENATE($B$2, ".", A7)</f>
        <v>G.1</v>
      </c>
      <c r="C7" s="28" t="s">
        <v>466</v>
      </c>
      <c r="D7" s="5" t="s">
        <v>573</v>
      </c>
      <c r="E7" s="5" t="s">
        <v>69</v>
      </c>
      <c r="F7" s="5" t="s">
        <v>105</v>
      </c>
      <c r="G7" s="5" t="s">
        <v>105</v>
      </c>
      <c r="H7" s="28" t="s">
        <v>105</v>
      </c>
      <c r="I7" s="5" t="s">
        <v>86</v>
      </c>
      <c r="J7" s="5" t="s">
        <v>105</v>
      </c>
      <c r="K7" s="5" t="s">
        <v>105</v>
      </c>
      <c r="L7" s="5" t="s">
        <v>105</v>
      </c>
      <c r="M7" s="5" t="s">
        <v>105</v>
      </c>
      <c r="N7" s="5" t="s">
        <v>105</v>
      </c>
    </row>
    <row r="8" spans="1:16" ht="28.5">
      <c r="A8" s="5">
        <v>3</v>
      </c>
      <c r="B8" s="5" t="str">
        <f>CONCATENATE($B$2, ".", A8)</f>
        <v>G.3</v>
      </c>
      <c r="C8" s="28" t="s">
        <v>466</v>
      </c>
      <c r="D8" s="34" t="s">
        <v>574</v>
      </c>
      <c r="E8" s="5" t="s">
        <v>77</v>
      </c>
      <c r="F8" s="5" t="s">
        <v>105</v>
      </c>
      <c r="G8" s="5" t="s">
        <v>105</v>
      </c>
      <c r="H8" s="28" t="s">
        <v>105</v>
      </c>
      <c r="I8" s="5" t="s">
        <v>86</v>
      </c>
      <c r="J8" s="5" t="s">
        <v>105</v>
      </c>
      <c r="K8" s="5" t="s">
        <v>105</v>
      </c>
      <c r="L8" s="5" t="s">
        <v>105</v>
      </c>
      <c r="M8" s="5" t="s">
        <v>105</v>
      </c>
      <c r="N8" s="5" t="s">
        <v>105</v>
      </c>
      <c r="O8" s="5" t="s">
        <v>575</v>
      </c>
    </row>
    <row r="9" spans="1:16">
      <c r="A9" s="5">
        <v>2</v>
      </c>
      <c r="B9" s="5" t="str">
        <f t="shared" si="0"/>
        <v>G.2</v>
      </c>
      <c r="C9" s="28" t="s">
        <v>466</v>
      </c>
      <c r="D9" s="5" t="s">
        <v>576</v>
      </c>
      <c r="E9" s="5" t="s">
        <v>72</v>
      </c>
      <c r="F9" s="5" t="s">
        <v>105</v>
      </c>
      <c r="G9" s="5" t="s">
        <v>105</v>
      </c>
      <c r="H9" s="28" t="s">
        <v>105</v>
      </c>
      <c r="I9" s="5" t="s">
        <v>86</v>
      </c>
      <c r="J9" s="5" t="s">
        <v>105</v>
      </c>
      <c r="K9" s="5" t="s">
        <v>105</v>
      </c>
      <c r="L9" s="5" t="s">
        <v>105</v>
      </c>
      <c r="M9" s="5" t="s">
        <v>105</v>
      </c>
      <c r="N9" s="5" t="s">
        <v>105</v>
      </c>
    </row>
    <row r="10" spans="1:16" ht="42.75">
      <c r="A10" s="5">
        <v>4</v>
      </c>
      <c r="B10" s="5" t="str">
        <f t="shared" si="0"/>
        <v>G.4</v>
      </c>
      <c r="C10" s="28" t="s">
        <v>466</v>
      </c>
      <c r="D10" s="5" t="s">
        <v>107</v>
      </c>
      <c r="E10" s="5" t="s">
        <v>48</v>
      </c>
      <c r="F10" s="5" t="s">
        <v>105</v>
      </c>
      <c r="G10" s="5" t="s">
        <v>105</v>
      </c>
      <c r="H10" s="28" t="s">
        <v>105</v>
      </c>
      <c r="I10" s="5" t="s">
        <v>86</v>
      </c>
      <c r="J10" s="5" t="s">
        <v>105</v>
      </c>
      <c r="K10" s="5" t="s">
        <v>105</v>
      </c>
      <c r="L10" s="5" t="s">
        <v>105</v>
      </c>
      <c r="M10" s="5" t="s">
        <v>105</v>
      </c>
      <c r="N10" s="5" t="s">
        <v>105</v>
      </c>
      <c r="O10" s="5" t="s">
        <v>577</v>
      </c>
    </row>
  </sheetData>
  <autoFilter ref="A6:P6" xr:uid="{00000000-0009-0000-0000-00001C000000}"/>
  <conditionalFormatting sqref="C11:C1048576">
    <cfRule type="cellIs" dxfId="70" priority="12" operator="equal">
      <formula>"WIP (see comments)"</formula>
    </cfRule>
    <cfRule type="cellIs" dxfId="69" priority="13" operator="equal">
      <formula>"Removed"</formula>
    </cfRule>
    <cfRule type="cellIs" dxfId="68" priority="14" operator="equal">
      <formula>"Updated"</formula>
    </cfRule>
    <cfRule type="cellIs" dxfId="67" priority="15" operator="equal">
      <formula>"New"</formula>
    </cfRule>
  </conditionalFormatting>
  <conditionalFormatting sqref="A2:XFD6 A11:XFD1048576 A8:B9 D8:XFD9 A1:C1 E1:XFD1">
    <cfRule type="cellIs" dxfId="66" priority="11" operator="equal">
      <formula>"n/a"</formula>
    </cfRule>
  </conditionalFormatting>
  <conditionalFormatting sqref="D8:D9">
    <cfRule type="cellIs" dxfId="65" priority="10" operator="equal">
      <formula>"-"</formula>
    </cfRule>
  </conditionalFormatting>
  <conditionalFormatting sqref="C7:C10">
    <cfRule type="cellIs" dxfId="64" priority="5" operator="equal">
      <formula>"WIP (see comments)"</formula>
    </cfRule>
    <cfRule type="cellIs" dxfId="63" priority="6" operator="equal">
      <formula>"Removed"</formula>
    </cfRule>
    <cfRule type="cellIs" dxfId="62" priority="7" operator="equal">
      <formula>"Updated"</formula>
    </cfRule>
    <cfRule type="cellIs" dxfId="61" priority="8" operator="equal">
      <formula>"New"</formula>
    </cfRule>
  </conditionalFormatting>
  <conditionalFormatting sqref="A7:XFD7 C8:C10">
    <cfRule type="cellIs" dxfId="60" priority="4" operator="equal">
      <formula>"n/a"</formula>
    </cfRule>
  </conditionalFormatting>
  <conditionalFormatting sqref="A10:B10 D10:XFD10">
    <cfRule type="cellIs" dxfId="59" priority="3" operator="equal">
      <formula>"n/a"</formula>
    </cfRule>
  </conditionalFormatting>
  <conditionalFormatting sqref="D1">
    <cfRule type="cellIs" dxfId="58"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1C00-000000000000}">
          <x14:formula1>
            <xm:f>'List Values'!$A$5:$A$30</xm:f>
          </x14:formula1>
          <xm:sqref>E7:E1048576</xm:sqref>
        </x14:dataValidation>
        <x14:dataValidation type="list" allowBlank="1" showInputMessage="1" showErrorMessage="1" xr:uid="{00000000-0002-0000-1C00-000001000000}">
          <x14:formula1>
            <xm:f>'List Values'!$B$5:$B$13</xm:f>
          </x14:formula1>
          <xm:sqref>C7:C1048576</xm:sqref>
        </x14:dataValidation>
      </x14:dataValidations>
    </ext>
  </extLst>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P7"/>
  <sheetViews>
    <sheetView workbookViewId="0">
      <pane xSplit="4" ySplit="6" topLeftCell="E7" activePane="bottomRight" state="frozen"/>
      <selection pane="bottomRight" activeCell="A7" sqref="A7"/>
      <selection pane="bottomLeft" activeCell="A7" sqref="A7"/>
      <selection pane="topRight" activeCell="E1" sqref="E1"/>
    </sheetView>
  </sheetViews>
  <sheetFormatPr defaultColWidth="9.140625" defaultRowHeight="14.25"/>
  <cols>
    <col min="1" max="1" width="14.7109375" style="5" customWidth="1"/>
    <col min="2" max="2" width="12.5703125" style="5" customWidth="1"/>
    <col min="3" max="3" width="13" style="28" customWidth="1"/>
    <col min="4" max="4" width="45.140625" style="5" customWidth="1"/>
    <col min="5" max="5" width="28.7109375" style="5" customWidth="1"/>
    <col min="6" max="6" width="37" style="5" customWidth="1"/>
    <col min="7" max="7" width="29.28515625" style="5" customWidth="1"/>
    <col min="8" max="8" width="11.5703125" style="28" bestFit="1" customWidth="1"/>
    <col min="9" max="9" width="34.85546875" style="5" customWidth="1"/>
    <col min="10" max="10" width="28.140625" style="5" customWidth="1"/>
    <col min="11" max="11" width="14" style="5" customWidth="1"/>
    <col min="12" max="12" width="23" style="5" customWidth="1"/>
    <col min="13" max="13" width="29" style="5" customWidth="1"/>
    <col min="14" max="14" width="18.7109375" style="5" bestFit="1" customWidth="1"/>
    <col min="15" max="15" width="48.42578125" style="5" customWidth="1"/>
    <col min="16" max="16" width="41.85546875" style="5" customWidth="1"/>
    <col min="17" max="16384" width="9.140625" style="5"/>
  </cols>
  <sheetData>
    <row r="1" spans="1:16" s="24" customFormat="1" ht="18">
      <c r="A1" s="22" t="s">
        <v>78</v>
      </c>
      <c r="B1" s="32" t="s">
        <v>578</v>
      </c>
      <c r="C1" s="26"/>
      <c r="D1" s="23"/>
      <c r="H1" s="29"/>
    </row>
    <row r="2" spans="1:16" s="24" customFormat="1" ht="18">
      <c r="A2" s="22" t="s">
        <v>81</v>
      </c>
      <c r="B2" s="30" t="s">
        <v>579</v>
      </c>
      <c r="C2" s="29"/>
      <c r="D2" s="30"/>
      <c r="H2" s="29"/>
    </row>
    <row r="3" spans="1:16" s="24" customFormat="1" ht="18">
      <c r="A3" s="22" t="s">
        <v>82</v>
      </c>
      <c r="B3" s="30" t="s">
        <v>580</v>
      </c>
      <c r="C3" s="29"/>
      <c r="D3" s="30" t="s">
        <v>329</v>
      </c>
      <c r="H3" s="29"/>
    </row>
    <row r="4" spans="1:16" s="24" customFormat="1" ht="18">
      <c r="A4" s="22" t="s">
        <v>85</v>
      </c>
      <c r="B4" s="24" t="s">
        <v>581</v>
      </c>
      <c r="C4" s="29"/>
      <c r="H4" s="29"/>
    </row>
    <row r="5" spans="1:16" s="4" customFormat="1">
      <c r="C5" s="31"/>
      <c r="H5" s="31"/>
    </row>
    <row r="6" spans="1:16" s="25" customFormat="1" ht="14.65" thickBot="1">
      <c r="A6" s="25" t="s">
        <v>87</v>
      </c>
      <c r="B6" s="25" t="s">
        <v>88</v>
      </c>
      <c r="C6" s="27" t="s">
        <v>89</v>
      </c>
      <c r="D6" s="25" t="s">
        <v>90</v>
      </c>
      <c r="E6" s="25" t="s">
        <v>91</v>
      </c>
      <c r="F6" s="25" t="s">
        <v>92</v>
      </c>
      <c r="G6" s="25" t="s">
        <v>93</v>
      </c>
      <c r="H6" s="27" t="s">
        <v>94</v>
      </c>
      <c r="I6" s="25" t="s">
        <v>95</v>
      </c>
      <c r="J6" s="25" t="s">
        <v>96</v>
      </c>
      <c r="K6" s="25" t="s">
        <v>97</v>
      </c>
      <c r="L6" s="25" t="s">
        <v>98</v>
      </c>
      <c r="M6" s="25" t="s">
        <v>99</v>
      </c>
      <c r="N6" s="25" t="s">
        <v>100</v>
      </c>
      <c r="O6" s="25" t="s">
        <v>101</v>
      </c>
      <c r="P6" s="25" t="s">
        <v>102</v>
      </c>
    </row>
    <row r="7" spans="1:16" ht="42.75">
      <c r="A7" s="5">
        <v>1</v>
      </c>
      <c r="B7" s="5" t="str">
        <f t="shared" ref="B7" si="0">CONCATENATE($B$2, ".", A7)</f>
        <v>H.1</v>
      </c>
      <c r="C7" s="28" t="s">
        <v>51</v>
      </c>
      <c r="D7" s="5" t="s">
        <v>105</v>
      </c>
      <c r="E7" s="5" t="s">
        <v>63</v>
      </c>
      <c r="F7" s="5" t="s">
        <v>105</v>
      </c>
      <c r="G7" s="5" t="s">
        <v>105</v>
      </c>
      <c r="H7" s="28" t="s">
        <v>105</v>
      </c>
      <c r="I7" s="5" t="s">
        <v>86</v>
      </c>
      <c r="J7" s="5" t="s">
        <v>105</v>
      </c>
      <c r="K7" s="5" t="s">
        <v>105</v>
      </c>
      <c r="L7" s="5" t="s">
        <v>105</v>
      </c>
      <c r="M7" s="5" t="s">
        <v>105</v>
      </c>
      <c r="N7" s="5" t="s">
        <v>105</v>
      </c>
      <c r="O7" s="5" t="s">
        <v>582</v>
      </c>
    </row>
  </sheetData>
  <autoFilter ref="A6:P6" xr:uid="{00000000-0009-0000-0000-00001D000000}"/>
  <conditionalFormatting sqref="C8:C1048576">
    <cfRule type="cellIs" dxfId="57" priority="12" operator="equal">
      <formula>"WIP (see comments)"</formula>
    </cfRule>
    <cfRule type="cellIs" dxfId="56" priority="13" operator="equal">
      <formula>"Removed"</formula>
    </cfRule>
    <cfRule type="cellIs" dxfId="55" priority="14" operator="equal">
      <formula>"Updated"</formula>
    </cfRule>
    <cfRule type="cellIs" dxfId="54" priority="15" operator="equal">
      <formula>"New"</formula>
    </cfRule>
  </conditionalFormatting>
  <conditionalFormatting sqref="A2:XFD6 A8:XFD1048576 A1:C1 E1:XFD1">
    <cfRule type="cellIs" dxfId="53" priority="11" operator="equal">
      <formula>"n/a"</formula>
    </cfRule>
  </conditionalFormatting>
  <conditionalFormatting sqref="C7">
    <cfRule type="cellIs" dxfId="52" priority="6" operator="equal">
      <formula>"WIP (see comments)"</formula>
    </cfRule>
    <cfRule type="cellIs" dxfId="51" priority="7" operator="equal">
      <formula>"Removed"</formula>
    </cfRule>
    <cfRule type="cellIs" dxfId="50" priority="8" operator="equal">
      <formula>"Updated"</formula>
    </cfRule>
    <cfRule type="cellIs" dxfId="49" priority="9" operator="equal">
      <formula>"New"</formula>
    </cfRule>
  </conditionalFormatting>
  <conditionalFormatting sqref="A7:N7 P7:XFD7">
    <cfRule type="cellIs" dxfId="48" priority="5" operator="equal">
      <formula>"n/a"</formula>
    </cfRule>
  </conditionalFormatting>
  <conditionalFormatting sqref="D1">
    <cfRule type="cellIs" dxfId="47" priority="2" operator="equal">
      <formula>"n/a"</formula>
    </cfRule>
  </conditionalFormatting>
  <conditionalFormatting sqref="O7">
    <cfRule type="cellIs" dxfId="46"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1D00-000000000000}">
          <x14:formula1>
            <xm:f>'List Values'!$B$5:$B$13</xm:f>
          </x14:formula1>
          <xm:sqref>C7:C1048576</xm:sqref>
        </x14:dataValidation>
        <x14:dataValidation type="list" allowBlank="1" showInputMessage="1" showErrorMessage="1" xr:uid="{00000000-0002-0000-1D00-000001000000}">
          <x14:formula1>
            <xm:f>'List Values'!$A$5:$A$30</xm:f>
          </x14:formula1>
          <xm:sqref>E7:E1048576</xm:sqref>
        </x14:dataValidation>
      </x14:dataValidations>
    </ext>
  </extLst>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P10"/>
  <sheetViews>
    <sheetView workbookViewId="0">
      <pane xSplit="4" ySplit="6" topLeftCell="E7" activePane="bottomRight" state="frozen"/>
      <selection pane="bottomRight" activeCell="A8" sqref="A8"/>
      <selection pane="bottomLeft" activeCell="A7" sqref="A7"/>
      <selection pane="topRight" activeCell="E1" sqref="E1"/>
    </sheetView>
  </sheetViews>
  <sheetFormatPr defaultColWidth="9.140625" defaultRowHeight="14.25"/>
  <cols>
    <col min="1" max="1" width="14.7109375" style="5" customWidth="1"/>
    <col min="2" max="2" width="12.5703125" style="5" customWidth="1"/>
    <col min="3" max="3" width="19.28515625" style="28" customWidth="1"/>
    <col min="4" max="4" width="45.140625" style="5" customWidth="1"/>
    <col min="5" max="5" width="28.7109375" style="5" customWidth="1"/>
    <col min="6" max="6" width="37" style="5" customWidth="1"/>
    <col min="7" max="7" width="29.28515625" style="5" customWidth="1"/>
    <col min="8" max="8" width="11.5703125" style="28" bestFit="1" customWidth="1"/>
    <col min="9" max="9" width="34.85546875" style="5" customWidth="1"/>
    <col min="10" max="10" width="28.140625" style="5" customWidth="1"/>
    <col min="11" max="11" width="14" style="5" customWidth="1"/>
    <col min="12" max="12" width="23" style="5" customWidth="1"/>
    <col min="13" max="13" width="29" style="5" customWidth="1"/>
    <col min="14" max="14" width="18.7109375" style="5" bestFit="1" customWidth="1"/>
    <col min="15" max="15" width="48.42578125" style="5" customWidth="1"/>
    <col min="16" max="16" width="41.85546875" style="5" customWidth="1"/>
    <col min="17" max="16384" width="9.140625" style="5"/>
  </cols>
  <sheetData>
    <row r="1" spans="1:16" s="24" customFormat="1" ht="18">
      <c r="A1" s="22" t="s">
        <v>78</v>
      </c>
      <c r="B1" s="32" t="s">
        <v>583</v>
      </c>
      <c r="C1" s="26"/>
      <c r="D1" s="23"/>
      <c r="H1" s="29"/>
    </row>
    <row r="2" spans="1:16" s="24" customFormat="1" ht="18">
      <c r="A2" s="22" t="s">
        <v>81</v>
      </c>
      <c r="B2" s="30" t="s">
        <v>584</v>
      </c>
      <c r="C2" s="29"/>
      <c r="D2" s="30"/>
      <c r="H2" s="29"/>
    </row>
    <row r="3" spans="1:16" s="24" customFormat="1" ht="18">
      <c r="A3" s="22" t="s">
        <v>82</v>
      </c>
      <c r="B3" s="30" t="s">
        <v>585</v>
      </c>
      <c r="C3" s="29"/>
      <c r="D3" s="30" t="s">
        <v>586</v>
      </c>
      <c r="H3" s="29"/>
    </row>
    <row r="4" spans="1:16" s="24" customFormat="1" ht="18">
      <c r="A4" s="22" t="s">
        <v>85</v>
      </c>
      <c r="B4" s="24" t="s">
        <v>587</v>
      </c>
      <c r="C4" s="29"/>
      <c r="H4" s="29"/>
    </row>
    <row r="5" spans="1:16" s="4" customFormat="1">
      <c r="C5" s="31"/>
      <c r="H5" s="31"/>
    </row>
    <row r="6" spans="1:16" s="25" customFormat="1" ht="14.65" thickBot="1">
      <c r="A6" s="25" t="s">
        <v>87</v>
      </c>
      <c r="B6" s="25" t="s">
        <v>88</v>
      </c>
      <c r="C6" s="27" t="s">
        <v>89</v>
      </c>
      <c r="D6" s="25" t="s">
        <v>90</v>
      </c>
      <c r="E6" s="25" t="s">
        <v>91</v>
      </c>
      <c r="F6" s="25" t="s">
        <v>92</v>
      </c>
      <c r="G6" s="25" t="s">
        <v>93</v>
      </c>
      <c r="H6" s="27" t="s">
        <v>94</v>
      </c>
      <c r="I6" s="25" t="s">
        <v>95</v>
      </c>
      <c r="J6" s="25" t="s">
        <v>96</v>
      </c>
      <c r="K6" s="25" t="s">
        <v>97</v>
      </c>
      <c r="L6" s="25" t="s">
        <v>98</v>
      </c>
      <c r="M6" s="25" t="s">
        <v>99</v>
      </c>
      <c r="N6" s="25" t="s">
        <v>100</v>
      </c>
      <c r="O6" s="25" t="s">
        <v>101</v>
      </c>
      <c r="P6" s="25" t="s">
        <v>102</v>
      </c>
    </row>
    <row r="7" spans="1:16">
      <c r="A7" s="5">
        <v>1</v>
      </c>
      <c r="B7" s="5" t="str">
        <f t="shared" ref="B7:B10" si="0">CONCATENATE($B$2, ".", A7)</f>
        <v>I.1</v>
      </c>
      <c r="C7" s="28" t="s">
        <v>51</v>
      </c>
      <c r="D7" s="5" t="s">
        <v>588</v>
      </c>
      <c r="E7" s="5" t="s">
        <v>69</v>
      </c>
      <c r="F7" s="5" t="s">
        <v>105</v>
      </c>
      <c r="G7" s="5" t="s">
        <v>105</v>
      </c>
      <c r="H7" s="28" t="s">
        <v>105</v>
      </c>
      <c r="I7" s="5" t="s">
        <v>86</v>
      </c>
      <c r="J7" s="5" t="s">
        <v>105</v>
      </c>
      <c r="K7" s="5" t="s">
        <v>105</v>
      </c>
      <c r="L7" s="5" t="s">
        <v>105</v>
      </c>
      <c r="M7" s="5" t="s">
        <v>105</v>
      </c>
      <c r="N7" s="5" t="s">
        <v>105</v>
      </c>
    </row>
    <row r="8" spans="1:16" ht="92.1" customHeight="1">
      <c r="A8" s="5">
        <v>2</v>
      </c>
      <c r="B8" s="5" t="str">
        <f t="shared" si="0"/>
        <v>I.2</v>
      </c>
      <c r="C8" s="28" t="s">
        <v>51</v>
      </c>
      <c r="D8" s="48" t="s">
        <v>589</v>
      </c>
      <c r="E8" s="5" t="s">
        <v>72</v>
      </c>
      <c r="F8" s="5" t="s">
        <v>105</v>
      </c>
      <c r="G8" s="5" t="s">
        <v>105</v>
      </c>
      <c r="H8" s="28" t="s">
        <v>105</v>
      </c>
      <c r="I8" s="5" t="s">
        <v>86</v>
      </c>
      <c r="J8" s="5" t="s">
        <v>105</v>
      </c>
      <c r="K8" s="5" t="s">
        <v>105</v>
      </c>
      <c r="L8" s="5" t="s">
        <v>105</v>
      </c>
      <c r="M8" s="5" t="s">
        <v>105</v>
      </c>
      <c r="N8" s="5" t="s">
        <v>105</v>
      </c>
      <c r="O8" s="5" t="s">
        <v>590</v>
      </c>
    </row>
    <row r="9" spans="1:16">
      <c r="A9" s="5">
        <v>3</v>
      </c>
      <c r="B9" s="5" t="str">
        <f t="shared" si="0"/>
        <v>I.3</v>
      </c>
      <c r="C9" s="28" t="s">
        <v>466</v>
      </c>
      <c r="D9" s="34" t="s">
        <v>591</v>
      </c>
      <c r="E9" s="5" t="s">
        <v>73</v>
      </c>
      <c r="F9" s="5" t="s">
        <v>105</v>
      </c>
      <c r="G9" s="5" t="s">
        <v>105</v>
      </c>
      <c r="H9" s="28" t="s">
        <v>105</v>
      </c>
      <c r="I9" s="5" t="s">
        <v>86</v>
      </c>
      <c r="J9" s="5" t="s">
        <v>105</v>
      </c>
      <c r="K9" s="5" t="s">
        <v>105</v>
      </c>
      <c r="L9" s="5" t="s">
        <v>105</v>
      </c>
      <c r="M9" s="5" t="s">
        <v>105</v>
      </c>
      <c r="N9" s="5" t="s">
        <v>105</v>
      </c>
    </row>
    <row r="10" spans="1:16" ht="28.5">
      <c r="A10" s="5">
        <v>4</v>
      </c>
      <c r="B10" s="5" t="str">
        <f t="shared" si="0"/>
        <v>I.4</v>
      </c>
      <c r="C10" s="28" t="s">
        <v>466</v>
      </c>
      <c r="D10" s="5" t="s">
        <v>592</v>
      </c>
      <c r="E10" s="5" t="s">
        <v>72</v>
      </c>
      <c r="F10" s="5" t="s">
        <v>105</v>
      </c>
      <c r="G10" s="5" t="s">
        <v>105</v>
      </c>
      <c r="H10" s="28" t="s">
        <v>105</v>
      </c>
      <c r="I10" s="5" t="s">
        <v>86</v>
      </c>
      <c r="J10" s="5" t="s">
        <v>105</v>
      </c>
      <c r="K10" s="5" t="s">
        <v>105</v>
      </c>
      <c r="L10" s="5" t="s">
        <v>105</v>
      </c>
      <c r="M10" s="5" t="s">
        <v>105</v>
      </c>
      <c r="N10" s="5" t="s">
        <v>105</v>
      </c>
    </row>
  </sheetData>
  <autoFilter ref="A6:P6" xr:uid="{00000000-0009-0000-0000-00001E000000}"/>
  <conditionalFormatting sqref="C11:C1048576">
    <cfRule type="cellIs" dxfId="45" priority="17" operator="equal">
      <formula>"WIP (see comments)"</formula>
    </cfRule>
    <cfRule type="cellIs" dxfId="44" priority="18" operator="equal">
      <formula>"Removed"</formula>
    </cfRule>
    <cfRule type="cellIs" dxfId="43" priority="19" operator="equal">
      <formula>"Updated"</formula>
    </cfRule>
    <cfRule type="cellIs" dxfId="42" priority="20" operator="equal">
      <formula>"New"</formula>
    </cfRule>
  </conditionalFormatting>
  <conditionalFormatting sqref="A2:XFD2 A11:XFD1048576 A1:C1 E1:XFD1 A4:XFD6 A3:C3 E3:XFD3">
    <cfRule type="cellIs" dxfId="41" priority="16" operator="equal">
      <formula>"n/a"</formula>
    </cfRule>
  </conditionalFormatting>
  <conditionalFormatting sqref="D9">
    <cfRule type="cellIs" dxfId="40" priority="15" operator="equal">
      <formula>"-"</formula>
    </cfRule>
  </conditionalFormatting>
  <conditionalFormatting sqref="A8:B9 D9:XFD9 E8:N8 P8:XFD8">
    <cfRule type="cellIs" dxfId="39" priority="14" operator="equal">
      <formula>"n/a"</formula>
    </cfRule>
  </conditionalFormatting>
  <conditionalFormatting sqref="C7:C10">
    <cfRule type="cellIs" dxfId="38" priority="10" operator="equal">
      <formula>"WIP (see comments)"</formula>
    </cfRule>
    <cfRule type="cellIs" dxfId="37" priority="11" operator="equal">
      <formula>"Removed"</formula>
    </cfRule>
    <cfRule type="cellIs" dxfId="36" priority="12" operator="equal">
      <formula>"Updated"</formula>
    </cfRule>
    <cfRule type="cellIs" dxfId="35" priority="13" operator="equal">
      <formula>"New"</formula>
    </cfRule>
  </conditionalFormatting>
  <conditionalFormatting sqref="A7:XFD7 C8:C10">
    <cfRule type="cellIs" dxfId="34" priority="9" operator="equal">
      <formula>"n/a"</formula>
    </cfRule>
  </conditionalFormatting>
  <conditionalFormatting sqref="A10:B10 D10 F10:XFD10">
    <cfRule type="cellIs" dxfId="33" priority="8" operator="equal">
      <formula>"n/a"</formula>
    </cfRule>
  </conditionalFormatting>
  <conditionalFormatting sqref="E10">
    <cfRule type="cellIs" dxfId="32" priority="6" operator="equal">
      <formula>"n/a"</formula>
    </cfRule>
  </conditionalFormatting>
  <conditionalFormatting sqref="O8">
    <cfRule type="cellIs" dxfId="31" priority="5" operator="equal">
      <formula>"n/a"</formula>
    </cfRule>
  </conditionalFormatting>
  <conditionalFormatting sqref="D1">
    <cfRule type="cellIs" dxfId="30" priority="4" operator="equal">
      <formula>"n/a"</formula>
    </cfRule>
  </conditionalFormatting>
  <conditionalFormatting sqref="D8">
    <cfRule type="cellIs" dxfId="29" priority="3" operator="equal">
      <formula>"-"</formula>
    </cfRule>
  </conditionalFormatting>
  <conditionalFormatting sqref="D8">
    <cfRule type="cellIs" dxfId="28" priority="2" operator="equal">
      <formula>"n/a"</formula>
    </cfRule>
  </conditionalFormatting>
  <conditionalFormatting sqref="D3">
    <cfRule type="cellIs" dxfId="27"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1E00-000000000000}">
          <x14:formula1>
            <xm:f>'List Values'!$B$5:$B$13</xm:f>
          </x14:formula1>
          <xm:sqref>C7:C1048576</xm:sqref>
        </x14:dataValidation>
        <x14:dataValidation type="list" allowBlank="1" showInputMessage="1" showErrorMessage="1" xr:uid="{00000000-0002-0000-1E00-000001000000}">
          <x14:formula1>
            <xm:f>'List Values'!$A$5:$A$30</xm:f>
          </x14:formula1>
          <xm:sqref>E7:E1048576</xm:sqref>
        </x14:dataValidation>
      </x14:dataValidations>
    </ext>
  </extLst>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rgb="FFFFFF00"/>
  </sheetPr>
  <dimension ref="A1:P12"/>
  <sheetViews>
    <sheetView workbookViewId="0">
      <pane xSplit="4" ySplit="6" topLeftCell="J7" activePane="bottomRight" state="frozen"/>
      <selection pane="bottomRight" activeCell="D14" sqref="D14"/>
      <selection pane="bottomLeft" activeCell="A7" sqref="A7"/>
      <selection pane="topRight" activeCell="E1" sqref="E1"/>
    </sheetView>
  </sheetViews>
  <sheetFormatPr defaultColWidth="9.140625" defaultRowHeight="14.25"/>
  <cols>
    <col min="1" max="1" width="14.7109375" style="5" customWidth="1"/>
    <col min="2" max="2" width="12.5703125" style="5" customWidth="1"/>
    <col min="3" max="3" width="19.28515625" style="28" customWidth="1"/>
    <col min="4" max="4" width="45.140625" style="5" customWidth="1"/>
    <col min="5" max="5" width="28.7109375" style="5" customWidth="1"/>
    <col min="6" max="6" width="37" style="5" customWidth="1"/>
    <col min="7" max="7" width="29.28515625" style="5" customWidth="1"/>
    <col min="8" max="8" width="11.5703125" style="28" bestFit="1" customWidth="1"/>
    <col min="9" max="9" width="34.85546875" style="5" customWidth="1"/>
    <col min="10" max="10" width="28.140625" style="5" customWidth="1"/>
    <col min="11" max="11" width="14" style="5" customWidth="1"/>
    <col min="12" max="12" width="23" style="5" customWidth="1"/>
    <col min="13" max="13" width="29" style="5" customWidth="1"/>
    <col min="14" max="14" width="18.7109375" style="5" bestFit="1" customWidth="1"/>
    <col min="15" max="15" width="48.42578125" style="5" customWidth="1"/>
    <col min="16" max="16" width="41.85546875" style="5" customWidth="1"/>
    <col min="17" max="16384" width="9.140625" style="5"/>
  </cols>
  <sheetData>
    <row r="1" spans="1:16" s="24" customFormat="1" ht="18">
      <c r="A1" s="22" t="s">
        <v>78</v>
      </c>
      <c r="B1" s="32" t="s">
        <v>593</v>
      </c>
      <c r="C1" s="26"/>
      <c r="D1" s="23"/>
      <c r="H1" s="29"/>
    </row>
    <row r="2" spans="1:16" s="24" customFormat="1" ht="18">
      <c r="A2" s="22" t="s">
        <v>81</v>
      </c>
      <c r="B2" s="30" t="s">
        <v>594</v>
      </c>
      <c r="C2" s="29"/>
      <c r="D2" s="30" t="s">
        <v>595</v>
      </c>
      <c r="H2" s="29"/>
    </row>
    <row r="3" spans="1:16" s="24" customFormat="1" ht="18">
      <c r="A3" s="22" t="s">
        <v>82</v>
      </c>
      <c r="B3" s="30" t="s">
        <v>110</v>
      </c>
      <c r="C3" s="29"/>
      <c r="D3" s="30" t="s">
        <v>596</v>
      </c>
      <c r="H3" s="29"/>
    </row>
    <row r="4" spans="1:16" s="24" customFormat="1" ht="18">
      <c r="A4" s="22" t="s">
        <v>85</v>
      </c>
      <c r="B4" s="24" t="s">
        <v>533</v>
      </c>
      <c r="C4" s="29"/>
      <c r="H4" s="29"/>
    </row>
    <row r="5" spans="1:16" s="4" customFormat="1">
      <c r="C5" s="31"/>
      <c r="H5" s="31"/>
    </row>
    <row r="6" spans="1:16" s="25" customFormat="1" ht="14.65" thickBot="1">
      <c r="A6" s="25" t="s">
        <v>87</v>
      </c>
      <c r="B6" s="25" t="s">
        <v>88</v>
      </c>
      <c r="C6" s="27" t="s">
        <v>89</v>
      </c>
      <c r="D6" s="25" t="s">
        <v>90</v>
      </c>
      <c r="E6" s="25" t="s">
        <v>91</v>
      </c>
      <c r="F6" s="25" t="s">
        <v>92</v>
      </c>
      <c r="G6" s="25" t="s">
        <v>93</v>
      </c>
      <c r="H6" s="27" t="s">
        <v>94</v>
      </c>
      <c r="I6" s="25" t="s">
        <v>95</v>
      </c>
      <c r="J6" s="25" t="s">
        <v>96</v>
      </c>
      <c r="K6" s="25" t="s">
        <v>97</v>
      </c>
      <c r="L6" s="25" t="s">
        <v>98</v>
      </c>
      <c r="M6" s="25" t="s">
        <v>99</v>
      </c>
      <c r="N6" s="25" t="s">
        <v>100</v>
      </c>
      <c r="O6" s="25" t="s">
        <v>101</v>
      </c>
      <c r="P6" s="25" t="s">
        <v>102</v>
      </c>
    </row>
    <row r="7" spans="1:16">
      <c r="A7" s="5">
        <v>1</v>
      </c>
      <c r="B7" s="5" t="str">
        <f t="shared" ref="B7:B12" si="0">CONCATENATE($B$2, ".", A7)</f>
        <v>J.1</v>
      </c>
      <c r="C7" s="28" t="s">
        <v>51</v>
      </c>
      <c r="D7" s="5" t="s">
        <v>597</v>
      </c>
      <c r="E7" s="5" t="s">
        <v>63</v>
      </c>
      <c r="F7" s="5" t="s">
        <v>105</v>
      </c>
      <c r="G7" s="5" t="s">
        <v>105</v>
      </c>
      <c r="H7" s="28" t="s">
        <v>105</v>
      </c>
      <c r="I7" s="5" t="s">
        <v>86</v>
      </c>
      <c r="J7" s="5" t="s">
        <v>105</v>
      </c>
      <c r="K7" s="5" t="s">
        <v>105</v>
      </c>
      <c r="L7" s="5" t="s">
        <v>105</v>
      </c>
      <c r="M7" s="5" t="s">
        <v>105</v>
      </c>
      <c r="N7" s="5" t="s">
        <v>105</v>
      </c>
      <c r="O7" s="5" t="s">
        <v>598</v>
      </c>
      <c r="P7" s="5" t="s">
        <v>599</v>
      </c>
    </row>
    <row r="8" spans="1:16">
      <c r="A8" s="5">
        <v>2</v>
      </c>
      <c r="B8" s="5" t="str">
        <f t="shared" si="0"/>
        <v>J.2</v>
      </c>
      <c r="C8" s="28" t="s">
        <v>51</v>
      </c>
      <c r="D8" s="5" t="s">
        <v>600</v>
      </c>
      <c r="E8" s="5" t="s">
        <v>69</v>
      </c>
      <c r="F8" s="5" t="s">
        <v>105</v>
      </c>
      <c r="G8" s="5" t="s">
        <v>105</v>
      </c>
      <c r="H8" s="28" t="s">
        <v>105</v>
      </c>
      <c r="I8" s="5" t="s">
        <v>86</v>
      </c>
      <c r="J8" s="5" t="s">
        <v>105</v>
      </c>
      <c r="K8" s="5" t="s">
        <v>105</v>
      </c>
      <c r="L8" s="5" t="s">
        <v>105</v>
      </c>
      <c r="M8" s="5" t="s">
        <v>105</v>
      </c>
      <c r="N8" s="5" t="s">
        <v>105</v>
      </c>
    </row>
    <row r="9" spans="1:16" ht="154.5" customHeight="1">
      <c r="A9" s="5">
        <v>3</v>
      </c>
      <c r="B9" s="5" t="str">
        <f t="shared" si="0"/>
        <v>J.3</v>
      </c>
      <c r="C9" s="28" t="s">
        <v>55</v>
      </c>
      <c r="D9" s="48" t="s">
        <v>601</v>
      </c>
      <c r="E9" s="5" t="s">
        <v>72</v>
      </c>
      <c r="F9" s="5" t="s">
        <v>105</v>
      </c>
      <c r="G9" s="5" t="s">
        <v>105</v>
      </c>
      <c r="H9" s="28" t="s">
        <v>105</v>
      </c>
      <c r="I9" s="5" t="s">
        <v>378</v>
      </c>
      <c r="J9" s="5" t="s">
        <v>105</v>
      </c>
      <c r="K9" s="5" t="s">
        <v>105</v>
      </c>
      <c r="L9" s="5" t="s">
        <v>105</v>
      </c>
      <c r="M9" s="5" t="s">
        <v>105</v>
      </c>
      <c r="N9" s="5" t="s">
        <v>105</v>
      </c>
      <c r="O9" s="5" t="s">
        <v>602</v>
      </c>
    </row>
    <row r="10" spans="1:16" ht="122.65" customHeight="1">
      <c r="A10" s="5">
        <v>3</v>
      </c>
      <c r="B10" s="5" t="str">
        <f t="shared" ref="B10" si="1">CONCATENATE($B$2, ".", A10)</f>
        <v>J.3</v>
      </c>
      <c r="C10" s="28" t="s">
        <v>55</v>
      </c>
      <c r="D10" s="48" t="s">
        <v>603</v>
      </c>
      <c r="E10" s="5" t="s">
        <v>72</v>
      </c>
      <c r="F10" s="5" t="s">
        <v>105</v>
      </c>
      <c r="G10" s="5" t="s">
        <v>105</v>
      </c>
      <c r="H10" s="28" t="s">
        <v>105</v>
      </c>
      <c r="I10" s="5" t="s">
        <v>378</v>
      </c>
      <c r="J10" s="5" t="s">
        <v>105</v>
      </c>
      <c r="K10" s="5" t="s">
        <v>105</v>
      </c>
      <c r="L10" s="5" t="s">
        <v>105</v>
      </c>
      <c r="M10" s="5" t="s">
        <v>105</v>
      </c>
      <c r="N10" s="5" t="s">
        <v>105</v>
      </c>
      <c r="O10" s="5" t="s">
        <v>604</v>
      </c>
    </row>
    <row r="11" spans="1:16">
      <c r="A11" s="5">
        <v>4</v>
      </c>
      <c r="B11" s="5" t="str">
        <f t="shared" si="0"/>
        <v>J.4</v>
      </c>
      <c r="C11" s="28" t="s">
        <v>51</v>
      </c>
      <c r="D11" s="34" t="s">
        <v>591</v>
      </c>
      <c r="E11" s="5" t="s">
        <v>73</v>
      </c>
      <c r="F11" s="5" t="s">
        <v>105</v>
      </c>
      <c r="G11" s="5" t="s">
        <v>105</v>
      </c>
      <c r="H11" s="28" t="s">
        <v>105</v>
      </c>
      <c r="I11" s="5" t="s">
        <v>86</v>
      </c>
      <c r="J11" s="5" t="s">
        <v>105</v>
      </c>
      <c r="K11" s="5" t="s">
        <v>105</v>
      </c>
      <c r="L11" s="5" t="s">
        <v>105</v>
      </c>
      <c r="M11" s="5" t="s">
        <v>105</v>
      </c>
      <c r="N11" s="5" t="s">
        <v>105</v>
      </c>
    </row>
    <row r="12" spans="1:16" ht="28.5">
      <c r="A12" s="5">
        <v>5</v>
      </c>
      <c r="B12" s="5" t="str">
        <f t="shared" si="0"/>
        <v>J.5</v>
      </c>
      <c r="C12" s="28" t="s">
        <v>51</v>
      </c>
      <c r="D12" s="5" t="s">
        <v>592</v>
      </c>
      <c r="E12" s="5" t="s">
        <v>72</v>
      </c>
      <c r="F12" s="5" t="s">
        <v>105</v>
      </c>
      <c r="G12" s="5" t="s">
        <v>105</v>
      </c>
      <c r="H12" s="28" t="s">
        <v>105</v>
      </c>
      <c r="I12" s="5" t="s">
        <v>86</v>
      </c>
      <c r="J12" s="5" t="s">
        <v>105</v>
      </c>
      <c r="K12" s="5" t="s">
        <v>105</v>
      </c>
      <c r="L12" s="5" t="s">
        <v>105</v>
      </c>
      <c r="M12" s="5" t="s">
        <v>105</v>
      </c>
      <c r="N12" s="5" t="s">
        <v>105</v>
      </c>
    </row>
  </sheetData>
  <autoFilter ref="A6:P6" xr:uid="{00000000-0009-0000-0000-00001F000000}"/>
  <conditionalFormatting sqref="C13:C1048576">
    <cfRule type="cellIs" dxfId="26" priority="24" operator="equal">
      <formula>"WIP (see comments)"</formula>
    </cfRule>
    <cfRule type="cellIs" dxfId="25" priority="25" operator="equal">
      <formula>"Removed"</formula>
    </cfRule>
    <cfRule type="cellIs" dxfId="24" priority="26" operator="equal">
      <formula>"Updated"</formula>
    </cfRule>
    <cfRule type="cellIs" dxfId="23" priority="27" operator="equal">
      <formula>"New"</formula>
    </cfRule>
  </conditionalFormatting>
  <conditionalFormatting sqref="A13:XFD1048576 A1:C1 E1:XFD1 A2:XFD6">
    <cfRule type="cellIs" dxfId="22" priority="23" operator="equal">
      <formula>"n/a"</formula>
    </cfRule>
  </conditionalFormatting>
  <conditionalFormatting sqref="D11">
    <cfRule type="cellIs" dxfId="21" priority="22" operator="equal">
      <formula>"-"</formula>
    </cfRule>
  </conditionalFormatting>
  <conditionalFormatting sqref="A9:B9 D11:XFD11 E9:N9 P9:XFD9 A11:B11 I10">
    <cfRule type="cellIs" dxfId="20" priority="21" operator="equal">
      <formula>"n/a"</formula>
    </cfRule>
  </conditionalFormatting>
  <conditionalFormatting sqref="C7:C9 C11:C12">
    <cfRule type="cellIs" dxfId="19" priority="17" operator="equal">
      <formula>"WIP (see comments)"</formula>
    </cfRule>
    <cfRule type="cellIs" dxfId="18" priority="18" operator="equal">
      <formula>"Removed"</formula>
    </cfRule>
    <cfRule type="cellIs" dxfId="17" priority="19" operator="equal">
      <formula>"Updated"</formula>
    </cfRule>
    <cfRule type="cellIs" dxfId="16" priority="20" operator="equal">
      <formula>"New"</formula>
    </cfRule>
  </conditionalFormatting>
  <conditionalFormatting sqref="A7:XFD8 C8:C9 C11:C12">
    <cfRule type="cellIs" dxfId="15" priority="16" operator="equal">
      <formula>"n/a"</formula>
    </cfRule>
  </conditionalFormatting>
  <conditionalFormatting sqref="A12:B12 D12 F12:XFD12">
    <cfRule type="cellIs" dxfId="14" priority="15" operator="equal">
      <formula>"n/a"</formula>
    </cfRule>
  </conditionalFormatting>
  <conditionalFormatting sqref="E12">
    <cfRule type="cellIs" dxfId="13" priority="14" operator="equal">
      <formula>"n/a"</formula>
    </cfRule>
  </conditionalFormatting>
  <conditionalFormatting sqref="O9">
    <cfRule type="cellIs" dxfId="12" priority="13" operator="equal">
      <formula>"n/a"</formula>
    </cfRule>
  </conditionalFormatting>
  <conditionalFormatting sqref="D1">
    <cfRule type="cellIs" dxfId="11" priority="12" operator="equal">
      <formula>"n/a"</formula>
    </cfRule>
  </conditionalFormatting>
  <conditionalFormatting sqref="D9">
    <cfRule type="cellIs" dxfId="10" priority="11" operator="equal">
      <formula>"-"</formula>
    </cfRule>
  </conditionalFormatting>
  <conditionalFormatting sqref="D9">
    <cfRule type="cellIs" dxfId="9" priority="10" operator="equal">
      <formula>"n/a"</formula>
    </cfRule>
  </conditionalFormatting>
  <conditionalFormatting sqref="A10:B10 E10:H10 P10:XFD10 J10:N10">
    <cfRule type="cellIs" dxfId="8" priority="9" operator="equal">
      <formula>"n/a"</formula>
    </cfRule>
  </conditionalFormatting>
  <conditionalFormatting sqref="C10">
    <cfRule type="cellIs" dxfId="7" priority="5" operator="equal">
      <formula>"WIP (see comments)"</formula>
    </cfRule>
    <cfRule type="cellIs" dxfId="6" priority="6" operator="equal">
      <formula>"Removed"</formula>
    </cfRule>
    <cfRule type="cellIs" dxfId="5" priority="7" operator="equal">
      <formula>"Updated"</formula>
    </cfRule>
    <cfRule type="cellIs" dxfId="4" priority="8" operator="equal">
      <formula>"New"</formula>
    </cfRule>
  </conditionalFormatting>
  <conditionalFormatting sqref="C10">
    <cfRule type="cellIs" dxfId="3" priority="4" operator="equal">
      <formula>"n/a"</formula>
    </cfRule>
  </conditionalFormatting>
  <conditionalFormatting sqref="O10">
    <cfRule type="cellIs" dxfId="2" priority="3" operator="equal">
      <formula>"n/a"</formula>
    </cfRule>
  </conditionalFormatting>
  <conditionalFormatting sqref="D10">
    <cfRule type="cellIs" dxfId="1" priority="2" operator="equal">
      <formula>"-"</formula>
    </cfRule>
  </conditionalFormatting>
  <conditionalFormatting sqref="D10">
    <cfRule type="cellIs" dxfId="0"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1F00-000000000000}">
          <x14:formula1>
            <xm:f>'List Values'!$A$5:$A$30</xm:f>
          </x14:formula1>
          <xm:sqref>E7:E1048576</xm:sqref>
        </x14:dataValidation>
        <x14:dataValidation type="list" allowBlank="1" showInputMessage="1" showErrorMessage="1" xr:uid="{00000000-0002-0000-1F00-000001000000}">
          <x14:formula1>
            <xm:f>'List Values'!$B$5:$B$13</xm:f>
          </x14:formula1>
          <xm:sqref>C7:C1048576</xm:sqref>
        </x14:dataValidation>
      </x14:dataValidation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6d778449-ff75-428e-914f-0c7c3a330bda">
      <Terms xmlns="http://schemas.microsoft.com/office/infopath/2007/PartnerControls"/>
    </lcf76f155ced4ddcb4097134ff3c332f>
    <TaxCatchAll xmlns="9685b3f0-18b8-4ac0-8917-75cacc3928c8" xsi:nil="true"/>
    <IconOverlay xmlns="http://schemas.microsoft.com/sharepoint/v4"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CA6E2191C135504F9351B7DBCB2BE606" ma:contentTypeVersion="19" ma:contentTypeDescription="Create a new document." ma:contentTypeScope="" ma:versionID="144ddb5c3dec5e6553fff6a9e46bb08f">
  <xsd:schema xmlns:xsd="http://www.w3.org/2001/XMLSchema" xmlns:xs="http://www.w3.org/2001/XMLSchema" xmlns:p="http://schemas.microsoft.com/office/2006/metadata/properties" xmlns:ns2="6d778449-ff75-428e-914f-0c7c3a330bda" xmlns:ns3="9685b3f0-18b8-4ac0-8917-75cacc3928c8" xmlns:ns4="http://schemas.microsoft.com/sharepoint/v4" targetNamespace="http://schemas.microsoft.com/office/2006/metadata/properties" ma:root="true" ma:fieldsID="20e32d3dfd06a5d03c1eec57e40fefd4" ns2:_="" ns3:_="" ns4:_="">
    <xsd:import namespace="6d778449-ff75-428e-914f-0c7c3a330bda"/>
    <xsd:import namespace="9685b3f0-18b8-4ac0-8917-75cacc3928c8"/>
    <xsd:import namespace="http://schemas.microsoft.com/sharepoint/v4"/>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DateTaken" minOccurs="0"/>
                <xsd:element ref="ns4:IconOverlay"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d778449-ff75-428e-914f-0c7c3a330bd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a104f31a-2814-4102-809d-73f760290a87"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85b3f0-18b8-4ac0-8917-75cacc3928c8"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fdc0967b-2da2-44e6-873a-f241ab05c942}" ma:internalName="TaxCatchAll" ma:showField="CatchAllData" ma:web="9685b3f0-18b8-4ac0-8917-75cacc3928c8">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4" elementFormDefault="qualified">
    <xsd:import namespace="http://schemas.microsoft.com/office/2006/documentManagement/types"/>
    <xsd:import namespace="http://schemas.microsoft.com/office/infopath/2007/PartnerControls"/>
    <xsd:element name="IconOverlay" ma:index="19" nillable="true" ma:displayName="IconOverlay" ma:hidden="true" ma:internalName="IconOverlay">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FBFEE26-D9EA-4C5A-92F5-F1DF9C7FFD9B}"/>
</file>

<file path=customXml/itemProps2.xml><?xml version="1.0" encoding="utf-8"?>
<ds:datastoreItem xmlns:ds="http://schemas.openxmlformats.org/officeDocument/2006/customXml" ds:itemID="{49873DF4-A2F2-46E7-AEB7-94876694B737}"/>
</file>

<file path=customXml/itemProps3.xml><?xml version="1.0" encoding="utf-8"?>
<ds:datastoreItem xmlns:ds="http://schemas.openxmlformats.org/officeDocument/2006/customXml" ds:itemID="{3B7014CE-8E11-4725-A52D-CD2F369EC146}"/>
</file>

<file path=docMetadata/LabelInfo.xml><?xml version="1.0" encoding="utf-8"?>
<clbl:labelList xmlns:clbl="http://schemas.microsoft.com/office/2020/mipLabelMetadata">
  <clbl:label id="{4e1dbe9c-67f7-4be6-a2b7-0951d57be59d}" enabled="1" method="Standard" siteId="{bbf04c3f-b0e3-4b50-bd1b-10ce0b74385d}"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Ali Anwar</cp:lastModifiedBy>
  <cp:revision/>
  <dcterms:created xsi:type="dcterms:W3CDTF">2015-06-05T18:17:20Z</dcterms:created>
  <dcterms:modified xsi:type="dcterms:W3CDTF">2024-05-27T17:58:08Z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0x010100CA6E2191C135504F9351B7DBCB2BE606</vt:lpwstr>
  </property>
  <property fmtid="{D5CDD505-2E9C-101B-9397-08002B2CF9AE}" pid="3" name="URL">
    <vt:lpwstr/>
  </property>
  <property fmtid="{D5CDD505-2E9C-101B-9397-08002B2CF9AE}" pid="4" name="MediaServiceImageTags">
    <vt:lpwstr/>
  </property>
</Properties>
</file>