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filterPrivacy="1"/>
  <xr:revisionPtr revIDLastSave="1" documentId="13_ncr:1_{21A55C9F-C035-464A-9AE3-6A2F23483907}" xr6:coauthVersionLast="47" xr6:coauthVersionMax="47" xr10:uidLastSave="{534E4F8F-1607-4198-92F1-E3E893D72878}"/>
  <bookViews>
    <workbookView xWindow="28680" yWindow="-120" windowWidth="29040" windowHeight="15840" tabRatio="834" activeTab="6" xr2:uid="{00000000-000D-0000-FFFF-FFFF00000000}"/>
  </bookViews>
  <sheets>
    <sheet name="Revision Control" sheetId="1" r:id="rId1"/>
    <sheet name="List Values" sheetId="3" r:id="rId2"/>
    <sheet name="1. Application Approval" sheetId="45" r:id="rId3"/>
    <sheet name="DEPRECATED PAN Confirmation" sheetId="47" state="hidden" r:id="rId4"/>
    <sheet name="2. Method Selection" sheetId="37" r:id="rId5"/>
    <sheet name="3. Me-to-Me Session Mgmt." sheetId="40" r:id="rId6"/>
    <sheet name="4. Funds Transfer" sheetId="42" r:id="rId7"/>
    <sheet name="4a. Transfer Error" sheetId="46" r:id="rId8"/>
    <sheet name="5. Dynamic Finish" sheetId="39" r:id="rId9"/>
  </sheets>
  <definedNames>
    <definedName name="_xlnm._FilterDatabase" localSheetId="2" hidden="1">'1. Application Approval'!$A$6:$P$6</definedName>
    <definedName name="_xlnm._FilterDatabase" localSheetId="3" hidden="1">'DEPRECATED PAN Confirmation'!$A$6:$P$6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5" l="1"/>
  <c r="B15" i="37" l="1"/>
  <c r="B16" i="37"/>
  <c r="B17" i="37"/>
  <c r="B18" i="37"/>
  <c r="B14" i="37"/>
  <c r="B12" i="37"/>
  <c r="B13" i="37"/>
  <c r="B10" i="37"/>
  <c r="B11" i="37"/>
  <c r="B9" i="40" l="1"/>
  <c r="B14" i="45" l="1"/>
  <c r="B13" i="45"/>
  <c r="B10" i="45" l="1"/>
  <c r="B12" i="45"/>
  <c r="B17" i="42" l="1"/>
  <c r="B10" i="47" l="1"/>
  <c r="B9" i="47"/>
  <c r="B8" i="47"/>
  <c r="B7" i="47"/>
  <c r="B9" i="46" l="1"/>
  <c r="B10" i="46"/>
  <c r="B11" i="46" l="1"/>
  <c r="B8" i="46"/>
  <c r="B7" i="46"/>
  <c r="B16" i="45" l="1"/>
  <c r="B9" i="45"/>
  <c r="B7" i="45"/>
  <c r="B11" i="39" l="1"/>
  <c r="B16" i="42" l="1"/>
  <c r="B12" i="42"/>
  <c r="B10" i="42"/>
  <c r="B14" i="40"/>
  <c r="B13" i="40"/>
  <c r="B20" i="37"/>
  <c r="B9" i="37" l="1"/>
  <c r="B12" i="39" l="1"/>
  <c r="B15" i="39"/>
  <c r="B13" i="39"/>
  <c r="B18" i="39"/>
  <c r="B9" i="39"/>
  <c r="B7" i="39"/>
  <c r="B9" i="42" l="1"/>
  <c r="B14" i="42"/>
  <c r="B15" i="42"/>
  <c r="B8" i="42" l="1"/>
  <c r="B7" i="42"/>
  <c r="B15" i="40" l="1"/>
  <c r="B16" i="40"/>
  <c r="B10" i="40" l="1"/>
  <c r="B11" i="40"/>
  <c r="B12" i="40"/>
  <c r="B8" i="40"/>
  <c r="B7" i="40"/>
  <c r="B19" i="37" l="1"/>
  <c r="B8" i="37"/>
  <c r="B7" i="37"/>
</calcChain>
</file>

<file path=xl/sharedStrings.xml><?xml version="1.0" encoding="utf-8"?>
<sst xmlns="http://schemas.openxmlformats.org/spreadsheetml/2006/main" count="954" uniqueCount="230">
  <si>
    <t>Small Business Digital Client Onboarding (DCO)</t>
  </si>
  <si>
    <t>Funding Form Field Specification - Revision Control Form</t>
  </si>
  <si>
    <t>Document Version</t>
  </si>
  <si>
    <t>Revision Date</t>
  </si>
  <si>
    <t>Change Summary</t>
  </si>
  <si>
    <t>Updated by</t>
  </si>
  <si>
    <t>Reviewed By</t>
  </si>
  <si>
    <t>Approved by</t>
  </si>
  <si>
    <t>1.0</t>
  </si>
  <si>
    <t xml:space="preserve">Copied Version 1.1 of the Personal DCO Funding Form field spec.  </t>
  </si>
  <si>
    <t>Ian Hicks</t>
  </si>
  <si>
    <t>1.0 WIP</t>
  </si>
  <si>
    <t>CWBSB-249 Method Selection - Sprint 7</t>
  </si>
  <si>
    <t>1.1 WIP</t>
  </si>
  <si>
    <t>Initial specs updated for all remaining pages (Sprint 8).
Note: content for Application Approval and need for PAN Confirmation page are subject to change, pending finalization of provisioning Okta/Infinity OLB (including whether PAN will be exposed to end users).</t>
  </si>
  <si>
    <t>1.2 WIP</t>
  </si>
  <si>
    <t>Updated step names and removed progress bar elements per overall review of step names/progress bar (CWBSB-575).
Updated 1. Application Approval to include account#(s) and CIF#; wording updated to reflect Infinity/Okta provisioning approach; deprecated 1a. PAN confirmation as PAN no longer exposed in UI.
3. Me-to-Me Session Mgmt - added paragraph to align with new Flinks guidance from Privacy on Motive/Personal DCO.
Removed Exit button, added text at bottom of page (CWBSB-913)</t>
  </si>
  <si>
    <t>Connie Smart</t>
  </si>
  <si>
    <t>1.2</t>
  </si>
  <si>
    <t>Full team review - updated wording / screen order in 
2. Method Selection, 5. Dynamic Finish;
Added additional text element to 1. Application Approval to meet small business lending requirements.
Note: yellow tab indicates page with incomplete spec - awaiting confirmation of URL for Infinity.</t>
  </si>
  <si>
    <t>Lorraine McLeod
Candyse Watkinson
Connie Smart
Sandra Murillo Paz
Kelvin Fernando</t>
  </si>
  <si>
    <t>1.3</t>
  </si>
  <si>
    <r>
      <t xml:space="preserve">Updated button in 5. Dynamic finish with correct Infinity URL.
</t>
    </r>
    <r>
      <rPr>
        <b/>
        <sz val="10"/>
        <color theme="1"/>
        <rFont val="Calibri"/>
        <family val="2"/>
        <scheme val="minor"/>
      </rPr>
      <t>UX/DBX consistency updates:</t>
    </r>
    <r>
      <rPr>
        <sz val="10"/>
        <color theme="1"/>
        <rFont val="Calibri"/>
        <family val="2"/>
        <scheme val="minor"/>
      </rPr>
      <t xml:space="preserve">
(1) Modified references to "digital banking" to use sentence case in
1. Application Approval, 5. Dynamic Finish
(2) Replaced references to "sign into" with "log into" in
2. Method Selection</t>
    </r>
  </si>
  <si>
    <t>Funding Form Field Specification - List Values</t>
  </si>
  <si>
    <t>Field Type</t>
  </si>
  <si>
    <t>Field Status</t>
  </si>
  <si>
    <t>Button</t>
  </si>
  <si>
    <t>New</t>
  </si>
  <si>
    <t>Checkbox</t>
  </si>
  <si>
    <t>No Change</t>
  </si>
  <si>
    <t>Checkbox Group</t>
  </si>
  <si>
    <t>Removed</t>
  </si>
  <si>
    <t>Confirmation Message (modal)</t>
  </si>
  <si>
    <t>Updated</t>
  </si>
  <si>
    <t>Date Picker</t>
  </si>
  <si>
    <t>WIP (see comments)</t>
  </si>
  <si>
    <t>Drop-down list</t>
  </si>
  <si>
    <t>Dynamic Text</t>
  </si>
  <si>
    <t>Flinks Widget</t>
  </si>
  <si>
    <t>Google reCAPTCHA</t>
  </si>
  <si>
    <t>ID Scan Control</t>
  </si>
  <si>
    <t>Image</t>
  </si>
  <si>
    <t>Step name (above progress bar)</t>
  </si>
  <si>
    <t>Progress bar</t>
  </si>
  <si>
    <t>Radio button group</t>
  </si>
  <si>
    <t>Section (footer)</t>
  </si>
  <si>
    <t>Section (heading)</t>
  </si>
  <si>
    <t>Section (sub-heading)</t>
  </si>
  <si>
    <t>Static text with hyperlink</t>
  </si>
  <si>
    <t>Static text</t>
  </si>
  <si>
    <t>Static text (bulleted)</t>
  </si>
  <si>
    <t>Static text with parameter(s)</t>
  </si>
  <si>
    <t>Text field</t>
  </si>
  <si>
    <t>Text field (masked input)</t>
  </si>
  <si>
    <t>Text field (with suggestions)</t>
  </si>
  <si>
    <t>Timer</t>
  </si>
  <si>
    <t>Page Name</t>
  </si>
  <si>
    <t>Application Approval</t>
  </si>
  <si>
    <t>Page ID</t>
  </si>
  <si>
    <t>Story ID</t>
  </si>
  <si>
    <t>CWBSB-248</t>
  </si>
  <si>
    <t>Text/verbiage updates CWBSB-450</t>
  </si>
  <si>
    <t>Visibility</t>
  </si>
  <si>
    <t>Always Show</t>
  </si>
  <si>
    <t>ID</t>
  </si>
  <si>
    <t>Field ID</t>
  </si>
  <si>
    <t>Status</t>
  </si>
  <si>
    <t>Caption</t>
  </si>
  <si>
    <t>Type</t>
  </si>
  <si>
    <t>Permitted Data</t>
  </si>
  <si>
    <t>Inline Help</t>
  </si>
  <si>
    <t>Length</t>
  </si>
  <si>
    <t>Display</t>
  </si>
  <si>
    <t>Default Value</t>
  </si>
  <si>
    <t>Mandatory</t>
  </si>
  <si>
    <t>Mandatory Message</t>
  </si>
  <si>
    <t>Validation Rule/Regex</t>
  </si>
  <si>
    <t>Validation Message</t>
  </si>
  <si>
    <t>Business Rules</t>
  </si>
  <si>
    <t>Comments/Questions</t>
  </si>
  <si>
    <t>Congratulations, you're approved</t>
  </si>
  <si>
    <t>n/a</t>
  </si>
  <si>
    <t>Always</t>
  </si>
  <si>
    <t>Progress Bar</t>
  </si>
  <si>
    <t>Progress bar element is not required in funding form.</t>
  </si>
  <si>
    <t>Your application on behalf of &lt;&lt;business legal name&gt;&gt; has been approved for:</t>
  </si>
  <si>
    <t>Insert &lt;&lt;business legal name&gt;&gt; where indicated.</t>
  </si>
  <si>
    <t>&lt;&lt;Product Name&gt;&gt;
Account Number: &lt;&lt;Account Number&gt;&gt;</t>
  </si>
  <si>
    <t>Always (repeat for each account in the application)</t>
  </si>
  <si>
    <t>Insert applicable &lt;&lt;Product Name&gt;&gt; and &lt;&lt;Account Number&gt;&gt;. Repeat for each account included in the application.
Note: this relates to chequing/savings accounts (provisioned via T24), not cash management products/services which were summarized in Complementary Services CWBSB-46.</t>
  </si>
  <si>
    <t>Your Revolving Line of Credit can be accessed from &lt;&lt;product name&gt;&gt;, account number &lt;&lt;account number&gt;&gt;.</t>
  </si>
  <si>
    <t>Conditional-see business rules</t>
  </si>
  <si>
    <t>Include this element ONLY if business lending (LOC) product has been approved.
Insert &lt;&lt;product name&gt;&gt; and &lt;&lt;account number&gt;&gt; where indicated, for chequing account to which LOC was linked.</t>
  </si>
  <si>
    <t>Added to meet Small Business Lending requirements.</t>
  </si>
  <si>
    <t>Your client ID is: &lt;&lt;business CIF number&gt;&gt;</t>
  </si>
  <si>
    <t>Insert business CIF number.</t>
  </si>
  <si>
    <t>Digital banking</t>
  </si>
  <si>
    <t>Added following finalization of provisioning approach for Infinity/Okta.</t>
  </si>
  <si>
    <t>You (and any authorized signers or delegates you’ve identified) will receive an email with instructions for setting up online access to your CWB account(s).</t>
  </si>
  <si>
    <t>Your Personal Access Number (PAN) is: &lt;&lt;PAN&gt;&gt;</t>
  </si>
  <si>
    <r>
      <t xml:space="preserve">PANs are returned from T24 with a three character card type prefix.  The format is:
[Card Type].[16-digit numeric PAN]
</t>
    </r>
    <r>
      <rPr>
        <b/>
        <strike/>
        <sz val="11"/>
        <color theme="1"/>
        <rFont val="Calibri"/>
        <family val="2"/>
        <scheme val="minor"/>
      </rPr>
      <t>This field should only display the 16-digit numeric PAN.  The card type prefix, and period should be removed prior to display.</t>
    </r>
  </si>
  <si>
    <t>Business/UX preference to not display PAN as applicant needs to provide a username and password.</t>
  </si>
  <si>
    <t>Next</t>
  </si>
  <si>
    <t>On click…
Navigate to Method Selection (CWBSB-249)</t>
  </si>
  <si>
    <t>PAN Confirmation</t>
  </si>
  <si>
    <t>DEPRECATED</t>
  </si>
  <si>
    <t>1a</t>
  </si>
  <si>
    <t>CWBSB-267</t>
  </si>
  <si>
    <t>Not required as no longer exposing PAN in UI.</t>
  </si>
  <si>
    <t>Did you save your PAN?</t>
  </si>
  <si>
    <t>After leaving this page, you will not be able to return.  Please record your Personal Access Number (PAN) now, since you will need it to access online banking and other CWB services.</t>
  </si>
  <si>
    <t>Static Text</t>
  </si>
  <si>
    <t>Yes, I saved my PAN</t>
  </si>
  <si>
    <r>
      <t xml:space="preserve">On click…
Navigate to </t>
    </r>
    <r>
      <rPr>
        <b/>
        <strike/>
        <sz val="11"/>
        <color theme="1"/>
        <rFont val="Calibri"/>
        <family val="2"/>
        <scheme val="minor"/>
      </rPr>
      <t>"Method Selection"</t>
    </r>
    <r>
      <rPr>
        <strike/>
        <sz val="11"/>
        <color theme="1"/>
        <rFont val="Calibri"/>
        <family val="2"/>
        <scheme val="minor"/>
      </rPr>
      <t xml:space="preserve"> page CWBSB-249</t>
    </r>
  </si>
  <si>
    <t>No, go back</t>
  </si>
  <si>
    <r>
      <t xml:space="preserve">On click...
close dialog (stay on </t>
    </r>
    <r>
      <rPr>
        <b/>
        <strike/>
        <sz val="11"/>
        <color theme="1"/>
        <rFont val="Calibri"/>
        <family val="2"/>
        <scheme val="minor"/>
      </rPr>
      <t>"Application Approval"</t>
    </r>
    <r>
      <rPr>
        <strike/>
        <sz val="11"/>
        <color theme="1"/>
        <rFont val="Calibri"/>
        <family val="2"/>
        <scheme val="minor"/>
      </rPr>
      <t xml:space="preserve"> page)</t>
    </r>
  </si>
  <si>
    <t>Method Selection Page</t>
  </si>
  <si>
    <t>CWBSB-249</t>
  </si>
  <si>
    <t>Text/verbiage updates CWBSB-437</t>
  </si>
  <si>
    <t>Always show</t>
  </si>
  <si>
    <t>Make a deposit</t>
  </si>
  <si>
    <t>How would you like to transfer funds to your new account(s)?</t>
  </si>
  <si>
    <t>[icon - see business rules]
From my CWB or Motive Financial account</t>
  </si>
  <si>
    <t>A) Selected
B) Unselected
Selection is mutually exclusive (no multiple selection)</t>
  </si>
  <si>
    <t>Unselected</t>
  </si>
  <si>
    <t>Yes</t>
  </si>
  <si>
    <t>Please select your preferred funding method.</t>
  </si>
  <si>
    <t>Refer to the CWB design kit for image asset.</t>
  </si>
  <si>
    <r>
      <t xml:space="preserve">[icon - see business rules]
</t>
    </r>
    <r>
      <rPr>
        <i/>
        <sz val="11"/>
        <color theme="1"/>
        <rFont val="Calibri"/>
        <family val="2"/>
        <scheme val="minor"/>
      </rPr>
      <t>Interac</t>
    </r>
    <r>
      <rPr>
        <sz val="11"/>
        <color theme="1"/>
        <rFont val="Calibri"/>
        <family val="2"/>
        <scheme val="minor"/>
      </rPr>
      <t xml:space="preserve"> e-transfer</t>
    </r>
  </si>
  <si>
    <t>Display image "Contactless payment.svg".
Refer to the CWB Design System for image asset.</t>
  </si>
  <si>
    <t>[icon - see business rules]
Remote Deposit Capture</t>
  </si>
  <si>
    <t>Display image "Remote deposit capture.svg".
Refer to the CWB Design System for image asset.</t>
  </si>
  <si>
    <t>[icon - see business rules]
Cheque</t>
  </si>
  <si>
    <t>Display image "Cheque payment.svg".
Refer to the CWB Design System for image asset.</t>
  </si>
  <si>
    <t>[icon - see business rules]
From my other bank</t>
  </si>
  <si>
    <t>This option will permit you to transfer funds from a personal account you hold at another financial institution. You cannot use a business account at this time.</t>
  </si>
  <si>
    <t>Display image "Bank Building.svg".
Refer to the CWB Design System for image asset.</t>
  </si>
  <si>
    <t>Flinks Me-2-Me funding will be restricted for SB DCO MVP to personal accounts only, subject to ownership validation as implemented for Motive DCO.</t>
  </si>
  <si>
    <t>If you have an account with CWB or Motive Financial, you may log into it through online banking, and transfer funds instantly to your new CWB account.</t>
  </si>
  <si>
    <t>Only if radio button 2.4 is selected.
For desktop display, this text should appear to the right of the radio button. For mobile display, it should be below the radio button.</t>
  </si>
  <si>
    <t>Log into your new account and transfer funds instantly using email or a mobile phone.</t>
  </si>
  <si>
    <t>Only if radio button 2.5 is selected.
For desktop display, this text should appear to the right of the radio button. For mobile display, it should be below the radio button.</t>
  </si>
  <si>
    <t>Use your mobile phone to scan a cheque and deposit the funds into your new account.</t>
  </si>
  <si>
    <t>Only if radio button 2.6 is selected.
For desktop display, this text should appear to the right of the radio button. For mobile display, it should be below the radio button.</t>
  </si>
  <si>
    <t>Log into another bank or financial institution to transfer funds to your new account.
(funds may be held for 5 business days)</t>
  </si>
  <si>
    <t>Only if radio button 2.8 is selected.
For desktop display, this text should appear to the right of the radio button. For mobile display, it should be below the radio button.</t>
  </si>
  <si>
    <r>
      <t xml:space="preserve">On click…
IF (Fields 2.4 to 2.8 == "Unchecked") THEN
    Show mandatory field validation error
ELSE IF (Field 2.8 == "Checked") THEN
    Navigate to </t>
    </r>
    <r>
      <rPr>
        <b/>
        <sz val="11"/>
        <color theme="1"/>
        <rFont val="Calibri"/>
        <family val="2"/>
        <scheme val="minor"/>
      </rPr>
      <t>"Me-to-me Session Management"</t>
    </r>
    <r>
      <rPr>
        <sz val="11"/>
        <color theme="1"/>
        <rFont val="Calibri"/>
        <family val="2"/>
        <scheme val="minor"/>
      </rPr>
      <t xml:space="preserve"> page CWBSB-250
ELSE
    Navigate to </t>
    </r>
    <r>
      <rPr>
        <b/>
        <sz val="11"/>
        <color theme="1"/>
        <rFont val="Calibri"/>
        <family val="2"/>
        <scheme val="minor"/>
      </rPr>
      <t>"Dynamic Finish"</t>
    </r>
    <r>
      <rPr>
        <sz val="11"/>
        <color theme="1"/>
        <rFont val="Calibri"/>
        <family val="2"/>
        <scheme val="minor"/>
      </rPr>
      <t xml:space="preserve"> page CWBSB-253</t>
    </r>
  </si>
  <si>
    <t>Or skip this step</t>
  </si>
  <si>
    <r>
      <t xml:space="preserve">On click…
Navigate to </t>
    </r>
    <r>
      <rPr>
        <b/>
        <sz val="11"/>
        <color theme="1"/>
        <rFont val="Calibri"/>
        <family val="2"/>
        <scheme val="minor"/>
      </rPr>
      <t>"Dynamic Finish"</t>
    </r>
    <r>
      <rPr>
        <sz val="11"/>
        <color theme="1"/>
        <rFont val="Calibri"/>
        <family val="2"/>
        <scheme val="minor"/>
      </rPr>
      <t xml:space="preserve"> page CWBSB-253</t>
    </r>
  </si>
  <si>
    <t>Me-to-Me Session management</t>
  </si>
  <si>
    <t>CWBSB-250</t>
  </si>
  <si>
    <t>Text/verbiage updates CWBSB-457</t>
  </si>
  <si>
    <t>Only for users who choose Me-to-Me funding</t>
  </si>
  <si>
    <t>Choose your bank</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</si>
  <si>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</si>
  <si>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</si>
  <si>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A few steps back, you signed into your bank or financial institution to help us verify your identity.
Would you like to use the same bank now to transfer funds to your new account(s)?</t>
  </si>
  <si>
    <r>
      <t xml:space="preserve">Display these fields if </t>
    </r>
    <r>
      <rPr>
        <b/>
        <u/>
        <sz val="11"/>
        <color theme="1"/>
        <rFont val="Calibri"/>
        <family val="2"/>
        <scheme val="minor"/>
      </rPr>
      <t>all</t>
    </r>
    <r>
      <rPr>
        <sz val="11"/>
        <color theme="1"/>
        <rFont val="Calibri"/>
        <family val="2"/>
        <scheme val="minor"/>
      </rPr>
      <t xml:space="preserve"> of the following conditions hold:
A) The applicant used Flinks for identity management purposes.
B) The previously used Flinks token is still valid</t>
    </r>
  </si>
  <si>
    <t>Yes, I'd like to use the same bank or financial institution.</t>
  </si>
  <si>
    <t>Yes, if the display conditions hold.</t>
  </si>
  <si>
    <t>Please select a funding option.</t>
  </si>
  <si>
    <t>No, I'd like to sign into another bank or financial institution to transfer funds.</t>
  </si>
  <si>
    <t>Please sign into your other bank or financial institution to continue with your deposit.</t>
  </si>
  <si>
    <r>
      <t xml:space="preserve">Display if </t>
    </r>
    <r>
      <rPr>
        <b/>
        <u/>
        <sz val="11"/>
        <color theme="1"/>
        <rFont val="Calibri"/>
        <family val="2"/>
        <scheme val="minor"/>
      </rPr>
      <t>any</t>
    </r>
    <r>
      <rPr>
        <sz val="11"/>
        <color theme="1"/>
        <rFont val="Calibri"/>
        <family val="2"/>
        <scheme val="minor"/>
      </rPr>
      <t xml:space="preserve"> of the following conditions hold:
A) The applicant did not use Flinks for identity verification
B) The applicant used Flinks for identity verification, but the token is no longer valid</t>
    </r>
  </si>
  <si>
    <r>
      <t xml:space="preserve">Display if </t>
    </r>
    <r>
      <rPr>
        <b/>
        <u/>
        <sz val="11"/>
        <color theme="1"/>
        <rFont val="Calibri"/>
        <family val="2"/>
        <scheme val="minor"/>
      </rPr>
      <t>any</t>
    </r>
    <r>
      <rPr>
        <sz val="11"/>
        <color theme="1"/>
        <rFont val="Calibri"/>
        <family val="2"/>
        <scheme val="minor"/>
      </rPr>
      <t xml:space="preserve"> of the following conditions hold:
A) The applicant did not use Flinks for identity verification
B) The applicant used Flinks for identity verification, but the token is no longer valid
C) The applicant selected radio button 3.5.</t>
    </r>
  </si>
  <si>
    <t>Yes, when visible.
(users must successfully authenticate via Flinks before proceeding)</t>
  </si>
  <si>
    <t>Please sign into your bank or financial institution before proceeding.</t>
  </si>
  <si>
    <t>On click, navigate to the Funds Transfer page CWBSB-251</t>
  </si>
  <si>
    <t>Back</t>
  </si>
  <si>
    <t>On click, navigate back to the Method Selection page CWBSB-249</t>
  </si>
  <si>
    <t>Funds Transfer (Me-to-Me Source Selection)</t>
  </si>
  <si>
    <t>CWBSB-251</t>
  </si>
  <si>
    <t>Text/verbiage updates CWBSB-453</t>
  </si>
  <si>
    <t>Transfer Funds</t>
  </si>
  <si>
    <t>Which personal account would you like to transfer funds from?</t>
  </si>
  <si>
    <t>Populate drop down list with the list of eligible accounts returned by the Flinks service.  The list values should be displayed using the following format:
&lt;&lt;Account.title&gt;&gt; - &lt;&lt;Account.number&gt;&gt; (&lt;&lt;Account.balance&gt;&gt;)
Example: Chequing CAD - 1111000 ($4,532.34)</t>
  </si>
  <si>
    <t>You can only transfer funds from a personal account that belongs to you.</t>
  </si>
  <si>
    <t>Please tell us which account you would like to transfer funds from.</t>
  </si>
  <si>
    <t>For MVP release:
- Transfer permitted from a valid personal account only
- Applicant must be the account holder.
IF no eligible accounts are returned by the Flinks service, display modal overlay (4.9 below)
ELSE render account list as described.</t>
  </si>
  <si>
    <t>How much would you like to transfer?</t>
  </si>
  <si>
    <t>Display a separate instance of the following field, for each product the applicant is applying for.</t>
  </si>
  <si>
    <t>&lt;&lt;Product Name&gt;&gt;</t>
  </si>
  <si>
    <t>Positive dollar values OR blanks</t>
  </si>
  <si>
    <t>blank</t>
  </si>
  <si>
    <t>Yes
At least one instance of this field must be completed. Funding cannot be $0.</t>
  </si>
  <si>
    <t>Please tell us how much you would like to transfer into your new account(s).</t>
  </si>
  <si>
    <t>Value must be a positive number or blank.</t>
  </si>
  <si>
    <t>Please specify a valid, positive amount to transfer.</t>
  </si>
  <si>
    <r>
      <t xml:space="preserve">On click…
IF (user has completed all mandatory fields) THEN
    Display the </t>
    </r>
    <r>
      <rPr>
        <b/>
        <sz val="11"/>
        <color theme="1"/>
        <rFont val="Calibri"/>
        <family val="2"/>
        <scheme val="minor"/>
      </rPr>
      <t>"Funding Confirmation"</t>
    </r>
    <r>
      <rPr>
        <sz val="11"/>
        <color theme="1"/>
        <rFont val="Calibri"/>
        <family val="2"/>
        <scheme val="minor"/>
      </rPr>
      <t xml:space="preserve"> overlay (Field 4.8)
ELSE
    Show mandatory field validation error</t>
    </r>
  </si>
  <si>
    <r>
      <t xml:space="preserve">On click…
Navigate back to </t>
    </r>
    <r>
      <rPr>
        <b/>
        <sz val="11"/>
        <color theme="1"/>
        <rFont val="Calibri"/>
        <family val="2"/>
        <scheme val="minor"/>
      </rPr>
      <t xml:space="preserve">"Me-to-me Session Management" </t>
    </r>
    <r>
      <rPr>
        <sz val="11"/>
        <color theme="1"/>
        <rFont val="Calibri"/>
        <family val="2"/>
        <scheme val="minor"/>
      </rPr>
      <t>page CWBSB-250</t>
    </r>
  </si>
  <si>
    <r>
      <t xml:space="preserve">You are about to transfer $&lt;&lt;Total funding amount&gt;&gt;.  
Do you wish to continue?
</t>
    </r>
    <r>
      <rPr>
        <b/>
        <u/>
        <sz val="11"/>
        <color theme="1"/>
        <rFont val="Calibri"/>
        <family val="2"/>
        <scheme val="minor"/>
      </rPr>
      <t xml:space="preserve">Yes, Finish </t>
    </r>
    <r>
      <rPr>
        <sz val="11"/>
        <color theme="1"/>
        <rFont val="Calibri"/>
        <family val="2"/>
        <scheme val="minor"/>
      </rPr>
      <t xml:space="preserve">                           </t>
    </r>
    <r>
      <rPr>
        <b/>
        <u/>
        <sz val="11"/>
        <color theme="1"/>
        <rFont val="Calibri"/>
        <family val="2"/>
        <scheme val="minor"/>
      </rPr>
      <t>No, go back</t>
    </r>
  </si>
  <si>
    <t>After user clicks "Next"</t>
  </si>
  <si>
    <t>Hyperlink "Yes, Finish" and "No, go back" with navigation as described below.
IF (user clicks "Yes, Finish") THEN
  Create funding transaction(s);
  Navigate to the "Dynamic Finish" page CWBSB-253;
ELSE IF (user clicks "No, go back") THEN
  Cancel navigation and close the modal overlay</t>
  </si>
  <si>
    <r>
      <t xml:space="preserve">No eligible accounts were found.
Do you want to choose a different method of funding your new business account(s)?
</t>
    </r>
    <r>
      <rPr>
        <b/>
        <u/>
        <sz val="11"/>
        <color theme="1"/>
        <rFont val="Calibri"/>
        <family val="2"/>
        <scheme val="minor"/>
      </rPr>
      <t>Yes, I'll choose a different method</t>
    </r>
    <r>
      <rPr>
        <sz val="11"/>
        <color theme="1"/>
        <rFont val="Calibri"/>
        <family val="2"/>
        <scheme val="minor"/>
      </rPr>
      <t xml:space="preserve">   </t>
    </r>
    <r>
      <rPr>
        <b/>
        <u/>
        <sz val="11"/>
        <color theme="1"/>
        <rFont val="Calibri"/>
        <family val="2"/>
        <scheme val="minor"/>
      </rPr>
      <t>No, skip this step</t>
    </r>
  </si>
  <si>
    <t>Only if no eligible accounts returned by Flinks service (see business rules)</t>
  </si>
  <si>
    <t>Generate this modal overlay ONLY if no eligible accounts for funding are returned by Flinks service.
Hyperlink "Yes, I'll choose a different method" and "No, skip this step" with navigation as described below.
IF (user clicks "Yes, I'll choose a different message") THEN
  Create funding transaction(s);
  Navigate to the "Method Selection" page CWBSB-249;
ELSE IF (user clicks "No, skip this step") THEN
 Navigate to the "Dynamic Finish" page CWBSB-253</t>
  </si>
  <si>
    <t>Funding Transfer Error</t>
  </si>
  <si>
    <t>4a</t>
  </si>
  <si>
    <t>CWBSB-252</t>
  </si>
  <si>
    <t>Text/verbiage updates: CWBSB-454</t>
  </si>
  <si>
    <t>Only when Me-to-Me funding fails</t>
  </si>
  <si>
    <t>Something went wrong.</t>
  </si>
  <si>
    <t>We weren't able to set up the funds transfer you requested.
After you click "Next" you'll be able to try again, or choose another method for making your deposit.</t>
  </si>
  <si>
    <t>Image to be displayed as per the project Design Kit.
Please consult the UX Team for assistance.</t>
  </si>
  <si>
    <r>
      <t xml:space="preserve">For assistance, please email CWB at </t>
    </r>
    <r>
      <rPr>
        <u/>
        <sz val="11"/>
        <color theme="1"/>
        <rFont val="Calibri"/>
        <family val="2"/>
        <scheme val="minor"/>
      </rPr>
      <t>business-onboarding@cwbank.com</t>
    </r>
    <r>
      <rPr>
        <sz val="11"/>
        <color theme="1"/>
        <rFont val="Calibri"/>
        <family val="2"/>
        <scheme val="minor"/>
      </rPr>
      <t>.</t>
    </r>
  </si>
  <si>
    <t>Note email address updated for Small Business DCO.</t>
  </si>
  <si>
    <t>On click…
Navigate to the "Method Selection" Page CWBSB-251</t>
  </si>
  <si>
    <t>Dynamic Finish</t>
  </si>
  <si>
    <t>CWBSB-253</t>
  </si>
  <si>
    <t>Text/verbiage updates CWBSB-456</t>
  </si>
  <si>
    <t>Congratulations!</t>
  </si>
  <si>
    <t>Thank you for choosing CWB. Your new account(s) are set up and ready for use and we've sent you a confirmation email with some helpful information.</t>
  </si>
  <si>
    <t>The following fields are dynamic, and should be shown/hidden based on the user's funding method selection (see Method Selection page)</t>
  </si>
  <si>
    <t>Next steps</t>
  </si>
  <si>
    <t>Only if the user selected one of the following funding methods on the Method Selection page (CWBSB-249):
A) 2.4: CWB or Motive account
B) 2.5: Interac e-transfer
C) 2.6: Remote Deposit Capture
D) 2.7: Cheque</t>
  </si>
  <si>
    <t>You can now log into digital banking and transfer funds to your account, or you can do this later.</t>
  </si>
  <si>
    <t>Only if the user selected Interac e-Transfer (field 2.5) OR an existing CWB or Motive Financial account (field 2.4), on the Method Selection page</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</si>
  <si>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</si>
  <si>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</si>
  <si>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1) Log into the CWB mobile app, and tap the "Deposit" icon.
2) Read and acknowledge the deposit times by tapping "Continue".
3) Select your new account in the "Deposit to" field, and specify the deposit amount.
4) Take photos of the front and back of your cheque, and press "Continue" to complete the deposit.</t>
  </si>
  <si>
    <t>Team review 5/19 - deprecated in favour of more generic instructions and help link - see 5.4 &amp; 5.5 above.</t>
  </si>
  <si>
    <t>Mail us a cheque.
Be sure to make the cheque payable to your business, and mail it to:
Canadian Western Bank
Suite 3000, 10303 Jasper Avenue NW
Edmonton, AB T5J 3X6
(Funds may be held for 5 business days.)</t>
  </si>
  <si>
    <t>Only if the user selected funding via cheque mailing (field 2.7) on the Method Selection page</t>
  </si>
  <si>
    <t xml:space="preserve">Congratulations! Your application is complete. 
You may close this browser window now or logon to your online banking to begin managing your account. </t>
  </si>
  <si>
    <t>Team review - removed</t>
  </si>
  <si>
    <t>Go to digital banking</t>
  </si>
  <si>
    <t>On click, navigate to the following URL:
https://cwb.digital/</t>
  </si>
  <si>
    <t>Added Infinity URL.</t>
  </si>
  <si>
    <t>Exit</t>
  </si>
  <si>
    <t>Removed button due to challenges with closing browser tabs (could cause unexpected results, like directing to Codat login page - see CWBSB-913).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</si>
</sst>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yyyy\-mm\-dd;@"/>
  </numFmts>
  <fonts count="17">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b/>
      <sz val="11"/>
      <color theme="0"/>
      <name val="Calibri"/>
      <family val="2"/>
      <scheme val="minor"/>
    </font>
    <font>
      <sz val="11"/>
      <color theme="0"/>
      <name val="Calibri"/>
      <family val="2"/>
      <scheme val="minor"/>
    </font>
    <font>
      <b/>
      <u/>
      <sz val="11"/>
      <color theme="1"/>
      <name val="Calibri"/>
      <family val="2"/>
      <scheme val="minor"/>
    </font>
    <font>
      <u/>
      <sz val="11"/>
      <color theme="1"/>
      <name val="Calibri"/>
      <family val="2"/>
      <scheme val="minor"/>
    </font>
    <font>
      <strike/>
      <sz val="11"/>
      <color theme="1"/>
      <name val="Calibri"/>
      <family val="2"/>
      <scheme val="minor"/>
    </font>
    <font>
      <b/>
      <strike/>
      <sz val="11"/>
      <color theme="1"/>
      <name val="Calibri"/>
      <family val="2"/>
      <scheme val="minor"/>
    </font>
    <font>
      <i/>
      <sz val="11"/>
      <color theme="1"/>
      <name val="Calibri"/>
      <family val="2"/>
      <scheme val="minor"/>
    </font>
    <font>
      <sz val="11"/>
      <name val="Calibri"/>
      <family val="2"/>
      <scheme val="minor"/>
    </font>
    <font>
      <b/>
      <sz val="10"/>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rgb="FF00B050"/>
        <bgColor indexed="64"/>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s>
  <cellStyleXfs count="1">
    <xf numFmtId="0" fontId="0" fillId="0" borderId="0"/>
  </cellStyleXfs>
  <cellXfs count="58">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6" xfId="0" applyBorder="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5" borderId="0" xfId="0" applyFill="1" applyAlignment="1">
      <alignment vertical="center" wrapText="1"/>
    </xf>
    <xf numFmtId="0" fontId="0" fillId="5" borderId="0" xfId="0" applyFill="1" applyAlignment="1">
      <alignment horizontal="center" vertical="center" wrapText="1"/>
    </xf>
    <xf numFmtId="0" fontId="7" fillId="5" borderId="0" xfId="0" applyFont="1" applyFill="1" applyAlignment="1">
      <alignment vertical="center" wrapText="1"/>
    </xf>
    <xf numFmtId="8" fontId="0" fillId="0" borderId="0" xfId="0" applyNumberFormat="1" applyAlignment="1">
      <alignment vertical="center" wrapText="1"/>
    </xf>
    <xf numFmtId="0" fontId="9" fillId="5" borderId="0" xfId="0" applyFont="1" applyFill="1" applyAlignment="1">
      <alignment vertical="center" wrapText="1"/>
    </xf>
    <xf numFmtId="0" fontId="0" fillId="0" borderId="0" xfId="0" applyAlignment="1">
      <alignment horizontal="left" vertical="center" wrapText="1"/>
    </xf>
    <xf numFmtId="0" fontId="1" fillId="3" borderId="14" xfId="0" applyFont="1" applyFill="1" applyBorder="1" applyAlignment="1">
      <alignment horizontal="center" vertical="center"/>
    </xf>
    <xf numFmtId="0" fontId="0" fillId="0" borderId="15" xfId="0" applyBorder="1" applyAlignment="1">
      <alignment horizontal="center" vertical="center" wrapText="1"/>
    </xf>
    <xf numFmtId="0" fontId="0" fillId="0" borderId="17" xfId="0" applyBorder="1" applyAlignment="1">
      <alignment horizontal="center" vertical="center"/>
    </xf>
    <xf numFmtId="0" fontId="0" fillId="0" borderId="13" xfId="0" applyBorder="1" applyAlignment="1">
      <alignment horizontal="center" vertical="center" wrapText="1"/>
    </xf>
    <xf numFmtId="0" fontId="3" fillId="0" borderId="12" xfId="0" quotePrefix="1" applyFont="1" applyBorder="1" applyAlignment="1">
      <alignment vertical="center" wrapText="1"/>
    </xf>
    <xf numFmtId="0" fontId="0" fillId="0" borderId="16" xfId="0" applyBorder="1" applyAlignment="1">
      <alignment horizontal="center" vertical="center" wrapText="1"/>
    </xf>
    <xf numFmtId="0" fontId="7" fillId="5" borderId="0" xfId="0" applyFont="1" applyFill="1" applyAlignment="1">
      <alignment vertical="center"/>
    </xf>
    <xf numFmtId="0" fontId="8" fillId="5" borderId="0" xfId="0" applyFont="1" applyFill="1" applyAlignment="1">
      <alignment vertical="center"/>
    </xf>
    <xf numFmtId="0" fontId="1" fillId="4" borderId="10" xfId="0" applyFont="1" applyFill="1" applyBorder="1" applyAlignment="1">
      <alignment horizontal="left" vertical="center" wrapText="1"/>
    </xf>
    <xf numFmtId="0" fontId="12" fillId="0" borderId="0" xfId="0" applyFont="1" applyAlignment="1">
      <alignment vertical="center" wrapText="1"/>
    </xf>
    <xf numFmtId="0" fontId="0" fillId="6" borderId="0" xfId="0" applyFill="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55">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zoomScaleNormal="100" workbookViewId="0">
      <selection activeCell="A11" sqref="A11"/>
    </sheetView>
  </sheetViews>
  <sheetFormatPr defaultRowHeight="14.45"/>
  <cols>
    <col min="1" max="1" width="19.85546875" customWidth="1"/>
    <col min="2" max="2" width="18.7109375" bestFit="1" customWidth="1"/>
    <col min="3" max="3" width="52.28515625" customWidth="1"/>
    <col min="4" max="6" width="21.5703125" customWidth="1"/>
    <col min="7" max="7" width="20.140625" customWidth="1"/>
  </cols>
  <sheetData>
    <row r="1" spans="1:16" s="1" customFormat="1" ht="18.600000000000001">
      <c r="A1" s="1" t="s">
        <v>0</v>
      </c>
      <c r="B1" s="2"/>
      <c r="C1" s="2"/>
      <c r="D1" s="2"/>
      <c r="E1" s="2"/>
      <c r="F1" s="2"/>
      <c r="G1" s="3"/>
      <c r="H1" s="2"/>
      <c r="I1" s="3"/>
      <c r="J1" s="3"/>
      <c r="K1" s="3"/>
      <c r="L1" s="2"/>
      <c r="M1" s="2"/>
      <c r="N1" s="2"/>
      <c r="O1" s="2"/>
      <c r="P1" s="2"/>
    </row>
    <row r="2" spans="1:16" s="1" customFormat="1" ht="18.600000000000001">
      <c r="A2" s="1" t="s">
        <v>1</v>
      </c>
      <c r="B2" s="2"/>
      <c r="C2" s="2"/>
      <c r="D2" s="2"/>
      <c r="E2" s="2"/>
      <c r="F2" s="2"/>
      <c r="G2" s="3"/>
      <c r="H2" s="2"/>
      <c r="I2" s="3"/>
      <c r="J2" s="3"/>
      <c r="K2" s="3"/>
      <c r="L2" s="2"/>
      <c r="M2" s="2"/>
      <c r="N2" s="2"/>
      <c r="O2" s="2"/>
      <c r="P2" s="2"/>
    </row>
    <row r="3" spans="1:16" s="4" customFormat="1">
      <c r="C3" s="5"/>
    </row>
    <row r="4" spans="1:16" ht="15" thickBot="1"/>
    <row r="5" spans="1:16" s="10" customFormat="1" ht="15" thickBot="1">
      <c r="A5" s="6" t="s">
        <v>2</v>
      </c>
      <c r="B5" s="7" t="s">
        <v>3</v>
      </c>
      <c r="C5" s="8" t="s">
        <v>4</v>
      </c>
      <c r="D5" s="7" t="s">
        <v>5</v>
      </c>
      <c r="E5" s="45" t="s">
        <v>6</v>
      </c>
      <c r="F5" s="9" t="s">
        <v>7</v>
      </c>
    </row>
    <row r="6" spans="1:16" s="4" customFormat="1" ht="23.1" customHeight="1">
      <c r="A6" s="11" t="s">
        <v>8</v>
      </c>
      <c r="B6" s="12">
        <v>44117</v>
      </c>
      <c r="C6" s="13" t="s">
        <v>9</v>
      </c>
      <c r="D6" s="21" t="s">
        <v>10</v>
      </c>
      <c r="E6" s="46"/>
      <c r="F6" s="34"/>
    </row>
    <row r="7" spans="1:16" s="4" customFormat="1" ht="20.100000000000001" customHeight="1">
      <c r="A7" s="11" t="s">
        <v>11</v>
      </c>
      <c r="B7" s="12">
        <v>44225</v>
      </c>
      <c r="C7" s="13" t="s">
        <v>12</v>
      </c>
      <c r="D7" s="21" t="s">
        <v>10</v>
      </c>
      <c r="E7" s="46"/>
      <c r="F7" s="34"/>
    </row>
    <row r="8" spans="1:16" s="4" customFormat="1" ht="65.099999999999994">
      <c r="A8" s="11" t="s">
        <v>13</v>
      </c>
      <c r="B8" s="12">
        <v>44235</v>
      </c>
      <c r="C8" s="13" t="s">
        <v>14</v>
      </c>
      <c r="D8" s="19" t="s">
        <v>10</v>
      </c>
      <c r="E8" s="46"/>
      <c r="F8" s="34"/>
    </row>
    <row r="9" spans="1:16" s="4" customFormat="1" ht="104.1">
      <c r="A9" s="11" t="s">
        <v>15</v>
      </c>
      <c r="B9" s="12">
        <v>44316</v>
      </c>
      <c r="C9" s="14" t="s">
        <v>16</v>
      </c>
      <c r="D9" s="21" t="s">
        <v>10</v>
      </c>
      <c r="E9" s="46" t="s">
        <v>17</v>
      </c>
      <c r="F9" s="34"/>
    </row>
    <row r="10" spans="1:16" s="4" customFormat="1" ht="78">
      <c r="A10" s="35" t="s">
        <v>18</v>
      </c>
      <c r="B10" s="36">
        <v>44344</v>
      </c>
      <c r="C10" s="37" t="s">
        <v>19</v>
      </c>
      <c r="D10" s="38" t="s">
        <v>10</v>
      </c>
      <c r="E10" s="50" t="s">
        <v>20</v>
      </c>
      <c r="F10" s="48"/>
    </row>
    <row r="11" spans="1:16" s="4" customFormat="1" ht="90.95">
      <c r="A11" s="35" t="s">
        <v>21</v>
      </c>
      <c r="B11" s="36">
        <v>44393</v>
      </c>
      <c r="C11" s="49" t="s">
        <v>22</v>
      </c>
      <c r="D11" s="38" t="s">
        <v>10</v>
      </c>
      <c r="E11" s="50" t="s">
        <v>20</v>
      </c>
      <c r="F11" s="48"/>
    </row>
    <row r="12" spans="1:16" s="4" customFormat="1" ht="15" thickBot="1">
      <c r="A12" s="15"/>
      <c r="B12" s="16"/>
      <c r="C12" s="17"/>
      <c r="D12" s="20"/>
      <c r="E12" s="47"/>
      <c r="F12" s="18"/>
    </row>
  </sheetData>
  <conditionalFormatting sqref="I1:J2">
    <cfRule type="cellIs" dxfId="54" priority="10" operator="equal">
      <formula>"Not Applicable"</formula>
    </cfRule>
    <cfRule type="cellIs" dxfId="53" priority="11" operator="equal">
      <formula>"4 - Future Initiative (out of scope)"</formula>
    </cfRule>
    <cfRule type="cellIs" dxfId="52" priority="12" operator="equal">
      <formula>"3 - Desirable (Nice To Have)"</formula>
    </cfRule>
    <cfRule type="cellIs" dxfId="51" priority="13" operator="equal">
      <formula>"2 - Recommended (Best Practice)"</formula>
    </cfRule>
    <cfRule type="cellIs" dxfId="50" priority="14" operator="equal">
      <formula>"1 - Mandatory (Must Have)"</formula>
    </cfRule>
  </conditionalFormatting>
  <conditionalFormatting sqref="G1:G2">
    <cfRule type="cellIs" dxfId="49" priority="8" operator="equal">
      <formula>"Non-functional"</formula>
    </cfRule>
    <cfRule type="cellIs" dxfId="48" priority="9" operator="equal">
      <formula>"Functional"</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B24" sqref="B24"/>
    </sheetView>
  </sheetViews>
  <sheetFormatPr defaultRowHeight="14.45"/>
  <cols>
    <col min="1" max="1" width="47.28515625" bestFit="1" customWidth="1"/>
    <col min="2" max="2" width="25.5703125" customWidth="1"/>
  </cols>
  <sheetData>
    <row r="1" spans="1:15" s="1" customFormat="1" ht="18.600000000000001">
      <c r="A1" s="1" t="s">
        <v>0</v>
      </c>
      <c r="B1" s="2"/>
      <c r="C1" s="2"/>
      <c r="D1" s="2"/>
      <c r="E1" s="2"/>
      <c r="F1" s="3"/>
      <c r="G1" s="2"/>
      <c r="H1" s="3"/>
      <c r="I1" s="3"/>
      <c r="J1" s="3"/>
      <c r="K1" s="2"/>
      <c r="L1" s="2"/>
      <c r="M1" s="2"/>
      <c r="N1" s="2"/>
      <c r="O1" s="2"/>
    </row>
    <row r="2" spans="1:15" s="1" customFormat="1" ht="18.600000000000001">
      <c r="A2" s="1" t="s">
        <v>23</v>
      </c>
      <c r="B2" s="2"/>
      <c r="C2" s="2"/>
      <c r="D2" s="2"/>
      <c r="E2" s="2"/>
      <c r="F2" s="3"/>
      <c r="G2" s="2"/>
      <c r="H2" s="3"/>
      <c r="I2" s="3"/>
      <c r="J2" s="3"/>
      <c r="K2" s="2"/>
      <c r="L2" s="2"/>
      <c r="M2" s="2"/>
      <c r="N2" s="2"/>
      <c r="O2" s="2"/>
    </row>
    <row r="4" spans="1:15" s="22" customFormat="1">
      <c r="A4" s="22" t="s">
        <v>24</v>
      </c>
      <c r="B4" s="22" t="s">
        <v>25</v>
      </c>
    </row>
    <row r="5" spans="1:15">
      <c r="A5" t="s">
        <v>26</v>
      </c>
      <c r="B5" t="s">
        <v>27</v>
      </c>
    </row>
    <row r="6" spans="1:15">
      <c r="A6" t="s">
        <v>28</v>
      </c>
      <c r="B6" t="s">
        <v>29</v>
      </c>
    </row>
    <row r="7" spans="1:15">
      <c r="A7" t="s">
        <v>30</v>
      </c>
      <c r="B7" t="s">
        <v>31</v>
      </c>
    </row>
    <row r="8" spans="1:15">
      <c r="A8" t="s">
        <v>32</v>
      </c>
      <c r="B8" t="s">
        <v>33</v>
      </c>
    </row>
    <row r="9" spans="1:15">
      <c r="A9" t="s">
        <v>34</v>
      </c>
      <c r="B9" t="s">
        <v>35</v>
      </c>
    </row>
    <row r="10" spans="1:15">
      <c r="A10" t="s">
        <v>36</v>
      </c>
    </row>
    <row r="11" spans="1:15">
      <c r="A11" t="s">
        <v>37</v>
      </c>
    </row>
    <row r="12" spans="1:15">
      <c r="A12" t="s">
        <v>38</v>
      </c>
    </row>
    <row r="13" spans="1:15">
      <c r="A13" t="s">
        <v>39</v>
      </c>
    </row>
    <row r="14" spans="1:15">
      <c r="A14" t="s">
        <v>40</v>
      </c>
    </row>
    <row r="15" spans="1:15">
      <c r="A15" t="s">
        <v>41</v>
      </c>
    </row>
    <row r="16" spans="1:15">
      <c r="A16" t="s">
        <v>42</v>
      </c>
    </row>
    <row r="17" spans="1:1">
      <c r="A17" t="s">
        <v>43</v>
      </c>
    </row>
    <row r="18" spans="1:1">
      <c r="A18" t="s">
        <v>44</v>
      </c>
    </row>
    <row r="19" spans="1:1">
      <c r="A19" t="s">
        <v>45</v>
      </c>
    </row>
    <row r="20" spans="1:1">
      <c r="A20" t="s">
        <v>46</v>
      </c>
    </row>
    <row r="21" spans="1:1">
      <c r="A21" t="s">
        <v>47</v>
      </c>
    </row>
    <row r="22" spans="1:1">
      <c r="A22" t="s">
        <v>48</v>
      </c>
    </row>
    <row r="23" spans="1:1">
      <c r="A23" t="s">
        <v>49</v>
      </c>
    </row>
    <row r="24" spans="1:1">
      <c r="A24" t="s">
        <v>50</v>
      </c>
    </row>
    <row r="25" spans="1:1">
      <c r="A25" t="s">
        <v>51</v>
      </c>
    </row>
    <row r="26" spans="1:1">
      <c r="A26" t="s">
        <v>52</v>
      </c>
    </row>
    <row r="27" spans="1:1">
      <c r="A27" t="s">
        <v>53</v>
      </c>
    </row>
    <row r="28" spans="1:1">
      <c r="A28" t="s">
        <v>54</v>
      </c>
    </row>
    <row r="29" spans="1:1">
      <c r="A29" t="s">
        <v>55</v>
      </c>
    </row>
  </sheetData>
  <sortState xmlns:xlrd2="http://schemas.microsoft.com/office/spreadsheetml/2017/richdata2" ref="A5:A15">
    <sortCondition ref="A16"/>
  </sortState>
  <conditionalFormatting sqref="H1:I2">
    <cfRule type="cellIs" dxfId="47" priority="3" operator="equal">
      <formula>"Not Applicable"</formula>
    </cfRule>
    <cfRule type="cellIs" dxfId="46" priority="4" operator="equal">
      <formula>"4 - Future Initiative (out of scope)"</formula>
    </cfRule>
    <cfRule type="cellIs" dxfId="45" priority="5" operator="equal">
      <formula>"3 - Desirable (Nice To Have)"</formula>
    </cfRule>
    <cfRule type="cellIs" dxfId="44" priority="6" operator="equal">
      <formula>"2 - Recommended (Best Practice)"</formula>
    </cfRule>
    <cfRule type="cellIs" dxfId="43" priority="7" operator="equal">
      <formula>"1 - Mandatory (Must Have)"</formula>
    </cfRule>
  </conditionalFormatting>
  <conditionalFormatting sqref="F1:F2">
    <cfRule type="cellIs" dxfId="42" priority="1" operator="equal">
      <formula>"Non-functional"</formula>
    </cfRule>
    <cfRule type="cellIs" dxfId="41" priority="2" operator="equal">
      <formula>"Functional"</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zoomScaleNormal="100" workbookViewId="0">
      <pane xSplit="4" ySplit="6" topLeftCell="E13" activePane="bottomRight" state="frozen"/>
      <selection pane="bottomRight" activeCell="A13" sqref="A13"/>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 style="29" customWidth="1"/>
    <col min="4" max="4" width="45.140625" style="5" customWidth="1"/>
    <col min="5" max="5" width="28.7109375" style="5" customWidth="1"/>
    <col min="6" max="6" width="37" style="5" customWidth="1"/>
    <col min="7" max="7" width="29.28515625" style="5" customWidth="1"/>
    <col min="8" max="8" width="11.5703125" style="2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5" customFormat="1" ht="18.600000000000001">
      <c r="A1" s="23" t="s">
        <v>56</v>
      </c>
      <c r="B1" s="33" t="s">
        <v>57</v>
      </c>
      <c r="C1" s="27"/>
      <c r="D1" s="24"/>
      <c r="H1" s="30"/>
    </row>
    <row r="2" spans="1:16" s="25" customFormat="1" ht="18.600000000000001">
      <c r="A2" s="23" t="s">
        <v>58</v>
      </c>
      <c r="B2" s="31">
        <v>1</v>
      </c>
      <c r="C2" s="30"/>
      <c r="D2" s="31"/>
      <c r="H2" s="30"/>
    </row>
    <row r="3" spans="1:16" s="25" customFormat="1" ht="18.600000000000001">
      <c r="A3" s="23" t="s">
        <v>59</v>
      </c>
      <c r="B3" s="31" t="s">
        <v>60</v>
      </c>
      <c r="C3" s="30"/>
      <c r="D3" s="31" t="s">
        <v>61</v>
      </c>
      <c r="H3" s="30"/>
    </row>
    <row r="4" spans="1:16" s="25" customFormat="1" ht="18.600000000000001">
      <c r="A4" s="23" t="s">
        <v>62</v>
      </c>
      <c r="B4" s="25" t="s">
        <v>63</v>
      </c>
      <c r="C4" s="30"/>
      <c r="H4" s="30"/>
    </row>
    <row r="5" spans="1:16" s="4" customFormat="1">
      <c r="C5" s="32"/>
      <c r="H5" s="32"/>
    </row>
    <row r="6" spans="1:16" s="26" customFormat="1" ht="15" thickBot="1">
      <c r="A6" s="26" t="s">
        <v>64</v>
      </c>
      <c r="B6" s="26" t="s">
        <v>65</v>
      </c>
      <c r="C6" s="28" t="s">
        <v>66</v>
      </c>
      <c r="D6" s="26" t="s">
        <v>67</v>
      </c>
      <c r="E6" s="26" t="s">
        <v>68</v>
      </c>
      <c r="F6" s="26" t="s">
        <v>69</v>
      </c>
      <c r="G6" s="26" t="s">
        <v>70</v>
      </c>
      <c r="H6" s="28" t="s">
        <v>71</v>
      </c>
      <c r="I6" s="26" t="s">
        <v>72</v>
      </c>
      <c r="J6" s="26" t="s">
        <v>73</v>
      </c>
      <c r="K6" s="26" t="s">
        <v>74</v>
      </c>
      <c r="L6" s="26" t="s">
        <v>75</v>
      </c>
      <c r="M6" s="26" t="s">
        <v>76</v>
      </c>
      <c r="N6" s="26" t="s">
        <v>77</v>
      </c>
      <c r="O6" s="26" t="s">
        <v>78</v>
      </c>
      <c r="P6" s="26" t="s">
        <v>79</v>
      </c>
    </row>
    <row r="7" spans="1:16">
      <c r="A7" s="5">
        <v>1</v>
      </c>
      <c r="B7" s="5" t="str">
        <f t="shared" ref="B7:B16" si="0">CONCATENATE($B$2, ".", A7)</f>
        <v>1.1</v>
      </c>
      <c r="C7" s="29" t="s">
        <v>33</v>
      </c>
      <c r="D7" s="5" t="s">
        <v>80</v>
      </c>
      <c r="E7" s="5" t="s">
        <v>46</v>
      </c>
      <c r="F7" s="5" t="s">
        <v>81</v>
      </c>
      <c r="G7" s="5" t="s">
        <v>81</v>
      </c>
      <c r="H7" s="29" t="s">
        <v>81</v>
      </c>
      <c r="I7" s="5" t="s">
        <v>82</v>
      </c>
      <c r="J7" s="5" t="s">
        <v>81</v>
      </c>
      <c r="K7" s="5" t="s">
        <v>81</v>
      </c>
      <c r="L7" s="5" t="s">
        <v>81</v>
      </c>
      <c r="M7" s="5" t="s">
        <v>81</v>
      </c>
      <c r="N7" s="5" t="s">
        <v>81</v>
      </c>
    </row>
    <row r="8" spans="1:16" ht="29.1" hidden="1">
      <c r="C8" s="29" t="s">
        <v>31</v>
      </c>
      <c r="D8" s="5" t="s">
        <v>81</v>
      </c>
      <c r="E8" s="5" t="s">
        <v>83</v>
      </c>
      <c r="P8" s="5" t="s">
        <v>84</v>
      </c>
    </row>
    <row r="9" spans="1:16" ht="29.1">
      <c r="A9" s="5">
        <v>2</v>
      </c>
      <c r="B9" s="5" t="str">
        <f t="shared" si="0"/>
        <v>1.2</v>
      </c>
      <c r="C9" s="29" t="s">
        <v>33</v>
      </c>
      <c r="D9" s="5" t="s">
        <v>85</v>
      </c>
      <c r="E9" s="5" t="s">
        <v>51</v>
      </c>
      <c r="F9" s="5" t="s">
        <v>81</v>
      </c>
      <c r="G9" s="5" t="s">
        <v>81</v>
      </c>
      <c r="H9" s="29" t="s">
        <v>81</v>
      </c>
      <c r="I9" s="5" t="s">
        <v>82</v>
      </c>
      <c r="J9" s="5" t="s">
        <v>81</v>
      </c>
      <c r="K9" s="5" t="s">
        <v>81</v>
      </c>
      <c r="L9" s="5" t="s">
        <v>81</v>
      </c>
      <c r="M9" s="5" t="s">
        <v>81</v>
      </c>
      <c r="N9" s="5" t="s">
        <v>81</v>
      </c>
      <c r="O9" s="5" t="s">
        <v>86</v>
      </c>
    </row>
    <row r="10" spans="1:16" ht="101.45">
      <c r="A10" s="5">
        <v>3</v>
      </c>
      <c r="B10" s="5" t="str">
        <f t="shared" si="0"/>
        <v>1.3</v>
      </c>
      <c r="C10" s="29" t="s">
        <v>33</v>
      </c>
      <c r="D10" s="5" t="s">
        <v>87</v>
      </c>
      <c r="E10" s="5" t="s">
        <v>51</v>
      </c>
      <c r="F10" s="5" t="s">
        <v>81</v>
      </c>
      <c r="G10" s="5" t="s">
        <v>81</v>
      </c>
      <c r="H10" s="29" t="s">
        <v>81</v>
      </c>
      <c r="I10" s="5" t="s">
        <v>88</v>
      </c>
      <c r="J10" s="5" t="s">
        <v>81</v>
      </c>
      <c r="K10" s="5" t="s">
        <v>81</v>
      </c>
      <c r="L10" s="5" t="s">
        <v>81</v>
      </c>
      <c r="M10" s="5" t="s">
        <v>81</v>
      </c>
      <c r="N10" s="5" t="s">
        <v>81</v>
      </c>
      <c r="O10" s="5" t="s">
        <v>89</v>
      </c>
    </row>
    <row r="11" spans="1:16" ht="72.599999999999994">
      <c r="A11" s="55">
        <v>4</v>
      </c>
      <c r="B11" s="5" t="str">
        <f t="shared" si="0"/>
        <v>1.4</v>
      </c>
      <c r="C11" s="29" t="s">
        <v>27</v>
      </c>
      <c r="D11" s="5" t="s">
        <v>90</v>
      </c>
      <c r="E11" s="5" t="s">
        <v>51</v>
      </c>
      <c r="F11" s="5" t="s">
        <v>81</v>
      </c>
      <c r="G11" s="5" t="s">
        <v>81</v>
      </c>
      <c r="H11" s="29" t="s">
        <v>81</v>
      </c>
      <c r="I11" s="5" t="s">
        <v>91</v>
      </c>
      <c r="J11" s="5" t="s">
        <v>81</v>
      </c>
      <c r="K11" s="5" t="s">
        <v>81</v>
      </c>
      <c r="L11" s="5" t="s">
        <v>81</v>
      </c>
      <c r="M11" s="5" t="s">
        <v>81</v>
      </c>
      <c r="N11" s="5" t="s">
        <v>81</v>
      </c>
      <c r="O11" s="5" t="s">
        <v>92</v>
      </c>
      <c r="P11" s="5" t="s">
        <v>93</v>
      </c>
    </row>
    <row r="12" spans="1:16">
      <c r="A12" s="5">
        <v>5</v>
      </c>
      <c r="B12" s="5" t="str">
        <f t="shared" si="0"/>
        <v>1.5</v>
      </c>
      <c r="C12" s="29" t="s">
        <v>33</v>
      </c>
      <c r="D12" s="5" t="s">
        <v>94</v>
      </c>
      <c r="E12" s="5" t="s">
        <v>51</v>
      </c>
      <c r="F12" s="5" t="s">
        <v>81</v>
      </c>
      <c r="G12" s="5" t="s">
        <v>81</v>
      </c>
      <c r="H12" s="29" t="s">
        <v>81</v>
      </c>
      <c r="I12" s="5" t="s">
        <v>82</v>
      </c>
      <c r="J12" s="5" t="s">
        <v>81</v>
      </c>
      <c r="K12" s="5" t="s">
        <v>81</v>
      </c>
      <c r="L12" s="5" t="s">
        <v>81</v>
      </c>
      <c r="M12" s="5" t="s">
        <v>81</v>
      </c>
      <c r="N12" s="5" t="s">
        <v>81</v>
      </c>
      <c r="O12" s="5" t="s">
        <v>95</v>
      </c>
    </row>
    <row r="13" spans="1:16" ht="29.1">
      <c r="A13" s="5">
        <v>6</v>
      </c>
      <c r="B13" s="5" t="str">
        <f t="shared" ref="B13" si="1">CONCATENATE($B$2, ".", A13)</f>
        <v>1.6</v>
      </c>
      <c r="C13" s="29" t="s">
        <v>27</v>
      </c>
      <c r="D13" s="5" t="s">
        <v>96</v>
      </c>
      <c r="E13" s="5" t="s">
        <v>47</v>
      </c>
      <c r="F13" s="5" t="s">
        <v>81</v>
      </c>
      <c r="G13" s="5" t="s">
        <v>81</v>
      </c>
      <c r="H13" s="29" t="s">
        <v>81</v>
      </c>
      <c r="I13" s="5" t="s">
        <v>82</v>
      </c>
      <c r="J13" s="5" t="s">
        <v>81</v>
      </c>
      <c r="K13" s="5" t="s">
        <v>81</v>
      </c>
      <c r="L13" s="5" t="s">
        <v>81</v>
      </c>
      <c r="M13" s="5" t="s">
        <v>81</v>
      </c>
      <c r="N13" s="5" t="s">
        <v>81</v>
      </c>
      <c r="P13" s="5" t="s">
        <v>97</v>
      </c>
    </row>
    <row r="14" spans="1:16" ht="43.5">
      <c r="A14" s="5">
        <v>7</v>
      </c>
      <c r="B14" s="5" t="str">
        <f t="shared" ref="B14" si="2">CONCATENATE($B$2, ".", A14)</f>
        <v>1.7</v>
      </c>
      <c r="C14" s="29" t="s">
        <v>27</v>
      </c>
      <c r="D14" s="5" t="s">
        <v>98</v>
      </c>
      <c r="E14" s="5" t="s">
        <v>49</v>
      </c>
      <c r="F14" s="5" t="s">
        <v>81</v>
      </c>
      <c r="G14" s="5" t="s">
        <v>81</v>
      </c>
      <c r="H14" s="29" t="s">
        <v>81</v>
      </c>
      <c r="I14" s="5" t="s">
        <v>82</v>
      </c>
      <c r="J14" s="5" t="s">
        <v>81</v>
      </c>
      <c r="K14" s="5" t="s">
        <v>81</v>
      </c>
      <c r="L14" s="5" t="s">
        <v>81</v>
      </c>
      <c r="M14" s="5" t="s">
        <v>81</v>
      </c>
      <c r="N14" s="5" t="s">
        <v>81</v>
      </c>
      <c r="P14" s="5" t="s">
        <v>97</v>
      </c>
    </row>
    <row r="15" spans="1:16" ht="131.25" hidden="1" customHeight="1">
      <c r="C15" s="29" t="s">
        <v>31</v>
      </c>
      <c r="D15" s="5" t="s">
        <v>99</v>
      </c>
      <c r="F15" s="5" t="s">
        <v>81</v>
      </c>
      <c r="G15" s="5" t="s">
        <v>81</v>
      </c>
      <c r="H15" s="29" t="s">
        <v>81</v>
      </c>
      <c r="J15" s="5" t="s">
        <v>81</v>
      </c>
      <c r="K15" s="5" t="s">
        <v>81</v>
      </c>
      <c r="L15" s="5" t="s">
        <v>81</v>
      </c>
      <c r="M15" s="5" t="s">
        <v>81</v>
      </c>
      <c r="N15" s="5" t="s">
        <v>81</v>
      </c>
      <c r="O15" s="54" t="s">
        <v>100</v>
      </c>
      <c r="P15" s="5" t="s">
        <v>101</v>
      </c>
    </row>
    <row r="16" spans="1:16" ht="29.1">
      <c r="A16" s="5">
        <v>8</v>
      </c>
      <c r="B16" s="5" t="str">
        <f t="shared" si="0"/>
        <v>1.8</v>
      </c>
      <c r="C16" s="29" t="s">
        <v>33</v>
      </c>
      <c r="D16" s="5" t="s">
        <v>102</v>
      </c>
      <c r="E16" s="5" t="s">
        <v>26</v>
      </c>
      <c r="F16" s="5" t="s">
        <v>81</v>
      </c>
      <c r="G16" s="5" t="s">
        <v>81</v>
      </c>
      <c r="H16" s="29" t="s">
        <v>81</v>
      </c>
      <c r="I16" s="5" t="s">
        <v>82</v>
      </c>
      <c r="J16" s="5" t="s">
        <v>81</v>
      </c>
      <c r="K16" s="5" t="s">
        <v>81</v>
      </c>
      <c r="L16" s="5" t="s">
        <v>81</v>
      </c>
      <c r="M16" s="5" t="s">
        <v>81</v>
      </c>
      <c r="N16" s="5" t="s">
        <v>81</v>
      </c>
      <c r="O16" s="5" t="s">
        <v>103</v>
      </c>
    </row>
  </sheetData>
  <autoFilter ref="A6:P6" xr:uid="{00000000-0009-0000-0000-000002000000}"/>
  <conditionalFormatting sqref="A16:XFD1048576 A15:C15 E15:XFD15 C8:C15 A1:XFD14">
    <cfRule type="cellIs" dxfId="40" priority="16" operator="equal">
      <formula>"n/a"</formula>
    </cfRule>
  </conditionalFormatting>
  <conditionalFormatting sqref="C1:C1048576">
    <cfRule type="cellIs" dxfId="39" priority="23" operator="equal">
      <formula>"WIP (see comments)"</formula>
    </cfRule>
    <cfRule type="cellIs" dxfId="38" priority="24" operator="equal">
      <formula>"Removed"</formula>
    </cfRule>
    <cfRule type="cellIs" dxfId="37" priority="25" operator="equal">
      <formula>"Updated"</formula>
    </cfRule>
    <cfRule type="cellIs" dxfId="36" priority="26" operator="equal">
      <formula>"New"</formula>
    </cfRule>
  </conditionalFormatting>
  <dataValidations count="1">
    <dataValidation type="list" allowBlank="1" showInputMessage="1" showErrorMessage="1" sqref="E16:E1048576" xr:uid="{00000000-0002-0000-0200-000000000000}">
      <formula1>$A$5:$A$32</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'List Values'!$A$5:$A$31</xm:f>
          </x14:formula1>
          <xm:sqref>E7:E15</xm:sqref>
        </x14:dataValidation>
        <x14:dataValidation type="list" allowBlank="1" showInputMessage="1" showErrorMessage="1" xr:uid="{00000000-0002-0000-0200-000002000000}">
          <x14:formula1>
            <xm:f>'List Values'!$B$5:$B$9</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P10"/>
  <sheetViews>
    <sheetView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3.5703125" style="29" customWidth="1"/>
    <col min="4" max="4" width="45.140625" style="5" customWidth="1"/>
    <col min="5" max="5" width="28.7109375" style="5" customWidth="1"/>
    <col min="6" max="6" width="37" style="5" customWidth="1"/>
    <col min="7" max="7" width="29.28515625" style="5" customWidth="1"/>
    <col min="8" max="8" width="11.5703125" style="2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5" customFormat="1" ht="18.600000000000001">
      <c r="A1" s="23" t="s">
        <v>56</v>
      </c>
      <c r="B1" s="33" t="s">
        <v>104</v>
      </c>
      <c r="C1" s="27"/>
      <c r="D1" s="24" t="s">
        <v>105</v>
      </c>
      <c r="H1" s="30"/>
    </row>
    <row r="2" spans="1:16" s="25" customFormat="1" ht="18.600000000000001">
      <c r="A2" s="23" t="s">
        <v>58</v>
      </c>
      <c r="B2" s="31" t="s">
        <v>106</v>
      </c>
      <c r="C2" s="30"/>
      <c r="D2" s="31"/>
      <c r="H2" s="30"/>
    </row>
    <row r="3" spans="1:16" s="25" customFormat="1" ht="18.600000000000001">
      <c r="A3" s="23" t="s">
        <v>59</v>
      </c>
      <c r="B3" s="31" t="s">
        <v>107</v>
      </c>
      <c r="C3" s="30"/>
      <c r="D3" s="31"/>
      <c r="H3" s="30"/>
    </row>
    <row r="4" spans="1:16" s="25" customFormat="1" ht="18.600000000000001">
      <c r="A4" s="23" t="s">
        <v>62</v>
      </c>
      <c r="B4" s="25" t="s">
        <v>108</v>
      </c>
      <c r="C4" s="30"/>
      <c r="H4" s="30"/>
    </row>
    <row r="5" spans="1:16" s="4" customFormat="1">
      <c r="C5" s="32"/>
      <c r="H5" s="32"/>
    </row>
    <row r="6" spans="1:16" s="26" customFormat="1" ht="15" thickBot="1">
      <c r="A6" s="26" t="s">
        <v>64</v>
      </c>
      <c r="B6" s="26" t="s">
        <v>65</v>
      </c>
      <c r="C6" s="28" t="s">
        <v>66</v>
      </c>
      <c r="D6" s="26" t="s">
        <v>67</v>
      </c>
      <c r="E6" s="26" t="s">
        <v>68</v>
      </c>
      <c r="F6" s="26" t="s">
        <v>69</v>
      </c>
      <c r="G6" s="26" t="s">
        <v>70</v>
      </c>
      <c r="H6" s="28" t="s">
        <v>71</v>
      </c>
      <c r="I6" s="26" t="s">
        <v>72</v>
      </c>
      <c r="J6" s="26" t="s">
        <v>73</v>
      </c>
      <c r="K6" s="26" t="s">
        <v>74</v>
      </c>
      <c r="L6" s="26" t="s">
        <v>75</v>
      </c>
      <c r="M6" s="26" t="s">
        <v>76</v>
      </c>
      <c r="N6" s="26" t="s">
        <v>77</v>
      </c>
      <c r="O6" s="26" t="s">
        <v>78</v>
      </c>
      <c r="P6" s="26" t="s">
        <v>79</v>
      </c>
    </row>
    <row r="7" spans="1:16">
      <c r="A7" s="5">
        <v>1</v>
      </c>
      <c r="B7" s="5" t="str">
        <f t="shared" ref="B7:B10" si="0">CONCATENATE($B$2, ".", A7)</f>
        <v>1a.1</v>
      </c>
      <c r="C7" s="29" t="s">
        <v>31</v>
      </c>
      <c r="D7" s="5" t="s">
        <v>109</v>
      </c>
      <c r="E7" s="5" t="s">
        <v>46</v>
      </c>
      <c r="F7" s="5" t="s">
        <v>81</v>
      </c>
      <c r="G7" s="5" t="s">
        <v>81</v>
      </c>
      <c r="H7" s="29" t="s">
        <v>81</v>
      </c>
      <c r="J7" s="5" t="s">
        <v>81</v>
      </c>
      <c r="K7" s="5" t="s">
        <v>81</v>
      </c>
      <c r="L7" s="5" t="s">
        <v>81</v>
      </c>
      <c r="M7" s="5" t="s">
        <v>81</v>
      </c>
      <c r="N7" s="5" t="s">
        <v>81</v>
      </c>
    </row>
    <row r="8" spans="1:16" ht="81.75" customHeight="1">
      <c r="A8" s="5">
        <v>2</v>
      </c>
      <c r="B8" s="5" t="str">
        <f t="shared" si="0"/>
        <v>1a.2</v>
      </c>
      <c r="C8" s="29" t="s">
        <v>31</v>
      </c>
      <c r="D8" s="5" t="s">
        <v>110</v>
      </c>
      <c r="E8" s="5" t="s">
        <v>111</v>
      </c>
      <c r="F8" s="5" t="s">
        <v>81</v>
      </c>
      <c r="G8" s="5" t="s">
        <v>81</v>
      </c>
      <c r="H8" s="29" t="s">
        <v>81</v>
      </c>
      <c r="J8" s="5" t="s">
        <v>81</v>
      </c>
      <c r="K8" s="5" t="s">
        <v>81</v>
      </c>
      <c r="L8" s="5" t="s">
        <v>81</v>
      </c>
      <c r="M8" s="5" t="s">
        <v>81</v>
      </c>
      <c r="N8" s="5" t="s">
        <v>81</v>
      </c>
    </row>
    <row r="9" spans="1:16" ht="29.1">
      <c r="A9" s="5">
        <v>3</v>
      </c>
      <c r="B9" s="5" t="str">
        <f t="shared" si="0"/>
        <v>1a.3</v>
      </c>
      <c r="C9" s="29" t="s">
        <v>31</v>
      </c>
      <c r="D9" s="5" t="s">
        <v>112</v>
      </c>
      <c r="E9" s="5" t="s">
        <v>26</v>
      </c>
      <c r="F9" s="5" t="s">
        <v>81</v>
      </c>
      <c r="G9" s="5" t="s">
        <v>81</v>
      </c>
      <c r="H9" s="29" t="s">
        <v>81</v>
      </c>
      <c r="J9" s="5" t="s">
        <v>81</v>
      </c>
      <c r="K9" s="5" t="s">
        <v>81</v>
      </c>
      <c r="L9" s="5" t="s">
        <v>81</v>
      </c>
      <c r="M9" s="5" t="s">
        <v>81</v>
      </c>
      <c r="N9" s="5" t="s">
        <v>81</v>
      </c>
      <c r="O9" s="54" t="s">
        <v>113</v>
      </c>
    </row>
    <row r="10" spans="1:16" ht="29.1">
      <c r="A10" s="5">
        <v>4</v>
      </c>
      <c r="B10" s="5" t="str">
        <f t="shared" si="0"/>
        <v>1a.4</v>
      </c>
      <c r="C10" s="29" t="s">
        <v>31</v>
      </c>
      <c r="D10" s="5" t="s">
        <v>114</v>
      </c>
      <c r="E10" s="5" t="s">
        <v>26</v>
      </c>
      <c r="F10" s="5" t="s">
        <v>81</v>
      </c>
      <c r="G10" s="5" t="s">
        <v>81</v>
      </c>
      <c r="H10" s="29" t="s">
        <v>81</v>
      </c>
      <c r="J10" s="5" t="s">
        <v>81</v>
      </c>
      <c r="K10" s="5" t="s">
        <v>81</v>
      </c>
      <c r="L10" s="5" t="s">
        <v>81</v>
      </c>
      <c r="M10" s="5" t="s">
        <v>81</v>
      </c>
      <c r="N10" s="5" t="s">
        <v>81</v>
      </c>
      <c r="O10" s="54" t="s">
        <v>115</v>
      </c>
    </row>
  </sheetData>
  <autoFilter ref="A6:P6" xr:uid="{00000000-0009-0000-0000-000003000000}"/>
  <conditionalFormatting sqref="A1:XFD1048576">
    <cfRule type="cellIs" dxfId="35" priority="1" operator="equal">
      <formula>"n/a"</formula>
    </cfRule>
  </conditionalFormatting>
  <conditionalFormatting sqref="C1:C1048576">
    <cfRule type="cellIs" dxfId="34" priority="8" operator="equal">
      <formula>"WIP (see comments)"</formula>
    </cfRule>
    <cfRule type="cellIs" dxfId="33" priority="9" operator="equal">
      <formula>"Removed"</formula>
    </cfRule>
    <cfRule type="cellIs" dxfId="32" priority="10" operator="equal">
      <formula>"Updated"</formula>
    </cfRule>
    <cfRule type="cellIs" dxfId="31" priority="11" operator="equal">
      <formula>"New"</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 Values'!$A$5:$A$31</xm:f>
          </x14:formula1>
          <xm:sqref>E7:E1048576</xm:sqref>
        </x14:dataValidation>
        <x14:dataValidation type="list" allowBlank="1" showInputMessage="1" showErrorMessage="1" xr:uid="{00000000-0002-0000-0300-000001000000}">
          <x14:formula1>
            <xm:f>'List Values'!$B$5:$B$9</xm:f>
          </x14:formula1>
          <xm:sqref>C7:C1048576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
  <sheetViews>
    <sheetView zoomScaleNormal="100" workbookViewId="0">
      <pane xSplit="4" ySplit="6" topLeftCell="E18" activePane="bottomRight" state="frozen"/>
      <selection pane="bottomRight" activeCell="A18" sqref="A18"/>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7.140625" style="29" customWidth="1"/>
    <col min="4" max="4" width="45.140625" style="5" customWidth="1"/>
    <col min="5" max="5" width="28.7109375" style="5" customWidth="1"/>
    <col min="6" max="6" width="21.42578125" style="5"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5" customFormat="1" ht="18.600000000000001">
      <c r="A1" s="23" t="s">
        <v>56</v>
      </c>
      <c r="B1" s="33" t="s">
        <v>116</v>
      </c>
      <c r="C1" s="27"/>
      <c r="D1" s="24"/>
    </row>
    <row r="2" spans="1:16" s="25" customFormat="1" ht="18.600000000000001">
      <c r="A2" s="23" t="s">
        <v>58</v>
      </c>
      <c r="B2" s="31">
        <v>2</v>
      </c>
      <c r="C2" s="30"/>
      <c r="D2" s="31"/>
    </row>
    <row r="3" spans="1:16" s="25" customFormat="1" ht="18.600000000000001">
      <c r="A3" s="23" t="s">
        <v>59</v>
      </c>
      <c r="B3" s="31" t="s">
        <v>117</v>
      </c>
      <c r="C3" s="30"/>
      <c r="D3" s="31" t="s">
        <v>118</v>
      </c>
    </row>
    <row r="4" spans="1:16" s="25" customFormat="1" ht="18.600000000000001">
      <c r="A4" s="23" t="s">
        <v>62</v>
      </c>
      <c r="B4" s="25" t="s">
        <v>119</v>
      </c>
      <c r="C4" s="30"/>
    </row>
    <row r="5" spans="1:16" s="4" customFormat="1">
      <c r="C5" s="32"/>
    </row>
    <row r="6" spans="1:16" s="26" customFormat="1" ht="15" thickBot="1">
      <c r="A6" s="26" t="s">
        <v>64</v>
      </c>
      <c r="B6" s="26" t="s">
        <v>65</v>
      </c>
      <c r="C6" s="28" t="s">
        <v>66</v>
      </c>
      <c r="D6" s="26" t="s">
        <v>67</v>
      </c>
      <c r="E6" s="26" t="s">
        <v>68</v>
      </c>
      <c r="F6" s="26" t="s">
        <v>69</v>
      </c>
      <c r="G6" s="26" t="s">
        <v>70</v>
      </c>
      <c r="H6" s="26" t="s">
        <v>71</v>
      </c>
      <c r="I6" s="26" t="s">
        <v>72</v>
      </c>
      <c r="J6" s="26" t="s">
        <v>73</v>
      </c>
      <c r="K6" s="26" t="s">
        <v>74</v>
      </c>
      <c r="L6" s="26" t="s">
        <v>75</v>
      </c>
      <c r="M6" s="26" t="s">
        <v>76</v>
      </c>
      <c r="N6" s="26" t="s">
        <v>77</v>
      </c>
      <c r="O6" s="26" t="s">
        <v>78</v>
      </c>
      <c r="P6" s="26" t="s">
        <v>79</v>
      </c>
    </row>
    <row r="7" spans="1:16">
      <c r="A7" s="5">
        <v>1</v>
      </c>
      <c r="B7" s="5" t="str">
        <f>CONCATENATE($B$2, ".", A7)</f>
        <v>2.1</v>
      </c>
      <c r="C7" s="29" t="s">
        <v>33</v>
      </c>
      <c r="D7" s="5" t="s">
        <v>120</v>
      </c>
      <c r="E7" s="5" t="s">
        <v>46</v>
      </c>
      <c r="F7" s="5" t="s">
        <v>81</v>
      </c>
      <c r="G7" s="5" t="s">
        <v>81</v>
      </c>
      <c r="H7" s="5" t="s">
        <v>81</v>
      </c>
      <c r="I7" s="5" t="s">
        <v>82</v>
      </c>
      <c r="J7" s="5" t="s">
        <v>81</v>
      </c>
      <c r="K7" s="5" t="s">
        <v>81</v>
      </c>
      <c r="L7" s="5" t="s">
        <v>81</v>
      </c>
      <c r="M7" s="5" t="s">
        <v>81</v>
      </c>
      <c r="N7" s="5" t="s">
        <v>81</v>
      </c>
      <c r="O7" s="5" t="s">
        <v>81</v>
      </c>
    </row>
    <row r="8" spans="1:16" ht="29.1">
      <c r="A8" s="5">
        <v>2</v>
      </c>
      <c r="B8" s="5" t="str">
        <f t="shared" ref="B8:B20" si="0">CONCATENATE($B$2, ".", A8)</f>
        <v>2.2</v>
      </c>
      <c r="C8" s="29" t="s">
        <v>31</v>
      </c>
      <c r="D8" s="5" t="s">
        <v>81</v>
      </c>
      <c r="E8" s="5" t="s">
        <v>43</v>
      </c>
      <c r="P8" s="5" t="s">
        <v>84</v>
      </c>
    </row>
    <row r="9" spans="1:16" ht="29.1">
      <c r="A9" s="5">
        <v>3</v>
      </c>
      <c r="B9" s="5" t="str">
        <f t="shared" si="0"/>
        <v>2.3</v>
      </c>
      <c r="C9" s="29" t="s">
        <v>29</v>
      </c>
      <c r="D9" s="5" t="s">
        <v>121</v>
      </c>
      <c r="E9" s="5" t="s">
        <v>49</v>
      </c>
      <c r="F9" s="5" t="s">
        <v>81</v>
      </c>
      <c r="G9" s="5" t="s">
        <v>81</v>
      </c>
      <c r="H9" s="5" t="s">
        <v>81</v>
      </c>
      <c r="I9" s="5" t="s">
        <v>82</v>
      </c>
      <c r="J9" s="5" t="s">
        <v>81</v>
      </c>
      <c r="K9" s="5" t="s">
        <v>81</v>
      </c>
      <c r="L9" s="5" t="s">
        <v>81</v>
      </c>
      <c r="M9" s="5" t="s">
        <v>81</v>
      </c>
      <c r="N9" s="5" t="s">
        <v>81</v>
      </c>
      <c r="O9" s="5" t="s">
        <v>81</v>
      </c>
    </row>
    <row r="10" spans="1:16" ht="73.5" customHeight="1">
      <c r="A10" s="5">
        <v>4</v>
      </c>
      <c r="B10" s="5" t="str">
        <f t="shared" ref="B10:B12" si="1">CONCATENATE($B$2, ".", A10)</f>
        <v>2.4</v>
      </c>
      <c r="C10" s="29" t="s">
        <v>33</v>
      </c>
      <c r="D10" s="5" t="s">
        <v>122</v>
      </c>
      <c r="E10" s="56" t="s">
        <v>44</v>
      </c>
      <c r="F10" s="56" t="s">
        <v>123</v>
      </c>
      <c r="G10" s="5" t="s">
        <v>81</v>
      </c>
      <c r="H10" s="5" t="s">
        <v>81</v>
      </c>
      <c r="I10" s="5" t="s">
        <v>82</v>
      </c>
      <c r="J10" s="5" t="s">
        <v>124</v>
      </c>
      <c r="K10" s="56" t="s">
        <v>125</v>
      </c>
      <c r="L10" s="56" t="s">
        <v>126</v>
      </c>
      <c r="M10" s="5" t="s">
        <v>81</v>
      </c>
      <c r="N10" s="5" t="s">
        <v>81</v>
      </c>
      <c r="O10" s="5" t="s">
        <v>127</v>
      </c>
    </row>
    <row r="11" spans="1:16" ht="73.5" customHeight="1">
      <c r="A11" s="5">
        <v>5</v>
      </c>
      <c r="B11" s="5" t="str">
        <f t="shared" si="1"/>
        <v>2.5</v>
      </c>
      <c r="C11" s="29" t="s">
        <v>33</v>
      </c>
      <c r="D11" s="5" t="s">
        <v>128</v>
      </c>
      <c r="E11" s="56"/>
      <c r="F11" s="56"/>
      <c r="G11" s="5" t="s">
        <v>81</v>
      </c>
      <c r="H11" s="5" t="s">
        <v>81</v>
      </c>
      <c r="I11" s="5" t="s">
        <v>82</v>
      </c>
      <c r="J11" s="5" t="s">
        <v>124</v>
      </c>
      <c r="K11" s="56"/>
      <c r="L11" s="56"/>
      <c r="M11" s="5" t="s">
        <v>81</v>
      </c>
      <c r="N11" s="5" t="s">
        <v>81</v>
      </c>
      <c r="O11" s="5" t="s">
        <v>129</v>
      </c>
    </row>
    <row r="12" spans="1:16" ht="73.5" customHeight="1">
      <c r="A12" s="5">
        <v>6</v>
      </c>
      <c r="B12" s="5" t="str">
        <f t="shared" si="1"/>
        <v>2.6</v>
      </c>
      <c r="C12" s="29" t="s">
        <v>33</v>
      </c>
      <c r="D12" s="5" t="s">
        <v>130</v>
      </c>
      <c r="E12" s="56"/>
      <c r="F12" s="56"/>
      <c r="G12" s="5" t="s">
        <v>81</v>
      </c>
      <c r="H12" s="5" t="s">
        <v>81</v>
      </c>
      <c r="I12" s="5" t="s">
        <v>82</v>
      </c>
      <c r="J12" s="5" t="s">
        <v>124</v>
      </c>
      <c r="K12" s="56"/>
      <c r="L12" s="56"/>
      <c r="M12" s="5" t="s">
        <v>81</v>
      </c>
      <c r="N12" s="5" t="s">
        <v>81</v>
      </c>
      <c r="O12" s="5" t="s">
        <v>131</v>
      </c>
    </row>
    <row r="13" spans="1:16" ht="73.5" customHeight="1">
      <c r="A13" s="5">
        <v>7</v>
      </c>
      <c r="B13" s="5" t="str">
        <f t="shared" ref="B13" si="2">CONCATENATE($B$2, ".", A13)</f>
        <v>2.7</v>
      </c>
      <c r="C13" s="29" t="s">
        <v>33</v>
      </c>
      <c r="D13" s="5" t="s">
        <v>132</v>
      </c>
      <c r="E13" s="56"/>
      <c r="F13" s="56"/>
      <c r="G13" s="5" t="s">
        <v>81</v>
      </c>
      <c r="H13" s="5" t="s">
        <v>81</v>
      </c>
      <c r="I13" s="5" t="s">
        <v>82</v>
      </c>
      <c r="J13" s="5" t="s">
        <v>124</v>
      </c>
      <c r="K13" s="56"/>
      <c r="L13" s="56"/>
      <c r="M13" s="5" t="s">
        <v>81</v>
      </c>
      <c r="N13" s="5" t="s">
        <v>81</v>
      </c>
      <c r="O13" s="5" t="s">
        <v>133</v>
      </c>
    </row>
    <row r="14" spans="1:16" ht="140.44999999999999" customHeight="1">
      <c r="A14" s="5">
        <v>8</v>
      </c>
      <c r="B14" s="5" t="str">
        <f t="shared" ref="B14" si="3">CONCATENATE($B$2, ".", A14)</f>
        <v>2.8</v>
      </c>
      <c r="C14" s="29" t="s">
        <v>33</v>
      </c>
      <c r="D14" s="5" t="s">
        <v>134</v>
      </c>
      <c r="E14" s="56"/>
      <c r="F14" s="56"/>
      <c r="G14" s="5" t="s">
        <v>135</v>
      </c>
      <c r="H14" s="5" t="s">
        <v>81</v>
      </c>
      <c r="I14" s="5" t="s">
        <v>82</v>
      </c>
      <c r="J14" s="5" t="s">
        <v>124</v>
      </c>
      <c r="K14" s="56"/>
      <c r="L14" s="56"/>
      <c r="M14" s="5" t="s">
        <v>81</v>
      </c>
      <c r="N14" s="5" t="s">
        <v>81</v>
      </c>
      <c r="O14" s="5" t="s">
        <v>136</v>
      </c>
      <c r="P14" s="5" t="s">
        <v>137</v>
      </c>
    </row>
    <row r="15" spans="1:16" ht="102" customHeight="1">
      <c r="A15" s="5">
        <v>9</v>
      </c>
      <c r="B15" s="5" t="str">
        <f t="shared" ref="B15:B18" si="4">CONCATENATE($B$2, ".", A15)</f>
        <v>2.9</v>
      </c>
      <c r="C15" s="29" t="s">
        <v>33</v>
      </c>
      <c r="D15" s="5" t="s">
        <v>138</v>
      </c>
      <c r="E15" s="44" t="s">
        <v>49</v>
      </c>
      <c r="F15" s="5" t="s">
        <v>81</v>
      </c>
      <c r="G15" s="5" t="s">
        <v>81</v>
      </c>
      <c r="H15" s="5" t="s">
        <v>81</v>
      </c>
      <c r="I15" s="5" t="s">
        <v>139</v>
      </c>
      <c r="J15" s="5" t="s">
        <v>81</v>
      </c>
      <c r="K15" s="5" t="s">
        <v>81</v>
      </c>
      <c r="L15" s="5" t="s">
        <v>81</v>
      </c>
      <c r="M15" s="5" t="s">
        <v>81</v>
      </c>
      <c r="N15" s="5" t="s">
        <v>81</v>
      </c>
      <c r="O15" s="5" t="s">
        <v>81</v>
      </c>
    </row>
    <row r="16" spans="1:16" ht="108.75" customHeight="1">
      <c r="A16" s="5">
        <v>10</v>
      </c>
      <c r="B16" s="5" t="str">
        <f t="shared" si="4"/>
        <v>2.10</v>
      </c>
      <c r="C16" s="29" t="s">
        <v>33</v>
      </c>
      <c r="D16" s="5" t="s">
        <v>140</v>
      </c>
      <c r="E16" s="44" t="s">
        <v>49</v>
      </c>
      <c r="F16" s="5" t="s">
        <v>81</v>
      </c>
      <c r="G16" s="5" t="s">
        <v>81</v>
      </c>
      <c r="H16" s="5" t="s">
        <v>81</v>
      </c>
      <c r="I16" s="5" t="s">
        <v>141</v>
      </c>
      <c r="J16" s="5" t="s">
        <v>81</v>
      </c>
      <c r="K16" s="5" t="s">
        <v>81</v>
      </c>
      <c r="L16" s="5" t="s">
        <v>81</v>
      </c>
      <c r="M16" s="5" t="s">
        <v>81</v>
      </c>
      <c r="N16" s="5" t="s">
        <v>81</v>
      </c>
      <c r="O16" s="5" t="s">
        <v>81</v>
      </c>
    </row>
    <row r="17" spans="1:15" ht="102" customHeight="1">
      <c r="A17" s="5">
        <v>11</v>
      </c>
      <c r="B17" s="5" t="str">
        <f t="shared" si="4"/>
        <v>2.11</v>
      </c>
      <c r="C17" s="29" t="s">
        <v>33</v>
      </c>
      <c r="D17" s="5" t="s">
        <v>142</v>
      </c>
      <c r="E17" s="44" t="s">
        <v>49</v>
      </c>
      <c r="F17" s="5" t="s">
        <v>81</v>
      </c>
      <c r="G17" s="5" t="s">
        <v>81</v>
      </c>
      <c r="H17" s="5" t="s">
        <v>81</v>
      </c>
      <c r="I17" s="5" t="s">
        <v>143</v>
      </c>
      <c r="J17" s="5" t="s">
        <v>81</v>
      </c>
      <c r="K17" s="5" t="s">
        <v>81</v>
      </c>
      <c r="L17" s="5" t="s">
        <v>81</v>
      </c>
      <c r="M17" s="5" t="s">
        <v>81</v>
      </c>
      <c r="N17" s="5" t="s">
        <v>81</v>
      </c>
      <c r="O17" s="5" t="s">
        <v>81</v>
      </c>
    </row>
    <row r="18" spans="1:15" ht="116.25" customHeight="1">
      <c r="A18" s="5">
        <v>12</v>
      </c>
      <c r="B18" s="5" t="str">
        <f t="shared" si="4"/>
        <v>2.12</v>
      </c>
      <c r="C18" s="29" t="s">
        <v>33</v>
      </c>
      <c r="D18" s="5" t="s">
        <v>144</v>
      </c>
      <c r="E18" s="44" t="s">
        <v>49</v>
      </c>
      <c r="F18" s="5" t="s">
        <v>81</v>
      </c>
      <c r="G18" s="5" t="s">
        <v>81</v>
      </c>
      <c r="H18" s="5" t="s">
        <v>81</v>
      </c>
      <c r="I18" s="5" t="s">
        <v>145</v>
      </c>
      <c r="J18" s="5" t="s">
        <v>81</v>
      </c>
      <c r="K18" s="5" t="s">
        <v>81</v>
      </c>
      <c r="L18" s="5" t="s">
        <v>81</v>
      </c>
      <c r="M18" s="5" t="s">
        <v>81</v>
      </c>
      <c r="N18" s="5" t="s">
        <v>81</v>
      </c>
      <c r="O18" s="5" t="s">
        <v>81</v>
      </c>
    </row>
    <row r="19" spans="1:15" ht="119.25" customHeight="1">
      <c r="A19" s="5">
        <v>13</v>
      </c>
      <c r="B19" s="5" t="str">
        <f t="shared" si="0"/>
        <v>2.13</v>
      </c>
      <c r="C19" s="29" t="s">
        <v>29</v>
      </c>
      <c r="D19" s="5" t="s">
        <v>102</v>
      </c>
      <c r="E19" s="5" t="s">
        <v>26</v>
      </c>
      <c r="F19" s="5" t="s">
        <v>81</v>
      </c>
      <c r="G19" s="5" t="s">
        <v>81</v>
      </c>
      <c r="H19" s="5" t="s">
        <v>81</v>
      </c>
      <c r="I19" s="5" t="s">
        <v>82</v>
      </c>
      <c r="J19" s="5" t="s">
        <v>81</v>
      </c>
      <c r="K19" s="5" t="s">
        <v>81</v>
      </c>
      <c r="L19" s="5" t="s">
        <v>81</v>
      </c>
      <c r="M19" s="5" t="s">
        <v>81</v>
      </c>
      <c r="N19" s="5" t="s">
        <v>81</v>
      </c>
      <c r="O19" s="5" t="s">
        <v>146</v>
      </c>
    </row>
    <row r="20" spans="1:15" ht="39.75" customHeight="1">
      <c r="A20" s="5">
        <v>14</v>
      </c>
      <c r="B20" s="5" t="str">
        <f t="shared" si="0"/>
        <v>2.14</v>
      </c>
      <c r="C20" s="29" t="s">
        <v>29</v>
      </c>
      <c r="D20" s="5" t="s">
        <v>147</v>
      </c>
      <c r="E20" s="5" t="s">
        <v>26</v>
      </c>
      <c r="F20" s="5" t="s">
        <v>81</v>
      </c>
      <c r="G20" s="5" t="s">
        <v>81</v>
      </c>
      <c r="H20" s="5" t="s">
        <v>81</v>
      </c>
      <c r="I20" s="5" t="s">
        <v>82</v>
      </c>
      <c r="J20" s="5" t="s">
        <v>81</v>
      </c>
      <c r="K20" s="5" t="s">
        <v>81</v>
      </c>
      <c r="L20" s="5" t="s">
        <v>81</v>
      </c>
      <c r="M20" s="5" t="s">
        <v>81</v>
      </c>
      <c r="N20" s="5" t="s">
        <v>81</v>
      </c>
      <c r="O20" s="5" t="s">
        <v>148</v>
      </c>
    </row>
  </sheetData>
  <mergeCells count="4">
    <mergeCell ref="E10:E14"/>
    <mergeCell ref="F10:F14"/>
    <mergeCell ref="K10:K14"/>
    <mergeCell ref="L10:L14"/>
  </mergeCells>
  <conditionalFormatting sqref="A1:XFD7 A8:O8 Q8:XFD8 A14:D14 G11:J14 A9:XFD9 M11:XFD14 C10:XFD10 C11:D13 A10:B14 A15:XFD1048576 C11:C18">
    <cfRule type="cellIs" dxfId="30" priority="2" operator="equal">
      <formula>"n/a"</formula>
    </cfRule>
  </conditionalFormatting>
  <conditionalFormatting sqref="C1:C1048576">
    <cfRule type="cellIs" dxfId="29" priority="32" operator="equal">
      <formula>"WIP (see comments)"</formula>
    </cfRule>
    <cfRule type="cellIs" dxfId="28" priority="33" operator="equal">
      <formula>"Removed"</formula>
    </cfRule>
    <cfRule type="cellIs" dxfId="27" priority="34" operator="equal">
      <formula>"Updated"</formula>
    </cfRule>
    <cfRule type="cellIs" dxfId="26" priority="35" operator="equal">
      <formula>"New"</formula>
    </cfRule>
  </conditionalFormatting>
  <conditionalFormatting sqref="P8">
    <cfRule type="cellIs" dxfId="25" priority="1" operator="equal">
      <formula>"n/a"</formula>
    </cfRule>
  </conditionalFormatting>
  <dataValidations count="1">
    <dataValidation type="list" allowBlank="1" showInputMessage="1" showErrorMessage="1" sqref="E19:E1048576" xr:uid="{00000000-0002-0000-0400-000000000000}">
      <formula1>$A$5:$A$27</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'List Values'!$A$5:$A$29</xm:f>
          </x14:formula1>
          <xm:sqref>E7:E10</xm:sqref>
        </x14:dataValidation>
        <x14:dataValidation type="list" allowBlank="1" showInputMessage="1" showErrorMessage="1" xr:uid="{00000000-0002-0000-0400-000002000000}">
          <x14:formula1>
            <xm:f>'List Values'!$B$5:$B$13</xm:f>
          </x14:formula1>
          <xm:sqref>C7:C1048576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6"/>
  <sheetViews>
    <sheetView zoomScaleNormal="100" workbookViewId="0">
      <pane xSplit="4" ySplit="6" topLeftCell="E48" activePane="bottomRight" state="frozen"/>
      <selection pane="bottomRight" activeCell="E7" sqref="E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5703125" style="29" customWidth="1"/>
    <col min="4" max="4" width="45.140625" style="5" customWidth="1"/>
    <col min="5" max="5" width="24.42578125" style="29" customWidth="1"/>
    <col min="6" max="6" width="22" style="5" customWidth="1"/>
    <col min="7" max="7" width="17.7109375" style="5" customWidth="1"/>
    <col min="8" max="8" width="9.140625" style="5"/>
    <col min="9" max="9" width="34.85546875" style="5" customWidth="1"/>
    <col min="10" max="10" width="13.28515625" style="5" bestFit="1" customWidth="1"/>
    <col min="11" max="11" width="15.28515625" style="5" customWidth="1"/>
    <col min="12" max="12" width="19.28515625" style="5" bestFit="1" customWidth="1"/>
    <col min="13" max="13" width="21.140625" style="5" bestFit="1" customWidth="1"/>
    <col min="14" max="14" width="18.7109375" style="5" bestFit="1" customWidth="1"/>
    <col min="15" max="15" width="35.85546875" style="5" customWidth="1"/>
    <col min="16" max="16" width="41.85546875" style="5" customWidth="1"/>
    <col min="17" max="16384" width="9.140625" style="5"/>
  </cols>
  <sheetData>
    <row r="1" spans="1:16" s="25" customFormat="1" ht="18.600000000000001">
      <c r="A1" s="23" t="s">
        <v>56</v>
      </c>
      <c r="B1" s="33" t="s">
        <v>149</v>
      </c>
      <c r="C1" s="27"/>
      <c r="D1" s="24"/>
      <c r="E1" s="30"/>
    </row>
    <row r="2" spans="1:16" s="25" customFormat="1" ht="18.600000000000001">
      <c r="A2" s="23" t="s">
        <v>58</v>
      </c>
      <c r="B2" s="31">
        <v>3</v>
      </c>
      <c r="C2" s="30"/>
      <c r="D2" s="31"/>
      <c r="E2" s="30"/>
    </row>
    <row r="3" spans="1:16" s="25" customFormat="1" ht="18.600000000000001">
      <c r="A3" s="23" t="s">
        <v>59</v>
      </c>
      <c r="B3" s="31" t="s">
        <v>150</v>
      </c>
      <c r="C3" s="30"/>
      <c r="D3" s="31" t="s">
        <v>151</v>
      </c>
      <c r="E3" s="30"/>
    </row>
    <row r="4" spans="1:16" s="25" customFormat="1" ht="18.600000000000001">
      <c r="A4" s="23" t="s">
        <v>62</v>
      </c>
      <c r="B4" s="25" t="s">
        <v>152</v>
      </c>
      <c r="C4" s="30"/>
      <c r="E4" s="30"/>
    </row>
    <row r="5" spans="1:16" s="4" customFormat="1">
      <c r="C5" s="32"/>
      <c r="E5" s="32"/>
    </row>
    <row r="6" spans="1:16" s="26" customFormat="1" ht="15" thickBot="1">
      <c r="A6" s="26" t="s">
        <v>64</v>
      </c>
      <c r="B6" s="26" t="s">
        <v>65</v>
      </c>
      <c r="C6" s="28" t="s">
        <v>66</v>
      </c>
      <c r="D6" s="26" t="s">
        <v>67</v>
      </c>
      <c r="E6" s="53" t="s">
        <v>68</v>
      </c>
      <c r="F6" s="26" t="s">
        <v>69</v>
      </c>
      <c r="G6" s="26" t="s">
        <v>70</v>
      </c>
      <c r="H6" s="26" t="s">
        <v>71</v>
      </c>
      <c r="I6" s="26" t="s">
        <v>72</v>
      </c>
      <c r="J6" s="26" t="s">
        <v>73</v>
      </c>
      <c r="K6" s="26" t="s">
        <v>74</v>
      </c>
      <c r="L6" s="26" t="s">
        <v>75</v>
      </c>
      <c r="M6" s="26" t="s">
        <v>76</v>
      </c>
      <c r="N6" s="26" t="s">
        <v>77</v>
      </c>
      <c r="O6" s="26" t="s">
        <v>78</v>
      </c>
      <c r="P6" s="26" t="s">
        <v>79</v>
      </c>
    </row>
    <row r="7" spans="1:16">
      <c r="A7" s="5">
        <v>1</v>
      </c>
      <c r="B7" s="5" t="str">
        <f>CONCATENATE($B$2, ".", A7)</f>
        <v>3.1</v>
      </c>
      <c r="C7" s="29" t="s">
        <v>29</v>
      </c>
      <c r="D7" s="5" t="s">
        <v>153</v>
      </c>
      <c r="E7" s="44" t="s">
        <v>46</v>
      </c>
      <c r="F7" s="5" t="s">
        <v>81</v>
      </c>
      <c r="G7" s="5" t="s">
        <v>81</v>
      </c>
      <c r="H7" s="5" t="s">
        <v>81</v>
      </c>
      <c r="I7" s="5" t="s">
        <v>82</v>
      </c>
      <c r="J7" s="5" t="s">
        <v>81</v>
      </c>
      <c r="K7" s="5" t="s">
        <v>81</v>
      </c>
      <c r="L7" s="5" t="s">
        <v>81</v>
      </c>
      <c r="M7" s="5" t="s">
        <v>81</v>
      </c>
      <c r="N7" s="5" t="s">
        <v>81</v>
      </c>
      <c r="O7" s="5" t="s">
        <v>81</v>
      </c>
    </row>
    <row r="8" spans="1:16" ht="28.5" customHeight="1">
      <c r="A8" s="5">
        <v>2</v>
      </c>
      <c r="B8" s="5" t="str">
        <f t="shared" ref="B8:B16" si="0">CONCATENATE($B$2, ".", A8)</f>
        <v>3.2</v>
      </c>
      <c r="C8" s="29" t="s">
        <v>31</v>
      </c>
      <c r="D8" s="5" t="s">
        <v>81</v>
      </c>
      <c r="E8" s="44" t="s">
        <v>43</v>
      </c>
      <c r="P8" s="5" t="s">
        <v>84</v>
      </c>
    </row>
    <row r="9" spans="1:16" ht="95.1" customHeight="1">
      <c r="A9" s="5">
        <v>3</v>
      </c>
      <c r="B9" s="5" t="str">
        <f t="shared" si="0"/>
        <v>3.3</v>
      </c>
      <c r="C9" s="29" t="s">
        <v>27</v>
      </c>
      <c r="D9" s="5" t="s">
        <v>154</v>
      </c>
      <c r="E9" s="44" t="s">
        <v>49</v>
      </c>
      <c r="F9" s="5" t="s">
        <v>81</v>
      </c>
      <c r="G9" s="5" t="s">
        <v>81</v>
      </c>
      <c r="H9" s="5" t="s">
        <v>81</v>
      </c>
      <c r="I9" s="5" t="s">
        <v>82</v>
      </c>
      <c r="J9" s="5" t="s">
        <v>81</v>
      </c>
      <c r="K9" s="5" t="s">
        <v>81</v>
      </c>
      <c r="L9" s="5" t="s">
        <v>81</v>
      </c>
      <c r="M9" s="5" t="s">
        <v>81</v>
      </c>
      <c r="N9" s="5" t="s">
        <v>81</v>
      </c>
      <c r="O9" s="5" t="s">
        <v>81</v>
      </c>
      <c r="P9" s="5" t="s">
        <v>155</v>
      </c>
    </row>
    <row r="10" spans="1:16" ht="112.5" customHeight="1">
      <c r="A10" s="5">
        <v>4</v>
      </c>
      <c r="B10" s="5" t="str">
        <f t="shared" si="0"/>
        <v>3.4</v>
      </c>
      <c r="C10" s="29" t="s">
        <v>29</v>
      </c>
      <c r="D10" s="5" t="s">
        <v>156</v>
      </c>
      <c r="E10" s="44" t="s">
        <v>49</v>
      </c>
      <c r="F10" s="5" t="s">
        <v>81</v>
      </c>
      <c r="G10" s="5" t="s">
        <v>81</v>
      </c>
      <c r="H10" s="5" t="s">
        <v>81</v>
      </c>
      <c r="I10" s="56" t="s">
        <v>157</v>
      </c>
      <c r="J10" s="5" t="s">
        <v>81</v>
      </c>
      <c r="K10" s="5" t="s">
        <v>81</v>
      </c>
      <c r="L10" s="5" t="s">
        <v>81</v>
      </c>
      <c r="M10" s="5" t="s">
        <v>81</v>
      </c>
      <c r="N10" s="5" t="s">
        <v>81</v>
      </c>
      <c r="O10" s="5" t="s">
        <v>81</v>
      </c>
    </row>
    <row r="11" spans="1:16" ht="49.5" customHeight="1">
      <c r="A11" s="5">
        <v>5</v>
      </c>
      <c r="B11" s="5" t="str">
        <f t="shared" si="0"/>
        <v>3.5</v>
      </c>
      <c r="C11" s="29" t="s">
        <v>29</v>
      </c>
      <c r="D11" s="5" t="s">
        <v>158</v>
      </c>
      <c r="E11" s="56" t="s">
        <v>44</v>
      </c>
      <c r="F11" s="57" t="s">
        <v>123</v>
      </c>
      <c r="G11" s="5" t="s">
        <v>81</v>
      </c>
      <c r="H11" s="5" t="s">
        <v>81</v>
      </c>
      <c r="I11" s="56"/>
      <c r="J11" s="5" t="s">
        <v>124</v>
      </c>
      <c r="K11" s="5" t="s">
        <v>159</v>
      </c>
      <c r="L11" s="57" t="s">
        <v>160</v>
      </c>
      <c r="M11" s="5" t="s">
        <v>81</v>
      </c>
      <c r="N11" s="5" t="s">
        <v>81</v>
      </c>
      <c r="O11" s="5" t="s">
        <v>81</v>
      </c>
    </row>
    <row r="12" spans="1:16" ht="63.75" customHeight="1">
      <c r="A12" s="5">
        <v>6</v>
      </c>
      <c r="B12" s="5" t="str">
        <f t="shared" si="0"/>
        <v>3.6</v>
      </c>
      <c r="C12" s="29" t="s">
        <v>29</v>
      </c>
      <c r="D12" s="5" t="s">
        <v>161</v>
      </c>
      <c r="E12" s="56"/>
      <c r="F12" s="57"/>
      <c r="G12" s="5" t="s">
        <v>81</v>
      </c>
      <c r="H12" s="5" t="s">
        <v>81</v>
      </c>
      <c r="I12" s="56"/>
      <c r="J12" s="5" t="s">
        <v>124</v>
      </c>
      <c r="K12" s="5" t="s">
        <v>159</v>
      </c>
      <c r="L12" s="57"/>
      <c r="M12" s="5" t="s">
        <v>81</v>
      </c>
      <c r="N12" s="5" t="s">
        <v>81</v>
      </c>
      <c r="O12" s="5" t="s">
        <v>81</v>
      </c>
    </row>
    <row r="13" spans="1:16" ht="132.94999999999999" customHeight="1">
      <c r="A13" s="5">
        <v>7</v>
      </c>
      <c r="B13" s="5" t="str">
        <f>CONCATENATE($B$2, ".", A13)</f>
        <v>3.7</v>
      </c>
      <c r="C13" s="29" t="s">
        <v>29</v>
      </c>
      <c r="D13" s="5" t="s">
        <v>162</v>
      </c>
      <c r="E13" s="44" t="s">
        <v>49</v>
      </c>
      <c r="F13" s="5" t="s">
        <v>81</v>
      </c>
      <c r="G13" s="5" t="s">
        <v>81</v>
      </c>
      <c r="H13" s="5" t="s">
        <v>81</v>
      </c>
      <c r="I13" s="5" t="s">
        <v>163</v>
      </c>
      <c r="J13" s="5" t="s">
        <v>81</v>
      </c>
      <c r="K13" s="5" t="s">
        <v>81</v>
      </c>
      <c r="L13" s="5" t="s">
        <v>81</v>
      </c>
      <c r="M13" s="5" t="s">
        <v>81</v>
      </c>
      <c r="N13" s="5" t="s">
        <v>81</v>
      </c>
      <c r="O13" s="5" t="s">
        <v>81</v>
      </c>
    </row>
    <row r="14" spans="1:16" ht="180.6" customHeight="1">
      <c r="A14" s="5">
        <v>8</v>
      </c>
      <c r="B14" s="5" t="str">
        <f>CONCATENATE($B$2, ".", A14)</f>
        <v>3.8</v>
      </c>
      <c r="C14" s="29" t="s">
        <v>29</v>
      </c>
      <c r="D14" s="5" t="s">
        <v>81</v>
      </c>
      <c r="E14" s="44" t="s">
        <v>38</v>
      </c>
      <c r="F14" s="5" t="s">
        <v>81</v>
      </c>
      <c r="G14" s="5" t="s">
        <v>81</v>
      </c>
      <c r="H14" s="5" t="s">
        <v>81</v>
      </c>
      <c r="I14" s="5" t="s">
        <v>164</v>
      </c>
      <c r="J14" s="5" t="s">
        <v>81</v>
      </c>
      <c r="K14" s="5" t="s">
        <v>165</v>
      </c>
      <c r="L14" s="5" t="s">
        <v>166</v>
      </c>
      <c r="M14" s="5" t="s">
        <v>81</v>
      </c>
      <c r="N14" s="5" t="s">
        <v>81</v>
      </c>
      <c r="O14" s="5" t="s">
        <v>81</v>
      </c>
    </row>
    <row r="15" spans="1:16" ht="40.5" customHeight="1">
      <c r="A15" s="5">
        <v>9</v>
      </c>
      <c r="B15" s="5" t="str">
        <f t="shared" si="0"/>
        <v>3.9</v>
      </c>
      <c r="C15" s="29" t="s">
        <v>29</v>
      </c>
      <c r="D15" s="5" t="s">
        <v>102</v>
      </c>
      <c r="E15" s="44" t="s">
        <v>26</v>
      </c>
      <c r="F15" s="5" t="s">
        <v>81</v>
      </c>
      <c r="G15" s="5" t="s">
        <v>81</v>
      </c>
      <c r="H15" s="5" t="s">
        <v>81</v>
      </c>
      <c r="I15" s="5" t="s">
        <v>82</v>
      </c>
      <c r="J15" s="5" t="s">
        <v>81</v>
      </c>
      <c r="K15" s="5" t="s">
        <v>81</v>
      </c>
      <c r="L15" s="5" t="s">
        <v>81</v>
      </c>
      <c r="M15" s="5" t="s">
        <v>81</v>
      </c>
      <c r="N15" s="5" t="s">
        <v>81</v>
      </c>
      <c r="O15" s="5" t="s">
        <v>167</v>
      </c>
    </row>
    <row r="16" spans="1:16" ht="32.450000000000003" customHeight="1">
      <c r="A16" s="5">
        <v>10</v>
      </c>
      <c r="B16" s="5" t="str">
        <f t="shared" si="0"/>
        <v>3.10</v>
      </c>
      <c r="C16" s="29" t="s">
        <v>29</v>
      </c>
      <c r="D16" s="5" t="s">
        <v>168</v>
      </c>
      <c r="E16" s="44" t="s">
        <v>26</v>
      </c>
      <c r="F16" s="5" t="s">
        <v>81</v>
      </c>
      <c r="G16" s="5" t="s">
        <v>81</v>
      </c>
      <c r="H16" s="5" t="s">
        <v>81</v>
      </c>
      <c r="I16" s="5" t="s">
        <v>82</v>
      </c>
      <c r="J16" s="5" t="s">
        <v>81</v>
      </c>
      <c r="K16" s="5" t="s">
        <v>81</v>
      </c>
      <c r="L16" s="5" t="s">
        <v>81</v>
      </c>
      <c r="M16" s="5" t="s">
        <v>81</v>
      </c>
      <c r="N16" s="5" t="s">
        <v>81</v>
      </c>
      <c r="O16" s="5" t="s">
        <v>169</v>
      </c>
    </row>
  </sheetData>
  <mergeCells count="4">
    <mergeCell ref="E11:E12"/>
    <mergeCell ref="F11:F12"/>
    <mergeCell ref="L11:L12"/>
    <mergeCell ref="I10:I12"/>
  </mergeCells>
  <conditionalFormatting sqref="A1:XFD7 A10:XFD1048576 Q8:XFD9 A8:O9">
    <cfRule type="cellIs" dxfId="24" priority="3" operator="equal">
      <formula>"n/a"</formula>
    </cfRule>
  </conditionalFormatting>
  <conditionalFormatting sqref="C1:C1048576">
    <cfRule type="cellIs" dxfId="23" priority="13" operator="equal">
      <formula>"WIP (see comments)"</formula>
    </cfRule>
    <cfRule type="cellIs" dxfId="22" priority="14" operator="equal">
      <formula>"Removed"</formula>
    </cfRule>
    <cfRule type="cellIs" dxfId="21" priority="15" operator="equal">
      <formula>"Updated"</formula>
    </cfRule>
    <cfRule type="cellIs" dxfId="20" priority="16" operator="equal">
      <formula>"New"</formula>
    </cfRule>
  </conditionalFormatting>
  <conditionalFormatting sqref="P8">
    <cfRule type="cellIs" dxfId="19" priority="2" operator="equal">
      <formula>"n/a"</formula>
    </cfRule>
  </conditionalFormatting>
  <conditionalFormatting sqref="P9">
    <cfRule type="cellIs" dxfId="18" priority="1" operator="equal">
      <formula>"n/a"</formula>
    </cfRule>
  </conditionalFormatting>
  <pageMargins left="0.7" right="0.7" top="0.75" bottom="0.75" header="0.3" footer="0.3"/>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'List Values'!$B$5:$B$13</xm:f>
          </x14:formula1>
          <xm:sqref>C7:C1048576</xm:sqref>
        </x14:dataValidation>
        <x14:dataValidation type="list" allowBlank="1" showInputMessage="1" showErrorMessage="1" xr:uid="{00000000-0002-0000-0500-000001000000}">
          <x14:formula1>
            <xm:f>'List Values'!$A$5:$A$29</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7"/>
  <sheetViews>
    <sheetView tabSelected="1" zoomScaleNormal="100" workbookViewId="0">
      <pane xSplit="4" ySplit="6" topLeftCell="E7" activePane="bottomRight" state="frozen"/>
      <selection pane="bottomRight" activeCell="E7" sqref="E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6.5703125" style="29" customWidth="1"/>
    <col min="4" max="4" width="45.140625" style="5" customWidth="1"/>
    <col min="5" max="5" width="28.7109375" style="5" customWidth="1"/>
    <col min="6" max="6" width="46.5703125" style="5" customWidth="1"/>
    <col min="7" max="7" width="17.7109375" style="5" customWidth="1"/>
    <col min="8" max="8" width="9.140625" style="5"/>
    <col min="9" max="9" width="34.85546875" style="5" customWidth="1"/>
    <col min="10" max="10" width="13.28515625" style="5" bestFit="1" customWidth="1"/>
    <col min="11" max="11" width="17" style="5"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5" customFormat="1" ht="18.600000000000001">
      <c r="A1" s="23" t="s">
        <v>56</v>
      </c>
      <c r="B1" s="33" t="s">
        <v>170</v>
      </c>
      <c r="C1" s="27"/>
      <c r="D1" s="24"/>
    </row>
    <row r="2" spans="1:16" s="25" customFormat="1" ht="18.600000000000001">
      <c r="A2" s="23" t="s">
        <v>58</v>
      </c>
      <c r="B2" s="31">
        <v>4</v>
      </c>
      <c r="C2" s="30"/>
      <c r="D2" s="31"/>
    </row>
    <row r="3" spans="1:16" s="25" customFormat="1" ht="18.600000000000001">
      <c r="A3" s="23" t="s">
        <v>59</v>
      </c>
      <c r="B3" s="31" t="s">
        <v>171</v>
      </c>
      <c r="C3" s="30"/>
      <c r="D3" s="31" t="s">
        <v>172</v>
      </c>
    </row>
    <row r="4" spans="1:16" s="25" customFormat="1" ht="18.600000000000001">
      <c r="A4" s="23" t="s">
        <v>62</v>
      </c>
      <c r="B4" s="25" t="s">
        <v>152</v>
      </c>
      <c r="C4" s="30"/>
    </row>
    <row r="5" spans="1:16" s="4" customFormat="1">
      <c r="C5" s="32"/>
    </row>
    <row r="6" spans="1:16" s="26" customFormat="1" ht="15" thickBot="1">
      <c r="A6" s="26" t="s">
        <v>64</v>
      </c>
      <c r="B6" s="26" t="s">
        <v>65</v>
      </c>
      <c r="C6" s="28" t="s">
        <v>66</v>
      </c>
      <c r="D6" s="26" t="s">
        <v>67</v>
      </c>
      <c r="E6" s="26" t="s">
        <v>68</v>
      </c>
      <c r="F6" s="26" t="s">
        <v>69</v>
      </c>
      <c r="G6" s="26" t="s">
        <v>70</v>
      </c>
      <c r="H6" s="26" t="s">
        <v>71</v>
      </c>
      <c r="I6" s="26" t="s">
        <v>72</v>
      </c>
      <c r="J6" s="26" t="s">
        <v>73</v>
      </c>
      <c r="K6" s="26" t="s">
        <v>74</v>
      </c>
      <c r="L6" s="26" t="s">
        <v>75</v>
      </c>
      <c r="M6" s="26" t="s">
        <v>76</v>
      </c>
      <c r="N6" s="26" t="s">
        <v>77</v>
      </c>
      <c r="O6" s="26" t="s">
        <v>78</v>
      </c>
      <c r="P6" s="26" t="s">
        <v>79</v>
      </c>
    </row>
    <row r="7" spans="1:16">
      <c r="A7" s="5">
        <v>1</v>
      </c>
      <c r="B7" s="5" t="str">
        <f>CONCATENATE($B$2, ".", A7)</f>
        <v>4.1</v>
      </c>
      <c r="C7" s="29" t="s">
        <v>29</v>
      </c>
      <c r="D7" s="5" t="s">
        <v>173</v>
      </c>
      <c r="E7" s="5" t="s">
        <v>46</v>
      </c>
      <c r="F7" s="5" t="s">
        <v>81</v>
      </c>
      <c r="G7" s="5" t="s">
        <v>81</v>
      </c>
      <c r="H7" s="5" t="s">
        <v>81</v>
      </c>
      <c r="I7" s="5" t="s">
        <v>82</v>
      </c>
      <c r="J7" s="5" t="s">
        <v>81</v>
      </c>
      <c r="K7" s="5" t="s">
        <v>81</v>
      </c>
      <c r="L7" s="5" t="s">
        <v>81</v>
      </c>
      <c r="M7" s="5" t="s">
        <v>81</v>
      </c>
      <c r="N7" s="5" t="s">
        <v>81</v>
      </c>
      <c r="O7" s="5" t="s">
        <v>81</v>
      </c>
    </row>
    <row r="8" spans="1:16" ht="32.450000000000003" customHeight="1">
      <c r="A8" s="5">
        <v>2</v>
      </c>
      <c r="B8" s="5" t="str">
        <f t="shared" ref="B8:B14" si="0">CONCATENATE($B$2, ".", A8)</f>
        <v>4.2</v>
      </c>
      <c r="C8" s="29" t="s">
        <v>31</v>
      </c>
      <c r="D8" s="5" t="s">
        <v>81</v>
      </c>
      <c r="E8" s="5" t="s">
        <v>43</v>
      </c>
      <c r="P8" s="5" t="s">
        <v>84</v>
      </c>
    </row>
    <row r="9" spans="1:16" ht="171.75" customHeight="1">
      <c r="A9" s="5">
        <v>3</v>
      </c>
      <c r="B9" s="5" t="str">
        <f t="shared" si="0"/>
        <v>4.3</v>
      </c>
      <c r="C9" s="29" t="s">
        <v>33</v>
      </c>
      <c r="D9" s="5" t="s">
        <v>174</v>
      </c>
      <c r="E9" s="5" t="s">
        <v>36</v>
      </c>
      <c r="F9" s="5" t="s">
        <v>175</v>
      </c>
      <c r="G9" s="5" t="s">
        <v>176</v>
      </c>
      <c r="H9" s="5" t="s">
        <v>81</v>
      </c>
      <c r="I9" s="5" t="s">
        <v>82</v>
      </c>
      <c r="J9" s="5" t="s">
        <v>81</v>
      </c>
      <c r="K9" s="5" t="s">
        <v>125</v>
      </c>
      <c r="L9" s="5" t="s">
        <v>177</v>
      </c>
      <c r="M9" s="5" t="s">
        <v>81</v>
      </c>
      <c r="N9" s="5" t="s">
        <v>81</v>
      </c>
      <c r="O9" s="5" t="s">
        <v>178</v>
      </c>
    </row>
    <row r="10" spans="1:16">
      <c r="A10" s="5">
        <v>4</v>
      </c>
      <c r="B10" s="5" t="str">
        <f t="shared" si="0"/>
        <v>4.4</v>
      </c>
      <c r="C10" s="29" t="s">
        <v>29</v>
      </c>
      <c r="D10" s="5" t="s">
        <v>179</v>
      </c>
      <c r="E10" s="5" t="s">
        <v>49</v>
      </c>
      <c r="F10" s="5" t="s">
        <v>81</v>
      </c>
      <c r="G10" s="5" t="s">
        <v>81</v>
      </c>
      <c r="H10" s="5" t="s">
        <v>81</v>
      </c>
      <c r="I10" s="5" t="s">
        <v>82</v>
      </c>
      <c r="J10" s="5" t="s">
        <v>81</v>
      </c>
      <c r="K10" s="5" t="s">
        <v>81</v>
      </c>
      <c r="L10" s="5" t="s">
        <v>81</v>
      </c>
      <c r="M10" s="5" t="s">
        <v>81</v>
      </c>
      <c r="N10" s="5" t="s">
        <v>81</v>
      </c>
      <c r="O10" s="5" t="s">
        <v>81</v>
      </c>
    </row>
    <row r="11" spans="1:16" s="41" customFormat="1" ht="15" customHeight="1">
      <c r="A11" s="51" t="s">
        <v>180</v>
      </c>
      <c r="B11" s="51"/>
      <c r="C11" s="51"/>
      <c r="D11" s="51"/>
      <c r="E11" s="51"/>
    </row>
    <row r="12" spans="1:16" ht="130.5" customHeight="1">
      <c r="A12" s="5">
        <v>5</v>
      </c>
      <c r="B12" s="5" t="str">
        <f t="shared" si="0"/>
        <v>4.5</v>
      </c>
      <c r="C12" s="29" t="s">
        <v>29</v>
      </c>
      <c r="D12" s="5" t="s">
        <v>181</v>
      </c>
      <c r="E12" s="5" t="s">
        <v>52</v>
      </c>
      <c r="F12" s="5" t="s">
        <v>182</v>
      </c>
      <c r="G12" s="5" t="s">
        <v>81</v>
      </c>
      <c r="H12" s="5" t="s">
        <v>81</v>
      </c>
      <c r="I12" s="5" t="s">
        <v>82</v>
      </c>
      <c r="J12" s="42" t="s">
        <v>183</v>
      </c>
      <c r="K12" s="5" t="s">
        <v>184</v>
      </c>
      <c r="L12" s="5" t="s">
        <v>185</v>
      </c>
      <c r="M12" s="5" t="s">
        <v>186</v>
      </c>
      <c r="N12" s="5" t="s">
        <v>187</v>
      </c>
      <c r="O12" s="5" t="s">
        <v>81</v>
      </c>
    </row>
    <row r="13" spans="1:16" s="39" customFormat="1">
      <c r="C13" s="40"/>
    </row>
    <row r="14" spans="1:16" ht="123" customHeight="1">
      <c r="A14" s="5">
        <v>6</v>
      </c>
      <c r="B14" s="5" t="str">
        <f t="shared" si="0"/>
        <v>4.6</v>
      </c>
      <c r="C14" s="29" t="s">
        <v>29</v>
      </c>
      <c r="D14" s="5" t="s">
        <v>102</v>
      </c>
      <c r="E14" s="5" t="s">
        <v>26</v>
      </c>
      <c r="F14" s="5" t="s">
        <v>81</v>
      </c>
      <c r="G14" s="5" t="s">
        <v>81</v>
      </c>
      <c r="H14" s="5" t="s">
        <v>81</v>
      </c>
      <c r="I14" s="5" t="s">
        <v>82</v>
      </c>
      <c r="J14" s="5" t="s">
        <v>81</v>
      </c>
      <c r="K14" s="5" t="s">
        <v>81</v>
      </c>
      <c r="L14" s="5" t="s">
        <v>81</v>
      </c>
      <c r="M14" s="5" t="s">
        <v>81</v>
      </c>
      <c r="N14" s="5" t="s">
        <v>81</v>
      </c>
      <c r="O14" s="5" t="s">
        <v>188</v>
      </c>
    </row>
    <row r="15" spans="1:16" ht="85.5" customHeight="1">
      <c r="A15" s="5">
        <v>7</v>
      </c>
      <c r="B15" s="5" t="str">
        <f t="shared" ref="B15:B16" si="1">CONCATENATE($B$2, ".", A15)</f>
        <v>4.7</v>
      </c>
      <c r="C15" s="29" t="s">
        <v>29</v>
      </c>
      <c r="D15" s="5" t="s">
        <v>168</v>
      </c>
      <c r="E15" s="5" t="s">
        <v>26</v>
      </c>
      <c r="F15" s="5" t="s">
        <v>81</v>
      </c>
      <c r="G15" s="5" t="s">
        <v>81</v>
      </c>
      <c r="H15" s="5" t="s">
        <v>81</v>
      </c>
      <c r="I15" s="5" t="s">
        <v>82</v>
      </c>
      <c r="J15" s="5" t="s">
        <v>81</v>
      </c>
      <c r="K15" s="5" t="s">
        <v>81</v>
      </c>
      <c r="L15" s="5" t="s">
        <v>81</v>
      </c>
      <c r="M15" s="5" t="s">
        <v>81</v>
      </c>
      <c r="N15" s="5" t="s">
        <v>81</v>
      </c>
      <c r="O15" s="5" t="s">
        <v>189</v>
      </c>
    </row>
    <row r="16" spans="1:16" ht="157.5" customHeight="1">
      <c r="A16" s="5">
        <v>8</v>
      </c>
      <c r="B16" s="5" t="str">
        <f t="shared" si="1"/>
        <v>4.8</v>
      </c>
      <c r="C16" s="29" t="s">
        <v>29</v>
      </c>
      <c r="D16" s="29" t="s">
        <v>190</v>
      </c>
      <c r="E16" s="5" t="s">
        <v>32</v>
      </c>
      <c r="F16" s="5" t="s">
        <v>81</v>
      </c>
      <c r="G16" s="5" t="s">
        <v>81</v>
      </c>
      <c r="H16" s="5" t="s">
        <v>81</v>
      </c>
      <c r="I16" s="5" t="s">
        <v>191</v>
      </c>
      <c r="J16" s="5" t="s">
        <v>81</v>
      </c>
      <c r="K16" s="5" t="s">
        <v>81</v>
      </c>
      <c r="L16" s="5" t="s">
        <v>81</v>
      </c>
      <c r="M16" s="5" t="s">
        <v>81</v>
      </c>
      <c r="N16" s="5" t="s">
        <v>81</v>
      </c>
      <c r="O16" s="5" t="s">
        <v>192</v>
      </c>
    </row>
    <row r="17" spans="1:15" ht="159.6">
      <c r="A17" s="5">
        <v>9</v>
      </c>
      <c r="B17" s="5" t="str">
        <f t="shared" ref="B17" si="2">CONCATENATE($B$2, ".", A17)</f>
        <v>4.9</v>
      </c>
      <c r="C17" s="29" t="s">
        <v>29</v>
      </c>
      <c r="D17" s="29" t="s">
        <v>193</v>
      </c>
      <c r="E17" s="5" t="s">
        <v>32</v>
      </c>
      <c r="F17" s="5" t="s">
        <v>81</v>
      </c>
      <c r="G17" s="5" t="s">
        <v>81</v>
      </c>
      <c r="H17" s="5" t="s">
        <v>81</v>
      </c>
      <c r="I17" s="5" t="s">
        <v>194</v>
      </c>
      <c r="J17" s="5" t="s">
        <v>81</v>
      </c>
      <c r="K17" s="5" t="s">
        <v>81</v>
      </c>
      <c r="L17" s="5" t="s">
        <v>81</v>
      </c>
      <c r="M17" s="5" t="s">
        <v>81</v>
      </c>
      <c r="N17" s="5" t="s">
        <v>81</v>
      </c>
      <c r="O17" s="5" t="s">
        <v>195</v>
      </c>
    </row>
  </sheetData>
  <conditionalFormatting sqref="A1:XFD7 A8:O8 Q8:XFD8 A9:XFD1048576">
    <cfRule type="cellIs" dxfId="17" priority="2" operator="equal">
      <formula>"n/a"</formula>
    </cfRule>
  </conditionalFormatting>
  <conditionalFormatting sqref="C1:C1048576">
    <cfRule type="cellIs" dxfId="16" priority="9" operator="equal">
      <formula>"WIP (see comments)"</formula>
    </cfRule>
    <cfRule type="cellIs" dxfId="15" priority="10" operator="equal">
      <formula>"Removed"</formula>
    </cfRule>
    <cfRule type="cellIs" dxfId="14" priority="11" operator="equal">
      <formula>"Updated"</formula>
    </cfRule>
    <cfRule type="cellIs" dxfId="13" priority="12" operator="equal">
      <formula>"New"</formula>
    </cfRule>
  </conditionalFormatting>
  <conditionalFormatting sqref="P8">
    <cfRule type="cellIs" dxfId="12" priority="1" operator="equal">
      <formula>"n/a"</formula>
    </cfRule>
  </conditionalFormatting>
  <dataValidations count="1">
    <dataValidation type="list" allowBlank="1" showInputMessage="1" showErrorMessage="1" sqref="E12:E1048576" xr:uid="{00000000-0002-0000-0600-000000000000}">
      <formula1>$A$5:$A$27</formula1>
    </dataValidation>
  </dataValidations>
  <pageMargins left="0.7" right="0.7" top="0.75" bottom="0.75" header="0.3" footer="0.3"/>
  <pageSetup orientation="portrait" horizontalDpi="300" verticalDpi="300"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1000000}">
          <x14:formula1>
            <xm:f>'List Values'!$B$5:$B$13</xm:f>
          </x14:formula1>
          <xm:sqref>C7:C10 C12:C1048576</xm:sqref>
        </x14:dataValidation>
        <x14:dataValidation type="list" allowBlank="1" showInputMessage="1" showErrorMessage="1" xr:uid="{00000000-0002-0000-0600-000002000000}">
          <x14:formula1>
            <xm:f>'List Values'!$A$5:$A$29</xm:f>
          </x14:formula1>
          <xm:sqref>E7:E10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1"/>
  <sheetViews>
    <sheetView zoomScaleNormal="100" workbookViewId="0">
      <pane xSplit="4" ySplit="6" topLeftCell="E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22" style="29" customWidth="1"/>
    <col min="4" max="4" width="45.140625" style="5" customWidth="1"/>
    <col min="5" max="5" width="28.7109375" style="5" customWidth="1"/>
    <col min="6" max="6" width="46.5703125" style="5" customWidth="1"/>
    <col min="7" max="7" width="17.7109375" style="5" customWidth="1"/>
    <col min="8" max="8" width="9.140625" style="5"/>
    <col min="9" max="9" width="34.85546875" style="5" customWidth="1"/>
    <col min="10" max="10" width="13.28515625" style="5" bestFit="1" customWidth="1"/>
    <col min="11" max="11" width="17" style="5"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5" customFormat="1" ht="18.600000000000001">
      <c r="A1" s="23" t="s">
        <v>56</v>
      </c>
      <c r="B1" s="33" t="s">
        <v>196</v>
      </c>
      <c r="C1" s="27"/>
      <c r="D1" s="24"/>
    </row>
    <row r="2" spans="1:16" s="25" customFormat="1" ht="18.600000000000001">
      <c r="A2" s="23" t="s">
        <v>58</v>
      </c>
      <c r="B2" s="31" t="s">
        <v>197</v>
      </c>
      <c r="C2" s="30"/>
      <c r="D2" s="31"/>
    </row>
    <row r="3" spans="1:16" s="25" customFormat="1" ht="18.600000000000001">
      <c r="A3" s="23" t="s">
        <v>59</v>
      </c>
      <c r="B3" s="31" t="s">
        <v>198</v>
      </c>
      <c r="C3" s="30"/>
      <c r="D3" s="31" t="s">
        <v>199</v>
      </c>
    </row>
    <row r="4" spans="1:16" s="25" customFormat="1" ht="18.600000000000001">
      <c r="A4" s="23" t="s">
        <v>62</v>
      </c>
      <c r="B4" s="25" t="s">
        <v>200</v>
      </c>
      <c r="C4" s="30"/>
    </row>
    <row r="5" spans="1:16" s="4" customFormat="1">
      <c r="C5" s="32"/>
    </row>
    <row r="6" spans="1:16" s="26" customFormat="1" ht="15" thickBot="1">
      <c r="A6" s="26" t="s">
        <v>64</v>
      </c>
      <c r="B6" s="26" t="s">
        <v>65</v>
      </c>
      <c r="C6" s="28" t="s">
        <v>66</v>
      </c>
      <c r="D6" s="26" t="s">
        <v>67</v>
      </c>
      <c r="E6" s="26" t="s">
        <v>68</v>
      </c>
      <c r="F6" s="26" t="s">
        <v>69</v>
      </c>
      <c r="G6" s="26" t="s">
        <v>70</v>
      </c>
      <c r="H6" s="26" t="s">
        <v>71</v>
      </c>
      <c r="I6" s="26" t="s">
        <v>72</v>
      </c>
      <c r="J6" s="26" t="s">
        <v>73</v>
      </c>
      <c r="K6" s="26" t="s">
        <v>74</v>
      </c>
      <c r="L6" s="26" t="s">
        <v>75</v>
      </c>
      <c r="M6" s="26" t="s">
        <v>76</v>
      </c>
      <c r="N6" s="26" t="s">
        <v>77</v>
      </c>
      <c r="O6" s="26" t="s">
        <v>78</v>
      </c>
      <c r="P6" s="26" t="s">
        <v>79</v>
      </c>
    </row>
    <row r="7" spans="1:16">
      <c r="A7" s="5">
        <v>1</v>
      </c>
      <c r="B7" s="5" t="str">
        <f t="shared" ref="B7:B11" si="0">CONCATENATE($B$2, ".", A7)</f>
        <v>4a.1</v>
      </c>
      <c r="C7" s="29" t="s">
        <v>29</v>
      </c>
      <c r="D7" s="5" t="s">
        <v>201</v>
      </c>
      <c r="E7" s="5" t="s">
        <v>46</v>
      </c>
      <c r="F7" s="5" t="s">
        <v>81</v>
      </c>
      <c r="G7" s="5" t="s">
        <v>81</v>
      </c>
      <c r="H7" s="5" t="s">
        <v>81</v>
      </c>
      <c r="I7" s="5" t="s">
        <v>82</v>
      </c>
      <c r="J7" s="5" t="s">
        <v>81</v>
      </c>
      <c r="K7" s="5" t="s">
        <v>81</v>
      </c>
      <c r="L7" s="5" t="s">
        <v>81</v>
      </c>
      <c r="M7" s="5" t="s">
        <v>81</v>
      </c>
      <c r="N7" s="5" t="s">
        <v>81</v>
      </c>
      <c r="O7" s="5" t="s">
        <v>81</v>
      </c>
    </row>
    <row r="8" spans="1:16" ht="93" customHeight="1">
      <c r="A8" s="5">
        <v>2</v>
      </c>
      <c r="B8" s="5" t="str">
        <f t="shared" si="0"/>
        <v>4a.2</v>
      </c>
      <c r="C8" s="29" t="s">
        <v>29</v>
      </c>
      <c r="D8" s="5" t="s">
        <v>202</v>
      </c>
      <c r="E8" s="5" t="s">
        <v>111</v>
      </c>
      <c r="F8" s="5" t="s">
        <v>81</v>
      </c>
      <c r="G8" s="5" t="s">
        <v>81</v>
      </c>
      <c r="H8" s="5" t="s">
        <v>81</v>
      </c>
      <c r="I8" s="5" t="s">
        <v>82</v>
      </c>
      <c r="J8" s="5" t="s">
        <v>81</v>
      </c>
      <c r="K8" s="5" t="s">
        <v>81</v>
      </c>
      <c r="L8" s="5" t="s">
        <v>81</v>
      </c>
      <c r="M8" s="5" t="s">
        <v>81</v>
      </c>
      <c r="N8" s="5" t="s">
        <v>81</v>
      </c>
      <c r="O8" s="5" t="s">
        <v>81</v>
      </c>
    </row>
    <row r="9" spans="1:16" ht="29.1">
      <c r="A9" s="5">
        <v>3</v>
      </c>
      <c r="B9" s="5" t="str">
        <f t="shared" si="0"/>
        <v>4a.3</v>
      </c>
      <c r="C9" s="29" t="s">
        <v>29</v>
      </c>
      <c r="D9" s="5" t="s">
        <v>81</v>
      </c>
      <c r="E9" s="5" t="s">
        <v>41</v>
      </c>
      <c r="F9" s="5" t="s">
        <v>81</v>
      </c>
      <c r="G9" s="5" t="s">
        <v>81</v>
      </c>
      <c r="H9" s="5" t="s">
        <v>81</v>
      </c>
      <c r="I9" s="5" t="s">
        <v>82</v>
      </c>
      <c r="J9" s="5" t="s">
        <v>81</v>
      </c>
      <c r="K9" s="5" t="s">
        <v>81</v>
      </c>
      <c r="L9" s="5" t="s">
        <v>81</v>
      </c>
      <c r="M9" s="5" t="s">
        <v>81</v>
      </c>
      <c r="N9" s="5" t="s">
        <v>81</v>
      </c>
      <c r="O9" s="5" t="s">
        <v>203</v>
      </c>
    </row>
    <row r="10" spans="1:16" ht="82.5" customHeight="1">
      <c r="A10" s="5">
        <v>4</v>
      </c>
      <c r="B10" s="5" t="str">
        <f t="shared" si="0"/>
        <v>4a.4</v>
      </c>
      <c r="C10" s="29" t="s">
        <v>33</v>
      </c>
      <c r="D10" s="5" t="s">
        <v>204</v>
      </c>
      <c r="E10" s="5" t="s">
        <v>111</v>
      </c>
      <c r="F10" s="5" t="s">
        <v>81</v>
      </c>
      <c r="G10" s="5" t="s">
        <v>81</v>
      </c>
      <c r="H10" s="5" t="s">
        <v>81</v>
      </c>
      <c r="I10" s="5" t="s">
        <v>82</v>
      </c>
      <c r="J10" s="5" t="s">
        <v>81</v>
      </c>
      <c r="K10" s="5" t="s">
        <v>81</v>
      </c>
      <c r="L10" s="5" t="s">
        <v>81</v>
      </c>
      <c r="M10" s="5" t="s">
        <v>81</v>
      </c>
      <c r="N10" s="5" t="s">
        <v>81</v>
      </c>
      <c r="O10" s="5" t="s">
        <v>81</v>
      </c>
      <c r="P10" s="5" t="s">
        <v>205</v>
      </c>
    </row>
    <row r="11" spans="1:16" ht="29.1">
      <c r="A11" s="5">
        <v>5</v>
      </c>
      <c r="B11" s="5" t="str">
        <f t="shared" si="0"/>
        <v>4a.5</v>
      </c>
      <c r="C11" s="29" t="s">
        <v>29</v>
      </c>
      <c r="D11" s="5" t="s">
        <v>102</v>
      </c>
      <c r="E11" s="5" t="s">
        <v>26</v>
      </c>
      <c r="F11" s="5" t="s">
        <v>81</v>
      </c>
      <c r="G11" s="5" t="s">
        <v>81</v>
      </c>
      <c r="H11" s="5" t="s">
        <v>81</v>
      </c>
      <c r="I11" s="5" t="s">
        <v>82</v>
      </c>
      <c r="J11" s="5" t="s">
        <v>81</v>
      </c>
      <c r="K11" s="5" t="s">
        <v>81</v>
      </c>
      <c r="L11" s="5" t="s">
        <v>81</v>
      </c>
      <c r="M11" s="5" t="s">
        <v>81</v>
      </c>
      <c r="N11" s="5" t="s">
        <v>81</v>
      </c>
      <c r="O11" s="5" t="s">
        <v>206</v>
      </c>
    </row>
  </sheetData>
  <conditionalFormatting sqref="A1:XFD7 A12:XFD1048576 E10:XFD10 D11:XFD11 D8:XFD9 A8:C11">
    <cfRule type="cellIs" dxfId="11" priority="6" operator="equal">
      <formula>"n/a"</formula>
    </cfRule>
  </conditionalFormatting>
  <conditionalFormatting sqref="C1:C1048576">
    <cfRule type="cellIs" dxfId="10" priority="30" operator="equal">
      <formula>"WIP (see comments)"</formula>
    </cfRule>
    <cfRule type="cellIs" dxfId="9" priority="31" operator="equal">
      <formula>"Removed"</formula>
    </cfRule>
    <cfRule type="cellIs" dxfId="8" priority="32" operator="equal">
      <formula>"Updated"</formula>
    </cfRule>
    <cfRule type="cellIs" dxfId="7" priority="33" operator="equal">
      <formula>"New"</formula>
    </cfRule>
  </conditionalFormatting>
  <conditionalFormatting sqref="D10">
    <cfRule type="cellIs" dxfId="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'List Values'!$A$5:$A$29</xm:f>
          </x14:formula1>
          <xm:sqref>E7:E1048576</xm:sqref>
        </x14:dataValidation>
        <x14:dataValidation type="list" allowBlank="1" showInputMessage="1" showErrorMessage="1" xr:uid="{00000000-0002-0000-0700-000001000000}">
          <x14:formula1>
            <xm:f>'List Values'!$B$5:$B$13</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9"/>
  <sheetViews>
    <sheetView zoomScaleNormal="100" workbookViewId="0">
      <pane xSplit="4" ySplit="6" topLeftCell="M7" activePane="bottomRight" state="frozen"/>
      <selection pane="bottomRight" activeCell="A7" sqref="A7"/>
      <selection pane="bottomLeft" activeCell="A7" sqref="A7"/>
      <selection pane="topRight" activeCell="E1" sqref="E1"/>
    </sheetView>
  </sheetViews>
  <sheetFormatPr defaultColWidth="9.140625" defaultRowHeight="14.45"/>
  <cols>
    <col min="1" max="1" width="14.7109375" style="5" customWidth="1"/>
    <col min="2" max="2" width="12.5703125" style="5" customWidth="1"/>
    <col min="3" max="3" width="17.140625" style="29" customWidth="1"/>
    <col min="4" max="4" width="65.5703125" style="5" customWidth="1"/>
    <col min="5" max="5" width="28.7109375" style="5" customWidth="1"/>
    <col min="6" max="6" width="14.5703125" style="5" bestFit="1" customWidth="1"/>
    <col min="7" max="7" width="17.7109375" style="5" customWidth="1"/>
    <col min="8" max="8" width="9.140625" style="5"/>
    <col min="9" max="9" width="34.85546875" style="5" customWidth="1"/>
    <col min="10" max="10" width="13.28515625" style="5" bestFit="1" customWidth="1"/>
    <col min="11" max="11" width="10.7109375" style="5" bestFit="1" customWidth="1"/>
    <col min="12" max="12" width="19.28515625" style="5" bestFit="1" customWidth="1"/>
    <col min="13" max="13" width="21.140625" style="5" bestFit="1" customWidth="1"/>
    <col min="14" max="14" width="18.7109375" style="5" bestFit="1" customWidth="1"/>
    <col min="15" max="15" width="48.42578125" style="5" customWidth="1"/>
    <col min="16" max="16" width="41.85546875" style="5" customWidth="1"/>
    <col min="17" max="16384" width="9.140625" style="5"/>
  </cols>
  <sheetData>
    <row r="1" spans="1:16" s="25" customFormat="1" ht="18.600000000000001">
      <c r="A1" s="23" t="s">
        <v>56</v>
      </c>
      <c r="B1" s="33" t="s">
        <v>207</v>
      </c>
      <c r="C1" s="27"/>
      <c r="D1" s="24"/>
    </row>
    <row r="2" spans="1:16" s="25" customFormat="1" ht="18.600000000000001">
      <c r="A2" s="23" t="s">
        <v>58</v>
      </c>
      <c r="B2" s="31">
        <v>5</v>
      </c>
      <c r="C2" s="30"/>
      <c r="D2" s="31"/>
    </row>
    <row r="3" spans="1:16" s="25" customFormat="1" ht="18.600000000000001">
      <c r="A3" s="23" t="s">
        <v>59</v>
      </c>
      <c r="B3" s="31" t="s">
        <v>208</v>
      </c>
      <c r="C3" s="30"/>
      <c r="D3" s="31" t="s">
        <v>209</v>
      </c>
    </row>
    <row r="4" spans="1:16" s="25" customFormat="1" ht="18.600000000000001">
      <c r="A4" s="23" t="s">
        <v>62</v>
      </c>
      <c r="B4" s="25" t="s">
        <v>82</v>
      </c>
      <c r="C4" s="30"/>
    </row>
    <row r="5" spans="1:16" s="4" customFormat="1">
      <c r="C5" s="32"/>
    </row>
    <row r="6" spans="1:16" s="26" customFormat="1" ht="15" thickBot="1">
      <c r="A6" s="26" t="s">
        <v>64</v>
      </c>
      <c r="B6" s="26" t="s">
        <v>65</v>
      </c>
      <c r="C6" s="28" t="s">
        <v>66</v>
      </c>
      <c r="D6" s="26" t="s">
        <v>67</v>
      </c>
      <c r="E6" s="26" t="s">
        <v>68</v>
      </c>
      <c r="F6" s="26" t="s">
        <v>69</v>
      </c>
      <c r="G6" s="26" t="s">
        <v>70</v>
      </c>
      <c r="H6" s="26" t="s">
        <v>71</v>
      </c>
      <c r="I6" s="26" t="s">
        <v>72</v>
      </c>
      <c r="J6" s="26" t="s">
        <v>73</v>
      </c>
      <c r="K6" s="26" t="s">
        <v>74</v>
      </c>
      <c r="L6" s="26" t="s">
        <v>75</v>
      </c>
      <c r="M6" s="26" t="s">
        <v>76</v>
      </c>
      <c r="N6" s="26" t="s">
        <v>77</v>
      </c>
      <c r="O6" s="26" t="s">
        <v>78</v>
      </c>
      <c r="P6" s="26" t="s">
        <v>79</v>
      </c>
    </row>
    <row r="7" spans="1:16">
      <c r="A7" s="5">
        <v>1</v>
      </c>
      <c r="B7" s="5" t="str">
        <f>CONCATENATE($B$2, ".", A7)</f>
        <v>5.1</v>
      </c>
      <c r="C7" s="29" t="s">
        <v>33</v>
      </c>
      <c r="D7" s="5" t="s">
        <v>210</v>
      </c>
      <c r="E7" s="5" t="s">
        <v>46</v>
      </c>
      <c r="F7" s="5" t="s">
        <v>81</v>
      </c>
      <c r="G7" s="5" t="s">
        <v>81</v>
      </c>
      <c r="H7" s="5" t="s">
        <v>81</v>
      </c>
      <c r="I7" s="5" t="s">
        <v>82</v>
      </c>
      <c r="J7" s="5" t="s">
        <v>81</v>
      </c>
      <c r="K7" s="5" t="s">
        <v>81</v>
      </c>
      <c r="L7" s="5" t="s">
        <v>81</v>
      </c>
      <c r="M7" s="5" t="s">
        <v>81</v>
      </c>
      <c r="N7" s="5" t="s">
        <v>81</v>
      </c>
      <c r="O7" s="5" t="s">
        <v>81</v>
      </c>
    </row>
    <row r="8" spans="1:16" ht="29.1">
      <c r="C8" s="29" t="s">
        <v>31</v>
      </c>
      <c r="D8" s="5" t="s">
        <v>81</v>
      </c>
      <c r="P8" s="5" t="s">
        <v>84</v>
      </c>
    </row>
    <row r="9" spans="1:16" ht="85.5" customHeight="1">
      <c r="A9" s="5">
        <v>2</v>
      </c>
      <c r="B9" s="5" t="str">
        <f t="shared" ref="B9:B18" si="0">CONCATENATE($B$2, ".", A9)</f>
        <v>5.2</v>
      </c>
      <c r="C9" s="29" t="s">
        <v>33</v>
      </c>
      <c r="D9" s="5" t="s">
        <v>211</v>
      </c>
      <c r="E9" s="5" t="s">
        <v>49</v>
      </c>
      <c r="F9" s="5" t="s">
        <v>81</v>
      </c>
      <c r="G9" s="5" t="s">
        <v>81</v>
      </c>
      <c r="H9" s="5" t="s">
        <v>81</v>
      </c>
      <c r="I9" s="5" t="s">
        <v>82</v>
      </c>
      <c r="J9" s="5" t="s">
        <v>81</v>
      </c>
      <c r="K9" s="5" t="s">
        <v>81</v>
      </c>
      <c r="L9" s="5" t="s">
        <v>81</v>
      </c>
      <c r="M9" s="5" t="s">
        <v>81</v>
      </c>
      <c r="N9" s="5" t="s">
        <v>81</v>
      </c>
      <c r="O9" s="5" t="s">
        <v>81</v>
      </c>
    </row>
    <row r="10" spans="1:16" s="43" customFormat="1" ht="15" customHeight="1">
      <c r="A10" s="52" t="s">
        <v>212</v>
      </c>
      <c r="B10" s="52"/>
      <c r="C10" s="52"/>
      <c r="D10" s="52"/>
      <c r="E10" s="52"/>
      <c r="F10" s="52"/>
      <c r="G10" s="52"/>
    </row>
    <row r="11" spans="1:16" ht="103.5" customHeight="1">
      <c r="A11" s="5">
        <v>3</v>
      </c>
      <c r="B11" s="5" t="str">
        <f t="shared" ref="B11" si="1">CONCATENATE($B$2, ".", A11)</f>
        <v>5.3</v>
      </c>
      <c r="C11" s="29" t="s">
        <v>33</v>
      </c>
      <c r="D11" s="5" t="s">
        <v>213</v>
      </c>
      <c r="E11" s="5" t="s">
        <v>47</v>
      </c>
      <c r="F11" s="5" t="s">
        <v>81</v>
      </c>
      <c r="G11" s="5" t="s">
        <v>81</v>
      </c>
      <c r="H11" s="5" t="s">
        <v>81</v>
      </c>
      <c r="I11" s="5" t="s">
        <v>214</v>
      </c>
      <c r="J11" s="5" t="s">
        <v>81</v>
      </c>
      <c r="K11" s="5" t="s">
        <v>81</v>
      </c>
      <c r="L11" s="5" t="s">
        <v>81</v>
      </c>
      <c r="M11" s="5" t="s">
        <v>81</v>
      </c>
      <c r="N11" s="5" t="s">
        <v>81</v>
      </c>
      <c r="O11" s="5" t="s">
        <v>81</v>
      </c>
    </row>
    <row r="12" spans="1:16" ht="57.95">
      <c r="A12" s="5">
        <v>4</v>
      </c>
      <c r="B12" s="5" t="str">
        <f t="shared" si="0"/>
        <v>5.4</v>
      </c>
      <c r="C12" s="29" t="s">
        <v>33</v>
      </c>
      <c r="D12" s="5" t="s">
        <v>215</v>
      </c>
      <c r="E12" s="5" t="s">
        <v>50</v>
      </c>
      <c r="F12" s="5" t="s">
        <v>81</v>
      </c>
      <c r="G12" s="5" t="s">
        <v>81</v>
      </c>
      <c r="H12" s="5" t="s">
        <v>81</v>
      </c>
      <c r="I12" s="5" t="s">
        <v>216</v>
      </c>
      <c r="J12" s="5" t="s">
        <v>81</v>
      </c>
      <c r="K12" s="5" t="s">
        <v>81</v>
      </c>
      <c r="L12" s="5" t="s">
        <v>81</v>
      </c>
      <c r="M12" s="5" t="s">
        <v>81</v>
      </c>
      <c r="N12" s="5" t="s">
        <v>81</v>
      </c>
      <c r="O12" s="5" t="s">
        <v>81</v>
      </c>
    </row>
    <row r="13" spans="1:16" ht="108.95" customHeight="1">
      <c r="A13" s="5">
        <v>5</v>
      </c>
      <c r="B13" s="5" t="str">
        <f>CONCATENATE($B$2, ".", A13)</f>
        <v>5.5</v>
      </c>
      <c r="C13" s="29" t="s">
        <v>33</v>
      </c>
      <c r="D13" s="5" t="s">
        <v>217</v>
      </c>
      <c r="E13" s="5" t="s">
        <v>50</v>
      </c>
      <c r="F13" s="5" t="s">
        <v>81</v>
      </c>
      <c r="G13" s="5" t="s">
        <v>81</v>
      </c>
      <c r="H13" s="5" t="s">
        <v>81</v>
      </c>
      <c r="I13" s="5" t="s">
        <v>216</v>
      </c>
      <c r="J13" s="5" t="s">
        <v>81</v>
      </c>
      <c r="K13" s="5" t="s">
        <v>81</v>
      </c>
      <c r="L13" s="5" t="s">
        <v>81</v>
      </c>
      <c r="M13" s="5" t="s">
        <v>81</v>
      </c>
      <c r="N13" s="5" t="s">
        <v>81</v>
      </c>
      <c r="O13" s="5" t="s">
        <v>218</v>
      </c>
    </row>
    <row r="14" spans="1:16" ht="102.95" customHeight="1">
      <c r="C14" s="29" t="s">
        <v>31</v>
      </c>
      <c r="D14" s="5" t="s">
        <v>219</v>
      </c>
      <c r="P14" s="5" t="s">
        <v>220</v>
      </c>
    </row>
    <row r="15" spans="1:16" ht="123.95" customHeight="1">
      <c r="A15" s="5">
        <v>6</v>
      </c>
      <c r="B15" s="5" t="str">
        <f t="shared" si="0"/>
        <v>5.6</v>
      </c>
      <c r="C15" s="29" t="s">
        <v>33</v>
      </c>
      <c r="D15" s="5" t="s">
        <v>221</v>
      </c>
      <c r="E15" s="5" t="s">
        <v>49</v>
      </c>
      <c r="F15" s="5" t="s">
        <v>81</v>
      </c>
      <c r="G15" s="5" t="s">
        <v>81</v>
      </c>
      <c r="H15" s="5" t="s">
        <v>81</v>
      </c>
      <c r="I15" s="5" t="s">
        <v>222</v>
      </c>
      <c r="J15" s="5" t="s">
        <v>81</v>
      </c>
      <c r="K15" s="5" t="s">
        <v>81</v>
      </c>
      <c r="L15" s="5" t="s">
        <v>81</v>
      </c>
      <c r="M15" s="5" t="s">
        <v>81</v>
      </c>
      <c r="N15" s="5" t="s">
        <v>81</v>
      </c>
      <c r="O15" s="5" t="s">
        <v>81</v>
      </c>
    </row>
    <row r="16" spans="1:16" s="39" customFormat="1">
      <c r="C16" s="40"/>
    </row>
    <row r="17" spans="1:16" ht="50.25" customHeight="1">
      <c r="C17" s="29" t="s">
        <v>31</v>
      </c>
      <c r="D17" s="5" t="s">
        <v>223</v>
      </c>
      <c r="P17" s="5" t="s">
        <v>224</v>
      </c>
    </row>
    <row r="18" spans="1:16" ht="50.25" customHeight="1">
      <c r="A18" s="5">
        <v>7</v>
      </c>
      <c r="B18" s="5" t="str">
        <f t="shared" si="0"/>
        <v>5.7</v>
      </c>
      <c r="C18" s="29" t="s">
        <v>33</v>
      </c>
      <c r="D18" s="5" t="s">
        <v>225</v>
      </c>
      <c r="E18" s="5" t="s">
        <v>26</v>
      </c>
      <c r="F18" s="5" t="s">
        <v>81</v>
      </c>
      <c r="G18" s="5" t="s">
        <v>81</v>
      </c>
      <c r="H18" s="5" t="s">
        <v>81</v>
      </c>
      <c r="I18" s="5" t="s">
        <v>82</v>
      </c>
      <c r="J18" s="5" t="s">
        <v>81</v>
      </c>
      <c r="K18" s="5" t="s">
        <v>81</v>
      </c>
      <c r="L18" s="5" t="s">
        <v>81</v>
      </c>
      <c r="M18" s="5" t="s">
        <v>81</v>
      </c>
      <c r="N18" s="5" t="s">
        <v>81</v>
      </c>
      <c r="O18" s="5" t="s">
        <v>226</v>
      </c>
      <c r="P18" s="5" t="s">
        <v>227</v>
      </c>
    </row>
    <row r="19" spans="1:16" ht="57.95">
      <c r="C19" s="29" t="s">
        <v>31</v>
      </c>
      <c r="D19" s="5" t="s">
        <v>228</v>
      </c>
      <c r="P19" s="5" t="s">
        <v>229</v>
      </c>
    </row>
  </sheetData>
  <conditionalFormatting sqref="A1:XFD7 A8:O8 Q8:XFD8 A9:XFD1048576">
    <cfRule type="cellIs" dxfId="5" priority="2" operator="equal">
      <formula>"n/a"</formula>
    </cfRule>
  </conditionalFormatting>
  <conditionalFormatting sqref="C1:C1048576">
    <cfRule type="cellIs" dxfId="4" priority="3" operator="equal">
      <formula>"WIP (see comments)"</formula>
    </cfRule>
    <cfRule type="cellIs" dxfId="3" priority="4" operator="equal">
      <formula>"Removed"</formula>
    </cfRule>
    <cfRule type="cellIs" dxfId="2" priority="5" operator="equal">
      <formula>"Updated"</formula>
    </cfRule>
    <cfRule type="cellIs" dxfId="1" priority="6" operator="equal">
      <formula>"New"</formula>
    </cfRule>
  </conditionalFormatting>
  <conditionalFormatting sqref="P8">
    <cfRule type="cellIs" dxfId="0" priority="1" operator="equal">
      <formula>"n/a"</formula>
    </cfRule>
  </conditionalFormatting>
  <dataValidations count="1">
    <dataValidation type="list" allowBlank="1" showInputMessage="1" showErrorMessage="1" sqref="E20:E1048576" xr:uid="{00000000-0002-0000-0800-000000000000}">
      <formula1>$A$5:$A$29</formula1>
    </dataValidation>
  </dataValidations>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1000000}">
          <x14:formula1>
            <xm:f>'List Values'!$A$5:$A$29</xm:f>
          </x14:formula1>
          <xm:sqref>E7:E9 E11:E19</xm:sqref>
        </x14:dataValidation>
        <x14:dataValidation type="list" allowBlank="1" showInputMessage="1" showErrorMessage="1" xr:uid="{00000000-0002-0000-0800-000002000000}">
          <x14:formula1>
            <xm:f>'List Values'!$B$5:$B$13</xm:f>
          </x14:formula1>
          <xm:sqref>C7:C9 C11:C1048576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15C84A05-0518-4CE2-A9C1-8862C2CFEBDD}"/>
</file>

<file path=customXml/itemProps2.xml><?xml version="1.0" encoding="utf-8"?>
<ds:datastoreItem xmlns:ds="http://schemas.openxmlformats.org/officeDocument/2006/customXml" ds:itemID="{B017B67F-D8CE-4A92-9DAF-8B2B6CBF42F7}"/>
</file>

<file path=customXml/itemProps3.xml><?xml version="1.0" encoding="utf-8"?>
<ds:datastoreItem xmlns:ds="http://schemas.openxmlformats.org/officeDocument/2006/customXml" ds:itemID="{CB57D7B5-68B8-4D05-A99B-C4E96C5AFE59}"/>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Amelie Teodosio</cp:lastModifiedBy>
  <cp:revision/>
  <dcterms:created xsi:type="dcterms:W3CDTF">2015-06-05T18:17:20Z</dcterms:created>
  <dcterms:modified xsi:type="dcterms:W3CDTF">2024-10-29T21:59:00Z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